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imena\Desktop\"/>
    </mc:Choice>
  </mc:AlternateContent>
  <bookViews>
    <workbookView xWindow="0" yWindow="0" windowWidth="20490" windowHeight="9045" firstSheet="1" activeTab="1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costos'!$A$1:$N$81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2" l="1"/>
  <c r="K3" i="32"/>
  <c r="L3" i="32"/>
  <c r="O3" i="32"/>
  <c r="J4" i="32"/>
  <c r="K4" i="32"/>
  <c r="M4" i="32" s="1"/>
  <c r="L4" i="32"/>
  <c r="N4" i="32"/>
  <c r="O4" i="32"/>
  <c r="P4" i="32"/>
  <c r="J5" i="32"/>
  <c r="K5" i="32"/>
  <c r="L5" i="32"/>
  <c r="N5" i="32"/>
  <c r="M5" i="32" s="1"/>
  <c r="O5" i="32"/>
  <c r="P5" i="32"/>
  <c r="J6" i="32"/>
  <c r="K6" i="32"/>
  <c r="L6" i="32"/>
  <c r="M6" i="32"/>
  <c r="N6" i="32"/>
  <c r="O6" i="32"/>
  <c r="P6" i="32"/>
  <c r="J7" i="32"/>
  <c r="K7" i="32"/>
  <c r="L7" i="32"/>
  <c r="N7" i="32"/>
  <c r="P7" i="32" s="1"/>
  <c r="O7" i="32"/>
  <c r="J8" i="32"/>
  <c r="K8" i="32"/>
  <c r="M8" i="32" s="1"/>
  <c r="L8" i="32"/>
  <c r="N8" i="32"/>
  <c r="P8" i="32" s="1"/>
  <c r="O8" i="32"/>
  <c r="J9" i="32"/>
  <c r="K9" i="32"/>
  <c r="L9" i="32"/>
  <c r="N9" i="32"/>
  <c r="M9" i="32" s="1"/>
  <c r="O9" i="32"/>
  <c r="P9" i="32"/>
  <c r="J10" i="32"/>
  <c r="K10" i="32"/>
  <c r="L10" i="32"/>
  <c r="M10" i="32"/>
  <c r="N10" i="32"/>
  <c r="O10" i="32"/>
  <c r="P10" i="32"/>
  <c r="J11" i="32"/>
  <c r="K11" i="32"/>
  <c r="L11" i="32"/>
  <c r="N11" i="32"/>
  <c r="P11" i="32" s="1"/>
  <c r="O11" i="32"/>
  <c r="J12" i="32"/>
  <c r="K12" i="32"/>
  <c r="M12" i="32" s="1"/>
  <c r="L12" i="32"/>
  <c r="N12" i="32"/>
  <c r="P12" i="32" s="1"/>
  <c r="O12" i="32"/>
  <c r="J13" i="32"/>
  <c r="K13" i="32"/>
  <c r="L13" i="32"/>
  <c r="N13" i="32"/>
  <c r="M13" i="32" s="1"/>
  <c r="O13" i="32"/>
  <c r="P13" i="32"/>
  <c r="J14" i="32"/>
  <c r="K14" i="32"/>
  <c r="L14" i="32"/>
  <c r="O14" i="32"/>
  <c r="J15" i="32"/>
  <c r="K15" i="32"/>
  <c r="L15" i="32"/>
  <c r="N15" i="32"/>
  <c r="P15" i="32" s="1"/>
  <c r="O15" i="32"/>
  <c r="J16" i="32"/>
  <c r="K16" i="32"/>
  <c r="M16" i="32" s="1"/>
  <c r="L16" i="32"/>
  <c r="N16" i="32"/>
  <c r="P16" i="32" s="1"/>
  <c r="O16" i="32"/>
  <c r="J17" i="32"/>
  <c r="K17" i="32"/>
  <c r="L17" i="32"/>
  <c r="N17" i="32"/>
  <c r="M17" i="32" s="1"/>
  <c r="O17" i="32"/>
  <c r="P17" i="32"/>
  <c r="J18" i="32"/>
  <c r="K18" i="32"/>
  <c r="L18" i="32"/>
  <c r="M18" i="32"/>
  <c r="N18" i="32"/>
  <c r="O18" i="32"/>
  <c r="P18" i="32"/>
  <c r="J19" i="32"/>
  <c r="K19" i="32"/>
  <c r="L19" i="32"/>
  <c r="N19" i="32"/>
  <c r="P19" i="32" s="1"/>
  <c r="O19" i="32"/>
  <c r="J20" i="32"/>
  <c r="K20" i="32"/>
  <c r="M20" i="32" s="1"/>
  <c r="L20" i="32"/>
  <c r="N20" i="32"/>
  <c r="P20" i="32" s="1"/>
  <c r="O20" i="32"/>
  <c r="J21" i="32"/>
  <c r="K21" i="32"/>
  <c r="L21" i="32"/>
  <c r="O21" i="32"/>
  <c r="J22" i="32"/>
  <c r="K22" i="32"/>
  <c r="L22" i="32"/>
  <c r="M22" i="32"/>
  <c r="N22" i="32"/>
  <c r="O22" i="32"/>
  <c r="P22" i="32"/>
  <c r="J23" i="32"/>
  <c r="K23" i="32"/>
  <c r="L23" i="32"/>
  <c r="N23" i="32"/>
  <c r="P23" i="32" s="1"/>
  <c r="O23" i="32"/>
  <c r="J24" i="32"/>
  <c r="K24" i="32"/>
  <c r="M24" i="32" s="1"/>
  <c r="L24" i="32"/>
  <c r="N24" i="32"/>
  <c r="P24" i="32" s="1"/>
  <c r="O24" i="32"/>
  <c r="J25" i="32"/>
  <c r="K25" i="32"/>
  <c r="L25" i="32"/>
  <c r="N25" i="32"/>
  <c r="M25" i="32" s="1"/>
  <c r="O25" i="32"/>
  <c r="P25" i="32"/>
  <c r="J26" i="32"/>
  <c r="K26" i="32"/>
  <c r="L26" i="32"/>
  <c r="O26" i="32"/>
  <c r="J27" i="32"/>
  <c r="K27" i="32"/>
  <c r="L27" i="32"/>
  <c r="N27" i="32"/>
  <c r="P27" i="32" s="1"/>
  <c r="O27" i="32"/>
  <c r="J28" i="32"/>
  <c r="K28" i="32"/>
  <c r="M28" i="32" s="1"/>
  <c r="L28" i="32"/>
  <c r="N28" i="32"/>
  <c r="P28" i="32" s="1"/>
  <c r="O28" i="32"/>
  <c r="J29" i="32"/>
  <c r="K29" i="32"/>
  <c r="L29" i="32"/>
  <c r="N29" i="32"/>
  <c r="M29" i="32" s="1"/>
  <c r="O29" i="32"/>
  <c r="P29" i="32"/>
  <c r="J30" i="32"/>
  <c r="K30" i="32"/>
  <c r="L30" i="32"/>
  <c r="M30" i="32"/>
  <c r="N30" i="32"/>
  <c r="O30" i="32"/>
  <c r="P30" i="32"/>
  <c r="J31" i="32"/>
  <c r="K31" i="32"/>
  <c r="L31" i="32"/>
  <c r="O31" i="32"/>
  <c r="J32" i="32"/>
  <c r="K32" i="32"/>
  <c r="M32" i="32" s="1"/>
  <c r="L32" i="32"/>
  <c r="N32" i="32"/>
  <c r="P32" i="32" s="1"/>
  <c r="O32" i="32"/>
  <c r="J33" i="32"/>
  <c r="K33" i="32"/>
  <c r="L33" i="32"/>
  <c r="N33" i="32"/>
  <c r="M33" i="32" s="1"/>
  <c r="O33" i="32"/>
  <c r="P33" i="32"/>
  <c r="J34" i="32"/>
  <c r="K34" i="32"/>
  <c r="L34" i="32"/>
  <c r="M34" i="32"/>
  <c r="N34" i="32"/>
  <c r="O34" i="32"/>
  <c r="P34" i="32"/>
  <c r="J35" i="32"/>
  <c r="L35" i="32"/>
  <c r="N35" i="32"/>
  <c r="O35" i="32"/>
  <c r="J36" i="32"/>
  <c r="K36" i="32"/>
  <c r="M36" i="32" s="1"/>
  <c r="L36" i="32"/>
  <c r="N36" i="32"/>
  <c r="P36" i="32" s="1"/>
  <c r="O36" i="32"/>
  <c r="J37" i="32"/>
  <c r="K37" i="32"/>
  <c r="L37" i="32"/>
  <c r="N37" i="32"/>
  <c r="M37" i="32" s="1"/>
  <c r="O37" i="32"/>
  <c r="P37" i="32"/>
  <c r="J38" i="32"/>
  <c r="K38" i="32"/>
  <c r="L38" i="32"/>
  <c r="M38" i="32"/>
  <c r="N38" i="32"/>
  <c r="O38" i="32"/>
  <c r="P38" i="32"/>
  <c r="J39" i="32"/>
  <c r="K39" i="32"/>
  <c r="L39" i="32"/>
  <c r="N39" i="32"/>
  <c r="O39" i="32"/>
  <c r="J40" i="32"/>
  <c r="K40" i="32"/>
  <c r="M40" i="32" s="1"/>
  <c r="L40" i="32"/>
  <c r="N40" i="32"/>
  <c r="P40" i="32" s="1"/>
  <c r="O40" i="32"/>
  <c r="J41" i="32"/>
  <c r="K41" i="32"/>
  <c r="L41" i="32"/>
  <c r="N41" i="32"/>
  <c r="O41" i="32"/>
  <c r="P41" i="32"/>
  <c r="J42" i="32"/>
  <c r="K42" i="32"/>
  <c r="L42" i="32"/>
  <c r="M42" i="32"/>
  <c r="N42" i="32"/>
  <c r="O42" i="32"/>
  <c r="P42" i="32"/>
  <c r="J43" i="32"/>
  <c r="K43" i="32"/>
  <c r="L43" i="32"/>
  <c r="N43" i="32"/>
  <c r="O43" i="32"/>
  <c r="J44" i="32"/>
  <c r="K44" i="32"/>
  <c r="L44" i="32"/>
  <c r="O44" i="32"/>
  <c r="J45" i="32"/>
  <c r="K45" i="32"/>
  <c r="L45" i="32"/>
  <c r="O45" i="32"/>
  <c r="J46" i="32"/>
  <c r="K46" i="32"/>
  <c r="L46" i="32"/>
  <c r="M46" i="32"/>
  <c r="N46" i="32"/>
  <c r="O46" i="32"/>
  <c r="P46" i="32"/>
  <c r="J47" i="32"/>
  <c r="K47" i="32"/>
  <c r="L47" i="32"/>
  <c r="O47" i="32"/>
  <c r="J48" i="32"/>
  <c r="K48" i="32"/>
  <c r="M48" i="32" s="1"/>
  <c r="L48" i="32"/>
  <c r="N48" i="32"/>
  <c r="P48" i="32" s="1"/>
  <c r="O48" i="32"/>
  <c r="J49" i="32"/>
  <c r="K49" i="32"/>
  <c r="L49" i="32"/>
  <c r="N49" i="32"/>
  <c r="O49" i="32"/>
  <c r="P49" i="32"/>
  <c r="J50" i="32"/>
  <c r="K50" i="32"/>
  <c r="L50" i="32"/>
  <c r="M50" i="32"/>
  <c r="N50" i="32"/>
  <c r="O50" i="32"/>
  <c r="P50" i="32"/>
  <c r="J51" i="32"/>
  <c r="K51" i="32"/>
  <c r="L51" i="32"/>
  <c r="N51" i="32"/>
  <c r="O51" i="32"/>
  <c r="J52" i="32"/>
  <c r="K52" i="32"/>
  <c r="M52" i="32" s="1"/>
  <c r="L52" i="32"/>
  <c r="N52" i="32"/>
  <c r="P52" i="32" s="1"/>
  <c r="O52" i="32"/>
  <c r="J53" i="32"/>
  <c r="K53" i="32"/>
  <c r="L53" i="32"/>
  <c r="N53" i="32"/>
  <c r="M53" i="32" s="1"/>
  <c r="O53" i="32"/>
  <c r="P53" i="32"/>
  <c r="J54" i="32"/>
  <c r="K54" i="32"/>
  <c r="L54" i="32"/>
  <c r="M54" i="32"/>
  <c r="N54" i="32"/>
  <c r="O54" i="32"/>
  <c r="P54" i="32"/>
  <c r="J55" i="32"/>
  <c r="K55" i="32"/>
  <c r="L55" i="32"/>
  <c r="N55" i="32"/>
  <c r="O55" i="32"/>
  <c r="J56" i="32"/>
  <c r="K56" i="32"/>
  <c r="M56" i="32" s="1"/>
  <c r="L56" i="32"/>
  <c r="N56" i="32"/>
  <c r="P56" i="32" s="1"/>
  <c r="O56" i="32"/>
  <c r="J57" i="32"/>
  <c r="K57" i="32"/>
  <c r="L57" i="32"/>
  <c r="N57" i="32"/>
  <c r="M57" i="32" s="1"/>
  <c r="O57" i="32"/>
  <c r="P57" i="32"/>
  <c r="J58" i="32"/>
  <c r="K58" i="32"/>
  <c r="L58" i="32"/>
  <c r="M58" i="32"/>
  <c r="N58" i="32"/>
  <c r="O58" i="32"/>
  <c r="P58" i="32"/>
  <c r="J59" i="32"/>
  <c r="K59" i="32"/>
  <c r="L59" i="32"/>
  <c r="N59" i="32"/>
  <c r="O59" i="32"/>
  <c r="J60" i="32"/>
  <c r="K60" i="32"/>
  <c r="M60" i="32" s="1"/>
  <c r="L60" i="32"/>
  <c r="N60" i="32"/>
  <c r="P60" i="32" s="1"/>
  <c r="O60" i="32"/>
  <c r="J61" i="32"/>
  <c r="K61" i="32"/>
  <c r="L61" i="32"/>
  <c r="N61" i="32"/>
  <c r="M61" i="32" s="1"/>
  <c r="O61" i="32"/>
  <c r="P61" i="32"/>
  <c r="J62" i="32"/>
  <c r="K62" i="32"/>
  <c r="L62" i="32"/>
  <c r="M62" i="32"/>
  <c r="N62" i="32"/>
  <c r="O62" i="32"/>
  <c r="P62" i="32"/>
  <c r="J63" i="32"/>
  <c r="K63" i="32"/>
  <c r="L63" i="32"/>
  <c r="N63" i="32"/>
  <c r="O63" i="32"/>
  <c r="J64" i="32"/>
  <c r="K64" i="32"/>
  <c r="M64" i="32" s="1"/>
  <c r="L64" i="32"/>
  <c r="N64" i="32"/>
  <c r="P64" i="32" s="1"/>
  <c r="O64" i="32"/>
  <c r="J65" i="32"/>
  <c r="K65" i="32"/>
  <c r="L65" i="32"/>
  <c r="N65" i="32"/>
  <c r="O65" i="32"/>
  <c r="P65" i="32"/>
  <c r="J66" i="32"/>
  <c r="K66" i="32"/>
  <c r="L66" i="32"/>
  <c r="M66" i="32"/>
  <c r="N66" i="32"/>
  <c r="O66" i="32"/>
  <c r="P66" i="32"/>
  <c r="J67" i="32"/>
  <c r="K67" i="32"/>
  <c r="L67" i="32"/>
  <c r="N67" i="32"/>
  <c r="O67" i="32"/>
  <c r="J68" i="32"/>
  <c r="K68" i="32"/>
  <c r="M68" i="32" s="1"/>
  <c r="L68" i="32"/>
  <c r="N68" i="32"/>
  <c r="P68" i="32" s="1"/>
  <c r="O68" i="32"/>
  <c r="J69" i="32"/>
  <c r="K69" i="32"/>
  <c r="L69" i="32"/>
  <c r="N69" i="32"/>
  <c r="M69" i="32" s="1"/>
  <c r="O69" i="32"/>
  <c r="P69" i="32"/>
  <c r="J70" i="32"/>
  <c r="K70" i="32"/>
  <c r="L70" i="32"/>
  <c r="M70" i="32"/>
  <c r="N70" i="32"/>
  <c r="O70" i="32"/>
  <c r="P70" i="32"/>
  <c r="J71" i="32"/>
  <c r="K71" i="32"/>
  <c r="L71" i="32"/>
  <c r="N71" i="32"/>
  <c r="O71" i="32"/>
  <c r="J72" i="32"/>
  <c r="K72" i="32"/>
  <c r="M72" i="32" s="1"/>
  <c r="L72" i="32"/>
  <c r="N72" i="32"/>
  <c r="P72" i="32" s="1"/>
  <c r="O72" i="32"/>
  <c r="J73" i="32"/>
  <c r="K73" i="32"/>
  <c r="L73" i="32"/>
  <c r="N73" i="32"/>
  <c r="M73" i="32" s="1"/>
  <c r="O73" i="32"/>
  <c r="P73" i="32"/>
  <c r="J74" i="32"/>
  <c r="K74" i="32"/>
  <c r="L74" i="32"/>
  <c r="M74" i="32"/>
  <c r="N74" i="32"/>
  <c r="O74" i="32"/>
  <c r="P74" i="32"/>
  <c r="J75" i="32"/>
  <c r="K75" i="32"/>
  <c r="L75" i="32"/>
  <c r="N75" i="32"/>
  <c r="O75" i="32"/>
  <c r="J76" i="32"/>
  <c r="K76" i="32"/>
  <c r="M76" i="32" s="1"/>
  <c r="L76" i="32"/>
  <c r="N76" i="32"/>
  <c r="P76" i="32" s="1"/>
  <c r="O76" i="32"/>
  <c r="J77" i="32"/>
  <c r="K77" i="32"/>
  <c r="L77" i="32"/>
  <c r="N77" i="32"/>
  <c r="M77" i="32" s="1"/>
  <c r="O77" i="32"/>
  <c r="P77" i="32"/>
  <c r="J78" i="32"/>
  <c r="K78" i="32"/>
  <c r="L78" i="32"/>
  <c r="M78" i="32"/>
  <c r="N78" i="32"/>
  <c r="O78" i="32"/>
  <c r="P78" i="32"/>
  <c r="J79" i="32"/>
  <c r="K79" i="32"/>
  <c r="L79" i="32"/>
  <c r="N79" i="32"/>
  <c r="O79" i="32"/>
  <c r="J80" i="32"/>
  <c r="K80" i="32"/>
  <c r="M80" i="32" s="1"/>
  <c r="L80" i="32"/>
  <c r="N80" i="32"/>
  <c r="P80" i="32" s="1"/>
  <c r="O80" i="32"/>
  <c r="J81" i="32"/>
  <c r="K81" i="32"/>
  <c r="L81" i="32"/>
  <c r="N81" i="32"/>
  <c r="O81" i="32"/>
  <c r="P81" i="32"/>
  <c r="J82" i="32"/>
  <c r="K82" i="32"/>
  <c r="L82" i="32"/>
  <c r="M82" i="32"/>
  <c r="N82" i="32"/>
  <c r="O82" i="32"/>
  <c r="P82" i="32"/>
  <c r="J83" i="32"/>
  <c r="K83" i="32"/>
  <c r="L83" i="32"/>
  <c r="N83" i="32"/>
  <c r="O83" i="32"/>
  <c r="J84" i="32"/>
  <c r="K84" i="32"/>
  <c r="M84" i="32" s="1"/>
  <c r="L84" i="32"/>
  <c r="N84" i="32"/>
  <c r="P84" i="32" s="1"/>
  <c r="O84" i="32"/>
  <c r="J85" i="32"/>
  <c r="K85" i="32"/>
  <c r="L85" i="32"/>
  <c r="N85" i="32"/>
  <c r="M85" i="32" s="1"/>
  <c r="O85" i="32"/>
  <c r="P85" i="32"/>
  <c r="J86" i="32"/>
  <c r="K86" i="32"/>
  <c r="L86" i="32"/>
  <c r="M86" i="32"/>
  <c r="N86" i="32"/>
  <c r="O86" i="32"/>
  <c r="P86" i="32"/>
  <c r="J87" i="32"/>
  <c r="K87" i="32"/>
  <c r="L87" i="32"/>
  <c r="N87" i="32"/>
  <c r="O87" i="32"/>
  <c r="J88" i="32"/>
  <c r="K88" i="32"/>
  <c r="M88" i="32" s="1"/>
  <c r="L88" i="32"/>
  <c r="N88" i="32"/>
  <c r="P88" i="32" s="1"/>
  <c r="O88" i="32"/>
  <c r="J89" i="32"/>
  <c r="K89" i="32"/>
  <c r="L89" i="32"/>
  <c r="N89" i="32"/>
  <c r="M89" i="32" s="1"/>
  <c r="O89" i="32"/>
  <c r="P89" i="32"/>
  <c r="J90" i="32"/>
  <c r="K90" i="32"/>
  <c r="L90" i="32"/>
  <c r="M90" i="32"/>
  <c r="N90" i="32"/>
  <c r="O90" i="32"/>
  <c r="P90" i="32"/>
  <c r="J91" i="32"/>
  <c r="K91" i="32"/>
  <c r="L91" i="32"/>
  <c r="N91" i="32"/>
  <c r="O91" i="32"/>
  <c r="J92" i="32"/>
  <c r="K92" i="32"/>
  <c r="M92" i="32" s="1"/>
  <c r="L92" i="32"/>
  <c r="N92" i="32"/>
  <c r="P92" i="32" s="1"/>
  <c r="O92" i="32"/>
  <c r="J93" i="32"/>
  <c r="K93" i="32"/>
  <c r="L93" i="32"/>
  <c r="N93" i="32"/>
  <c r="M93" i="32" s="1"/>
  <c r="O93" i="32"/>
  <c r="P93" i="32"/>
  <c r="J94" i="32"/>
  <c r="K94" i="32"/>
  <c r="L94" i="32"/>
  <c r="M94" i="32"/>
  <c r="N94" i="32"/>
  <c r="O94" i="32"/>
  <c r="P94" i="32"/>
  <c r="J95" i="32"/>
  <c r="K95" i="32"/>
  <c r="L95" i="32"/>
  <c r="N95" i="32"/>
  <c r="M95" i="32" s="1"/>
  <c r="O95" i="32"/>
  <c r="J96" i="32"/>
  <c r="K96" i="32"/>
  <c r="M96" i="32" s="1"/>
  <c r="L96" i="32"/>
  <c r="N96" i="32"/>
  <c r="P96" i="32" s="1"/>
  <c r="O96" i="32"/>
  <c r="J97" i="32"/>
  <c r="K97" i="32"/>
  <c r="L97" i="32"/>
  <c r="N97" i="32"/>
  <c r="M97" i="32" s="1"/>
  <c r="O97" i="32"/>
  <c r="J98" i="32"/>
  <c r="K98" i="32"/>
  <c r="M98" i="32" s="1"/>
  <c r="L98" i="32"/>
  <c r="N98" i="32"/>
  <c r="O98" i="32"/>
  <c r="P98" i="32"/>
  <c r="J99" i="32"/>
  <c r="K99" i="32"/>
  <c r="L99" i="32"/>
  <c r="N99" i="32"/>
  <c r="M99" i="32" s="1"/>
  <c r="O99" i="32"/>
  <c r="J100" i="32"/>
  <c r="K100" i="32"/>
  <c r="M100" i="32" s="1"/>
  <c r="L100" i="32"/>
  <c r="N100" i="32"/>
  <c r="P100" i="32" s="1"/>
  <c r="O100" i="32"/>
  <c r="J101" i="32"/>
  <c r="K101" i="32"/>
  <c r="L101" i="32"/>
  <c r="N101" i="32"/>
  <c r="M101" i="32" s="1"/>
  <c r="O101" i="32"/>
  <c r="J102" i="32"/>
  <c r="K102" i="32"/>
  <c r="M102" i="32" s="1"/>
  <c r="L102" i="32"/>
  <c r="N102" i="32"/>
  <c r="O102" i="32"/>
  <c r="P102" i="32"/>
  <c r="J103" i="32"/>
  <c r="K103" i="32"/>
  <c r="L103" i="32"/>
  <c r="N103" i="32"/>
  <c r="O103" i="32"/>
  <c r="P103" i="32"/>
  <c r="J104" i="32"/>
  <c r="K104" i="32"/>
  <c r="L104" i="32"/>
  <c r="M104" i="32"/>
  <c r="N104" i="32"/>
  <c r="P104" i="32" s="1"/>
  <c r="O104" i="32"/>
  <c r="J105" i="32"/>
  <c r="K105" i="32"/>
  <c r="L105" i="32"/>
  <c r="N105" i="32"/>
  <c r="O105" i="32"/>
  <c r="P105" i="32"/>
  <c r="J106" i="32"/>
  <c r="K106" i="32"/>
  <c r="L106" i="32"/>
  <c r="M106" i="32"/>
  <c r="N106" i="32"/>
  <c r="O106" i="32"/>
  <c r="P106" i="32"/>
  <c r="J107" i="32"/>
  <c r="K107" i="32"/>
  <c r="L107" i="32"/>
  <c r="N107" i="32"/>
  <c r="M107" i="32" s="1"/>
  <c r="O107" i="32"/>
  <c r="P107" i="32"/>
  <c r="J108" i="32"/>
  <c r="K108" i="32"/>
  <c r="L108" i="32"/>
  <c r="M108" i="32"/>
  <c r="N108" i="32"/>
  <c r="P108" i="32" s="1"/>
  <c r="O108" i="32"/>
  <c r="J109" i="32"/>
  <c r="K109" i="32"/>
  <c r="L109" i="32"/>
  <c r="N109" i="32"/>
  <c r="M109" i="32" s="1"/>
  <c r="O109" i="32"/>
  <c r="P109" i="32"/>
  <c r="J110" i="32"/>
  <c r="K110" i="32"/>
  <c r="L110" i="32"/>
  <c r="M110" i="32"/>
  <c r="N110" i="32"/>
  <c r="O110" i="32"/>
  <c r="P110" i="32"/>
  <c r="J111" i="32"/>
  <c r="K111" i="32"/>
  <c r="L111" i="32"/>
  <c r="N111" i="32"/>
  <c r="M111" i="32" s="1"/>
  <c r="O111" i="32"/>
  <c r="J112" i="32"/>
  <c r="K112" i="32"/>
  <c r="M112" i="32" s="1"/>
  <c r="L112" i="32"/>
  <c r="N112" i="32"/>
  <c r="P112" i="32" s="1"/>
  <c r="O112" i="32"/>
  <c r="J113" i="32"/>
  <c r="K113" i="32"/>
  <c r="L113" i="32"/>
  <c r="N113" i="32"/>
  <c r="M113" i="32" s="1"/>
  <c r="O113" i="32"/>
  <c r="J114" i="32"/>
  <c r="K114" i="32"/>
  <c r="M114" i="32" s="1"/>
  <c r="L114" i="32"/>
  <c r="N114" i="32"/>
  <c r="O114" i="32"/>
  <c r="P114" i="32"/>
  <c r="J115" i="32"/>
  <c r="K115" i="32"/>
  <c r="L115" i="32"/>
  <c r="N115" i="32"/>
  <c r="M115" i="32" s="1"/>
  <c r="O115" i="32"/>
  <c r="J116" i="32"/>
  <c r="K116" i="32"/>
  <c r="M116" i="32" s="1"/>
  <c r="L116" i="32"/>
  <c r="N116" i="32"/>
  <c r="P116" i="32" s="1"/>
  <c r="O116" i="32"/>
  <c r="J117" i="32"/>
  <c r="K117" i="32"/>
  <c r="L117" i="32"/>
  <c r="N117" i="32"/>
  <c r="O117" i="32"/>
  <c r="J118" i="32"/>
  <c r="K118" i="32"/>
  <c r="M118" i="32" s="1"/>
  <c r="L118" i="32"/>
  <c r="N118" i="32"/>
  <c r="O118" i="32"/>
  <c r="P118" i="32"/>
  <c r="J119" i="32"/>
  <c r="K119" i="32"/>
  <c r="L119" i="32"/>
  <c r="N119" i="32"/>
  <c r="O119" i="32"/>
  <c r="P119" i="32"/>
  <c r="J120" i="32"/>
  <c r="K120" i="32"/>
  <c r="L120" i="32"/>
  <c r="M120" i="32"/>
  <c r="N120" i="32"/>
  <c r="P120" i="32" s="1"/>
  <c r="O120" i="32"/>
  <c r="J121" i="32"/>
  <c r="K121" i="32"/>
  <c r="L121" i="32"/>
  <c r="N121" i="32"/>
  <c r="O121" i="32"/>
  <c r="P121" i="32"/>
  <c r="J122" i="32"/>
  <c r="K122" i="32"/>
  <c r="L122" i="32"/>
  <c r="M122" i="32"/>
  <c r="N122" i="32"/>
  <c r="O122" i="32"/>
  <c r="P122" i="32"/>
  <c r="J123" i="32"/>
  <c r="K123" i="32"/>
  <c r="L123" i="32"/>
  <c r="N123" i="32"/>
  <c r="M123" i="32" s="1"/>
  <c r="O123" i="32"/>
  <c r="P123" i="32"/>
  <c r="J124" i="32"/>
  <c r="K124" i="32"/>
  <c r="L124" i="32"/>
  <c r="M124" i="32"/>
  <c r="N124" i="32"/>
  <c r="P124" i="32" s="1"/>
  <c r="O124" i="32"/>
  <c r="J125" i="32"/>
  <c r="K125" i="32"/>
  <c r="L125" i="32"/>
  <c r="N125" i="32"/>
  <c r="M125" i="32" s="1"/>
  <c r="O125" i="32"/>
  <c r="P125" i="32"/>
  <c r="J126" i="32"/>
  <c r="K126" i="32"/>
  <c r="L126" i="32"/>
  <c r="M126" i="32"/>
  <c r="N126" i="32"/>
  <c r="O126" i="32"/>
  <c r="P126" i="32"/>
  <c r="J127" i="32"/>
  <c r="K127" i="32"/>
  <c r="L127" i="32"/>
  <c r="N127" i="32"/>
  <c r="M127" i="32" s="1"/>
  <c r="O127" i="32"/>
  <c r="J128" i="32"/>
  <c r="K128" i="32"/>
  <c r="M128" i="32" s="1"/>
  <c r="L128" i="32"/>
  <c r="N128" i="32"/>
  <c r="P128" i="32" s="1"/>
  <c r="O128" i="32"/>
  <c r="J129" i="32"/>
  <c r="K129" i="32"/>
  <c r="L129" i="32"/>
  <c r="N129" i="32"/>
  <c r="M129" i="32" s="1"/>
  <c r="O129" i="32"/>
  <c r="J130" i="32"/>
  <c r="K130" i="32"/>
  <c r="M130" i="32" s="1"/>
  <c r="L130" i="32"/>
  <c r="N130" i="32"/>
  <c r="O130" i="32"/>
  <c r="P130" i="32"/>
  <c r="J131" i="32"/>
  <c r="K131" i="32"/>
  <c r="L131" i="32"/>
  <c r="N131" i="32"/>
  <c r="O131" i="32"/>
  <c r="J132" i="32"/>
  <c r="K132" i="32"/>
  <c r="M132" i="32" s="1"/>
  <c r="L132" i="32"/>
  <c r="N132" i="32"/>
  <c r="P132" i="32" s="1"/>
  <c r="O132" i="32"/>
  <c r="J133" i="32"/>
  <c r="K133" i="32"/>
  <c r="L133" i="32"/>
  <c r="N133" i="32"/>
  <c r="O133" i="32"/>
  <c r="J134" i="32"/>
  <c r="K134" i="32"/>
  <c r="M134" i="32" s="1"/>
  <c r="L134" i="32"/>
  <c r="N134" i="32"/>
  <c r="O134" i="32"/>
  <c r="P134" i="32"/>
  <c r="J135" i="32"/>
  <c r="K135" i="32"/>
  <c r="L135" i="32"/>
  <c r="N135" i="32"/>
  <c r="O135" i="32"/>
  <c r="P135" i="32"/>
  <c r="J136" i="32"/>
  <c r="K136" i="32"/>
  <c r="L136" i="32"/>
  <c r="M136" i="32"/>
  <c r="N136" i="32"/>
  <c r="P136" i="32" s="1"/>
  <c r="O136" i="32"/>
  <c r="J137" i="32"/>
  <c r="K137" i="32"/>
  <c r="L137" i="32"/>
  <c r="N137" i="32"/>
  <c r="O137" i="32"/>
  <c r="P137" i="32"/>
  <c r="J138" i="32"/>
  <c r="K138" i="32"/>
  <c r="L138" i="32"/>
  <c r="M138" i="32"/>
  <c r="N138" i="32"/>
  <c r="O138" i="32"/>
  <c r="P138" i="32"/>
  <c r="J139" i="32"/>
  <c r="K139" i="32"/>
  <c r="L139" i="32"/>
  <c r="N139" i="32"/>
  <c r="M139" i="32" s="1"/>
  <c r="O139" i="32"/>
  <c r="P139" i="32"/>
  <c r="J140" i="32"/>
  <c r="K140" i="32"/>
  <c r="L140" i="32"/>
  <c r="M140" i="32"/>
  <c r="N140" i="32"/>
  <c r="P140" i="32" s="1"/>
  <c r="O140" i="32"/>
  <c r="J141" i="32"/>
  <c r="K141" i="32"/>
  <c r="L141" i="32"/>
  <c r="N141" i="32"/>
  <c r="M141" i="32" s="1"/>
  <c r="O141" i="32"/>
  <c r="P141" i="32"/>
  <c r="J142" i="32"/>
  <c r="K142" i="32"/>
  <c r="L142" i="32"/>
  <c r="M142" i="32"/>
  <c r="N142" i="32"/>
  <c r="O142" i="32"/>
  <c r="P142" i="32"/>
  <c r="J143" i="32"/>
  <c r="K143" i="32"/>
  <c r="L143" i="32"/>
  <c r="N143" i="32"/>
  <c r="M143" i="32" s="1"/>
  <c r="O143" i="32"/>
  <c r="J144" i="32"/>
  <c r="K144" i="32"/>
  <c r="M144" i="32" s="1"/>
  <c r="L144" i="32"/>
  <c r="N144" i="32"/>
  <c r="P144" i="32" s="1"/>
  <c r="O144" i="32"/>
  <c r="J145" i="32"/>
  <c r="K145" i="32"/>
  <c r="L145" i="32"/>
  <c r="N145" i="32"/>
  <c r="M145" i="32" s="1"/>
  <c r="O145" i="32"/>
  <c r="J146" i="32"/>
  <c r="K146" i="32"/>
  <c r="M146" i="32" s="1"/>
  <c r="L146" i="32"/>
  <c r="N146" i="32"/>
  <c r="O146" i="32"/>
  <c r="P146" i="32"/>
  <c r="J147" i="32"/>
  <c r="K147" i="32"/>
  <c r="L147" i="32"/>
  <c r="N147" i="32"/>
  <c r="O147" i="32"/>
  <c r="J148" i="32"/>
  <c r="K148" i="32"/>
  <c r="M148" i="32" s="1"/>
  <c r="L148" i="32"/>
  <c r="N148" i="32"/>
  <c r="P148" i="32" s="1"/>
  <c r="O148" i="32"/>
  <c r="J149" i="32"/>
  <c r="K149" i="32"/>
  <c r="L149" i="32"/>
  <c r="N149" i="32"/>
  <c r="O149" i="32"/>
  <c r="J150" i="32"/>
  <c r="K150" i="32"/>
  <c r="M150" i="32" s="1"/>
  <c r="L150" i="32"/>
  <c r="N150" i="32"/>
  <c r="O150" i="32"/>
  <c r="P150" i="32"/>
  <c r="J151" i="32"/>
  <c r="K151" i="32"/>
  <c r="L151" i="32"/>
  <c r="N151" i="32"/>
  <c r="O151" i="32"/>
  <c r="P151" i="32"/>
  <c r="J152" i="32"/>
  <c r="K152" i="32"/>
  <c r="L152" i="32"/>
  <c r="M152" i="32"/>
  <c r="N152" i="32"/>
  <c r="P152" i="32" s="1"/>
  <c r="O152" i="32"/>
  <c r="J153" i="32"/>
  <c r="K153" i="32"/>
  <c r="L153" i="32"/>
  <c r="N153" i="32"/>
  <c r="O153" i="32"/>
  <c r="P153" i="32"/>
  <c r="J154" i="32"/>
  <c r="K154" i="32"/>
  <c r="L154" i="32"/>
  <c r="M154" i="32"/>
  <c r="N154" i="32"/>
  <c r="O154" i="32"/>
  <c r="P154" i="32"/>
  <c r="J155" i="32"/>
  <c r="K155" i="32"/>
  <c r="L155" i="32"/>
  <c r="N155" i="32"/>
  <c r="M155" i="32" s="1"/>
  <c r="O155" i="32"/>
  <c r="P155" i="32"/>
  <c r="J156" i="32"/>
  <c r="K156" i="32"/>
  <c r="L156" i="32"/>
  <c r="M156" i="32"/>
  <c r="N156" i="32"/>
  <c r="P156" i="32" s="1"/>
  <c r="O156" i="32"/>
  <c r="J157" i="32"/>
  <c r="K157" i="32"/>
  <c r="L157" i="32"/>
  <c r="N157" i="32"/>
  <c r="M157" i="32" s="1"/>
  <c r="O157" i="32"/>
  <c r="P157" i="32"/>
  <c r="J158" i="32"/>
  <c r="K158" i="32"/>
  <c r="L158" i="32"/>
  <c r="M158" i="32"/>
  <c r="N158" i="32"/>
  <c r="O158" i="32"/>
  <c r="P158" i="32"/>
  <c r="J159" i="32"/>
  <c r="K159" i="32"/>
  <c r="L159" i="32"/>
  <c r="N159" i="32"/>
  <c r="P159" i="32" s="1"/>
  <c r="O159" i="32"/>
  <c r="J160" i="32"/>
  <c r="K160" i="32"/>
  <c r="L160" i="32"/>
  <c r="N160" i="32"/>
  <c r="O160" i="32"/>
  <c r="J161" i="32"/>
  <c r="K161" i="32"/>
  <c r="L161" i="32"/>
  <c r="N161" i="32"/>
  <c r="O161" i="32"/>
  <c r="J162" i="32"/>
  <c r="K162" i="32"/>
  <c r="M162" i="32" s="1"/>
  <c r="L162" i="32"/>
  <c r="N162" i="32"/>
  <c r="O162" i="32"/>
  <c r="P162" i="32"/>
  <c r="J163" i="32"/>
  <c r="K163" i="32"/>
  <c r="L163" i="32"/>
  <c r="N163" i="32"/>
  <c r="O163" i="32"/>
  <c r="P163" i="32"/>
  <c r="J164" i="32"/>
  <c r="K164" i="32"/>
  <c r="L164" i="32"/>
  <c r="M164" i="32"/>
  <c r="N164" i="32"/>
  <c r="P164" i="32" s="1"/>
  <c r="O164" i="32"/>
  <c r="J165" i="32"/>
  <c r="K165" i="32"/>
  <c r="L165" i="32"/>
  <c r="N165" i="32"/>
  <c r="O165" i="32"/>
  <c r="P165" i="32"/>
  <c r="J166" i="32"/>
  <c r="K166" i="32"/>
  <c r="L166" i="32"/>
  <c r="M166" i="32"/>
  <c r="N166" i="32"/>
  <c r="O166" i="32"/>
  <c r="P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L169" i="32"/>
  <c r="M169" i="32" s="1"/>
  <c r="N169" i="32"/>
  <c r="O169" i="32"/>
  <c r="P169" i="32"/>
  <c r="J170" i="32"/>
  <c r="K170" i="32"/>
  <c r="L170" i="32"/>
  <c r="M170" i="32"/>
  <c r="N170" i="32"/>
  <c r="P170" i="32" s="1"/>
  <c r="O170" i="32"/>
  <c r="J171" i="32"/>
  <c r="K171" i="32"/>
  <c r="L171" i="32"/>
  <c r="N171" i="32"/>
  <c r="O171" i="32"/>
  <c r="J172" i="32"/>
  <c r="K172" i="32"/>
  <c r="L172" i="32"/>
  <c r="N172" i="32"/>
  <c r="M172" i="32" s="1"/>
  <c r="O172" i="32"/>
  <c r="P172" i="32"/>
  <c r="J173" i="32"/>
  <c r="K173" i="32"/>
  <c r="L173" i="32"/>
  <c r="M173" i="32" s="1"/>
  <c r="N173" i="32"/>
  <c r="O173" i="32"/>
  <c r="P173" i="32"/>
  <c r="J174" i="32"/>
  <c r="K174" i="32"/>
  <c r="L174" i="32"/>
  <c r="M174" i="32"/>
  <c r="N174" i="32"/>
  <c r="P174" i="32" s="1"/>
  <c r="O174" i="32"/>
  <c r="J175" i="32"/>
  <c r="K175" i="32"/>
  <c r="L175" i="32"/>
  <c r="N175" i="32"/>
  <c r="O175" i="32"/>
  <c r="J176" i="32"/>
  <c r="K176" i="32"/>
  <c r="L176" i="32"/>
  <c r="N176" i="32"/>
  <c r="M176" i="32" s="1"/>
  <c r="O176" i="32"/>
  <c r="P176" i="32"/>
  <c r="J177" i="32"/>
  <c r="K177" i="32"/>
  <c r="L177" i="32"/>
  <c r="M177" i="32" s="1"/>
  <c r="N177" i="32"/>
  <c r="O177" i="32"/>
  <c r="P177" i="32"/>
  <c r="J178" i="32"/>
  <c r="K178" i="32"/>
  <c r="L178" i="32"/>
  <c r="M178" i="32"/>
  <c r="N178" i="32"/>
  <c r="P178" i="32" s="1"/>
  <c r="O178" i="32"/>
  <c r="J179" i="32"/>
  <c r="K179" i="32"/>
  <c r="L179" i="32"/>
  <c r="N179" i="32"/>
  <c r="O179" i="32"/>
  <c r="J180" i="32"/>
  <c r="K180" i="32"/>
  <c r="L180" i="32"/>
  <c r="N180" i="32"/>
  <c r="M180" i="32" s="1"/>
  <c r="O180" i="32"/>
  <c r="P180" i="32"/>
  <c r="J181" i="32"/>
  <c r="K181" i="32"/>
  <c r="L181" i="32"/>
  <c r="M181" i="32" s="1"/>
  <c r="N181" i="32"/>
  <c r="O181" i="32"/>
  <c r="P181" i="32"/>
  <c r="J182" i="32"/>
  <c r="K182" i="32"/>
  <c r="L182" i="32"/>
  <c r="M182" i="32"/>
  <c r="N182" i="32"/>
  <c r="P182" i="32" s="1"/>
  <c r="O182" i="32"/>
  <c r="J183" i="32"/>
  <c r="K183" i="32"/>
  <c r="L183" i="32"/>
  <c r="N183" i="32"/>
  <c r="O183" i="32"/>
  <c r="J184" i="32"/>
  <c r="K184" i="32"/>
  <c r="L184" i="32"/>
  <c r="N184" i="32"/>
  <c r="O184" i="32"/>
  <c r="P184" i="32"/>
  <c r="J185" i="32"/>
  <c r="K185" i="32"/>
  <c r="L185" i="32"/>
  <c r="M185" i="32" s="1"/>
  <c r="N185" i="32"/>
  <c r="O185" i="32"/>
  <c r="P185" i="32"/>
  <c r="J186" i="32"/>
  <c r="K186" i="32"/>
  <c r="L186" i="32"/>
  <c r="M186" i="32"/>
  <c r="N186" i="32"/>
  <c r="P186" i="32" s="1"/>
  <c r="O186" i="32"/>
  <c r="J187" i="32"/>
  <c r="K187" i="32"/>
  <c r="L187" i="32"/>
  <c r="N187" i="32"/>
  <c r="O187" i="32"/>
  <c r="J188" i="32"/>
  <c r="K188" i="32"/>
  <c r="L188" i="32"/>
  <c r="N188" i="32"/>
  <c r="O188" i="32"/>
  <c r="P188" i="32"/>
  <c r="J189" i="32"/>
  <c r="K189" i="32"/>
  <c r="L189" i="32"/>
  <c r="M189" i="32" s="1"/>
  <c r="N189" i="32"/>
  <c r="O189" i="32"/>
  <c r="P189" i="32"/>
  <c r="J190" i="32"/>
  <c r="K190" i="32"/>
  <c r="L190" i="32"/>
  <c r="M190" i="32"/>
  <c r="N190" i="32"/>
  <c r="P190" i="32" s="1"/>
  <c r="O190" i="32"/>
  <c r="J191" i="32"/>
  <c r="K191" i="32"/>
  <c r="L191" i="32"/>
  <c r="N191" i="32"/>
  <c r="O191" i="32"/>
  <c r="J192" i="32"/>
  <c r="K192" i="32"/>
  <c r="L192" i="32"/>
  <c r="N192" i="32"/>
  <c r="O192" i="32"/>
  <c r="P192" i="32"/>
  <c r="J193" i="32"/>
  <c r="K193" i="32"/>
  <c r="L193" i="32"/>
  <c r="M193" i="32" s="1"/>
  <c r="N193" i="32"/>
  <c r="O193" i="32"/>
  <c r="P193" i="32"/>
  <c r="J194" i="32"/>
  <c r="K194" i="32"/>
  <c r="L194" i="32"/>
  <c r="M194" i="32"/>
  <c r="N194" i="32"/>
  <c r="P194" i="32" s="1"/>
  <c r="O194" i="32"/>
  <c r="J195" i="32"/>
  <c r="K195" i="32"/>
  <c r="L195" i="32"/>
  <c r="N195" i="32"/>
  <c r="O195" i="32"/>
  <c r="J196" i="32"/>
  <c r="K196" i="32"/>
  <c r="L196" i="32"/>
  <c r="N196" i="32"/>
  <c r="O196" i="32"/>
  <c r="P196" i="32"/>
  <c r="J197" i="32"/>
  <c r="K197" i="32"/>
  <c r="L197" i="32"/>
  <c r="M197" i="32" s="1"/>
  <c r="N197" i="32"/>
  <c r="O197" i="32"/>
  <c r="P197" i="32"/>
  <c r="J198" i="32"/>
  <c r="K198" i="32"/>
  <c r="L198" i="32"/>
  <c r="M198" i="32"/>
  <c r="N198" i="32"/>
  <c r="P198" i="32" s="1"/>
  <c r="O198" i="32"/>
  <c r="J199" i="32"/>
  <c r="K199" i="32"/>
  <c r="L199" i="32"/>
  <c r="N199" i="32"/>
  <c r="O199" i="32"/>
  <c r="J200" i="32"/>
  <c r="K200" i="32"/>
  <c r="L200" i="32"/>
  <c r="N200" i="32"/>
  <c r="O200" i="32"/>
  <c r="P200" i="32"/>
  <c r="J201" i="32"/>
  <c r="K201" i="32"/>
  <c r="L201" i="32"/>
  <c r="M201" i="32" s="1"/>
  <c r="N201" i="32"/>
  <c r="O201" i="32"/>
  <c r="P201" i="32"/>
  <c r="J202" i="32"/>
  <c r="K202" i="32"/>
  <c r="L202" i="32"/>
  <c r="M202" i="32"/>
  <c r="N202" i="32"/>
  <c r="P202" i="32" s="1"/>
  <c r="O202" i="32"/>
  <c r="J203" i="32"/>
  <c r="K203" i="32"/>
  <c r="L203" i="32"/>
  <c r="N203" i="32"/>
  <c r="O203" i="32"/>
  <c r="J204" i="32"/>
  <c r="K204" i="32"/>
  <c r="L204" i="32"/>
  <c r="N204" i="32"/>
  <c r="O204" i="32"/>
  <c r="P204" i="32"/>
  <c r="J205" i="32"/>
  <c r="K205" i="32"/>
  <c r="L205" i="32"/>
  <c r="M205" i="32" s="1"/>
  <c r="N205" i="32"/>
  <c r="O205" i="32"/>
  <c r="P205" i="32"/>
  <c r="J206" i="32"/>
  <c r="K206" i="32"/>
  <c r="L206" i="32"/>
  <c r="M206" i="32"/>
  <c r="N206" i="32"/>
  <c r="P206" i="32" s="1"/>
  <c r="O206" i="32"/>
  <c r="J207" i="32"/>
  <c r="K207" i="32"/>
  <c r="L207" i="32"/>
  <c r="N207" i="32"/>
  <c r="O207" i="32"/>
  <c r="J208" i="32"/>
  <c r="K208" i="32"/>
  <c r="L208" i="32"/>
  <c r="N208" i="32"/>
  <c r="O208" i="32"/>
  <c r="P208" i="32"/>
  <c r="J209" i="32"/>
  <c r="K209" i="32"/>
  <c r="L209" i="32"/>
  <c r="M209" i="32" s="1"/>
  <c r="N209" i="32"/>
  <c r="O209" i="32"/>
  <c r="P209" i="32"/>
  <c r="J210" i="32"/>
  <c r="K210" i="32"/>
  <c r="L210" i="32"/>
  <c r="M210" i="32"/>
  <c r="N210" i="32"/>
  <c r="P210" i="32" s="1"/>
  <c r="O210" i="32"/>
  <c r="J211" i="32"/>
  <c r="K211" i="32"/>
  <c r="L211" i="32"/>
  <c r="N211" i="32"/>
  <c r="O211" i="32"/>
  <c r="J212" i="32"/>
  <c r="K212" i="32"/>
  <c r="L212" i="32"/>
  <c r="N212" i="32"/>
  <c r="O212" i="32"/>
  <c r="P212" i="32"/>
  <c r="J213" i="32"/>
  <c r="K213" i="32"/>
  <c r="L213" i="32"/>
  <c r="M213" i="32" s="1"/>
  <c r="N213" i="32"/>
  <c r="O213" i="32"/>
  <c r="P213" i="32"/>
  <c r="J214" i="32"/>
  <c r="K214" i="32"/>
  <c r="L214" i="32"/>
  <c r="M214" i="32"/>
  <c r="N214" i="32"/>
  <c r="P214" i="32" s="1"/>
  <c r="O214" i="32"/>
  <c r="J215" i="32"/>
  <c r="K215" i="32"/>
  <c r="L215" i="32"/>
  <c r="N215" i="32"/>
  <c r="O215" i="32"/>
  <c r="J216" i="32"/>
  <c r="K216" i="32"/>
  <c r="L216" i="32"/>
  <c r="N216" i="32"/>
  <c r="O216" i="32"/>
  <c r="P216" i="32"/>
  <c r="J217" i="32"/>
  <c r="K217" i="32"/>
  <c r="L217" i="32"/>
  <c r="M217" i="32" s="1"/>
  <c r="N217" i="32"/>
  <c r="O217" i="32"/>
  <c r="P217" i="32"/>
  <c r="J218" i="32"/>
  <c r="K218" i="32"/>
  <c r="L218" i="32"/>
  <c r="M218" i="32"/>
  <c r="N218" i="32"/>
  <c r="P218" i="32" s="1"/>
  <c r="O218" i="32"/>
  <c r="J219" i="32"/>
  <c r="K219" i="32"/>
  <c r="L219" i="32"/>
  <c r="N219" i="32"/>
  <c r="O219" i="32"/>
  <c r="J220" i="32"/>
  <c r="K220" i="32"/>
  <c r="L220" i="32"/>
  <c r="N220" i="32"/>
  <c r="O220" i="32"/>
  <c r="P220" i="32"/>
  <c r="J221" i="32"/>
  <c r="K221" i="32"/>
  <c r="L221" i="32"/>
  <c r="M221" i="32" s="1"/>
  <c r="N221" i="32"/>
  <c r="O221" i="32"/>
  <c r="P221" i="32"/>
  <c r="J222" i="32"/>
  <c r="K222" i="32"/>
  <c r="L222" i="32"/>
  <c r="M222" i="32"/>
  <c r="N222" i="32"/>
  <c r="P222" i="32" s="1"/>
  <c r="O222" i="32"/>
  <c r="J223" i="32"/>
  <c r="K223" i="32"/>
  <c r="L223" i="32"/>
  <c r="N223" i="32"/>
  <c r="O223" i="32"/>
  <c r="J224" i="32"/>
  <c r="K224" i="32"/>
  <c r="L224" i="32"/>
  <c r="N224" i="32"/>
  <c r="O224" i="32"/>
  <c r="P224" i="32"/>
  <c r="J225" i="32"/>
  <c r="K225" i="32"/>
  <c r="L225" i="32"/>
  <c r="M225" i="32" s="1"/>
  <c r="N225" i="32"/>
  <c r="O225" i="32"/>
  <c r="P225" i="32"/>
  <c r="J226" i="32"/>
  <c r="K226" i="32"/>
  <c r="L226" i="32"/>
  <c r="M226" i="32"/>
  <c r="N226" i="32"/>
  <c r="P226" i="32" s="1"/>
  <c r="O226" i="32"/>
  <c r="J227" i="32"/>
  <c r="K227" i="32"/>
  <c r="L227" i="32"/>
  <c r="N227" i="32"/>
  <c r="O227" i="32"/>
  <c r="J228" i="32"/>
  <c r="K228" i="32"/>
  <c r="L228" i="32"/>
  <c r="N228" i="32"/>
  <c r="O228" i="32"/>
  <c r="P228" i="32"/>
  <c r="J229" i="32"/>
  <c r="K229" i="32"/>
  <c r="L229" i="32"/>
  <c r="M229" i="32" s="1"/>
  <c r="N229" i="32"/>
  <c r="O229" i="32"/>
  <c r="P229" i="32"/>
  <c r="J230" i="32"/>
  <c r="K230" i="32"/>
  <c r="L230" i="32"/>
  <c r="M230" i="32"/>
  <c r="N230" i="32"/>
  <c r="P230" i="32" s="1"/>
  <c r="O230" i="32"/>
  <c r="J231" i="32"/>
  <c r="K231" i="32"/>
  <c r="L231" i="32"/>
  <c r="N231" i="32"/>
  <c r="O231" i="32"/>
  <c r="J232" i="32"/>
  <c r="K232" i="32"/>
  <c r="L232" i="32"/>
  <c r="N232" i="32"/>
  <c r="O232" i="32"/>
  <c r="P232" i="32"/>
  <c r="J233" i="32"/>
  <c r="K233" i="32"/>
  <c r="L233" i="32"/>
  <c r="M233" i="32" s="1"/>
  <c r="N233" i="32"/>
  <c r="O233" i="32"/>
  <c r="P233" i="32"/>
  <c r="J234" i="32"/>
  <c r="K234" i="32"/>
  <c r="L234" i="32"/>
  <c r="M234" i="32"/>
  <c r="N234" i="32"/>
  <c r="P234" i="32" s="1"/>
  <c r="O234" i="32"/>
  <c r="J235" i="32"/>
  <c r="K235" i="32"/>
  <c r="L235" i="32"/>
  <c r="N235" i="32"/>
  <c r="O235" i="32"/>
  <c r="J236" i="32"/>
  <c r="K236" i="32"/>
  <c r="L236" i="32"/>
  <c r="N236" i="32"/>
  <c r="O236" i="32"/>
  <c r="P236" i="32"/>
  <c r="J237" i="32"/>
  <c r="K237" i="32"/>
  <c r="L237" i="32"/>
  <c r="M237" i="32" s="1"/>
  <c r="N237" i="32"/>
  <c r="O237" i="32"/>
  <c r="P237" i="32"/>
  <c r="J238" i="32"/>
  <c r="K238" i="32"/>
  <c r="L238" i="32"/>
  <c r="M238" i="32"/>
  <c r="N238" i="32"/>
  <c r="P238" i="32" s="1"/>
  <c r="O238" i="32"/>
  <c r="J239" i="32"/>
  <c r="K239" i="32"/>
  <c r="L239" i="32"/>
  <c r="N239" i="32"/>
  <c r="O239" i="32"/>
  <c r="J240" i="32"/>
  <c r="K240" i="32"/>
  <c r="L240" i="32"/>
  <c r="N240" i="32"/>
  <c r="O240" i="32"/>
  <c r="P240" i="32"/>
  <c r="J241" i="32"/>
  <c r="K241" i="32"/>
  <c r="L241" i="32"/>
  <c r="M241" i="32" s="1"/>
  <c r="N241" i="32"/>
  <c r="O241" i="32"/>
  <c r="P241" i="32"/>
  <c r="J242" i="32"/>
  <c r="K242" i="32"/>
  <c r="L242" i="32"/>
  <c r="M242" i="32"/>
  <c r="N242" i="32"/>
  <c r="P242" i="32" s="1"/>
  <c r="O242" i="32"/>
  <c r="J243" i="32"/>
  <c r="K243" i="32"/>
  <c r="L243" i="32"/>
  <c r="N243" i="32"/>
  <c r="O243" i="32"/>
  <c r="J244" i="32"/>
  <c r="K244" i="32"/>
  <c r="L244" i="32"/>
  <c r="N244" i="32"/>
  <c r="O244" i="32"/>
  <c r="P244" i="32"/>
  <c r="J245" i="32"/>
  <c r="K245" i="32"/>
  <c r="L245" i="32"/>
  <c r="M245" i="32" s="1"/>
  <c r="N245" i="32"/>
  <c r="O245" i="32"/>
  <c r="P245" i="32"/>
  <c r="J246" i="32"/>
  <c r="K246" i="32"/>
  <c r="L246" i="32"/>
  <c r="M246" i="32"/>
  <c r="N246" i="32"/>
  <c r="P246" i="32" s="1"/>
  <c r="O246" i="32"/>
  <c r="J247" i="32"/>
  <c r="K247" i="32"/>
  <c r="L247" i="32"/>
  <c r="N247" i="32"/>
  <c r="O247" i="32"/>
  <c r="J248" i="32"/>
  <c r="K248" i="32"/>
  <c r="L248" i="32"/>
  <c r="N248" i="32"/>
  <c r="O248" i="32"/>
  <c r="P248" i="32"/>
  <c r="J249" i="32"/>
  <c r="K249" i="32"/>
  <c r="L249" i="32"/>
  <c r="M249" i="32" s="1"/>
  <c r="N249" i="32"/>
  <c r="O249" i="32"/>
  <c r="P249" i="32"/>
  <c r="J250" i="32"/>
  <c r="K250" i="32"/>
  <c r="L250" i="32"/>
  <c r="M250" i="32"/>
  <c r="N250" i="32"/>
  <c r="P250" i="32" s="1"/>
  <c r="O250" i="32"/>
  <c r="J251" i="32"/>
  <c r="K251" i="32"/>
  <c r="L251" i="32"/>
  <c r="N251" i="32"/>
  <c r="O251" i="32"/>
  <c r="J252" i="32"/>
  <c r="K252" i="32"/>
  <c r="L252" i="32"/>
  <c r="N252" i="32"/>
  <c r="O252" i="32"/>
  <c r="P252" i="32"/>
  <c r="J253" i="32"/>
  <c r="K253" i="32"/>
  <c r="L253" i="32"/>
  <c r="M253" i="32" s="1"/>
  <c r="N253" i="32"/>
  <c r="O253" i="32"/>
  <c r="P253" i="32"/>
  <c r="J254" i="32"/>
  <c r="K254" i="32"/>
  <c r="L254" i="32"/>
  <c r="M254" i="32"/>
  <c r="N254" i="32"/>
  <c r="P254" i="32" s="1"/>
  <c r="O254" i="32"/>
  <c r="J255" i="32"/>
  <c r="K255" i="32"/>
  <c r="L255" i="32"/>
  <c r="N255" i="32"/>
  <c r="P255" i="32" s="1"/>
  <c r="O255" i="32"/>
  <c r="J256" i="32"/>
  <c r="K256" i="32"/>
  <c r="L256" i="32"/>
  <c r="N256" i="32"/>
  <c r="P256" i="32" s="1"/>
  <c r="O256" i="32"/>
  <c r="J257" i="32"/>
  <c r="K257" i="32"/>
  <c r="M257" i="32" s="1"/>
  <c r="L257" i="32"/>
  <c r="N257" i="32"/>
  <c r="O257" i="32"/>
  <c r="P257" i="32"/>
  <c r="J258" i="32"/>
  <c r="K258" i="32"/>
  <c r="L258" i="32"/>
  <c r="N258" i="32"/>
  <c r="M258" i="32" s="1"/>
  <c r="O258" i="32"/>
  <c r="P258" i="32"/>
  <c r="J259" i="32"/>
  <c r="K259" i="32"/>
  <c r="L259" i="32"/>
  <c r="M259" i="32"/>
  <c r="N259" i="32"/>
  <c r="P259" i="32" s="1"/>
  <c r="O259" i="32"/>
  <c r="J260" i="32"/>
  <c r="K260" i="32"/>
  <c r="L260" i="32"/>
  <c r="N260" i="32"/>
  <c r="O260" i="32"/>
  <c r="P260" i="32"/>
  <c r="J261" i="32"/>
  <c r="K261" i="32"/>
  <c r="L261" i="32"/>
  <c r="M261" i="32" s="1"/>
  <c r="N261" i="32"/>
  <c r="O261" i="32"/>
  <c r="P261" i="32"/>
  <c r="J262" i="32"/>
  <c r="K262" i="32"/>
  <c r="L262" i="32"/>
  <c r="M262" i="32"/>
  <c r="N262" i="32"/>
  <c r="P262" i="32" s="1"/>
  <c r="O262" i="32"/>
  <c r="J263" i="32"/>
  <c r="K263" i="32"/>
  <c r="L263" i="32"/>
  <c r="N263" i="32"/>
  <c r="P263" i="32" s="1"/>
  <c r="O263" i="32"/>
  <c r="J264" i="32"/>
  <c r="K264" i="32"/>
  <c r="L264" i="32"/>
  <c r="N264" i="32"/>
  <c r="M264" i="32" s="1"/>
  <c r="O264" i="32"/>
  <c r="J265" i="32"/>
  <c r="K265" i="32"/>
  <c r="M265" i="32" s="1"/>
  <c r="L265" i="32"/>
  <c r="N265" i="32"/>
  <c r="O265" i="32"/>
  <c r="P265" i="32"/>
  <c r="J266" i="32"/>
  <c r="K266" i="32"/>
  <c r="L266" i="32"/>
  <c r="N266" i="32"/>
  <c r="M266" i="32" s="1"/>
  <c r="O266" i="32"/>
  <c r="P266" i="32"/>
  <c r="J267" i="32"/>
  <c r="K267" i="32"/>
  <c r="L267" i="32"/>
  <c r="M267" i="32"/>
  <c r="N267" i="32"/>
  <c r="P267" i="32" s="1"/>
  <c r="O267" i="32"/>
  <c r="J268" i="32"/>
  <c r="K268" i="32"/>
  <c r="L268" i="32"/>
  <c r="N268" i="32"/>
  <c r="O268" i="32"/>
  <c r="P268" i="32"/>
  <c r="J269" i="32"/>
  <c r="K269" i="32"/>
  <c r="L269" i="32"/>
  <c r="M269" i="32"/>
  <c r="N269" i="32"/>
  <c r="O269" i="32"/>
  <c r="P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M272" i="32" s="1"/>
  <c r="O272" i="32"/>
  <c r="J273" i="32"/>
  <c r="K273" i="32"/>
  <c r="M273" i="32" s="1"/>
  <c r="L273" i="32"/>
  <c r="N273" i="32"/>
  <c r="O273" i="32"/>
  <c r="P273" i="32"/>
  <c r="J274" i="32"/>
  <c r="K274" i="32"/>
  <c r="L274" i="32"/>
  <c r="N274" i="32"/>
  <c r="M274" i="32" s="1"/>
  <c r="O274" i="32"/>
  <c r="P274" i="32"/>
  <c r="J275" i="32"/>
  <c r="K275" i="32"/>
  <c r="L275" i="32"/>
  <c r="M275" i="32"/>
  <c r="N275" i="32"/>
  <c r="P275" i="32" s="1"/>
  <c r="O275" i="32"/>
  <c r="J276" i="32"/>
  <c r="K276" i="32"/>
  <c r="L276" i="32"/>
  <c r="N276" i="32"/>
  <c r="O276" i="32"/>
  <c r="P276" i="32"/>
  <c r="J277" i="32"/>
  <c r="K277" i="32"/>
  <c r="L277" i="32"/>
  <c r="M277" i="32"/>
  <c r="N277" i="32"/>
  <c r="O277" i="32"/>
  <c r="P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M280" i="32"/>
  <c r="N280" i="32"/>
  <c r="O280" i="32"/>
  <c r="P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M283" i="32" s="1"/>
  <c r="O283" i="32"/>
  <c r="P283" i="32"/>
  <c r="J284" i="32"/>
  <c r="K284" i="32"/>
  <c r="L284" i="32"/>
  <c r="M284" i="32"/>
  <c r="N284" i="32"/>
  <c r="O284" i="32"/>
  <c r="P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M287" i="32" s="1"/>
  <c r="O287" i="32"/>
  <c r="P287" i="32"/>
  <c r="J288" i="32"/>
  <c r="K288" i="32"/>
  <c r="L288" i="32"/>
  <c r="M288" i="32"/>
  <c r="N288" i="32"/>
  <c r="O288" i="32"/>
  <c r="P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M291" i="32" s="1"/>
  <c r="O291" i="32"/>
  <c r="P291" i="32"/>
  <c r="J292" i="32"/>
  <c r="K292" i="32"/>
  <c r="L292" i="32"/>
  <c r="M292" i="32"/>
  <c r="N292" i="32"/>
  <c r="O292" i="32"/>
  <c r="P292" i="32"/>
  <c r="J293" i="32"/>
  <c r="K293" i="32"/>
  <c r="L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L295" i="32"/>
  <c r="N295" i="32"/>
  <c r="M295" i="32" s="1"/>
  <c r="O295" i="32"/>
  <c r="P295" i="32"/>
  <c r="J296" i="32"/>
  <c r="K296" i="32"/>
  <c r="L296" i="32"/>
  <c r="M296" i="32"/>
  <c r="N296" i="32"/>
  <c r="O296" i="32"/>
  <c r="P296" i="32"/>
  <c r="J297" i="32"/>
  <c r="K297" i="32"/>
  <c r="L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L299" i="32"/>
  <c r="N299" i="32"/>
  <c r="M299" i="32" s="1"/>
  <c r="O299" i="32"/>
  <c r="P299" i="32"/>
  <c r="J300" i="32"/>
  <c r="K300" i="32"/>
  <c r="L300" i="32"/>
  <c r="M300" i="32"/>
  <c r="N300" i="32"/>
  <c r="O300" i="32"/>
  <c r="P300" i="32"/>
  <c r="M297" i="32" l="1"/>
  <c r="M281" i="32"/>
  <c r="M270" i="32"/>
  <c r="P168" i="32"/>
  <c r="M168" i="32"/>
  <c r="M147" i="32"/>
  <c r="P147" i="32"/>
  <c r="M131" i="32"/>
  <c r="P131" i="32"/>
  <c r="M293" i="32"/>
  <c r="M289" i="32"/>
  <c r="M285" i="32"/>
  <c r="M278" i="32"/>
  <c r="M294" i="32"/>
  <c r="M282" i="32"/>
  <c r="P272" i="32"/>
  <c r="M271" i="32"/>
  <c r="M268" i="32"/>
  <c r="M263" i="32"/>
  <c r="M260" i="32"/>
  <c r="M255" i="32"/>
  <c r="M252" i="32"/>
  <c r="M248" i="32"/>
  <c r="M244" i="32"/>
  <c r="M240" i="32"/>
  <c r="M236" i="32"/>
  <c r="M232" i="32"/>
  <c r="M228" i="32"/>
  <c r="M224" i="32"/>
  <c r="M220" i="32"/>
  <c r="M216" i="32"/>
  <c r="M212" i="32"/>
  <c r="M208" i="32"/>
  <c r="M204" i="32"/>
  <c r="M200" i="32"/>
  <c r="M196" i="32"/>
  <c r="M192" i="32"/>
  <c r="M188" i="32"/>
  <c r="M184" i="32"/>
  <c r="M159" i="32"/>
  <c r="M298" i="32"/>
  <c r="M290" i="32"/>
  <c r="M286" i="32"/>
  <c r="M279" i="32"/>
  <c r="M276" i="32"/>
  <c r="P264" i="32"/>
  <c r="P251" i="32"/>
  <c r="M251" i="32"/>
  <c r="P247" i="32"/>
  <c r="M247" i="32"/>
  <c r="P243" i="32"/>
  <c r="M243" i="32"/>
  <c r="P239" i="32"/>
  <c r="M239" i="32"/>
  <c r="P235" i="32"/>
  <c r="M235" i="32"/>
  <c r="P231" i="32"/>
  <c r="M231" i="32"/>
  <c r="P227" i="32"/>
  <c r="M227" i="32"/>
  <c r="P223" i="32"/>
  <c r="M223" i="32"/>
  <c r="P219" i="32"/>
  <c r="M219" i="32"/>
  <c r="P215" i="32"/>
  <c r="M215" i="32"/>
  <c r="P211" i="32"/>
  <c r="M211" i="32"/>
  <c r="P207" i="32"/>
  <c r="M207" i="32"/>
  <c r="P203" i="32"/>
  <c r="M203" i="32"/>
  <c r="P199" i="32"/>
  <c r="M199" i="32"/>
  <c r="P195" i="32"/>
  <c r="M195" i="32"/>
  <c r="P191" i="32"/>
  <c r="M191" i="32"/>
  <c r="P187" i="32"/>
  <c r="M187" i="32"/>
  <c r="P183" i="32"/>
  <c r="M183" i="32"/>
  <c r="P179" i="32"/>
  <c r="M179" i="32"/>
  <c r="P175" i="32"/>
  <c r="M175" i="32"/>
  <c r="P171" i="32"/>
  <c r="M171" i="32"/>
  <c r="M167" i="32"/>
  <c r="M161" i="32"/>
  <c r="P161" i="32"/>
  <c r="M149" i="32"/>
  <c r="P149" i="32"/>
  <c r="M133" i="32"/>
  <c r="P133" i="32"/>
  <c r="M117" i="32"/>
  <c r="P117" i="32"/>
  <c r="M256" i="32"/>
  <c r="M163" i="32"/>
  <c r="P160" i="32"/>
  <c r="M160" i="32"/>
  <c r="M165" i="32"/>
  <c r="P115" i="32"/>
  <c r="P101" i="32"/>
  <c r="P99" i="32"/>
  <c r="P83" i="32"/>
  <c r="M83" i="32"/>
  <c r="P67" i="32"/>
  <c r="M67" i="32"/>
  <c r="P51" i="32"/>
  <c r="M51" i="32"/>
  <c r="P43" i="32"/>
  <c r="M43" i="32"/>
  <c r="M153" i="32"/>
  <c r="M151" i="32"/>
  <c r="P145" i="32"/>
  <c r="P143" i="32"/>
  <c r="M137" i="32"/>
  <c r="M135" i="32"/>
  <c r="P129" i="32"/>
  <c r="P127" i="32"/>
  <c r="M121" i="32"/>
  <c r="M119" i="32"/>
  <c r="P113" i="32"/>
  <c r="P111" i="32"/>
  <c r="M105" i="32"/>
  <c r="M103" i="32"/>
  <c r="P97" i="32"/>
  <c r="P95" i="32"/>
  <c r="P87" i="32"/>
  <c r="M87" i="32"/>
  <c r="M81" i="32"/>
  <c r="P71" i="32"/>
  <c r="M71" i="32"/>
  <c r="M65" i="32"/>
  <c r="P55" i="32"/>
  <c r="M55" i="32"/>
  <c r="M49" i="32"/>
  <c r="M41" i="32"/>
  <c r="P91" i="32"/>
  <c r="M91" i="32"/>
  <c r="P75" i="32"/>
  <c r="M75" i="32"/>
  <c r="P59" i="32"/>
  <c r="M59" i="32"/>
  <c r="P35" i="32"/>
  <c r="P79" i="32"/>
  <c r="M79" i="32"/>
  <c r="P63" i="32"/>
  <c r="M63" i="32"/>
  <c r="P39" i="32"/>
  <c r="M39" i="32"/>
  <c r="M27" i="32"/>
  <c r="M23" i="32"/>
  <c r="M19" i="32"/>
  <c r="M15" i="32"/>
  <c r="M11" i="32"/>
  <c r="M7" i="32"/>
  <c r="G39" i="8"/>
  <c r="I39" i="8"/>
  <c r="K39" i="8"/>
  <c r="G40" i="8"/>
  <c r="I40" i="8"/>
  <c r="K40" i="8"/>
  <c r="G41" i="8"/>
  <c r="I41" i="8"/>
  <c r="K41" i="8"/>
  <c r="C74" i="34" l="1"/>
  <c r="C73" i="34"/>
  <c r="C22" i="34" l="1"/>
  <c r="D31" i="34" s="1"/>
  <c r="A26" i="34" l="1"/>
  <c r="A34" i="34" l="1"/>
  <c r="D67" i="8"/>
  <c r="D9" i="34" l="1"/>
  <c r="J59" i="8" l="1"/>
  <c r="N31" i="32" s="1"/>
  <c r="J54" i="8"/>
  <c r="N26" i="32" s="1"/>
  <c r="J49" i="8"/>
  <c r="N21" i="32" s="1"/>
  <c r="J42" i="8"/>
  <c r="N14" i="32" s="1"/>
  <c r="J31" i="8"/>
  <c r="N3" i="32" s="1"/>
  <c r="P3" i="32" l="1"/>
  <c r="M3" i="32"/>
  <c r="M14" i="32"/>
  <c r="P14" i="32"/>
  <c r="P21" i="32"/>
  <c r="M21" i="32"/>
  <c r="M26" i="32"/>
  <c r="P26" i="32"/>
  <c r="P31" i="32"/>
  <c r="M31" i="32"/>
  <c r="I48" i="8"/>
  <c r="I49" i="8" s="1"/>
  <c r="K2" i="32"/>
  <c r="F25" i="8"/>
  <c r="C26" i="34" s="1"/>
  <c r="B16" i="34" l="1"/>
  <c r="A13" i="34" l="1"/>
  <c r="K58" i="8" l="1"/>
  <c r="K53" i="8"/>
  <c r="K48" i="8"/>
  <c r="K38" i="8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4" i="8"/>
  <c r="F59" i="8"/>
  <c r="F49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6" i="8"/>
  <c r="J25" i="8"/>
  <c r="E26" i="34" s="1"/>
  <c r="E25" i="8"/>
  <c r="B26" i="34" s="1"/>
  <c r="I24" i="8"/>
  <c r="I58" i="8"/>
  <c r="I59" i="8" s="1"/>
  <c r="E59" i="8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4" i="8"/>
  <c r="I53" i="8"/>
  <c r="I54" i="8" s="1"/>
  <c r="G38" i="8"/>
  <c r="I38" i="8" s="1"/>
  <c r="I42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E67" i="8" l="1"/>
  <c r="O46" i="30" l="1"/>
  <c r="O54" i="30" s="1"/>
  <c r="N46" i="30"/>
  <c r="N53" i="30" s="1"/>
  <c r="M30" i="30"/>
  <c r="M31" i="30" s="1"/>
  <c r="M32" i="30" s="1"/>
  <c r="P29" i="30"/>
  <c r="O29" i="30"/>
  <c r="N29" i="30"/>
  <c r="M29" i="30"/>
  <c r="D14" i="30"/>
  <c r="E14" i="30" s="1"/>
  <c r="F14" i="30" s="1"/>
  <c r="N48" i="30" l="1"/>
  <c r="N50" i="30"/>
  <c r="N52" i="30"/>
  <c r="N54" i="30"/>
  <c r="N47" i="30"/>
  <c r="N49" i="30"/>
  <c r="N51" i="30"/>
  <c r="O47" i="30"/>
  <c r="O49" i="30"/>
  <c r="O51" i="30"/>
  <c r="O53" i="30"/>
  <c r="O48" i="30"/>
  <c r="O50" i="30"/>
  <c r="O52" i="30"/>
  <c r="M34" i="30"/>
  <c r="M33" i="30"/>
  <c r="M35" i="30" l="1"/>
  <c r="M39" i="30" s="1"/>
  <c r="M41" i="30" s="1"/>
  <c r="M43" i="30" l="1"/>
  <c r="M42" i="30"/>
  <c r="K29" i="31" l="1"/>
  <c r="K27" i="31"/>
  <c r="K28" i="31"/>
  <c r="K26" i="31"/>
  <c r="G67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3" i="8" l="1"/>
  <c r="K35" i="32" s="1"/>
  <c r="M35" i="32" s="1"/>
  <c r="I34" i="8"/>
  <c r="G63" i="8" l="1"/>
  <c r="F63" i="8" l="1"/>
  <c r="F67" i="8" l="1"/>
  <c r="H72" i="8" s="1"/>
  <c r="J72" i="8"/>
  <c r="N44" i="32" s="1"/>
  <c r="P44" i="32" l="1"/>
  <c r="M44" i="32"/>
  <c r="K9" i="8"/>
  <c r="E30" i="34" s="1"/>
  <c r="C69" i="8"/>
  <c r="H73" i="8" s="1"/>
  <c r="H74" i="8" s="1"/>
  <c r="H75" i="8" s="1"/>
  <c r="J73" i="8"/>
  <c r="N45" i="32" s="1"/>
  <c r="M45" i="32" l="1"/>
  <c r="P45" i="32"/>
  <c r="K8" i="8"/>
  <c r="E31" i="34"/>
  <c r="J75" i="8"/>
  <c r="N47" i="32" s="1"/>
  <c r="D2" i="8"/>
  <c r="D22" i="34" s="1"/>
  <c r="C2" i="8"/>
  <c r="P47" i="32" l="1"/>
  <c r="M47" i="32"/>
  <c r="E32" i="34"/>
  <c r="E22" i="34"/>
  <c r="F22" i="34" s="1"/>
  <c r="F2" i="8"/>
</calcChain>
</file>

<file path=xl/comments1.xml><?xml version="1.0" encoding="utf-8"?>
<comments xmlns="http://schemas.openxmlformats.org/spreadsheetml/2006/main">
  <authors>
    <author>VICTOR</author>
    <author>GRUPOREGIONAL</author>
    <author>roberto apaza gutierrez</author>
  </authors>
  <commentList>
    <comment ref="I18" authorId="0" shapeId="0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7" authorId="1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2" authorId="1" shapeId="0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2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7" authorId="1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7" authorId="1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2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6" authorId="0" shapeId="0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9" authorId="2" shapeId="0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<sst xmlns="http://schemas.openxmlformats.org/spreadsheetml/2006/main" count="306" uniqueCount="182">
  <si>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</si>
  <si>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</si>
  <si>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</si>
  <si>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</si>
  <si>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</si>
  <si>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</si>
  <si>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</si>
  <si>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</si>
  <si>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</si>
  <si>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</si>
  <si>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</si>
  <si>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</si>
  <si>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</si>
  <si>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</si>
  <si>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</si>
  <si>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</si>
  <si>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</si>
  <si>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</si>
  <si>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</si>
  <si>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</si>
  <si>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</si>
  <si>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</si>
  <si>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</si>
  <si>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</si>
  <si>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</si>
  <si>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</si>
  <si>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</si>
  <si>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</si>
  <si>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</si>
  <si>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</si>
  <si>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</si>
  <si>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</si>
  <si>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</si>
  <si>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</si>
  <si>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</si>
  <si>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</si>
  <si>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</si>
  <si>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</si>
  <si>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</si>
  <si>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</si>
  <si>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</si>
  <si>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</si>
  <si>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</si>
  <si>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</si>
  <si>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</si>
  <si>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</si>
  <si>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</si>
  <si>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</si>
  <si>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</si>
  <si>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</si>
  <si>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</si>
  <si>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</si>
  <si>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</si>
  <si>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</si>
  <si>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</si>
  <si>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</si>
  <si>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</si>
  <si>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</si>
  <si>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</si>
  <si>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</si>
  <si>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</si>
  <si>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</si>
  <si>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</si>
  <si>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</si>
  <si>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</si>
  <si>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</si>
  <si>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</si>
  <si>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</si>
  <si>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</si>
  <si>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</si>
  <si>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</si>
  <si>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</si>
  <si>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</si>
  <si>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</si>
  <si>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</si>
  <si>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</si>
  <si>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</si>
  <si>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</si>
  <si>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</si>
  <si>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</si>
  <si>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</si>
  <si>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</si>
  <si>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</si>
  <si>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</si>
  <si>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</si>
  <si>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</si>
  <si>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</si>
  <si>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</si>
  <si>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</si>
  <si>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</si>
  <si>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</si>
  <si>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</si>
  <si>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</si>
  <si>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</si>
  <si>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</si>
  <si>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</si>
  <si>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</si>
  <si>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</si>
  <si>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</si>
  <si>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</si>
  <si>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</si>
  <si>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</si>
  <si>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</si>
  <si>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</si>
  <si>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</si>
  <si>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</si>
  <si>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</si>
  <si>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</si>
  <si>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</si>
  <si>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</si>
  <si>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</si>
  <si>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</si>
  <si>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</si>
  <si>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</si>
  <si>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</si>
  <si>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</si>
  <si>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</si>
  <si>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</si>
  <si>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</si>
  <si>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</si>
  <si>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</si>
  <si>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</si>
  <si>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</si>
  <si>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</si>
  <si>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</si>
  <si>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</si>
  <si>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</si>
  <si>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</si>
  <si>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</si>
  <si>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</si>
  <si>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</si>
  <si>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</si>
  <si>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</si>
  <si>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</si>
  <si>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</si>
  <si>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</si>
  <si>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</si>
  <si>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</si>
  <si>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</si>
  <si>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</si>
  <si>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</si>
  <si>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</si>
  <si>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</si>
  <si>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</si>
  <si>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</si>
  <si>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</si>
  <si>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</si>
  <si>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</si>
  <si>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</si>
  <si>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</si>
  <si>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</si>
  <si>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</si>
  <si>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</si>
  <si>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</si>
  <si>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</si>
  <si>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</si>
  <si>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</si>
  <si>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</si>
  <si>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</si>
  <si>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</si>
  <si>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</si>
  <si>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</si>
  <si>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</si>
  <si>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</si>
  <si>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</si>
  <si>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</si>
  <si>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</si>
  <si>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</si>
  <si>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</si>
  <si>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</si>
  <si>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</si>
  <si>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</si>
  <si>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</si>
  <si>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</si>
  <si>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</si>
  <si>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</si>
  <si>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</si>
  <si>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</t>
  </si>
  <si>
    <t xml:space="preserve">DESAYUNOS OFICINAS TIGO CBBA </t>
  </si>
  <si>
    <t xml:space="preserve">DESAYUNO OFICINA TIGO PRADO </t>
  </si>
  <si>
    <t>DESAYUNO OFICINA TIGO RECOLETA</t>
  </si>
  <si>
    <t>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</si>
</sst>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/>
    <cellStyle name="Normal" xfId="0" builtinId="0"/>
    <cellStyle name="Normal 10" xfId="3"/>
    <cellStyle name="Normal 2" xfId="6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/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/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68</xdr:row>
      <xdr:rowOff>56031</xdr:rowOff>
    </xdr:from>
    <xdr:to>
      <xdr:col>3</xdr:col>
      <xdr:colOff>717176</xdr:colOff>
      <xdr:row>68</xdr:row>
      <xdr:rowOff>257737</xdr:rowOff>
    </xdr:to>
    <xdr:sp macro="" textlink="">
      <xdr:nvSpPr>
        <xdr:cNvPr id="2" name="Cheurón 1"/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68</xdr:row>
      <xdr:rowOff>67236</xdr:rowOff>
    </xdr:from>
    <xdr:to>
      <xdr:col>4</xdr:col>
      <xdr:colOff>246529</xdr:colOff>
      <xdr:row>69</xdr:row>
      <xdr:rowOff>1</xdr:rowOff>
    </xdr:to>
    <xdr:sp macro="" textlink="">
      <xdr:nvSpPr>
        <xdr:cNvPr id="9" name="Cheurón 8"/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68</xdr:row>
      <xdr:rowOff>62753</xdr:rowOff>
    </xdr:from>
    <xdr:to>
      <xdr:col>4</xdr:col>
      <xdr:colOff>746312</xdr:colOff>
      <xdr:row>68</xdr:row>
      <xdr:rowOff>264459</xdr:rowOff>
    </xdr:to>
    <xdr:sp macro="" textlink="">
      <xdr:nvSpPr>
        <xdr:cNvPr id="10" name="Cheurón 9"/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68</xdr:row>
      <xdr:rowOff>69476</xdr:rowOff>
    </xdr:from>
    <xdr:to>
      <xdr:col>5</xdr:col>
      <xdr:colOff>159123</xdr:colOff>
      <xdr:row>69</xdr:row>
      <xdr:rowOff>2241</xdr:rowOff>
    </xdr:to>
    <xdr:sp macro="" textlink="">
      <xdr:nvSpPr>
        <xdr:cNvPr id="11" name="Cheurón 10"/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68</xdr:row>
      <xdr:rowOff>64994</xdr:rowOff>
    </xdr:from>
    <xdr:to>
      <xdr:col>5</xdr:col>
      <xdr:colOff>625288</xdr:colOff>
      <xdr:row>68</xdr:row>
      <xdr:rowOff>266700</xdr:rowOff>
    </xdr:to>
    <xdr:sp macro="" textlink="">
      <xdr:nvSpPr>
        <xdr:cNvPr id="12" name="Cheurón 11"/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190500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89"/>
  <sheetViews>
    <sheetView showGridLines="0" tabSelected="1" zoomScale="90" zoomScaleNormal="90" zoomScalePageLayoutView="85" workbookViewId="0">
      <pane ySplit="4" topLeftCell="A17" activePane="bottomLeft" state="frozen"/>
      <selection activeCell="A21" sqref="A21"/>
      <selection pane="bottomLeft" activeCell="J40" sqref="J40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+H75</f>
        <v>764.32708124999999</v>
      </c>
      <c r="D2" s="386">
        <f ca="1">+J72+J73</f>
        <v>770</v>
      </c>
      <c r="E2" s="387"/>
      <c r="F2" s="277">
        <f ca="1">+D2-C2</f>
        <v>5.672918750000008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C69</f>
        <v>0.16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H72</f>
        <v>553.47823125000002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/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178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43481</v>
      </c>
      <c r="D16" s="338"/>
      <c r="E16" s="165">
        <v>1.6</v>
      </c>
      <c r="F16" s="397" t="s">
        <v>127</v>
      </c>
      <c r="G16" s="398"/>
      <c r="H16" s="399"/>
      <c r="I16" s="338">
        <v>43121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448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+I31+I42</f>
        <v>465.45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15</v>
      </c>
      <c r="F38" s="149">
        <v>23</v>
      </c>
      <c r="G38" s="135">
        <f t="shared" ref="G38" si="0">+F38*E38*D38</f>
        <v>345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300.14999999999998</v>
      </c>
      <c r="J38" s="136">
        <v>450</v>
      </c>
      <c r="K38" s="224" t="str">
        <f t="shared" ref="K38:K41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/>
      <c r="D39" s="147">
        <v>1</v>
      </c>
      <c r="E39" s="148">
        <v>10</v>
      </c>
      <c r="F39" s="149">
        <v>19</v>
      </c>
      <c r="G39" s="135">
        <f t="shared" ref="G39:G41" si="3">+F39*E39*D39</f>
        <v>190</v>
      </c>
      <c r="H39" s="150" t="s">
        <v>13</v>
      </c>
      <c r="I39" s="320">
        <f t="shared" ref="I39:I41" si="4">IF(H39="FACTURA",G39*0.87,IF(H39="RECIBO",G39/0.845,IF(H39="SIN IMPUESTO",G39*1,IF(H39="ALQUILER SIN RECIBO",G39/0.84,IF(H39="VIATICOS",G39/0.87,"")))))</f>
        <v>165.3</v>
      </c>
      <c r="J39" s="136">
        <v>250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/>
      <c r="C40" s="146"/>
      <c r="D40" s="147"/>
      <c r="E40" s="148"/>
      <c r="F40" s="149"/>
      <c r="G40" s="135">
        <f t="shared" si="3"/>
        <v>0</v>
      </c>
      <c r="H40" s="150"/>
      <c r="I40" s="320" t="str">
        <f t="shared" si="4"/>
        <v/>
      </c>
      <c r="J40" s="136"/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/>
      <c r="C41" s="146"/>
      <c r="D41" s="147"/>
      <c r="E41" s="148"/>
      <c r="F41" s="149"/>
      <c r="G41" s="135">
        <f t="shared" si="3"/>
        <v>0</v>
      </c>
      <c r="H41" s="150"/>
      <c r="I41" s="320" t="str">
        <f t="shared" si="4"/>
        <v/>
      </c>
      <c r="J41" s="136"/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20.25" customHeight="1" x14ac:dyDescent="0.2">
      <c r="A42" s="165"/>
      <c r="B42" s="361" t="s">
        <v>48</v>
      </c>
      <c r="C42" s="363"/>
      <c r="D42" s="363"/>
      <c r="E42" s="363"/>
      <c r="F42" s="363"/>
      <c r="G42" s="363"/>
      <c r="H42" s="362"/>
      <c r="I42" s="210">
        <f ca="1">SUM(I38:OFFSET(I42,-1,0))</f>
        <v>465.45</v>
      </c>
      <c r="J42" s="210">
        <f ca="1">SUM(J38:OFFSET(J42,-1,0))</f>
        <v>700</v>
      </c>
      <c r="K42" s="224"/>
      <c r="L42" s="225"/>
      <c r="M42" s="170"/>
      <c r="N42" s="239"/>
      <c r="O42" s="239"/>
      <c r="P42" s="170"/>
      <c r="Q42" s="240"/>
      <c r="R42" s="170"/>
      <c r="S42" s="170"/>
      <c r="T42" s="170"/>
      <c r="U42" s="170"/>
      <c r="V42" s="162"/>
    </row>
    <row r="43" spans="1:22" s="125" customFormat="1" ht="23.25" customHeight="1" x14ac:dyDescent="0.2">
      <c r="A43" s="165"/>
      <c r="B43" s="162"/>
      <c r="C43" s="162"/>
      <c r="D43" s="236"/>
      <c r="E43" s="236"/>
      <c r="F43" s="236"/>
      <c r="G43" s="236"/>
      <c r="H43" s="236"/>
      <c r="I43" s="237"/>
      <c r="J43" s="237"/>
      <c r="K43" s="224"/>
      <c r="L43" s="170"/>
      <c r="M43" s="170"/>
      <c r="N43" s="170"/>
      <c r="O43" s="170"/>
      <c r="P43" s="170"/>
      <c r="Q43" s="240"/>
      <c r="R43" s="170"/>
      <c r="S43" s="170"/>
      <c r="T43" s="170"/>
      <c r="U43" s="170"/>
      <c r="V43" s="162"/>
    </row>
    <row r="44" spans="1:22" s="125" customFormat="1" ht="27.75" customHeight="1" x14ac:dyDescent="0.2">
      <c r="A44" s="165"/>
      <c r="B44" s="364" t="s">
        <v>165</v>
      </c>
      <c r="C44" s="364"/>
      <c r="D44" s="364"/>
      <c r="E44" s="364"/>
      <c r="F44" s="364"/>
      <c r="G44" s="364"/>
      <c r="H44" s="364"/>
      <c r="I44" s="364"/>
      <c r="J44" s="364"/>
      <c r="K44" s="224"/>
      <c r="L44" s="170"/>
      <c r="M44" s="170"/>
      <c r="N44" s="170"/>
      <c r="O44" s="170"/>
      <c r="P44" s="170"/>
      <c r="Q44" s="240"/>
      <c r="R44" s="170"/>
      <c r="S44" s="170"/>
      <c r="T44" s="170"/>
      <c r="U44" s="170"/>
      <c r="V44" s="162"/>
    </row>
    <row r="45" spans="1:22" s="130" customFormat="1" ht="30" customHeight="1" x14ac:dyDescent="0.25">
      <c r="A45" s="167">
        <v>4</v>
      </c>
      <c r="B45" s="183" t="s">
        <v>151</v>
      </c>
      <c r="C45" s="171"/>
      <c r="D45" s="171"/>
      <c r="E45" s="171"/>
      <c r="F45" s="171"/>
      <c r="G45" s="171"/>
      <c r="H45" s="173"/>
      <c r="I45" s="173"/>
      <c r="J45" s="174"/>
      <c r="K45" s="241"/>
      <c r="L45" s="242"/>
      <c r="M45" s="242"/>
      <c r="N45" s="242"/>
      <c r="O45" s="242"/>
      <c r="P45" s="242"/>
      <c r="Q45" s="240"/>
      <c r="R45" s="242"/>
      <c r="S45" s="242"/>
      <c r="T45" s="242"/>
      <c r="U45" s="242"/>
      <c r="V45" s="171"/>
    </row>
    <row r="46" spans="1:22" s="125" customFormat="1" ht="11.25" customHeight="1" x14ac:dyDescent="0.2">
      <c r="A46" s="165"/>
      <c r="B46" s="162"/>
      <c r="C46" s="162"/>
      <c r="D46" s="162"/>
      <c r="E46" s="162"/>
      <c r="F46" s="162"/>
      <c r="G46" s="175"/>
      <c r="H46" s="175"/>
      <c r="I46" s="175"/>
      <c r="J46" s="176"/>
      <c r="K46" s="224"/>
      <c r="L46" s="170"/>
      <c r="M46" s="170"/>
      <c r="N46" s="170"/>
      <c r="O46" s="170"/>
      <c r="P46" s="170"/>
      <c r="Q46" s="240"/>
      <c r="R46" s="170"/>
      <c r="S46" s="170"/>
      <c r="T46" s="170"/>
      <c r="U46" s="170"/>
      <c r="V46" s="162"/>
    </row>
    <row r="47" spans="1:22" s="125" customFormat="1" ht="33" customHeight="1" x14ac:dyDescent="0.2">
      <c r="A47" s="165" t="s">
        <v>136</v>
      </c>
      <c r="B47" s="184" t="s">
        <v>128</v>
      </c>
      <c r="C47" s="353" t="s">
        <v>131</v>
      </c>
      <c r="D47" s="354"/>
      <c r="E47" s="238" t="s">
        <v>4</v>
      </c>
      <c r="F47" s="358" t="s">
        <v>6</v>
      </c>
      <c r="G47" s="358"/>
      <c r="H47" s="358"/>
      <c r="I47" s="218" t="s">
        <v>73</v>
      </c>
      <c r="J47" s="307" t="s">
        <v>47</v>
      </c>
      <c r="K47" s="224"/>
      <c r="L47" s="170"/>
      <c r="M47" s="170"/>
      <c r="N47" s="170"/>
      <c r="O47" s="170"/>
      <c r="P47" s="170"/>
      <c r="Q47" s="240"/>
      <c r="R47" s="170"/>
      <c r="S47" s="170"/>
      <c r="T47" s="170"/>
      <c r="U47" s="170"/>
      <c r="V47" s="162"/>
    </row>
    <row r="48" spans="1:22" s="125" customFormat="1" ht="33.75" customHeight="1" x14ac:dyDescent="0.2">
      <c r="A48" s="165"/>
      <c r="B48" s="151"/>
      <c r="C48" s="396"/>
      <c r="D48" s="396"/>
      <c r="E48" s="148"/>
      <c r="F48" s="359"/>
      <c r="G48" s="359"/>
      <c r="H48" s="359"/>
      <c r="I48" s="235">
        <f>+F48*E48</f>
        <v>0</v>
      </c>
      <c r="J48" s="136"/>
      <c r="K48" s="224" t="str">
        <f>"888"</f>
        <v>888</v>
      </c>
      <c r="L48" s="170"/>
      <c r="M48" s="170"/>
      <c r="N48" s="170"/>
      <c r="O48" s="170"/>
      <c r="P48" s="170"/>
      <c r="Q48" s="240"/>
      <c r="R48" s="170"/>
      <c r="S48" s="170"/>
      <c r="T48" s="170"/>
      <c r="U48" s="170"/>
      <c r="V48" s="162"/>
    </row>
    <row r="49" spans="1:22" s="125" customFormat="1" ht="26.25" customHeight="1" x14ac:dyDescent="0.2">
      <c r="A49" s="165"/>
      <c r="B49" s="390" t="s">
        <v>5</v>
      </c>
      <c r="C49" s="391"/>
      <c r="D49" s="391"/>
      <c r="E49" s="392"/>
      <c r="F49" s="365">
        <f>SUM(F48:H48)</f>
        <v>0</v>
      </c>
      <c r="G49" s="365"/>
      <c r="H49" s="365"/>
      <c r="I49" s="243">
        <f ca="1">SUM(I48:OFFSET(I49,-1,0))</f>
        <v>0</v>
      </c>
      <c r="J49" s="210">
        <f ca="1">SUM(J48:OFFSET(J49,-1,0))</f>
        <v>0</v>
      </c>
      <c r="K49" s="224"/>
      <c r="L49" s="170"/>
      <c r="M49" s="170"/>
      <c r="N49" s="170"/>
      <c r="O49" s="170"/>
      <c r="P49" s="170"/>
      <c r="Q49" s="240"/>
      <c r="R49" s="170"/>
      <c r="S49" s="170"/>
      <c r="T49" s="170"/>
      <c r="U49" s="170"/>
      <c r="V49" s="162"/>
    </row>
    <row r="50" spans="1:22" s="130" customFormat="1" ht="26.25" customHeight="1" x14ac:dyDescent="0.25">
      <c r="A50" s="167">
        <v>5</v>
      </c>
      <c r="B50" s="183" t="s">
        <v>170</v>
      </c>
      <c r="C50" s="171"/>
      <c r="D50" s="171"/>
      <c r="E50" s="171"/>
      <c r="F50" s="171"/>
      <c r="G50" s="171"/>
      <c r="H50" s="173"/>
      <c r="I50" s="173"/>
      <c r="J50" s="174"/>
      <c r="K50" s="241"/>
      <c r="L50" s="242"/>
      <c r="M50" s="242"/>
      <c r="N50" s="242"/>
      <c r="O50" s="242"/>
      <c r="P50" s="242"/>
      <c r="Q50" s="240"/>
      <c r="R50" s="242"/>
      <c r="S50" s="242"/>
      <c r="T50" s="242"/>
      <c r="U50" s="242"/>
      <c r="V50" s="171"/>
    </row>
    <row r="51" spans="1:22" s="125" customFormat="1" ht="9" customHeight="1" x14ac:dyDescent="0.2">
      <c r="A51" s="165"/>
      <c r="B51" s="162"/>
      <c r="C51" s="162"/>
      <c r="D51" s="162"/>
      <c r="E51" s="162"/>
      <c r="F51" s="162"/>
      <c r="G51" s="175"/>
      <c r="H51" s="175"/>
      <c r="I51" s="175"/>
      <c r="J51" s="176"/>
      <c r="K51" s="224"/>
      <c r="L51" s="170"/>
      <c r="M51" s="170"/>
      <c r="N51" s="170"/>
      <c r="O51" s="170"/>
      <c r="P51" s="170"/>
      <c r="Q51" s="240"/>
      <c r="R51" s="170"/>
      <c r="S51" s="170"/>
      <c r="T51" s="170"/>
      <c r="U51" s="170"/>
      <c r="V51" s="162"/>
    </row>
    <row r="52" spans="1:22" s="125" customFormat="1" ht="30.75" customHeight="1" x14ac:dyDescent="0.2">
      <c r="A52" s="165" t="s">
        <v>137</v>
      </c>
      <c r="B52" s="184" t="s">
        <v>129</v>
      </c>
      <c r="C52" s="353" t="s">
        <v>67</v>
      </c>
      <c r="D52" s="354"/>
      <c r="E52" s="238" t="s">
        <v>2</v>
      </c>
      <c r="F52" s="358" t="s">
        <v>6</v>
      </c>
      <c r="G52" s="358"/>
      <c r="H52" s="358"/>
      <c r="I52" s="218" t="s">
        <v>73</v>
      </c>
      <c r="J52" s="304" t="s">
        <v>47</v>
      </c>
      <c r="K52" s="224"/>
      <c r="L52" s="170"/>
      <c r="M52" s="170"/>
      <c r="N52" s="170"/>
      <c r="O52" s="170"/>
      <c r="P52" s="170"/>
      <c r="Q52" s="240"/>
      <c r="R52" s="170"/>
      <c r="S52" s="170"/>
      <c r="T52" s="170"/>
      <c r="U52" s="170"/>
      <c r="V52" s="162"/>
    </row>
    <row r="53" spans="1:22" s="125" customFormat="1" ht="30" customHeight="1" x14ac:dyDescent="0.2">
      <c r="A53" s="165"/>
      <c r="B53" s="151"/>
      <c r="C53" s="395"/>
      <c r="D53" s="395"/>
      <c r="E53" s="152"/>
      <c r="F53" s="356"/>
      <c r="G53" s="356"/>
      <c r="H53" s="356"/>
      <c r="I53" s="235">
        <f>+F53*E53</f>
        <v>0</v>
      </c>
      <c r="J53" s="136"/>
      <c r="K53" s="224" t="str">
        <f>"888"</f>
        <v>888</v>
      </c>
      <c r="L53" s="170"/>
      <c r="M53" s="170"/>
      <c r="N53" s="170"/>
      <c r="O53" s="170"/>
      <c r="P53" s="170"/>
      <c r="Q53" s="240"/>
      <c r="R53" s="170"/>
      <c r="S53" s="170"/>
      <c r="T53" s="170"/>
      <c r="U53" s="170"/>
      <c r="V53" s="162"/>
    </row>
    <row r="54" spans="1:22" s="125" customFormat="1" ht="24" customHeight="1" x14ac:dyDescent="0.2">
      <c r="A54" s="165"/>
      <c r="B54" s="390" t="s">
        <v>5</v>
      </c>
      <c r="C54" s="391"/>
      <c r="D54" s="392"/>
      <c r="E54" s="244">
        <f>SUM(E53:E53)</f>
        <v>0</v>
      </c>
      <c r="F54" s="357">
        <f>SUM(F53:H53)</f>
        <v>0</v>
      </c>
      <c r="G54" s="357"/>
      <c r="H54" s="357"/>
      <c r="I54" s="243">
        <f ca="1">SUM(I53:OFFSET(I54,-1,0))</f>
        <v>0</v>
      </c>
      <c r="J54" s="210">
        <f ca="1">SUM(J53:OFFSET(J54,-1,0))</f>
        <v>0</v>
      </c>
      <c r="K54" s="224"/>
      <c r="L54" s="170"/>
      <c r="M54" s="170"/>
      <c r="N54" s="170"/>
      <c r="O54" s="170"/>
      <c r="P54" s="170"/>
      <c r="Q54" s="240"/>
      <c r="R54" s="170"/>
      <c r="S54" s="170"/>
      <c r="T54" s="170"/>
      <c r="U54" s="170"/>
      <c r="V54" s="162"/>
    </row>
    <row r="55" spans="1:22" s="130" customFormat="1" ht="26.25" customHeight="1" x14ac:dyDescent="0.25">
      <c r="A55" s="167">
        <v>6</v>
      </c>
      <c r="B55" s="183" t="s">
        <v>132</v>
      </c>
      <c r="C55" s="171"/>
      <c r="D55" s="171"/>
      <c r="E55" s="171"/>
      <c r="F55" s="171"/>
      <c r="G55" s="171"/>
      <c r="H55" s="173"/>
      <c r="I55" s="173"/>
      <c r="J55" s="174"/>
      <c r="K55" s="241"/>
      <c r="L55" s="242"/>
      <c r="M55" s="242"/>
      <c r="N55" s="242"/>
      <c r="O55" s="242"/>
      <c r="P55" s="242"/>
      <c r="Q55" s="240"/>
      <c r="R55" s="242"/>
      <c r="S55" s="242"/>
      <c r="T55" s="242"/>
      <c r="U55" s="242"/>
      <c r="V55" s="171"/>
    </row>
    <row r="56" spans="1:22" s="125" customFormat="1" ht="10.5" customHeight="1" x14ac:dyDescent="0.2">
      <c r="A56" s="165"/>
      <c r="B56" s="162"/>
      <c r="C56" s="162"/>
      <c r="D56" s="162"/>
      <c r="E56" s="162"/>
      <c r="F56" s="162"/>
      <c r="G56" s="175"/>
      <c r="H56" s="175"/>
      <c r="I56" s="175"/>
      <c r="J56" s="176"/>
      <c r="K56" s="224"/>
      <c r="L56" s="170"/>
      <c r="M56" s="170"/>
      <c r="N56" s="170"/>
      <c r="O56" s="170"/>
      <c r="P56" s="170"/>
      <c r="Q56" s="240"/>
      <c r="R56" s="170"/>
      <c r="S56" s="170"/>
      <c r="T56" s="170"/>
      <c r="U56" s="170"/>
      <c r="V56" s="162"/>
    </row>
    <row r="57" spans="1:22" s="125" customFormat="1" ht="26.25" customHeight="1" x14ac:dyDescent="0.2">
      <c r="A57" s="165" t="s">
        <v>138</v>
      </c>
      <c r="B57" s="184" t="s">
        <v>129</v>
      </c>
      <c r="C57" s="353" t="s">
        <v>67</v>
      </c>
      <c r="D57" s="354"/>
      <c r="E57" s="238" t="s">
        <v>2</v>
      </c>
      <c r="F57" s="358" t="s">
        <v>6</v>
      </c>
      <c r="G57" s="358"/>
      <c r="H57" s="358"/>
      <c r="I57" s="172" t="s">
        <v>73</v>
      </c>
      <c r="J57" s="308" t="s">
        <v>47</v>
      </c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6.25" customHeight="1" x14ac:dyDescent="0.2">
      <c r="A58" s="165"/>
      <c r="B58" s="151"/>
      <c r="C58" s="393"/>
      <c r="D58" s="394"/>
      <c r="E58" s="152"/>
      <c r="F58" s="356"/>
      <c r="G58" s="356"/>
      <c r="H58" s="356"/>
      <c r="I58" s="235">
        <f>+F58*E58</f>
        <v>0</v>
      </c>
      <c r="J58" s="136"/>
      <c r="K58" s="224" t="str">
        <f>"888"</f>
        <v>888</v>
      </c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25" customFormat="1" ht="26.25" customHeight="1" x14ac:dyDescent="0.2">
      <c r="A59" s="165"/>
      <c r="B59" s="390" t="s">
        <v>5</v>
      </c>
      <c r="C59" s="391"/>
      <c r="D59" s="392"/>
      <c r="E59" s="244">
        <f>SUM(E58:E58)</f>
        <v>0</v>
      </c>
      <c r="F59" s="357">
        <f>SUM(F58:H58)</f>
        <v>0</v>
      </c>
      <c r="G59" s="357"/>
      <c r="H59" s="357"/>
      <c r="I59" s="243">
        <f ca="1">SUM(I58:OFFSET(I59,-1,0))</f>
        <v>0</v>
      </c>
      <c r="J59" s="210">
        <f ca="1">SUM(J58:OFFSET(J59,-1,0))</f>
        <v>0</v>
      </c>
      <c r="K59" s="224"/>
      <c r="L59" s="170"/>
      <c r="M59" s="170"/>
      <c r="N59" s="170"/>
      <c r="O59" s="170"/>
      <c r="P59" s="170"/>
      <c r="Q59" s="240"/>
      <c r="R59" s="170"/>
      <c r="S59" s="170"/>
      <c r="T59" s="170"/>
      <c r="U59" s="170"/>
      <c r="V59" s="162"/>
    </row>
    <row r="60" spans="1:22" s="130" customFormat="1" ht="34.5" customHeight="1" x14ac:dyDescent="0.25">
      <c r="A60" s="167">
        <v>7</v>
      </c>
      <c r="B60" s="400" t="s">
        <v>51</v>
      </c>
      <c r="C60" s="401"/>
      <c r="D60" s="401"/>
      <c r="E60" s="401"/>
      <c r="F60" s="401"/>
      <c r="G60" s="401"/>
      <c r="H60" s="401"/>
      <c r="I60" s="171"/>
      <c r="J60" s="245"/>
      <c r="K60" s="212"/>
      <c r="L60" s="242"/>
      <c r="M60" s="242"/>
      <c r="N60" s="242"/>
      <c r="O60" s="242"/>
      <c r="P60" s="242"/>
      <c r="Q60" s="240"/>
      <c r="R60" s="242"/>
      <c r="S60" s="242"/>
      <c r="T60" s="242"/>
      <c r="U60" s="242"/>
      <c r="V60" s="171"/>
    </row>
    <row r="61" spans="1:22" s="125" customFormat="1" ht="9" customHeight="1" thickBot="1" x14ac:dyDescent="0.25">
      <c r="A61" s="165"/>
      <c r="B61" s="162"/>
      <c r="C61" s="162"/>
      <c r="D61" s="162"/>
      <c r="E61" s="162"/>
      <c r="F61" s="162"/>
      <c r="G61" s="170"/>
      <c r="H61" s="170"/>
      <c r="I61" s="170"/>
      <c r="J61" s="162"/>
      <c r="K61" s="246"/>
      <c r="L61" s="162"/>
      <c r="M61" s="162"/>
      <c r="N61" s="162"/>
      <c r="O61" s="162"/>
      <c r="P61" s="162"/>
      <c r="Q61" s="247"/>
      <c r="R61" s="162"/>
      <c r="S61" s="196"/>
      <c r="T61" s="162"/>
      <c r="U61" s="162"/>
      <c r="V61" s="162"/>
    </row>
    <row r="62" spans="1:22" s="125" customFormat="1" ht="79.5" customHeight="1" thickBot="1" x14ac:dyDescent="0.25">
      <c r="A62" s="165">
        <v>7.1</v>
      </c>
      <c r="B62" s="350" t="s">
        <v>54</v>
      </c>
      <c r="C62" s="351"/>
      <c r="D62" s="248" t="s">
        <v>32</v>
      </c>
      <c r="E62" s="249" t="s">
        <v>30</v>
      </c>
      <c r="F62" s="248" t="s">
        <v>33</v>
      </c>
      <c r="G62" s="250" t="s">
        <v>36</v>
      </c>
      <c r="H62" s="251"/>
      <c r="I62" s="251"/>
      <c r="J62" s="162"/>
      <c r="K62" s="246"/>
      <c r="L62" s="162"/>
      <c r="M62" s="162"/>
      <c r="N62" s="162"/>
      <c r="O62" s="162"/>
      <c r="P62" s="162"/>
      <c r="Q62" s="247"/>
      <c r="R62" s="162"/>
      <c r="S62" s="196"/>
      <c r="T62" s="162"/>
      <c r="U62" s="162"/>
      <c r="V62" s="162"/>
    </row>
    <row r="63" spans="1:22" s="125" customFormat="1" ht="40.5" customHeight="1" thickBot="1" x14ac:dyDescent="0.25">
      <c r="A63" s="165"/>
      <c r="B63" s="252"/>
      <c r="C63" s="252"/>
      <c r="D63" s="253">
        <f ca="1">I42+I31+I25+I59</f>
        <v>465.45</v>
      </c>
      <c r="E63" s="254">
        <v>0.17</v>
      </c>
      <c r="F63" s="253">
        <f ca="1">+E63*D63</f>
        <v>79.126500000000007</v>
      </c>
      <c r="G63" s="255" t="e">
        <f>+#REF!+#REF!+#REF!</f>
        <v>#REF!</v>
      </c>
      <c r="H63" s="256"/>
      <c r="I63" s="257"/>
      <c r="J63" s="162"/>
      <c r="K63" s="246"/>
      <c r="L63" s="162"/>
      <c r="M63" s="162"/>
      <c r="N63" s="162"/>
      <c r="O63" s="162"/>
      <c r="P63" s="162"/>
      <c r="Q63" s="247"/>
      <c r="R63" s="162"/>
      <c r="S63" s="196"/>
      <c r="T63" s="162"/>
      <c r="U63" s="162"/>
      <c r="V63" s="162"/>
    </row>
    <row r="64" spans="1:22" s="125" customFormat="1" ht="15" x14ac:dyDescent="0.2">
      <c r="A64" s="165"/>
      <c r="B64" s="162"/>
      <c r="C64" s="162"/>
      <c r="D64" s="162"/>
      <c r="E64" s="162"/>
      <c r="F64" s="162"/>
      <c r="G64" s="170"/>
      <c r="H64" s="170"/>
      <c r="I64" s="170"/>
      <c r="J64" s="162"/>
      <c r="K64" s="246"/>
      <c r="L64" s="162"/>
      <c r="M64" s="162"/>
      <c r="N64" s="162"/>
      <c r="O64" s="162"/>
      <c r="P64" s="162"/>
      <c r="Q64" s="247"/>
      <c r="R64" s="162"/>
      <c r="S64" s="196"/>
      <c r="T64" s="162"/>
      <c r="U64" s="162"/>
      <c r="V64" s="162"/>
    </row>
    <row r="65" spans="1:22" s="125" customFormat="1" thickBot="1" x14ac:dyDescent="0.25">
      <c r="A65" s="165"/>
      <c r="B65" s="162"/>
      <c r="C65" s="162"/>
      <c r="D65" s="162"/>
      <c r="E65" s="162"/>
      <c r="F65" s="162"/>
      <c r="G65" s="170"/>
      <c r="H65" s="170"/>
      <c r="I65" s="170"/>
      <c r="J65" s="162"/>
      <c r="K65" s="246"/>
      <c r="L65" s="162"/>
      <c r="M65" s="162"/>
      <c r="N65" s="162"/>
      <c r="O65" s="162"/>
      <c r="P65" s="162"/>
      <c r="Q65" s="247"/>
      <c r="R65" s="162"/>
      <c r="S65" s="196"/>
      <c r="T65" s="162"/>
      <c r="U65" s="162"/>
      <c r="V65" s="162"/>
    </row>
    <row r="66" spans="1:22" s="125" customFormat="1" ht="75.75" customHeight="1" thickBot="1" x14ac:dyDescent="0.25">
      <c r="A66" s="165">
        <v>7.2</v>
      </c>
      <c r="B66" s="348" t="s">
        <v>18</v>
      </c>
      <c r="C66" s="349"/>
      <c r="D66" s="248" t="s">
        <v>8</v>
      </c>
      <c r="E66" s="249" t="s">
        <v>29</v>
      </c>
      <c r="F66" s="248" t="s">
        <v>24</v>
      </c>
      <c r="G66" s="250" t="s">
        <v>12</v>
      </c>
      <c r="H66" s="251"/>
      <c r="I66" s="251"/>
      <c r="J66" s="258"/>
      <c r="K66" s="246"/>
      <c r="L66" s="162"/>
      <c r="M66" s="162"/>
      <c r="N66" s="162"/>
      <c r="O66" s="162"/>
      <c r="P66" s="162"/>
      <c r="Q66" s="247"/>
      <c r="R66" s="162"/>
      <c r="S66" s="196"/>
      <c r="T66" s="162"/>
      <c r="U66" s="162"/>
      <c r="V66" s="162"/>
    </row>
    <row r="67" spans="1:22" s="125" customFormat="1" ht="25.5" customHeight="1" thickBot="1" x14ac:dyDescent="0.25">
      <c r="A67" s="162"/>
      <c r="B67" s="347"/>
      <c r="C67" s="347"/>
      <c r="D67" s="259">
        <f>+C18</f>
        <v>30</v>
      </c>
      <c r="E67" s="260">
        <f>Hoja1!F14</f>
        <v>5.4487179487179495E-4</v>
      </c>
      <c r="F67" s="261">
        <f ca="1">+E67*D67*(D63+F63)</f>
        <v>8.901731250000001</v>
      </c>
      <c r="G67" s="262" t="e">
        <f>+#REF!</f>
        <v>#REF!</v>
      </c>
      <c r="H67" s="263"/>
      <c r="I67" s="239"/>
      <c r="J67" s="162"/>
      <c r="K67" s="246"/>
      <c r="L67" s="162"/>
      <c r="M67" s="162"/>
      <c r="N67" s="162"/>
      <c r="O67" s="162"/>
      <c r="P67" s="162"/>
      <c r="Q67" s="247"/>
      <c r="R67" s="162"/>
      <c r="S67" s="196"/>
      <c r="T67" s="162"/>
      <c r="U67" s="162"/>
      <c r="V67" s="162"/>
    </row>
    <row r="68" spans="1:22" s="125" customFormat="1" ht="32.25" customHeight="1" thickBot="1" x14ac:dyDescent="0.25">
      <c r="A68" s="162"/>
      <c r="B68" s="162"/>
      <c r="C68" s="162"/>
      <c r="D68" s="162"/>
      <c r="E68" s="162"/>
      <c r="F68" s="162"/>
      <c r="G68" s="162"/>
      <c r="H68" s="170"/>
      <c r="I68" s="264"/>
      <c r="J68" s="162"/>
      <c r="K68" s="246"/>
      <c r="L68" s="162"/>
      <c r="M68" s="162"/>
      <c r="N68" s="162"/>
      <c r="O68" s="162"/>
      <c r="P68" s="162"/>
      <c r="Q68" s="247"/>
      <c r="R68" s="162"/>
      <c r="S68" s="196"/>
      <c r="T68" s="162"/>
      <c r="U68" s="162"/>
      <c r="V68" s="162"/>
    </row>
    <row r="69" spans="1:22" s="125" customFormat="1" ht="21" thickBot="1" x14ac:dyDescent="0.25">
      <c r="A69" s="162"/>
      <c r="B69" s="265" t="s">
        <v>160</v>
      </c>
      <c r="C69" s="266">
        <f ca="1">IF(H72&lt;5000,0.16,IF(H72&lt;50000,0.15,IF(H72&gt;50000,0.14)))</f>
        <v>0.16</v>
      </c>
      <c r="D69" s="267"/>
      <c r="E69" s="267"/>
      <c r="F69" s="268"/>
      <c r="G69" s="153"/>
      <c r="H69" s="154">
        <v>0.1</v>
      </c>
      <c r="I69" s="388" t="s">
        <v>155</v>
      </c>
      <c r="J69" s="389"/>
      <c r="K69" s="268"/>
      <c r="L69" s="285"/>
      <c r="M69" s="286"/>
      <c r="N69" s="162"/>
      <c r="O69" s="162"/>
      <c r="P69" s="162"/>
      <c r="Q69" s="247"/>
      <c r="R69" s="162"/>
      <c r="S69" s="196"/>
      <c r="T69" s="162"/>
      <c r="U69" s="162"/>
      <c r="V69" s="162"/>
    </row>
    <row r="70" spans="1:22" s="155" customFormat="1" ht="24" customHeight="1" thickBot="1" x14ac:dyDescent="0.3">
      <c r="A70" s="269"/>
      <c r="B70" s="270"/>
      <c r="C70" s="271"/>
      <c r="D70" s="272"/>
      <c r="E70" s="272"/>
      <c r="F70" s="229"/>
      <c r="G70" s="144"/>
      <c r="H70" s="229"/>
      <c r="I70" s="229"/>
      <c r="J70" s="269"/>
      <c r="K70" s="279"/>
      <c r="L70" s="269"/>
      <c r="M70" s="269"/>
      <c r="N70" s="269"/>
      <c r="O70" s="269"/>
      <c r="P70" s="269"/>
      <c r="Q70" s="280"/>
      <c r="R70" s="269"/>
      <c r="S70" s="281"/>
      <c r="T70" s="269"/>
      <c r="U70" s="269"/>
      <c r="V70" s="269"/>
    </row>
    <row r="71" spans="1:22" s="125" customFormat="1" ht="22.5" customHeight="1" x14ac:dyDescent="0.25">
      <c r="A71" s="162"/>
      <c r="B71" s="273"/>
      <c r="C71" s="273"/>
      <c r="D71" s="273"/>
      <c r="E71" s="162"/>
      <c r="F71" s="162"/>
      <c r="H71" s="366" t="s">
        <v>34</v>
      </c>
      <c r="I71" s="367"/>
      <c r="J71" s="366" t="s">
        <v>167</v>
      </c>
      <c r="K71" s="367"/>
      <c r="L71" s="273"/>
      <c r="M71" s="282"/>
      <c r="N71" s="282"/>
      <c r="O71" s="282"/>
      <c r="P71" s="282"/>
      <c r="Q71" s="247"/>
      <c r="R71" s="162"/>
      <c r="S71" s="196"/>
      <c r="T71" s="162"/>
      <c r="U71" s="162"/>
      <c r="V71" s="162"/>
    </row>
    <row r="72" spans="1:22" s="125" customFormat="1" ht="27.75" customHeight="1" x14ac:dyDescent="0.2">
      <c r="A72" s="162"/>
      <c r="B72" s="274"/>
      <c r="C72" s="370" t="s">
        <v>15</v>
      </c>
      <c r="D72" s="371"/>
      <c r="E72" s="371"/>
      <c r="F72" s="371"/>
      <c r="G72" s="300"/>
      <c r="H72" s="368">
        <f ca="1">+F67+F63+I42+I31+I54+I49+I59+I25</f>
        <v>553.47823125000002</v>
      </c>
      <c r="I72" s="369"/>
      <c r="J72" s="402">
        <f ca="1">IF(I18="EXTERNO",J59+J54+J49+J42+J31+J25,IF(I18="INTERNO",H72))</f>
        <v>700</v>
      </c>
      <c r="K72" s="402"/>
      <c r="L72" s="283"/>
      <c r="M72" s="284"/>
      <c r="N72" s="284"/>
      <c r="O72" s="284"/>
      <c r="P72" s="284"/>
      <c r="Q72" s="247"/>
      <c r="R72" s="162"/>
      <c r="S72" s="196"/>
      <c r="T72" s="162"/>
      <c r="U72" s="162"/>
      <c r="V72" s="162"/>
    </row>
    <row r="73" spans="1:22" s="125" customFormat="1" ht="26.25" customHeight="1" x14ac:dyDescent="0.2">
      <c r="A73" s="165">
        <v>7.3</v>
      </c>
      <c r="B73" s="274"/>
      <c r="C73" s="374" t="s">
        <v>162</v>
      </c>
      <c r="D73" s="375"/>
      <c r="E73" s="375"/>
      <c r="F73" s="375"/>
      <c r="G73" s="301"/>
      <c r="H73" s="368">
        <f ca="1">IF(I18="EXTERNO",IF(OR(C69="",C69=0),H72*C69,H72*C69),IF(I18="INTERNO",H72))</f>
        <v>88.556516999999999</v>
      </c>
      <c r="I73" s="369"/>
      <c r="J73" s="402">
        <f ca="1">IF(I18="EXTERNO",J72*H69,IF(I18="INTERNO",J72))</f>
        <v>70</v>
      </c>
      <c r="K73" s="402"/>
      <c r="L73" s="283"/>
      <c r="M73" s="284"/>
      <c r="N73" s="284"/>
      <c r="O73" s="284"/>
      <c r="P73" s="284"/>
      <c r="Q73" s="247"/>
      <c r="R73" s="162"/>
      <c r="S73" s="196"/>
      <c r="T73" s="162"/>
      <c r="U73" s="162"/>
      <c r="V73" s="162"/>
    </row>
    <row r="74" spans="1:22" s="125" customFormat="1" ht="27.75" customHeight="1" x14ac:dyDescent="0.2">
      <c r="A74" s="162"/>
      <c r="B74" s="274"/>
      <c r="C74" s="374" t="s">
        <v>164</v>
      </c>
      <c r="D74" s="375"/>
      <c r="E74" s="375"/>
      <c r="F74" s="375"/>
      <c r="G74" s="301"/>
      <c r="H74" s="368">
        <f ca="1">IF(I18="EXTERNO",H73+H72,IF(I18="INTERNO",H72))</f>
        <v>642.03474825000001</v>
      </c>
      <c r="I74" s="369"/>
      <c r="J74" s="403"/>
      <c r="K74" s="404"/>
      <c r="L74" s="283"/>
      <c r="M74" s="284"/>
      <c r="N74" s="284"/>
      <c r="O74" s="284"/>
      <c r="P74" s="284"/>
      <c r="Q74" s="247"/>
      <c r="R74" s="162"/>
      <c r="S74" s="196"/>
      <c r="T74" s="162"/>
      <c r="U74" s="162"/>
      <c r="V74" s="303"/>
    </row>
    <row r="75" spans="1:22" s="125" customFormat="1" ht="27.75" customHeight="1" x14ac:dyDescent="0.25">
      <c r="A75" s="162"/>
      <c r="B75" s="273"/>
      <c r="C75" s="372" t="s">
        <v>163</v>
      </c>
      <c r="D75" s="373"/>
      <c r="E75" s="373"/>
      <c r="F75" s="373"/>
      <c r="G75" s="302"/>
      <c r="H75" s="368">
        <f ca="1">IF(I18="EXTERNO",H74/0.84,IF(I18="INTERNO",H72))</f>
        <v>764.32708124999999</v>
      </c>
      <c r="I75" s="369"/>
      <c r="J75" s="402">
        <f ca="1">IF(I18="EXTERNO",J72+J73,IF(I18="INTERNO",J72))</f>
        <v>770</v>
      </c>
      <c r="K75" s="402"/>
      <c r="L75" s="287"/>
      <c r="M75" s="288"/>
      <c r="N75" s="288"/>
      <c r="O75" s="288"/>
      <c r="P75" s="288"/>
      <c r="Q75" s="289"/>
      <c r="R75" s="290"/>
      <c r="S75" s="196"/>
      <c r="T75" s="162"/>
      <c r="U75" s="162"/>
      <c r="V75" s="258"/>
    </row>
    <row r="76" spans="1:22" s="125" customFormat="1" ht="19.5" customHeight="1" x14ac:dyDescent="0.2">
      <c r="A76" s="162"/>
      <c r="B76" s="162"/>
      <c r="C76" s="162"/>
      <c r="D76" s="162"/>
      <c r="E76" s="162"/>
      <c r="F76" s="162"/>
      <c r="G76" s="162"/>
      <c r="H76" s="378" t="str">
        <f>IF(I18="EXTERNO","COSTO TOTAL PARA ENVIAR CLIENTE",IF(I18="INTERNO","COSTO SOLO PARA  AREAS DE PRODUCION INTERNA !!!!!"))</f>
        <v>COSTO TOTAL PARA ENVIAR CLIENTE</v>
      </c>
      <c r="I76" s="379"/>
      <c r="J76" s="162"/>
      <c r="K76" s="246"/>
      <c r="L76" s="162"/>
      <c r="M76" s="162"/>
      <c r="N76" s="162"/>
      <c r="O76" s="162"/>
      <c r="P76" s="162"/>
      <c r="Q76" s="195"/>
      <c r="R76" s="162"/>
      <c r="S76" s="196"/>
      <c r="T76" s="162"/>
      <c r="U76" s="162"/>
      <c r="V76" s="162"/>
    </row>
    <row r="77" spans="1:22" s="125" customFormat="1" ht="19.5" customHeight="1" x14ac:dyDescent="0.2">
      <c r="A77" s="162"/>
      <c r="B77" s="275"/>
      <c r="C77" s="275"/>
      <c r="D77" s="162"/>
      <c r="E77" s="275"/>
      <c r="F77" s="275"/>
      <c r="G77" s="275"/>
      <c r="H77" s="380"/>
      <c r="I77" s="381"/>
      <c r="J77" s="275"/>
      <c r="K77" s="246"/>
      <c r="L77" s="162"/>
      <c r="M77" s="162"/>
      <c r="N77" s="162"/>
      <c r="O77" s="162"/>
      <c r="P77" s="162"/>
      <c r="Q77" s="195"/>
      <c r="R77" s="162"/>
      <c r="S77" s="196"/>
      <c r="T77" s="162"/>
      <c r="U77" s="162"/>
      <c r="V77" s="162"/>
    </row>
    <row r="78" spans="1:22" s="125" customFormat="1" ht="19.5" customHeight="1" thickBot="1" x14ac:dyDescent="0.25">
      <c r="A78" s="162"/>
      <c r="B78" s="275"/>
      <c r="C78" s="275"/>
      <c r="D78" s="275"/>
      <c r="E78" s="275"/>
      <c r="F78" s="275"/>
      <c r="G78" s="275"/>
      <c r="H78" s="382"/>
      <c r="I78" s="383"/>
      <c r="J78" s="275"/>
      <c r="K78" s="246"/>
      <c r="L78" s="162"/>
      <c r="M78" s="162"/>
      <c r="N78" s="162"/>
      <c r="O78" s="162"/>
      <c r="P78" s="162"/>
      <c r="Q78" s="195"/>
      <c r="R78" s="162"/>
      <c r="S78" s="196"/>
      <c r="T78" s="162"/>
      <c r="U78" s="162"/>
      <c r="V78" s="162"/>
    </row>
    <row r="79" spans="1:22" s="125" customFormat="1" ht="15" x14ac:dyDescent="0.2">
      <c r="A79" s="165"/>
      <c r="B79" s="384"/>
      <c r="C79" s="385"/>
      <c r="D79" s="385"/>
      <c r="E79" s="385"/>
      <c r="F79" s="385"/>
      <c r="G79" s="385"/>
      <c r="H79" s="385"/>
      <c r="I79" s="162"/>
      <c r="J79" s="275"/>
      <c r="K79" s="246"/>
      <c r="L79" s="162"/>
      <c r="M79" s="162"/>
      <c r="N79" s="162"/>
      <c r="O79" s="162"/>
      <c r="P79" s="162"/>
      <c r="Q79" s="195"/>
      <c r="R79" s="162"/>
      <c r="S79" s="196"/>
      <c r="T79" s="162"/>
      <c r="U79" s="162"/>
      <c r="V79" s="162"/>
    </row>
    <row r="80" spans="1:22" s="125" customFormat="1" ht="66" customHeight="1" x14ac:dyDescent="0.2">
      <c r="A80" s="165"/>
      <c r="B80" s="376"/>
      <c r="C80" s="377"/>
      <c r="D80" s="297"/>
      <c r="E80" s="297"/>
      <c r="F80" s="297"/>
      <c r="G80" s="297"/>
      <c r="H80" s="297"/>
      <c r="I80" s="275"/>
      <c r="J80" s="278"/>
      <c r="K80" s="246"/>
      <c r="L80" s="162"/>
      <c r="M80" s="162"/>
      <c r="N80" s="162"/>
      <c r="O80" s="162"/>
      <c r="P80" s="162"/>
      <c r="Q80" s="195"/>
      <c r="R80" s="162"/>
      <c r="S80" s="196"/>
      <c r="T80" s="162"/>
      <c r="U80" s="162"/>
      <c r="V80" s="162"/>
    </row>
    <row r="81" spans="1:22" s="125" customFormat="1" ht="20.25" x14ac:dyDescent="0.2">
      <c r="A81" s="165"/>
      <c r="B81" s="252"/>
      <c r="C81" s="252"/>
      <c r="D81" s="298"/>
      <c r="E81" s="298"/>
      <c r="F81" s="298"/>
      <c r="G81" s="298"/>
      <c r="H81" s="299"/>
      <c r="I81" s="275"/>
      <c r="J81" s="275"/>
      <c r="K81" s="246"/>
      <c r="L81" s="162"/>
      <c r="M81" s="162"/>
      <c r="N81" s="162"/>
      <c r="O81" s="162"/>
      <c r="P81" s="162"/>
      <c r="Q81" s="195"/>
      <c r="R81" s="162"/>
      <c r="S81" s="196"/>
      <c r="T81" s="162"/>
      <c r="U81" s="162"/>
      <c r="V81" s="162"/>
    </row>
    <row r="82" spans="1:22" s="125" customFormat="1" ht="15" x14ac:dyDescent="0.2">
      <c r="A82" s="162"/>
      <c r="B82" s="275"/>
      <c r="C82" s="275"/>
      <c r="D82" s="275"/>
      <c r="E82" s="275"/>
      <c r="F82" s="275"/>
      <c r="G82" s="275"/>
      <c r="H82" s="275"/>
      <c r="I82" s="275"/>
      <c r="J82" s="278"/>
      <c r="K82" s="291"/>
      <c r="L82" s="162"/>
      <c r="M82" s="162"/>
      <c r="N82" s="162"/>
      <c r="O82" s="162"/>
      <c r="P82" s="162"/>
      <c r="Q82" s="195"/>
      <c r="R82" s="162"/>
      <c r="S82" s="196"/>
      <c r="T82" s="162"/>
      <c r="U82" s="162"/>
      <c r="V82" s="162"/>
    </row>
    <row r="83" spans="1:22" s="125" customFormat="1" ht="15" x14ac:dyDescent="0.2">
      <c r="A83" s="162"/>
      <c r="B83" s="275"/>
      <c r="C83" s="275"/>
      <c r="D83" s="275"/>
      <c r="E83" s="258"/>
      <c r="F83" s="275"/>
      <c r="G83" s="275"/>
      <c r="H83" s="275"/>
      <c r="I83" s="275"/>
      <c r="J83" s="275"/>
      <c r="K83" s="246"/>
      <c r="L83" s="162"/>
      <c r="M83" s="162"/>
      <c r="N83" s="162"/>
      <c r="O83" s="162"/>
      <c r="P83" s="162"/>
      <c r="Q83" s="195"/>
      <c r="R83" s="162"/>
      <c r="S83" s="196"/>
      <c r="T83" s="162"/>
      <c r="U83" s="162"/>
      <c r="V83" s="162"/>
    </row>
    <row r="84" spans="1:22" s="125" customFormat="1" ht="15" x14ac:dyDescent="0.2">
      <c r="A84" s="162"/>
      <c r="B84" s="275"/>
      <c r="C84" s="275"/>
      <c r="D84" s="275"/>
      <c r="E84" s="278"/>
      <c r="F84" s="275"/>
      <c r="G84" s="275"/>
      <c r="H84" s="275"/>
      <c r="I84" s="275"/>
      <c r="J84" s="275"/>
      <c r="K84" s="246"/>
      <c r="L84" s="162"/>
      <c r="M84" s="162"/>
      <c r="N84" s="162"/>
      <c r="O84" s="162"/>
      <c r="P84" s="162"/>
      <c r="Q84" s="195"/>
      <c r="R84" s="162"/>
      <c r="S84" s="196"/>
      <c r="T84" s="162"/>
      <c r="U84" s="162"/>
      <c r="V84" s="162"/>
    </row>
    <row r="85" spans="1:22" s="125" customFormat="1" ht="15" x14ac:dyDescent="0.2">
      <c r="B85" s="156"/>
      <c r="C85" s="156"/>
      <c r="D85" s="156"/>
      <c r="E85" s="156"/>
      <c r="F85" s="156"/>
      <c r="G85" s="156"/>
      <c r="H85" s="157"/>
      <c r="I85" s="156"/>
      <c r="J85" s="156"/>
      <c r="K85" s="159"/>
      <c r="Q85" s="126"/>
      <c r="S85" s="127"/>
    </row>
    <row r="86" spans="1:22" s="125" customFormat="1" ht="15" x14ac:dyDescent="0.2">
      <c r="B86" s="156"/>
      <c r="C86" s="156"/>
      <c r="D86" s="156"/>
      <c r="E86" s="157"/>
      <c r="F86" s="156"/>
      <c r="G86" s="156"/>
      <c r="H86" s="156"/>
      <c r="I86" s="156"/>
      <c r="J86" s="157"/>
      <c r="K86" s="159"/>
      <c r="Q86" s="126"/>
      <c r="S86" s="127"/>
    </row>
    <row r="87" spans="1:22" s="125" customFormat="1" ht="15" x14ac:dyDescent="0.2">
      <c r="B87" s="156"/>
      <c r="C87" s="156"/>
      <c r="D87" s="156"/>
      <c r="E87" s="156"/>
      <c r="F87" s="156"/>
      <c r="G87" s="156"/>
      <c r="H87" s="156"/>
      <c r="I87" s="156"/>
      <c r="J87" s="156"/>
      <c r="K87" s="159"/>
      <c r="Q87" s="126"/>
      <c r="S87" s="127"/>
    </row>
    <row r="88" spans="1:22" s="125" customFormat="1" ht="15" x14ac:dyDescent="0.2">
      <c r="B88" s="156"/>
      <c r="C88" s="156"/>
      <c r="D88" s="156"/>
      <c r="E88" s="156"/>
      <c r="F88" s="156"/>
      <c r="G88" s="156"/>
      <c r="H88" s="156"/>
      <c r="I88" s="156"/>
      <c r="J88" s="156"/>
      <c r="K88" s="159"/>
      <c r="Q88" s="126"/>
      <c r="S88" s="127"/>
    </row>
    <row r="89" spans="1:22" s="125" customFormat="1" ht="15" x14ac:dyDescent="0.2">
      <c r="B89" s="156"/>
      <c r="C89" s="156"/>
      <c r="D89" s="156"/>
      <c r="E89" s="156"/>
      <c r="F89" s="156"/>
      <c r="G89" s="156"/>
      <c r="H89" s="156"/>
      <c r="I89" s="156"/>
      <c r="J89" s="156"/>
      <c r="K89" s="159"/>
      <c r="Q89" s="126"/>
      <c r="S89" s="127"/>
    </row>
  </sheetData>
  <sheetProtection algorithmName="SHA-512" hashValue="+BFt5p/jtBzxdYMzJVL+2zwueebgh+PRS9Ep9OLghM1SwWJi1uS8Bl7r14A5yZqSF3d+D9Nx1GOeAQt8Nrc+og==" saltValue="lDKDDihDeEDcKbhoZAFBAQ==" spinCount="100000" sheet="1" objects="1" scenarios="1" selectLockedCells="1"/>
  <protectedRanges>
    <protectedRange sqref="C79:H79 C60:H60" name="Rango3_1_1"/>
    <protectedRange sqref="I12 I16 H14 C16 C18 J23:J25 C19:D19 B59:C59 J58:J59 E48:E49 B48:C49 J48:J49 B53:C54 F53 J53:J54 F58 B58:D58 H30 C30:F30 J30 C38:F41 J38:J41 H38:H41" name="Rango3"/>
    <protectedRange sqref="D23:D24" name="Rango4_1"/>
    <protectedRange sqref="D23:D24" name="Rango3_1"/>
    <protectedRange sqref="I18" name="Rango3_2"/>
  </protectedRanges>
  <mergeCells count="69">
    <mergeCell ref="J71:K71"/>
    <mergeCell ref="J72:K72"/>
    <mergeCell ref="J73:K73"/>
    <mergeCell ref="J74:K74"/>
    <mergeCell ref="J75:K75"/>
    <mergeCell ref="D2:E2"/>
    <mergeCell ref="I69:J69"/>
    <mergeCell ref="B59:D59"/>
    <mergeCell ref="C58:D58"/>
    <mergeCell ref="C53:D53"/>
    <mergeCell ref="B42:H42"/>
    <mergeCell ref="C47:D47"/>
    <mergeCell ref="B49:E49"/>
    <mergeCell ref="C57:D57"/>
    <mergeCell ref="C48:D48"/>
    <mergeCell ref="B54:D54"/>
    <mergeCell ref="C16:D16"/>
    <mergeCell ref="F16:H16"/>
    <mergeCell ref="F18:H18"/>
    <mergeCell ref="I18:J18"/>
    <mergeCell ref="B60:H60"/>
    <mergeCell ref="B80:C80"/>
    <mergeCell ref="H74:I74"/>
    <mergeCell ref="H75:I75"/>
    <mergeCell ref="H76:I78"/>
    <mergeCell ref="B79:H79"/>
    <mergeCell ref="C74:F74"/>
    <mergeCell ref="H71:I71"/>
    <mergeCell ref="H72:I72"/>
    <mergeCell ref="C72:F72"/>
    <mergeCell ref="C75:F75"/>
    <mergeCell ref="H73:I73"/>
    <mergeCell ref="C73:F73"/>
    <mergeCell ref="K22:V22"/>
    <mergeCell ref="F58:H58"/>
    <mergeCell ref="F59:H59"/>
    <mergeCell ref="F52:H52"/>
    <mergeCell ref="F53:H53"/>
    <mergeCell ref="F54:H54"/>
    <mergeCell ref="F57:H57"/>
    <mergeCell ref="F47:H47"/>
    <mergeCell ref="F48:H48"/>
    <mergeCell ref="B26:I26"/>
    <mergeCell ref="E28:I28"/>
    <mergeCell ref="B25:C25"/>
    <mergeCell ref="B31:H31"/>
    <mergeCell ref="B44:J44"/>
    <mergeCell ref="F49:H49"/>
    <mergeCell ref="B67:C67"/>
    <mergeCell ref="B66:C66"/>
    <mergeCell ref="B62:C62"/>
    <mergeCell ref="D36:I36"/>
    <mergeCell ref="C52:D52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81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3:J43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>
      <formula1>#REF!</formula1>
    </dataValidation>
    <dataValidation type="list" allowBlank="1" showInputMessage="1" showErrorMessage="1" sqref="D23:D24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9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/>
    <dataValidation type="date" operator="greaterThanOrEqual" allowBlank="1" showInputMessage="1" showErrorMessage="1" error="INTRODUZCA UNA FECHA VALIDA EN EL FORMATO DD/MM/AAAA" prompt="GRUPOREGIONAL:_x000a_FECHA EN LA QUE SE PLANIFICA CONCLUIR EL PROYECTO" sqref="I16:J16">
      <formula1>42736</formula1>
    </dataValidation>
    <dataValidation allowBlank="1" showInputMessage="1" showErrorMessage="1" prompt="NOMBRE DEL PROYECTO, EVENTO O TRABAJO A SER COTIZADO" sqref="H14:J14"/>
    <dataValidation type="list" allowBlank="1" showInputMessage="1" showErrorMessage="1" sqref="I18:J18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9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[1]Hoja2!#REF!</xm:f>
          </x14:formula1>
          <xm:sqref>C27</xm:sqref>
        </x14:dataValidation>
        <x14:dataValidation type="list" allowBlank="1" showInputMessage="1" showErrorMessage="1">
          <x14:formula1>
            <xm:f>Hoja1!$Q$1:$Q$2</xm:f>
          </x14:formula1>
          <xm:sqref>H30</xm:sqref>
        </x14:dataValidation>
        <x14:dataValidation type="list" allowBlank="1" showInputMessage="1" showErrorMessage="1">
          <x14:formula1>
            <xm:f>Hoja1!$Q$5:$Q$8</xm:f>
          </x14:formula1>
          <xm:sqref>H38:H41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theme="9"/>
  </sheetPr>
  <dimension ref="A1:G177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43480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TIGO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DESAYUNOS OFICINAS TIGO CBBA 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costos'!H69*100</f>
        <v>10</v>
      </c>
      <c r="D22" s="309">
        <f ca="1">'Estado de costos'!D2</f>
        <v>770</v>
      </c>
      <c r="E22" s="310">
        <f ca="1">IF('Estado de costos'!I18="EXTERNO",E30+E31,IF('Estado de costos'!I18="INTERNO",'Estado de costos'!K9,))</f>
        <v>770</v>
      </c>
      <c r="F22" s="311">
        <f ca="1">GESTEP(E22,D22)</f>
        <v>1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x14ac:dyDescent="0.25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8" t="s">
        <v>179</v>
      </c>
      <c r="B27" s="118">
        <v>1</v>
      </c>
      <c r="C27" s="119">
        <v>15</v>
      </c>
      <c r="D27" s="120">
        <v>30</v>
      </c>
      <c r="E27" s="120">
        <v>450</v>
      </c>
    </row>
    <row r="28" spans="1:7" x14ac:dyDescent="0.25">
      <c r="A28" s="118" t="s">
        <v>180</v>
      </c>
      <c r="B28" s="118">
        <v>1</v>
      </c>
      <c r="C28" s="119">
        <v>10</v>
      </c>
      <c r="D28" s="120">
        <v>25</v>
      </c>
      <c r="E28" s="120">
        <v>250</v>
      </c>
    </row>
    <row r="29" spans="1:7" x14ac:dyDescent="0.25">
      <c r="A29" s="118"/>
      <c r="B29" s="118"/>
      <c r="C29" s="119"/>
      <c r="D29" s="120"/>
      <c r="E29" s="120"/>
    </row>
    <row r="30" spans="1:7" ht="15.75" thickBot="1" x14ac:dyDescent="0.3">
      <c r="D30" s="20" t="s">
        <v>60</v>
      </c>
      <c r="E30" s="114">
        <f ca="1">IF('Estado de costos'!I18="EXTERNO",SUM(E26:OFFSET(E30,-1,0)),IF('Estado de costos'!I18="INTERNO",'Estado de costos'!K9,))</f>
        <v>700</v>
      </c>
    </row>
    <row r="31" spans="1:7" ht="15.75" thickBot="1" x14ac:dyDescent="0.3">
      <c r="D31" s="21" t="str">
        <f>"F E E  "&amp; C22&amp;"%"</f>
        <v>F E E  10%</v>
      </c>
      <c r="E31" s="114">
        <f ca="1">'Estado de costos'!J73</f>
        <v>70</v>
      </c>
    </row>
    <row r="32" spans="1:7" ht="15.75" thickBot="1" x14ac:dyDescent="0.3">
      <c r="D32" s="22" t="s">
        <v>61</v>
      </c>
      <c r="E32" s="114">
        <f ca="1">IF('Estado de costos'!I18="EXTERNO",E30+E31,IF('Estado de costos'!I18="INTERNO",'Estado de costos'!K9,))</f>
        <v>770</v>
      </c>
    </row>
    <row r="33" spans="1:5" x14ac:dyDescent="0.25">
      <c r="E33" s="23"/>
    </row>
    <row r="34" spans="1:5" ht="28.5" x14ac:dyDescent="0.25">
      <c r="A34" s="112" t="str">
        <f>IF('Estado de costos'!I18="INTERNO","ESTE PRECIO COTIZADO ES SOLO AREAS INTERNAS  PARA GRUPO REGIONAL SRL ",IF('Estado de costos'!I18="EXTERNO","",))</f>
        <v/>
      </c>
      <c r="B34" s="99"/>
      <c r="C34" s="99"/>
      <c r="D34" s="99"/>
      <c r="E34" s="99"/>
    </row>
    <row r="35" spans="1:5" ht="28.5" x14ac:dyDescent="0.25">
      <c r="A35" s="99"/>
      <c r="B35" s="99"/>
    </row>
    <row r="36" spans="1:5" ht="28.5" x14ac:dyDescent="0.25">
      <c r="A36" s="99"/>
      <c r="B36" s="99"/>
    </row>
    <row r="37" spans="1:5" ht="18.75" x14ac:dyDescent="0.3">
      <c r="A37" s="97" t="s">
        <v>62</v>
      </c>
      <c r="B37" s="97"/>
    </row>
    <row r="38" spans="1:5" x14ac:dyDescent="0.25">
      <c r="A38" s="24"/>
      <c r="B38" s="24"/>
    </row>
    <row r="39" spans="1:5" ht="15.75" x14ac:dyDescent="0.25">
      <c r="A39" s="101" t="s">
        <v>63</v>
      </c>
      <c r="B39" s="101"/>
    </row>
    <row r="40" spans="1:5" ht="15.75" x14ac:dyDescent="0.25">
      <c r="A40" s="102"/>
      <c r="B40" s="102"/>
    </row>
    <row r="41" spans="1:5" ht="15.75" x14ac:dyDescent="0.25">
      <c r="A41" s="101"/>
      <c r="B41" s="101"/>
    </row>
    <row r="42" spans="1:5" ht="15.75" x14ac:dyDescent="0.25">
      <c r="A42" s="98"/>
      <c r="B42" s="101"/>
    </row>
    <row r="43" spans="1:5" ht="15.75" x14ac:dyDescent="0.25">
      <c r="A43" s="98"/>
      <c r="B43" s="103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  <c r="C55" s="294"/>
      <c r="D55" s="294"/>
    </row>
    <row r="56" spans="1:4" ht="15.75" x14ac:dyDescent="0.25">
      <c r="A56" s="98"/>
      <c r="B56" s="98"/>
    </row>
    <row r="57" spans="1:4" ht="15.75" x14ac:dyDescent="0.25">
      <c r="A57" s="98"/>
      <c r="B57" s="98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A62" s="100"/>
      <c r="B62" s="100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98"/>
    </row>
    <row r="71" spans="3:4" ht="15.75" x14ac:dyDescent="0.25">
      <c r="C71" s="317" t="s">
        <v>174</v>
      </c>
    </row>
    <row r="72" spans="3:4" ht="15.75" x14ac:dyDescent="0.25">
      <c r="C72" s="318" t="s">
        <v>176</v>
      </c>
    </row>
    <row r="73" spans="3:4" ht="15.75" x14ac:dyDescent="0.25">
      <c r="C73" s="317" t="str">
        <f>IF(C72="Francisco Canelas","Gerente Comercial y Operaciones",IF(C72="Paola Bolivar"," Jefe de Eventos ATL",IF(C72="Diego Rojas","Ejecutivo de Cuentas ATL")))</f>
        <v>Ejecutivo de Cuentas ATL</v>
      </c>
    </row>
    <row r="74" spans="3:4" ht="15.75" x14ac:dyDescent="0.25">
      <c r="C74" s="319" t="str">
        <f>IF(C72="Francisco Canelas","francisco@gruporegional.com",IF(C72="Paola Bolivar","paolabolivar@gruporegional.com",IF(C72="Diego Rojas","diegorojas@gruporegional.com")))</f>
        <v>diegorojas@gruporegional.com</v>
      </c>
    </row>
    <row r="75" spans="3:4" ht="15.75" x14ac:dyDescent="0.25">
      <c r="C75" s="319" t="s">
        <v>175</v>
      </c>
    </row>
    <row r="76" spans="3:4" ht="15.75" x14ac:dyDescent="0.25">
      <c r="C76" s="100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98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93" spans="4:4" ht="15.75" x14ac:dyDescent="0.25">
      <c r="D93" s="100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98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  <row r="177" spans="5:5" ht="15.75" x14ac:dyDescent="0.25">
      <c r="E177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2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819150</xdr:colOff>
                <xdr:row>2</xdr:row>
                <xdr:rowOff>85725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 xml:space="preserve">TIGO 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0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 xml:space="preserve">DESAYUNOS OFICINAS TIGO CBBA 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43481</v>
      </c>
      <c r="F15" s="413"/>
      <c r="G15" s="14">
        <v>1.6</v>
      </c>
      <c r="H15" s="414" t="s">
        <v>127</v>
      </c>
      <c r="I15" s="414"/>
      <c r="J15" s="413">
        <f>+'Estado de costos'!I16</f>
        <v>43121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 xml:space="preserve">DESAYUNO OFICINA TIGO PRADO 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15</v>
      </c>
      <c r="H43" s="51">
        <f>+'Estado de costos'!F38</f>
        <v>23</v>
      </c>
      <c r="I43" s="52">
        <f t="shared" si="1"/>
        <v>345</v>
      </c>
      <c r="J43" s="53" t="str">
        <f>+'Estado de costos'!H38</f>
        <v>FACTURA</v>
      </c>
      <c r="K43" s="54">
        <f>+'Estado de costos'!I38</f>
        <v>300.14999999999998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Hoja1!$Q$5:$Q$9</xm:f>
          </x14:formula1>
          <xm:sqref>J38:J91</xm:sqref>
        </x14:dataValidation>
        <x14:dataValidation type="list" allowBlank="1" showInputMessage="1" showErrorMessage="1">
          <x14:formula1>
            <xm:f>Hoja1!$Q$1:$Q$3</xm:f>
          </x14:formula1>
          <xm:sqref>J22:J30</xm:sqref>
        </x14:dataValidation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 t="s">
        <v>179</v>
      </c>
      <c r="B5" s="118">
        <v>1</v>
      </c>
      <c r="C5" s="119">
        <v>15</v>
      </c>
      <c r="D5" s="120">
        <v>30</v>
      </c>
      <c r="E5" s="120">
        <v>450</v>
      </c>
      <c r="F5" s="7" t="s">
        <v>181</v>
      </c>
      <c r="G5">
        <v>1</v>
      </c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 t="s">
        <v>180</v>
      </c>
      <c r="B6" s="118">
        <v>1</v>
      </c>
      <c r="C6" s="119">
        <v>10</v>
      </c>
      <c r="D6" s="120">
        <v>25</v>
      </c>
      <c r="E6" s="120">
        <v>250</v>
      </c>
      <c r="F6" s="7" t="s">
        <v>181</v>
      </c>
      <c r="G6">
        <v>1</v>
      </c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DESAYUNO OFICINA TIGO PRADO </v>
      </c>
      <c r="K10" s="105">
        <f>IF('Estado de costos'!D38=0,"",'Estado de costos'!D38)</f>
        <v>1</v>
      </c>
      <c r="L10">
        <f>'Estado de costos'!E38</f>
        <v>15</v>
      </c>
      <c r="M10" s="7">
        <f t="shared" si="0"/>
        <v>30</v>
      </c>
      <c r="N10" s="7">
        <f>'Estado de costos'!J38</f>
        <v>450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costos'!B39</f>
        <v>DESAYUNO OFICINA TIGO RECOLETA</v>
      </c>
      <c r="K11" s="105">
        <f>IF('Estado de costos'!D39=0,"",'Estado de costos'!D39)</f>
        <v>1</v>
      </c>
      <c r="L11">
        <f>'Estado de costos'!E39</f>
        <v>10</v>
      </c>
      <c r="M11" s="7">
        <f t="shared" si="0"/>
        <v>25</v>
      </c>
      <c r="N11" s="7">
        <f>'Estado de costos'!J39</f>
        <v>250</v>
      </c>
      <c r="O11" s="7" t="str">
        <f>'Estado de costos'!K39</f>
        <v>888</v>
      </c>
      <c r="P11">
        <f t="shared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costos'!B40</f>
        <v>0</v>
      </c>
      <c r="K12" s="105" t="str">
        <f>IF('Estado de costos'!D40=0,"",'Estado de costos'!D40)</f>
        <v/>
      </c>
      <c r="L12">
        <f>'Estado de costos'!E40</f>
        <v>0</v>
      </c>
      <c r="M12" s="7">
        <f t="shared" si="0"/>
        <v>0</v>
      </c>
      <c r="N12" s="7">
        <f>'Estado de costos'!J40</f>
        <v>0</v>
      </c>
      <c r="O12" s="7" t="str">
        <f>'Estado de costos'!K40</f>
        <v>888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>
        <f>'Estado de costos'!B41</f>
        <v>0</v>
      </c>
      <c r="K13" s="105" t="str">
        <f>IF('Estado de costos'!D41=0,"",'Estado de costos'!D41)</f>
        <v/>
      </c>
      <c r="L13">
        <f>'Estado de costos'!E41</f>
        <v>0</v>
      </c>
      <c r="M13" s="7">
        <f t="shared" si="0"/>
        <v>0</v>
      </c>
      <c r="N13" s="7">
        <f>'Estado de costos'!J41</f>
        <v>0</v>
      </c>
      <c r="O13" s="7" t="str">
        <f>'Estado de costos'!K41</f>
        <v>888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costos'!B42</f>
        <v>TOTALES</v>
      </c>
      <c r="K14" s="105" t="str">
        <f>IF('Estado de costos'!D42=0,"",'Estado de costos'!D42)</f>
        <v/>
      </c>
      <c r="L14">
        <f>'Estado de costos'!E42</f>
        <v>0</v>
      </c>
      <c r="M14" s="7">
        <f t="shared" ca="1" si="0"/>
        <v>0</v>
      </c>
      <c r="N14" s="7">
        <f ca="1">'Estado de costos'!J42</f>
        <v>700</v>
      </c>
      <c r="O14" s="7">
        <f>'Estado de costos'!K42</f>
        <v>0</v>
      </c>
      <c r="P14">
        <f t="shared" ca="1" si="1"/>
        <v>1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costos'!B43</f>
        <v>0</v>
      </c>
      <c r="K15" s="105" t="str">
        <f>IF('Estado de costos'!D43=0,"",'Estado de costos'!D43)</f>
        <v/>
      </c>
      <c r="L15">
        <f>'Estado de costos'!E43</f>
        <v>0</v>
      </c>
      <c r="M15" s="7">
        <f t="shared" si="0"/>
        <v>0</v>
      </c>
      <c r="N15" s="7">
        <f>'Estado de costos'!J43</f>
        <v>0</v>
      </c>
      <c r="O15" s="7">
        <f>'Estado de costos'!K43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costos'!B44</f>
        <v>SERVICIOS / PRODUCTOS PROPIOS DE GRUPO REGIONAL</v>
      </c>
      <c r="K16" s="105" t="str">
        <f>IF('Estado de costos'!D44=0,"",'Estado de costos'!D44)</f>
        <v/>
      </c>
      <c r="L16">
        <f>'Estado de costos'!E44</f>
        <v>0</v>
      </c>
      <c r="M16" s="7">
        <f t="shared" si="0"/>
        <v>0</v>
      </c>
      <c r="N16" s="7">
        <f>'Estado de costos'!J44</f>
        <v>0</v>
      </c>
      <c r="O16" s="7">
        <f>'Estado de costos'!K44</f>
        <v>0</v>
      </c>
      <c r="P16">
        <f t="shared" si="1"/>
        <v>0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 t="str">
        <f>'Estado de costos'!B45</f>
        <v xml:space="preserve">PRODUCTO PROPIO  DE TALLER </v>
      </c>
      <c r="K17" s="105" t="str">
        <f>IF('Estado de costos'!D45=0,"",'Estado de costos'!D45)</f>
        <v/>
      </c>
      <c r="L17">
        <f>'Estado de costos'!E45</f>
        <v>0</v>
      </c>
      <c r="M17" s="7">
        <f t="shared" si="0"/>
        <v>0</v>
      </c>
      <c r="N17" s="7">
        <f>'Estado de costos'!J45</f>
        <v>0</v>
      </c>
      <c r="O17" s="7">
        <f>'Estado de costos'!K45</f>
        <v>0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>
        <f>'Estado de costos'!B46</f>
        <v>0</v>
      </c>
      <c r="K18" s="105" t="str">
        <f>IF('Estado de costos'!D46=0,"",'Estado de costos'!D46)</f>
        <v/>
      </c>
      <c r="L18">
        <f>'Estado de costos'!E46</f>
        <v>0</v>
      </c>
      <c r="M18" s="7">
        <f t="shared" si="0"/>
        <v>0</v>
      </c>
      <c r="N18" s="7">
        <f>'Estado de costos'!J46</f>
        <v>0</v>
      </c>
      <c r="O18" s="7">
        <f>'Estado de costos'!K46</f>
        <v>0</v>
      </c>
      <c r="P18">
        <f t="shared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costos'!B47</f>
        <v>PRODUCTOS TERMINADOS DE TALLER</v>
      </c>
      <c r="K19" s="105" t="str">
        <f>IF('Estado de costos'!D47=0,"",'Estado de costos'!D47)</f>
        <v/>
      </c>
      <c r="L19" t="str">
        <f>'Estado de costos'!E47</f>
        <v xml:space="preserve">CANTIDAD </v>
      </c>
      <c r="M19" s="7">
        <f t="shared" si="0"/>
        <v>0</v>
      </c>
      <c r="N19" s="7" t="str">
        <f>'Estado de costos'!J47</f>
        <v>PRECIO COTIZADO SIN F.E.E.</v>
      </c>
      <c r="O19" s="7">
        <f>'Estado de costos'!K47</f>
        <v>0</v>
      </c>
      <c r="P19">
        <f t="shared" si="1"/>
        <v>1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costos'!B48</f>
        <v>0</v>
      </c>
      <c r="K20" s="105" t="str">
        <f>IF('Estado de costos'!D48=0,"",'Estado de costos'!D48)</f>
        <v/>
      </c>
      <c r="L20">
        <f>'Estado de costos'!E48</f>
        <v>0</v>
      </c>
      <c r="M20" s="7">
        <f t="shared" si="0"/>
        <v>0</v>
      </c>
      <c r="N20" s="7">
        <f>'Estado de costos'!J48</f>
        <v>0</v>
      </c>
      <c r="O20" s="7" t="str">
        <f>'Estado de costos'!K48</f>
        <v>888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costos'!B49</f>
        <v>TOTAL</v>
      </c>
      <c r="K21" s="105" t="str">
        <f>IF('Estado de costos'!D49=0,"",'Estado de costos'!D49)</f>
        <v/>
      </c>
      <c r="L21">
        <f>'Estado de costos'!E49</f>
        <v>0</v>
      </c>
      <c r="M21" s="7">
        <f t="shared" ca="1" si="0"/>
        <v>0</v>
      </c>
      <c r="N21" s="7">
        <f ca="1">'Estado de costos'!J49</f>
        <v>0</v>
      </c>
      <c r="O21" s="7">
        <f>'Estado de costos'!K49</f>
        <v>0</v>
      </c>
      <c r="P21">
        <f t="shared" ca="1" si="1"/>
        <v>0</v>
      </c>
    </row>
    <row r="22" spans="1:25" x14ac:dyDescent="0.25">
      <c r="A22" s="118"/>
      <c r="B22" s="118"/>
      <c r="C22" s="119"/>
      <c r="D22" s="120"/>
      <c r="E22" s="120"/>
      <c r="F22" s="7"/>
      <c r="J22" s="105" t="str">
        <f>'Estado de costos'!B50</f>
        <v>SERVICIO DE OPERACION DE ACTIVACIONES PROPIOS</v>
      </c>
      <c r="K22" s="105" t="str">
        <f>IF('Estado de costos'!D50=0,"",'Estado de costos'!D50)</f>
        <v/>
      </c>
      <c r="L22">
        <f>'Estado de costos'!E50</f>
        <v>0</v>
      </c>
      <c r="M22" s="7">
        <f t="shared" si="0"/>
        <v>0</v>
      </c>
      <c r="N22" s="7">
        <f>'Estado de costos'!J50</f>
        <v>0</v>
      </c>
      <c r="O22" s="7">
        <f>'Estado de costos'!K50</f>
        <v>0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>
        <f>'Estado de costos'!B51</f>
        <v>0</v>
      </c>
      <c r="K23" s="105" t="str">
        <f>IF('Estado de costos'!D51=0,"",'Estado de costos'!D51)</f>
        <v/>
      </c>
      <c r="L23">
        <f>'Estado de costos'!E51</f>
        <v>0</v>
      </c>
      <c r="M23" s="7">
        <f t="shared" si="0"/>
        <v>0</v>
      </c>
      <c r="N23" s="7">
        <f>'Estado de costos'!J51</f>
        <v>0</v>
      </c>
      <c r="O23" s="7">
        <f>'Estado de costos'!K51</f>
        <v>0</v>
      </c>
      <c r="P23">
        <f t="shared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costos'!B52</f>
        <v>DETALLE DEL SERVICIO</v>
      </c>
      <c r="K24" s="105" t="str">
        <f>IF('Estado de costos'!D52=0,"",'Estado de costos'!D52)</f>
        <v/>
      </c>
      <c r="L24" t="str">
        <f>'Estado de costos'!E52</f>
        <v>CANTIDAD</v>
      </c>
      <c r="M24" s="7">
        <f t="shared" si="0"/>
        <v>0</v>
      </c>
      <c r="N24" s="7" t="str">
        <f>'Estado de costos'!J52</f>
        <v>PRECIO COTIZADO SIN F.E.E.</v>
      </c>
      <c r="O24" s="7">
        <f>'Estado de costos'!K52</f>
        <v>0</v>
      </c>
      <c r="P24">
        <f t="shared" si="1"/>
        <v>1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costos'!B53</f>
        <v>0</v>
      </c>
      <c r="K25" s="105" t="str">
        <f>IF('Estado de costos'!D53=0,"",'Estado de costos'!D53)</f>
        <v/>
      </c>
      <c r="L25">
        <f>'Estado de costos'!E53</f>
        <v>0</v>
      </c>
      <c r="M25" s="7">
        <f t="shared" si="0"/>
        <v>0</v>
      </c>
      <c r="N25" s="7">
        <f>'Estado de costos'!J53</f>
        <v>0</v>
      </c>
      <c r="O25" s="7" t="str">
        <f>'Estado de costos'!K53</f>
        <v>888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costos'!B54</f>
        <v>TOTAL</v>
      </c>
      <c r="K26" s="105" t="str">
        <f>IF('Estado de costos'!D54=0,"",'Estado de costos'!D54)</f>
        <v/>
      </c>
      <c r="L26">
        <f>'Estado de costos'!E54</f>
        <v>0</v>
      </c>
      <c r="M26" s="7">
        <f t="shared" ca="1" si="0"/>
        <v>0</v>
      </c>
      <c r="N26" s="7">
        <f ca="1">'Estado de costos'!J54</f>
        <v>0</v>
      </c>
      <c r="O26" s="7">
        <f>'Estado de costos'!K54</f>
        <v>0</v>
      </c>
      <c r="P26">
        <f t="shared" ca="1" si="1"/>
        <v>0</v>
      </c>
    </row>
    <row r="27" spans="1:25" x14ac:dyDescent="0.25">
      <c r="A27" s="119"/>
      <c r="B27" s="119"/>
      <c r="C27" s="119"/>
      <c r="D27" s="119"/>
      <c r="E27" s="119"/>
      <c r="F27" s="121"/>
      <c r="J27" s="105" t="str">
        <f>'Estado de costos'!B55</f>
        <v xml:space="preserve">EQUIPOS PROPIOS </v>
      </c>
      <c r="K27" s="105" t="str">
        <f>IF('Estado de costos'!D55=0,"",'Estado de costos'!D55)</f>
        <v/>
      </c>
      <c r="L27">
        <f>'Estado de costos'!E55</f>
        <v>0</v>
      </c>
      <c r="M27" s="7">
        <f t="shared" si="0"/>
        <v>0</v>
      </c>
      <c r="N27" s="7">
        <f>'Estado de costos'!J55</f>
        <v>0</v>
      </c>
      <c r="O27" s="7">
        <f>'Estado de costos'!K55</f>
        <v>0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>
        <f>'Estado de costos'!B56</f>
        <v>0</v>
      </c>
      <c r="K28" s="105" t="str">
        <f>IF('Estado de costos'!D56=0,"",'Estado de costos'!D56)</f>
        <v/>
      </c>
      <c r="L28">
        <f>'Estado de costos'!E56</f>
        <v>0</v>
      </c>
      <c r="M28" s="7">
        <f t="shared" si="0"/>
        <v>0</v>
      </c>
      <c r="N28" s="7">
        <f>'Estado de costos'!J56</f>
        <v>0</v>
      </c>
      <c r="O28" s="7">
        <f>'Estado de costos'!K56</f>
        <v>0</v>
      </c>
      <c r="P28">
        <f t="shared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costos'!B57</f>
        <v>DETALLE DEL SERVICIO</v>
      </c>
      <c r="K29" s="105" t="str">
        <f>IF('Estado de costos'!D57=0,"",'Estado de costos'!D57)</f>
        <v/>
      </c>
      <c r="L29" t="str">
        <f>'Estado de costos'!E57</f>
        <v>CANTIDAD</v>
      </c>
      <c r="M29" s="7">
        <f t="shared" si="0"/>
        <v>0</v>
      </c>
      <c r="N29" s="7" t="str">
        <f>'Estado de costos'!J57</f>
        <v>PRECIO COTIZADO SIN F.E.E.</v>
      </c>
      <c r="O29" s="7">
        <f>'Estado de costos'!K57</f>
        <v>0</v>
      </c>
      <c r="P29">
        <f t="shared" si="1"/>
        <v>1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costos'!B58</f>
        <v>0</v>
      </c>
      <c r="K30" s="105" t="str">
        <f>IF('Estado de costos'!D58=0,"",'Estado de costos'!D58)</f>
        <v/>
      </c>
      <c r="L30">
        <f>'Estado de costos'!E58</f>
        <v>0</v>
      </c>
      <c r="M30" s="7">
        <f t="shared" si="0"/>
        <v>0</v>
      </c>
      <c r="N30" s="7">
        <f>'Estado de costos'!J58</f>
        <v>0</v>
      </c>
      <c r="O30" s="7" t="str">
        <f>'Estado de costos'!K58</f>
        <v>888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costos'!B59</f>
        <v>TOTAL</v>
      </c>
      <c r="K31" s="105" t="str">
        <f>IF('Estado de costos'!D59=0,"",'Estado de costos'!D59)</f>
        <v/>
      </c>
      <c r="L31">
        <f>'Estado de costos'!E59</f>
        <v>0</v>
      </c>
      <c r="M31" s="7">
        <f t="shared" ca="1" si="0"/>
        <v>0</v>
      </c>
      <c r="N31" s="7">
        <f ca="1">'Estado de costos'!J59</f>
        <v>0</v>
      </c>
      <c r="O31" s="7">
        <f>'Estado de costos'!K59</f>
        <v>0</v>
      </c>
      <c r="P31">
        <f t="shared" ca="1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 t="str">
        <f>'Estado de costos'!B60</f>
        <v>COSTOS INDIRECTOS DEL PROYECTO</v>
      </c>
      <c r="K32" s="105" t="str">
        <f>IF('Estado de costos'!D60=0,"",'Estado de costos'!D60)</f>
        <v/>
      </c>
      <c r="L32">
        <f>'Estado de costos'!E60</f>
        <v>0</v>
      </c>
      <c r="M32" s="7">
        <f t="shared" si="0"/>
        <v>0</v>
      </c>
      <c r="N32" s="7">
        <f>'Estado de costos'!J60</f>
        <v>0</v>
      </c>
      <c r="O32" s="7">
        <f>'Estado de costos'!K60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costos'!B61</f>
        <v>0</v>
      </c>
      <c r="K33" s="105" t="str">
        <f>IF('Estado de costos'!D61=0,"",'Estado de costos'!D61)</f>
        <v/>
      </c>
      <c r="L33">
        <f>'Estado de costos'!E61</f>
        <v>0</v>
      </c>
      <c r="M33" s="7">
        <f t="shared" si="0"/>
        <v>0</v>
      </c>
      <c r="N33" s="7">
        <f>'Estado de costos'!J61</f>
        <v>0</v>
      </c>
      <c r="O33" s="7">
        <f>'Estado de costos'!K61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 t="str">
        <f>'Estado de costos'!B62</f>
        <v>COSTOS INDIRECTOS DE OPERACIONES</v>
      </c>
      <c r="K34" s="105" t="str">
        <f>IF('Estado de costos'!D62=0,"",'Estado de costos'!D62)</f>
        <v>COSTO  ACUMULADO  PROGRAMADO</v>
      </c>
      <c r="L34" t="str">
        <f>'Estado de costos'!E62</f>
        <v>TASA DE APLICACIÓN</v>
      </c>
      <c r="M34" s="7">
        <f t="shared" si="0"/>
        <v>0</v>
      </c>
      <c r="N34" s="7">
        <f>'Estado de costos'!J62</f>
        <v>0</v>
      </c>
      <c r="O34" s="7">
        <f>'Estado de costos'!K62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>
        <f>'Estado de costos'!B63</f>
        <v>0</v>
      </c>
      <c r="K35" s="105">
        <f ca="1">IF('Estado de costos'!D63=0,"",'Estado de costos'!D63)</f>
        <v>465.45</v>
      </c>
      <c r="L35">
        <f>'Estado de costos'!E63</f>
        <v>0.17</v>
      </c>
      <c r="M35" s="7">
        <f t="shared" ca="1" si="0"/>
        <v>0</v>
      </c>
      <c r="N35" s="7">
        <f>'Estado de costos'!J63</f>
        <v>0</v>
      </c>
      <c r="O35" s="7">
        <f>'Estado de costos'!K63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costos'!B64</f>
        <v>0</v>
      </c>
      <c r="K36" s="105" t="str">
        <f>IF('Estado de costos'!D64=0,"",'Estado de costos'!D64)</f>
        <v/>
      </c>
      <c r="L36">
        <f>'Estado de costos'!E64</f>
        <v>0</v>
      </c>
      <c r="M36" s="7">
        <f t="shared" si="0"/>
        <v>0</v>
      </c>
      <c r="N36" s="7">
        <f>'Estado de costos'!J64</f>
        <v>0</v>
      </c>
      <c r="O36" s="7">
        <f>'Estado de costos'!K64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costos'!B65</f>
        <v>0</v>
      </c>
      <c r="K37" s="105" t="str">
        <f>IF('Estado de costos'!D65=0,"",'Estado de costos'!D65)</f>
        <v/>
      </c>
      <c r="L37">
        <f>'Estado de costos'!E65</f>
        <v>0</v>
      </c>
      <c r="M37" s="7">
        <f t="shared" si="0"/>
        <v>0</v>
      </c>
      <c r="N37" s="7">
        <f>'Estado de costos'!J65</f>
        <v>0</v>
      </c>
      <c r="O37" s="7">
        <f>'Estado de costos'!K65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costos'!B66</f>
        <v>COSTO FINANCIERO</v>
      </c>
      <c r="K38" s="105" t="str">
        <f>IF('Estado de costos'!D66=0,"",'Estado de costos'!D66)</f>
        <v>TIEMPO PROGRAMADO</v>
      </c>
      <c r="L38" t="str">
        <f>'Estado de costos'!E66</f>
        <v>TASA FINANCIERA</v>
      </c>
      <c r="M38" s="7">
        <f t="shared" si="0"/>
        <v>0</v>
      </c>
      <c r="N38" s="7">
        <f>'Estado de costos'!J66</f>
        <v>0</v>
      </c>
      <c r="O38" s="7">
        <f>'Estado de costos'!K66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costos'!B67</f>
        <v>0</v>
      </c>
      <c r="K39" s="105">
        <f>IF('Estado de costos'!D67=0,"",'Estado de costos'!D67)</f>
        <v>30</v>
      </c>
      <c r="L39">
        <f>'Estado de costos'!E67</f>
        <v>5.4487179487179495E-4</v>
      </c>
      <c r="M39" s="7">
        <f t="shared" si="0"/>
        <v>0</v>
      </c>
      <c r="N39" s="7">
        <f>'Estado de costos'!J67</f>
        <v>0</v>
      </c>
      <c r="O39" s="7">
        <f>'Estado de costos'!K67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costos'!B68</f>
        <v>0</v>
      </c>
      <c r="K40" s="105" t="str">
        <f>IF('Estado de costos'!D68=0,"",'Estado de costos'!D68)</f>
        <v/>
      </c>
      <c r="L40">
        <f>'Estado de costos'!E68</f>
        <v>0</v>
      </c>
      <c r="M40" s="7">
        <f t="shared" si="0"/>
        <v>0</v>
      </c>
      <c r="N40" s="7">
        <f>'Estado de costos'!J68</f>
        <v>0</v>
      </c>
      <c r="O40" s="7">
        <f>'Estado de costos'!K68</f>
        <v>0</v>
      </c>
      <c r="P40">
        <f t="shared" si="1"/>
        <v>0</v>
      </c>
    </row>
    <row r="41" spans="1:16" x14ac:dyDescent="0.25">
      <c r="A41" s="119"/>
      <c r="B41" s="119"/>
      <c r="C41" s="119"/>
      <c r="D41" s="119"/>
      <c r="E41" s="119"/>
      <c r="F41" s="121"/>
      <c r="J41" s="105" t="str">
        <f>'Estado de costos'!B69</f>
        <v>F.E.E. PROGRAMADO</v>
      </c>
      <c r="K41" s="105" t="str">
        <f>IF('Estado de costos'!D69=0,"",'Estado de costos'!D69)</f>
        <v/>
      </c>
      <c r="L41">
        <f>'Estado de costos'!E69</f>
        <v>0</v>
      </c>
      <c r="M41" s="7">
        <f t="shared" si="0"/>
        <v>0</v>
      </c>
      <c r="N41" s="7">
        <f>'Estado de costos'!J69</f>
        <v>0</v>
      </c>
      <c r="O41" s="7">
        <f>'Estado de costos'!K69</f>
        <v>0</v>
      </c>
      <c r="P41">
        <f t="shared" si="1"/>
        <v>0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costos'!B70</f>
        <v>0</v>
      </c>
      <c r="K42" s="105" t="str">
        <f>IF('Estado de costos'!D70=0,"",'Estado de costos'!D70)</f>
        <v/>
      </c>
      <c r="L42">
        <f>'Estado de costos'!E70</f>
        <v>0</v>
      </c>
      <c r="M42" s="7">
        <f t="shared" si="0"/>
        <v>0</v>
      </c>
      <c r="N42" s="7">
        <f>'Estado de costos'!J70</f>
        <v>0</v>
      </c>
      <c r="O42" s="7">
        <f>'Estado de costos'!K70</f>
        <v>0</v>
      </c>
      <c r="P42">
        <f t="shared" si="1"/>
        <v>0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costos'!B71</f>
        <v>0</v>
      </c>
      <c r="K43" s="105" t="str">
        <f>IF('Estado de costos'!D71=0,"",'Estado de costos'!D71)</f>
        <v/>
      </c>
      <c r="L43">
        <f>'Estado de costos'!E71</f>
        <v>0</v>
      </c>
      <c r="M43" s="7">
        <f t="shared" si="0"/>
        <v>0</v>
      </c>
      <c r="N43" s="7" t="str">
        <f>'Estado de costos'!J71</f>
        <v>TOTAL F.E.E. VARIABLE</v>
      </c>
      <c r="O43" s="7">
        <f>'Estado de costos'!K71</f>
        <v>0</v>
      </c>
      <c r="P43">
        <f t="shared" si="1"/>
        <v>1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costos'!B72</f>
        <v>0</v>
      </c>
      <c r="K44" s="105" t="str">
        <f>IF('Estado de costos'!D72=0,"",'Estado de costos'!D72)</f>
        <v/>
      </c>
      <c r="L44">
        <f>'Estado de costos'!E72</f>
        <v>0</v>
      </c>
      <c r="M44" s="7">
        <f t="shared" ca="1" si="0"/>
        <v>0</v>
      </c>
      <c r="N44" s="7">
        <f ca="1">'Estado de costos'!J72</f>
        <v>700</v>
      </c>
      <c r="O44" s="7">
        <f>'Estado de costos'!K72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costos'!B73</f>
        <v>0</v>
      </c>
      <c r="K45" s="105" t="str">
        <f>IF('Estado de costos'!D73=0,"",'Estado de costos'!D73)</f>
        <v/>
      </c>
      <c r="L45">
        <f>'Estado de costos'!E73</f>
        <v>0</v>
      </c>
      <c r="M45" s="7">
        <f t="shared" ca="1" si="0"/>
        <v>0</v>
      </c>
      <c r="N45" s="7">
        <f ca="1">'Estado de costos'!J73</f>
        <v>70</v>
      </c>
      <c r="O45" s="7">
        <f>'Estado de costos'!K73</f>
        <v>0</v>
      </c>
      <c r="P45">
        <f t="shared" ca="1" si="1"/>
        <v>1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costos'!B74</f>
        <v>0</v>
      </c>
      <c r="K46" s="105" t="str">
        <f>IF('Estado de costos'!D74=0,"",'Estado de costos'!D74)</f>
        <v/>
      </c>
      <c r="L46">
        <f>'Estado de costos'!E74</f>
        <v>0</v>
      </c>
      <c r="M46" s="7">
        <f t="shared" si="0"/>
        <v>0</v>
      </c>
      <c r="N46" s="7">
        <f>'Estado de costos'!J74</f>
        <v>0</v>
      </c>
      <c r="O46" s="7">
        <f>'Estado de costos'!K74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costos'!B75</f>
        <v>0</v>
      </c>
      <c r="K47" s="105" t="str">
        <f>IF('Estado de costos'!D75=0,"",'Estado de costos'!D75)</f>
        <v/>
      </c>
      <c r="L47">
        <f>'Estado de costos'!E75</f>
        <v>0</v>
      </c>
      <c r="M47" s="7">
        <f t="shared" ca="1" si="0"/>
        <v>0</v>
      </c>
      <c r="N47" s="7">
        <f ca="1">'Estado de costos'!J75</f>
        <v>770</v>
      </c>
      <c r="O47" s="7">
        <f>'Estado de costos'!K75</f>
        <v>0</v>
      </c>
      <c r="P47">
        <f t="shared" ca="1" si="1"/>
        <v>1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costos'!B76</f>
        <v>0</v>
      </c>
      <c r="K48" s="105" t="str">
        <f>IF('Estado de costos'!D76=0,"",'Estado de costos'!D76)</f>
        <v/>
      </c>
      <c r="L48">
        <f>'Estado de costos'!E76</f>
        <v>0</v>
      </c>
      <c r="M48" s="7">
        <f t="shared" si="0"/>
        <v>0</v>
      </c>
      <c r="N48" s="7">
        <f>'Estado de costos'!J76</f>
        <v>0</v>
      </c>
      <c r="O48" s="7">
        <f>'Estado de costos'!K76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costos'!B77</f>
        <v>0</v>
      </c>
      <c r="K49" s="105" t="str">
        <f>IF('Estado de costos'!D77=0,"",'Estado de costos'!D77)</f>
        <v/>
      </c>
      <c r="L49">
        <f>'Estado de costos'!E77</f>
        <v>0</v>
      </c>
      <c r="M49" s="7">
        <f t="shared" si="0"/>
        <v>0</v>
      </c>
      <c r="N49" s="7">
        <f>'Estado de costos'!J77</f>
        <v>0</v>
      </c>
      <c r="O49" s="7">
        <f>'Estado de costos'!K77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costos'!B78</f>
        <v>0</v>
      </c>
      <c r="K50" s="105" t="str">
        <f>IF('Estado de costos'!D78=0,"",'Estado de costos'!D78)</f>
        <v/>
      </c>
      <c r="L50">
        <f>'Estado de costos'!E78</f>
        <v>0</v>
      </c>
      <c r="M50" s="7">
        <f t="shared" si="0"/>
        <v>0</v>
      </c>
      <c r="N50" s="7">
        <f>'Estado de costos'!J78</f>
        <v>0</v>
      </c>
      <c r="O50" s="7">
        <f>'Estado de costos'!K78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costos'!B79</f>
        <v>0</v>
      </c>
      <c r="K51" s="105" t="str">
        <f>IF('Estado de costos'!D79=0,"",'Estado de costos'!D79)</f>
        <v/>
      </c>
      <c r="L51">
        <f>'Estado de costos'!E79</f>
        <v>0</v>
      </c>
      <c r="M51" s="7">
        <f t="shared" si="0"/>
        <v>0</v>
      </c>
      <c r="N51" s="7">
        <f>'Estado de costos'!J79</f>
        <v>0</v>
      </c>
      <c r="O51" s="7">
        <f>'Estado de costos'!K79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costos'!B80</f>
        <v>0</v>
      </c>
      <c r="K52" s="105" t="str">
        <f>IF('Estado de costos'!D80=0,"",'Estado de costos'!D80)</f>
        <v/>
      </c>
      <c r="L52">
        <f>'Estado de costos'!E80</f>
        <v>0</v>
      </c>
      <c r="M52" s="7">
        <f t="shared" si="0"/>
        <v>0</v>
      </c>
      <c r="N52" s="7">
        <f>'Estado de costos'!J80</f>
        <v>0</v>
      </c>
      <c r="O52" s="7">
        <f>'Estado de costos'!K80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costos'!B81</f>
        <v>0</v>
      </c>
      <c r="K53" s="105" t="str">
        <f>IF('Estado de costos'!D81=0,"",'Estado de costos'!D81)</f>
        <v/>
      </c>
      <c r="L53">
        <f>'Estado de costos'!E81</f>
        <v>0</v>
      </c>
      <c r="M53" s="7">
        <f t="shared" si="0"/>
        <v>0</v>
      </c>
      <c r="N53" s="7">
        <f>'Estado de costos'!J81</f>
        <v>0</v>
      </c>
      <c r="O53" s="7">
        <f>'Estado de costos'!K81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costos'!B82</f>
        <v>0</v>
      </c>
      <c r="K54" s="105" t="str">
        <f>IF('Estado de costos'!D82=0,"",'Estado de costos'!D82)</f>
        <v/>
      </c>
      <c r="L54">
        <f>'Estado de costos'!E82</f>
        <v>0</v>
      </c>
      <c r="M54" s="7">
        <f t="shared" si="0"/>
        <v>0</v>
      </c>
      <c r="N54" s="7">
        <f>'Estado de costos'!J82</f>
        <v>0</v>
      </c>
      <c r="O54" s="7">
        <f>'Estado de costos'!K82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costos'!B83</f>
        <v>0</v>
      </c>
      <c r="K55" s="105" t="str">
        <f>IF('Estado de costos'!D83=0,"",'Estado de costos'!D83)</f>
        <v/>
      </c>
      <c r="L55">
        <f>'Estado de costos'!E83</f>
        <v>0</v>
      </c>
      <c r="M55" s="7">
        <f t="shared" si="0"/>
        <v>0</v>
      </c>
      <c r="N55" s="7">
        <f>'Estado de costos'!J83</f>
        <v>0</v>
      </c>
      <c r="O55" s="7">
        <f>'Estado de costos'!K83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costos'!B84</f>
        <v>0</v>
      </c>
      <c r="K56" s="105" t="str">
        <f>IF('Estado de costos'!D84=0,"",'Estado de costos'!D84)</f>
        <v/>
      </c>
      <c r="L56">
        <f>'Estado de costos'!E84</f>
        <v>0</v>
      </c>
      <c r="M56" s="7">
        <f t="shared" si="0"/>
        <v>0</v>
      </c>
      <c r="N56" s="7">
        <f>'Estado de costos'!J84</f>
        <v>0</v>
      </c>
      <c r="O56" s="7">
        <f>'Estado de costos'!K84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costos'!B85</f>
        <v>0</v>
      </c>
      <c r="K57" s="105" t="str">
        <f>IF('Estado de costos'!D85=0,"",'Estado de costos'!D85)</f>
        <v/>
      </c>
      <c r="L57">
        <f>'Estado de costos'!E85</f>
        <v>0</v>
      </c>
      <c r="M57" s="7">
        <f t="shared" si="0"/>
        <v>0</v>
      </c>
      <c r="N57" s="7">
        <f>'Estado de costos'!J85</f>
        <v>0</v>
      </c>
      <c r="O57" s="7">
        <f>'Estado de costos'!K85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costos'!B86</f>
        <v>0</v>
      </c>
      <c r="K58" s="105" t="str">
        <f>IF('Estado de costos'!D86=0,"",'Estado de costos'!D86)</f>
        <v/>
      </c>
      <c r="L58">
        <f>'Estado de costos'!E86</f>
        <v>0</v>
      </c>
      <c r="M58" s="7">
        <f t="shared" si="0"/>
        <v>0</v>
      </c>
      <c r="N58" s="7">
        <f>'Estado de costos'!J86</f>
        <v>0</v>
      </c>
      <c r="O58" s="7">
        <f>'Estado de costos'!K86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costos'!B87</f>
        <v>0</v>
      </c>
      <c r="K59" s="105" t="str">
        <f>IF('Estado de costos'!D87=0,"",'Estado de costos'!D87)</f>
        <v/>
      </c>
      <c r="L59">
        <f>'Estado de costos'!E87</f>
        <v>0</v>
      </c>
      <c r="M59" s="7">
        <f t="shared" si="0"/>
        <v>0</v>
      </c>
      <c r="N59" s="7">
        <f>'Estado de costos'!J87</f>
        <v>0</v>
      </c>
      <c r="O59" s="7">
        <f>'Estado de costos'!K87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costos'!B88</f>
        <v>0</v>
      </c>
      <c r="K60" s="105" t="str">
        <f>IF('Estado de costos'!D88=0,"",'Estado de costos'!D88)</f>
        <v/>
      </c>
      <c r="L60">
        <f>'Estado de costos'!E88</f>
        <v>0</v>
      </c>
      <c r="M60" s="7">
        <f t="shared" si="0"/>
        <v>0</v>
      </c>
      <c r="N60" s="7">
        <f>'Estado de costos'!J88</f>
        <v>0</v>
      </c>
      <c r="O60" s="7">
        <f>'Estado de costos'!K88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costos'!B89</f>
        <v>0</v>
      </c>
      <c r="K61" s="105" t="str">
        <f>IF('Estado de costos'!D89=0,"",'Estado de costos'!D89)</f>
        <v/>
      </c>
      <c r="L61">
        <f>'Estado de costos'!E89</f>
        <v>0</v>
      </c>
      <c r="M61" s="7">
        <f t="shared" si="0"/>
        <v>0</v>
      </c>
      <c r="N61" s="7">
        <f>'Estado de costos'!J89</f>
        <v>0</v>
      </c>
      <c r="O61" s="7">
        <f>'Estado de costos'!K89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costos'!B90</f>
        <v>0</v>
      </c>
      <c r="K62" s="105" t="str">
        <f>IF('Estado de costos'!D90=0,"",'Estado de costos'!D90)</f>
        <v/>
      </c>
      <c r="L62">
        <f>'Estado de costos'!E90</f>
        <v>0</v>
      </c>
      <c r="M62" s="7">
        <f t="shared" si="0"/>
        <v>0</v>
      </c>
      <c r="N62" s="7">
        <f>'Estado de costos'!J90</f>
        <v>0</v>
      </c>
      <c r="O62" s="7">
        <f>'Estado de costos'!K90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costos'!B91</f>
        <v>0</v>
      </c>
      <c r="K63" s="105" t="str">
        <f>IF('Estado de costos'!D91=0,"",'Estado de costos'!D91)</f>
        <v/>
      </c>
      <c r="L63">
        <f>'Estado de costos'!E91</f>
        <v>0</v>
      </c>
      <c r="M63" s="7">
        <f t="shared" si="0"/>
        <v>0</v>
      </c>
      <c r="N63" s="7">
        <f>'Estado de costos'!J91</f>
        <v>0</v>
      </c>
      <c r="O63" s="7">
        <f>'Estado de costos'!K91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costos'!B92</f>
        <v>0</v>
      </c>
      <c r="K64" s="105" t="str">
        <f>IF('Estado de costos'!D92=0,"",'Estado de costos'!D92)</f>
        <v/>
      </c>
      <c r="L64">
        <f>'Estado de costos'!E92</f>
        <v>0</v>
      </c>
      <c r="M64" s="7">
        <f t="shared" si="0"/>
        <v>0</v>
      </c>
      <c r="N64" s="7">
        <f>'Estado de costos'!J92</f>
        <v>0</v>
      </c>
      <c r="O64" s="7">
        <f>'Estado de costos'!K92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costos'!B93</f>
        <v>0</v>
      </c>
      <c r="K65" s="105" t="str">
        <f>IF('Estado de costos'!D93=0,"",'Estado de costos'!D93)</f>
        <v/>
      </c>
      <c r="L65">
        <f>'Estado de costos'!E93</f>
        <v>0</v>
      </c>
      <c r="M65" s="7">
        <f t="shared" si="0"/>
        <v>0</v>
      </c>
      <c r="N65" s="7">
        <f>'Estado de costos'!J93</f>
        <v>0</v>
      </c>
      <c r="O65" s="7">
        <f>'Estado de costos'!K93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costos'!B94</f>
        <v>0</v>
      </c>
      <c r="K66" s="105" t="str">
        <f>IF('Estado de costos'!D94=0,"",'Estado de costos'!D94)</f>
        <v/>
      </c>
      <c r="L66">
        <f>'Estado de costos'!E94</f>
        <v>0</v>
      </c>
      <c r="M66" s="7">
        <f t="shared" si="0"/>
        <v>0</v>
      </c>
      <c r="N66" s="7">
        <f>'Estado de costos'!J94</f>
        <v>0</v>
      </c>
      <c r="O66" s="7">
        <f>'Estado de costos'!K94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costos'!B95</f>
        <v>0</v>
      </c>
      <c r="K67" s="105" t="str">
        <f>IF('Estado de costos'!D95=0,"",'Estado de costos'!D95)</f>
        <v/>
      </c>
      <c r="L67">
        <f>'Estado de costos'!E95</f>
        <v>0</v>
      </c>
      <c r="M67" s="7">
        <f t="shared" ref="M67:M130" si="2">IFERROR(+N67/L67/IF(K67="",1,K67),0)</f>
        <v>0</v>
      </c>
      <c r="N67" s="7">
        <f>'Estado de costos'!J95</f>
        <v>0</v>
      </c>
      <c r="O67" s="7">
        <f>'Estado de costos'!K95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costos'!B96</f>
        <v>0</v>
      </c>
      <c r="K68" s="105" t="str">
        <f>IF('Estado de costos'!D96=0,"",'Estado de costos'!D96)</f>
        <v/>
      </c>
      <c r="L68">
        <f>'Estado de costos'!E96</f>
        <v>0</v>
      </c>
      <c r="M68" s="7">
        <f t="shared" si="2"/>
        <v>0</v>
      </c>
      <c r="N68" s="7">
        <f>'Estado de costos'!J96</f>
        <v>0</v>
      </c>
      <c r="O68" s="7">
        <f>'Estado de costos'!K96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costos'!B97</f>
        <v>0</v>
      </c>
      <c r="K69" s="105" t="str">
        <f>IF('Estado de costos'!D97=0,"",'Estado de costos'!D97)</f>
        <v/>
      </c>
      <c r="L69">
        <f>'Estado de costos'!E97</f>
        <v>0</v>
      </c>
      <c r="M69" s="7">
        <f t="shared" si="2"/>
        <v>0</v>
      </c>
      <c r="N69" s="7">
        <f>'Estado de costos'!J97</f>
        <v>0</v>
      </c>
      <c r="O69" s="7">
        <f>'Estado de costos'!K97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costos'!B98</f>
        <v>0</v>
      </c>
      <c r="K70" s="105" t="str">
        <f>IF('Estado de costos'!D98=0,"",'Estado de costos'!D98)</f>
        <v/>
      </c>
      <c r="L70">
        <f>'Estado de costos'!E98</f>
        <v>0</v>
      </c>
      <c r="M70" s="7">
        <f t="shared" si="2"/>
        <v>0</v>
      </c>
      <c r="N70" s="7">
        <f>'Estado de costos'!J98</f>
        <v>0</v>
      </c>
      <c r="O70" s="7">
        <f>'Estado de costos'!K98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costos'!B99</f>
        <v>0</v>
      </c>
      <c r="K71" s="105" t="str">
        <f>IF('Estado de costos'!D99=0,"",'Estado de costos'!D99)</f>
        <v/>
      </c>
      <c r="L71">
        <f>'Estado de costos'!E99</f>
        <v>0</v>
      </c>
      <c r="M71" s="7">
        <f t="shared" si="2"/>
        <v>0</v>
      </c>
      <c r="N71" s="7">
        <f>'Estado de costos'!J99</f>
        <v>0</v>
      </c>
      <c r="O71" s="7">
        <f>'Estado de costos'!K99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costos'!B100</f>
        <v>0</v>
      </c>
      <c r="K72" s="105" t="str">
        <f>IF('Estado de costos'!D100=0,"",'Estado de costos'!D100)</f>
        <v/>
      </c>
      <c r="L72">
        <f>'Estado de costos'!E100</f>
        <v>0</v>
      </c>
      <c r="M72" s="7">
        <f t="shared" si="2"/>
        <v>0</v>
      </c>
      <c r="N72" s="7">
        <f>'Estado de costos'!J100</f>
        <v>0</v>
      </c>
      <c r="O72" s="7">
        <f>'Estado de costos'!K100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costos'!B101</f>
        <v>0</v>
      </c>
      <c r="K73" s="105" t="str">
        <f>IF('Estado de costos'!D101=0,"",'Estado de costos'!D101)</f>
        <v/>
      </c>
      <c r="L73">
        <f>'Estado de costos'!E101</f>
        <v>0</v>
      </c>
      <c r="M73" s="7">
        <f t="shared" si="2"/>
        <v>0</v>
      </c>
      <c r="N73" s="7">
        <f>'Estado de costos'!J101</f>
        <v>0</v>
      </c>
      <c r="O73" s="7">
        <f>'Estado de costos'!K101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costos'!B102</f>
        <v>0</v>
      </c>
      <c r="K74" s="105" t="str">
        <f>IF('Estado de costos'!D102=0,"",'Estado de costos'!D102)</f>
        <v/>
      </c>
      <c r="L74">
        <f>'Estado de costos'!E102</f>
        <v>0</v>
      </c>
      <c r="M74" s="7">
        <f t="shared" si="2"/>
        <v>0</v>
      </c>
      <c r="N74" s="7">
        <f>'Estado de costos'!J102</f>
        <v>0</v>
      </c>
      <c r="O74" s="7">
        <f>'Estado de costos'!K102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costos'!B103</f>
        <v>0</v>
      </c>
      <c r="K75" s="105" t="str">
        <f>IF('Estado de costos'!D103=0,"",'Estado de costos'!D103)</f>
        <v/>
      </c>
      <c r="L75">
        <f>'Estado de costos'!E103</f>
        <v>0</v>
      </c>
      <c r="M75" s="7">
        <f t="shared" si="2"/>
        <v>0</v>
      </c>
      <c r="N75" s="7">
        <f>'Estado de costos'!J103</f>
        <v>0</v>
      </c>
      <c r="O75" s="7">
        <f>'Estado de costos'!K103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costos'!B104</f>
        <v>0</v>
      </c>
      <c r="K76" s="105" t="str">
        <f>IF('Estado de costos'!D104=0,"",'Estado de costos'!D104)</f>
        <v/>
      </c>
      <c r="L76">
        <f>'Estado de costos'!E104</f>
        <v>0</v>
      </c>
      <c r="M76" s="7">
        <f t="shared" si="2"/>
        <v>0</v>
      </c>
      <c r="N76" s="7">
        <f>'Estado de costos'!J104</f>
        <v>0</v>
      </c>
      <c r="O76" s="7">
        <f>'Estado de costos'!K104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costos'!B105</f>
        <v>0</v>
      </c>
      <c r="K77" s="105" t="str">
        <f>IF('Estado de costos'!D105=0,"",'Estado de costos'!D105)</f>
        <v/>
      </c>
      <c r="L77">
        <f>'Estado de costos'!E105</f>
        <v>0</v>
      </c>
      <c r="M77" s="7">
        <f t="shared" si="2"/>
        <v>0</v>
      </c>
      <c r="N77" s="7">
        <f>'Estado de costos'!J105</f>
        <v>0</v>
      </c>
      <c r="O77" s="7">
        <f>'Estado de costos'!K105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costos'!B106</f>
        <v>0</v>
      </c>
      <c r="K78" s="105" t="str">
        <f>IF('Estado de costos'!D106=0,"",'Estado de costos'!D106)</f>
        <v/>
      </c>
      <c r="L78">
        <f>'Estado de costos'!E106</f>
        <v>0</v>
      </c>
      <c r="M78" s="7">
        <f t="shared" si="2"/>
        <v>0</v>
      </c>
      <c r="N78" s="7">
        <f>'Estado de costos'!J106</f>
        <v>0</v>
      </c>
      <c r="O78" s="7">
        <f>'Estado de costos'!K106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costos'!B107</f>
        <v>0</v>
      </c>
      <c r="K79" s="105" t="str">
        <f>IF('Estado de costos'!D107=0,"",'Estado de costos'!D107)</f>
        <v/>
      </c>
      <c r="L79">
        <f>'Estado de costos'!E107</f>
        <v>0</v>
      </c>
      <c r="M79" s="7">
        <f t="shared" si="2"/>
        <v>0</v>
      </c>
      <c r="N79" s="7">
        <f>'Estado de costos'!J107</f>
        <v>0</v>
      </c>
      <c r="O79" s="7">
        <f>'Estado de costos'!K107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costos'!B108</f>
        <v>0</v>
      </c>
      <c r="K80" s="105" t="str">
        <f>IF('Estado de costos'!D108=0,"",'Estado de costos'!D108)</f>
        <v/>
      </c>
      <c r="L80">
        <f>'Estado de costos'!E108</f>
        <v>0</v>
      </c>
      <c r="M80" s="7">
        <f t="shared" si="2"/>
        <v>0</v>
      </c>
      <c r="N80" s="7">
        <f>'Estado de costos'!J108</f>
        <v>0</v>
      </c>
      <c r="O80" s="7">
        <f>'Estado de costos'!K108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costos'!B109</f>
        <v>0</v>
      </c>
      <c r="K81" s="105" t="str">
        <f>IF('Estado de costos'!D109=0,"",'Estado de costos'!D109)</f>
        <v/>
      </c>
      <c r="L81">
        <f>'Estado de costos'!E109</f>
        <v>0</v>
      </c>
      <c r="M81" s="7">
        <f t="shared" si="2"/>
        <v>0</v>
      </c>
      <c r="N81" s="7">
        <f>'Estado de costos'!J109</f>
        <v>0</v>
      </c>
      <c r="O81" s="7">
        <f>'Estado de costos'!K109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costos'!B110</f>
        <v>0</v>
      </c>
      <c r="K82" s="105" t="str">
        <f>IF('Estado de costos'!D110=0,"",'Estado de costos'!D110)</f>
        <v/>
      </c>
      <c r="L82">
        <f>'Estado de costos'!E110</f>
        <v>0</v>
      </c>
      <c r="M82" s="7">
        <f t="shared" si="2"/>
        <v>0</v>
      </c>
      <c r="N82" s="7">
        <f>'Estado de costos'!J110</f>
        <v>0</v>
      </c>
      <c r="O82" s="7">
        <f>'Estado de costos'!K110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costos'!B111</f>
        <v>0</v>
      </c>
      <c r="K83" s="105" t="str">
        <f>IF('Estado de costos'!D111=0,"",'Estado de costos'!D111)</f>
        <v/>
      </c>
      <c r="L83">
        <f>'Estado de costos'!E111</f>
        <v>0</v>
      </c>
      <c r="M83" s="7">
        <f t="shared" si="2"/>
        <v>0</v>
      </c>
      <c r="N83" s="7">
        <f>'Estado de costos'!J111</f>
        <v>0</v>
      </c>
      <c r="O83" s="7">
        <f>'Estado de costos'!K111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costos'!B112</f>
        <v>0</v>
      </c>
      <c r="K84" s="105" t="str">
        <f>IF('Estado de costos'!D112=0,"",'Estado de costos'!D112)</f>
        <v/>
      </c>
      <c r="L84">
        <f>'Estado de costos'!E112</f>
        <v>0</v>
      </c>
      <c r="M84" s="7">
        <f t="shared" si="2"/>
        <v>0</v>
      </c>
      <c r="N84" s="7">
        <f>'Estado de costos'!J112</f>
        <v>0</v>
      </c>
      <c r="O84" s="7">
        <f>'Estado de costos'!K112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costos'!B113</f>
        <v>0</v>
      </c>
      <c r="K85" s="105" t="str">
        <f>IF('Estado de costos'!D113=0,"",'Estado de costos'!D113)</f>
        <v/>
      </c>
      <c r="L85">
        <f>'Estado de costos'!E113</f>
        <v>0</v>
      </c>
      <c r="M85" s="7">
        <f t="shared" si="2"/>
        <v>0</v>
      </c>
      <c r="N85" s="7">
        <f>'Estado de costos'!J113</f>
        <v>0</v>
      </c>
      <c r="O85" s="7">
        <f>'Estado de costos'!K113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costos'!B114</f>
        <v>0</v>
      </c>
      <c r="K86" s="105" t="str">
        <f>IF('Estado de costos'!D114=0,"",'Estado de costos'!D114)</f>
        <v/>
      </c>
      <c r="L86">
        <f>'Estado de costos'!E114</f>
        <v>0</v>
      </c>
      <c r="M86" s="7">
        <f t="shared" si="2"/>
        <v>0</v>
      </c>
      <c r="N86" s="7">
        <f>'Estado de costos'!J114</f>
        <v>0</v>
      </c>
      <c r="O86" s="7">
        <f>'Estado de costos'!K114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costos'!B115</f>
        <v>0</v>
      </c>
      <c r="K87" s="105" t="str">
        <f>IF('Estado de costos'!D115=0,"",'Estado de costos'!D115)</f>
        <v/>
      </c>
      <c r="L87">
        <f>'Estado de costos'!E115</f>
        <v>0</v>
      </c>
      <c r="M87" s="7">
        <f t="shared" si="2"/>
        <v>0</v>
      </c>
      <c r="N87" s="7">
        <f>'Estado de costos'!J115</f>
        <v>0</v>
      </c>
      <c r="O87" s="7">
        <f>'Estado de costos'!K115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costos'!B116</f>
        <v>0</v>
      </c>
      <c r="K88" s="105" t="str">
        <f>IF('Estado de costos'!D116=0,"",'Estado de costos'!D116)</f>
        <v/>
      </c>
      <c r="L88">
        <f>'Estado de costos'!E116</f>
        <v>0</v>
      </c>
      <c r="M88" s="7">
        <f t="shared" si="2"/>
        <v>0</v>
      </c>
      <c r="N88" s="7">
        <f>'Estado de costos'!J116</f>
        <v>0</v>
      </c>
      <c r="O88" s="7">
        <f>'Estado de costos'!K116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costos'!B117</f>
        <v>0</v>
      </c>
      <c r="K89" s="105" t="str">
        <f>IF('Estado de costos'!D117=0,"",'Estado de costos'!D117)</f>
        <v/>
      </c>
      <c r="L89">
        <f>'Estado de costos'!E117</f>
        <v>0</v>
      </c>
      <c r="M89" s="7">
        <f t="shared" si="2"/>
        <v>0</v>
      </c>
      <c r="N89" s="7">
        <f>'Estado de costos'!J117</f>
        <v>0</v>
      </c>
      <c r="O89" s="7">
        <f>'Estado de costos'!K117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costos'!B118</f>
        <v>0</v>
      </c>
      <c r="K90" s="105" t="str">
        <f>IF('Estado de costos'!D118=0,"",'Estado de costos'!D118)</f>
        <v/>
      </c>
      <c r="L90">
        <f>'Estado de costos'!E118</f>
        <v>0</v>
      </c>
      <c r="M90" s="7">
        <f t="shared" si="2"/>
        <v>0</v>
      </c>
      <c r="N90" s="7">
        <f>'Estado de costos'!J118</f>
        <v>0</v>
      </c>
      <c r="O90" s="7">
        <f>'Estado de costos'!K118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costos'!B119</f>
        <v>0</v>
      </c>
      <c r="K91" s="105" t="str">
        <f>IF('Estado de costos'!D119=0,"",'Estado de costos'!D119)</f>
        <v/>
      </c>
      <c r="L91">
        <f>'Estado de costos'!E119</f>
        <v>0</v>
      </c>
      <c r="M91" s="7">
        <f t="shared" si="2"/>
        <v>0</v>
      </c>
      <c r="N91" s="7">
        <f>'Estado de costos'!J119</f>
        <v>0</v>
      </c>
      <c r="O91" s="7">
        <f>'Estado de costos'!K119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costos'!B120</f>
        <v>0</v>
      </c>
      <c r="K92" s="105" t="str">
        <f>IF('Estado de costos'!D120=0,"",'Estado de costos'!D120)</f>
        <v/>
      </c>
      <c r="L92">
        <f>'Estado de costos'!E120</f>
        <v>0</v>
      </c>
      <c r="M92" s="7">
        <f t="shared" si="2"/>
        <v>0</v>
      </c>
      <c r="N92" s="7">
        <f>'Estado de costos'!J120</f>
        <v>0</v>
      </c>
      <c r="O92" s="7">
        <f>'Estado de costos'!K120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costos'!B121</f>
        <v>0</v>
      </c>
      <c r="K93" s="105" t="str">
        <f>IF('Estado de costos'!D121=0,"",'Estado de costos'!D121)</f>
        <v/>
      </c>
      <c r="L93">
        <f>'Estado de costos'!E121</f>
        <v>0</v>
      </c>
      <c r="M93" s="7">
        <f t="shared" si="2"/>
        <v>0</v>
      </c>
      <c r="N93" s="7">
        <f>'Estado de costos'!J121</f>
        <v>0</v>
      </c>
      <c r="O93" s="7">
        <f>'Estado de costos'!K121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costos'!B122</f>
        <v>0</v>
      </c>
      <c r="K94" s="105" t="str">
        <f>IF('Estado de costos'!D122=0,"",'Estado de costos'!D122)</f>
        <v/>
      </c>
      <c r="L94">
        <f>'Estado de costos'!E122</f>
        <v>0</v>
      </c>
      <c r="M94" s="7">
        <f t="shared" si="2"/>
        <v>0</v>
      </c>
      <c r="N94" s="7">
        <f>'Estado de costos'!J122</f>
        <v>0</v>
      </c>
      <c r="O94" s="7">
        <f>'Estado de costos'!K122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costos'!B123</f>
        <v>0</v>
      </c>
      <c r="K95" s="105" t="str">
        <f>IF('Estado de costos'!D123=0,"",'Estado de costos'!D123)</f>
        <v/>
      </c>
      <c r="L95">
        <f>'Estado de costos'!E123</f>
        <v>0</v>
      </c>
      <c r="M95" s="7">
        <f t="shared" si="2"/>
        <v>0</v>
      </c>
      <c r="N95" s="7">
        <f>'Estado de costos'!J123</f>
        <v>0</v>
      </c>
      <c r="O95" s="7">
        <f>'Estado de costos'!K123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costos'!B124</f>
        <v>0</v>
      </c>
      <c r="K96" s="105" t="str">
        <f>IF('Estado de costos'!D124=0,"",'Estado de costos'!D124)</f>
        <v/>
      </c>
      <c r="L96">
        <f>'Estado de costos'!E124</f>
        <v>0</v>
      </c>
      <c r="M96" s="7">
        <f t="shared" si="2"/>
        <v>0</v>
      </c>
      <c r="N96" s="7">
        <f>'Estado de costos'!J124</f>
        <v>0</v>
      </c>
      <c r="O96" s="7">
        <f>'Estado de costos'!K124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costos'!B125</f>
        <v>0</v>
      </c>
      <c r="K97" s="105" t="str">
        <f>IF('Estado de costos'!D125=0,"",'Estado de costos'!D125)</f>
        <v/>
      </c>
      <c r="L97">
        <f>'Estado de costos'!E125</f>
        <v>0</v>
      </c>
      <c r="M97" s="7">
        <f t="shared" si="2"/>
        <v>0</v>
      </c>
      <c r="N97" s="7">
        <f>'Estado de costos'!J125</f>
        <v>0</v>
      </c>
      <c r="O97" s="7">
        <f>'Estado de costos'!K125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costos'!B126</f>
        <v>0</v>
      </c>
      <c r="K98" s="105" t="str">
        <f>IF('Estado de costos'!D126=0,"",'Estado de costos'!D126)</f>
        <v/>
      </c>
      <c r="L98">
        <f>'Estado de costos'!E126</f>
        <v>0</v>
      </c>
      <c r="M98" s="7">
        <f t="shared" si="2"/>
        <v>0</v>
      </c>
      <c r="N98" s="7">
        <f>'Estado de costos'!J126</f>
        <v>0</v>
      </c>
      <c r="O98" s="7">
        <f>'Estado de costos'!K126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costos'!B127</f>
        <v>0</v>
      </c>
      <c r="K99" s="105" t="str">
        <f>IF('Estado de costos'!D127=0,"",'Estado de costos'!D127)</f>
        <v/>
      </c>
      <c r="L99">
        <f>'Estado de costos'!E127</f>
        <v>0</v>
      </c>
      <c r="M99" s="7">
        <f t="shared" si="2"/>
        <v>0</v>
      </c>
      <c r="N99" s="7">
        <f>'Estado de costos'!J127</f>
        <v>0</v>
      </c>
      <c r="O99" s="7">
        <f>'Estado de costos'!K127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costos'!B128</f>
        <v>0</v>
      </c>
      <c r="K100" s="105" t="str">
        <f>IF('Estado de costos'!D128=0,"",'Estado de costos'!D128)</f>
        <v/>
      </c>
      <c r="L100">
        <f>'Estado de costos'!E128</f>
        <v>0</v>
      </c>
      <c r="M100" s="7">
        <f t="shared" si="2"/>
        <v>0</v>
      </c>
      <c r="N100" s="7">
        <f>'Estado de costos'!J128</f>
        <v>0</v>
      </c>
      <c r="O100" s="7">
        <f>'Estado de costos'!K128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costos'!B129</f>
        <v>0</v>
      </c>
      <c r="K101" s="105" t="str">
        <f>IF('Estado de costos'!D129=0,"",'Estado de costos'!D129)</f>
        <v/>
      </c>
      <c r="L101">
        <f>'Estado de costos'!E129</f>
        <v>0</v>
      </c>
      <c r="M101" s="7">
        <f t="shared" si="2"/>
        <v>0</v>
      </c>
      <c r="N101" s="7">
        <f>'Estado de costos'!J129</f>
        <v>0</v>
      </c>
      <c r="O101" s="7">
        <f>'Estado de costos'!K129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costos'!B130</f>
        <v>0</v>
      </c>
      <c r="K102" s="105" t="str">
        <f>IF('Estado de costos'!D130=0,"",'Estado de costos'!D130)</f>
        <v/>
      </c>
      <c r="L102">
        <f>'Estado de costos'!E130</f>
        <v>0</v>
      </c>
      <c r="M102" s="7">
        <f t="shared" si="2"/>
        <v>0</v>
      </c>
      <c r="N102" s="7">
        <f>'Estado de costos'!J130</f>
        <v>0</v>
      </c>
      <c r="O102" s="7">
        <f>'Estado de costos'!K130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costos'!B131</f>
        <v>0</v>
      </c>
      <c r="K103" s="105" t="str">
        <f>IF('Estado de costos'!D131=0,"",'Estado de costos'!D131)</f>
        <v/>
      </c>
      <c r="L103">
        <f>'Estado de costos'!E131</f>
        <v>0</v>
      </c>
      <c r="M103" s="7">
        <f t="shared" si="2"/>
        <v>0</v>
      </c>
      <c r="N103" s="7">
        <f>'Estado de costos'!J131</f>
        <v>0</v>
      </c>
      <c r="O103" s="7">
        <f>'Estado de costos'!K131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costos'!B132</f>
        <v>0</v>
      </c>
      <c r="K104" s="105" t="str">
        <f>IF('Estado de costos'!D132=0,"",'Estado de costos'!D132)</f>
        <v/>
      </c>
      <c r="L104">
        <f>'Estado de costos'!E132</f>
        <v>0</v>
      </c>
      <c r="M104" s="7">
        <f t="shared" si="2"/>
        <v>0</v>
      </c>
      <c r="N104" s="7">
        <f>'Estado de costos'!J132</f>
        <v>0</v>
      </c>
      <c r="O104" s="7">
        <f>'Estado de costos'!K132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costos'!B133</f>
        <v>0</v>
      </c>
      <c r="K105" s="105" t="str">
        <f>IF('Estado de costos'!D133=0,"",'Estado de costos'!D133)</f>
        <v/>
      </c>
      <c r="L105">
        <f>'Estado de costos'!E133</f>
        <v>0</v>
      </c>
      <c r="M105" s="7">
        <f t="shared" si="2"/>
        <v>0</v>
      </c>
      <c r="N105" s="7">
        <f>'Estado de costos'!J133</f>
        <v>0</v>
      </c>
      <c r="O105" s="7">
        <f>'Estado de costos'!K133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costos'!B134</f>
        <v>0</v>
      </c>
      <c r="K106" s="105" t="str">
        <f>IF('Estado de costos'!D134=0,"",'Estado de costos'!D134)</f>
        <v/>
      </c>
      <c r="L106">
        <f>'Estado de costos'!E134</f>
        <v>0</v>
      </c>
      <c r="M106" s="7">
        <f t="shared" si="2"/>
        <v>0</v>
      </c>
      <c r="N106" s="7">
        <f>'Estado de costos'!J134</f>
        <v>0</v>
      </c>
      <c r="O106" s="7">
        <f>'Estado de costos'!K134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costos'!B135</f>
        <v>0</v>
      </c>
      <c r="K107" s="105" t="str">
        <f>IF('Estado de costos'!D135=0,"",'Estado de costos'!D135)</f>
        <v/>
      </c>
      <c r="L107">
        <f>'Estado de costos'!E135</f>
        <v>0</v>
      </c>
      <c r="M107" s="7">
        <f t="shared" si="2"/>
        <v>0</v>
      </c>
      <c r="N107" s="7">
        <f>'Estado de costos'!J135</f>
        <v>0</v>
      </c>
      <c r="O107" s="7">
        <f>'Estado de costos'!K135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costos'!B136</f>
        <v>0</v>
      </c>
      <c r="K108" s="105" t="str">
        <f>IF('Estado de costos'!D136=0,"",'Estado de costos'!D136)</f>
        <v/>
      </c>
      <c r="L108">
        <f>'Estado de costos'!E136</f>
        <v>0</v>
      </c>
      <c r="M108" s="7">
        <f t="shared" si="2"/>
        <v>0</v>
      </c>
      <c r="N108" s="7">
        <f>'Estado de costos'!J136</f>
        <v>0</v>
      </c>
      <c r="O108" s="7">
        <f>'Estado de costos'!K136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costos'!B137</f>
        <v>0</v>
      </c>
      <c r="K109" s="105" t="str">
        <f>IF('Estado de costos'!D137=0,"",'Estado de costos'!D137)</f>
        <v/>
      </c>
      <c r="L109">
        <f>'Estado de costos'!E137</f>
        <v>0</v>
      </c>
      <c r="M109" s="7">
        <f t="shared" si="2"/>
        <v>0</v>
      </c>
      <c r="N109" s="7">
        <f>'Estado de costos'!J137</f>
        <v>0</v>
      </c>
      <c r="O109" s="7">
        <f>'Estado de costos'!K137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costos'!B138</f>
        <v>0</v>
      </c>
      <c r="K110" s="105" t="str">
        <f>IF('Estado de costos'!D138=0,"",'Estado de costos'!D138)</f>
        <v/>
      </c>
      <c r="L110">
        <f>'Estado de costos'!E138</f>
        <v>0</v>
      </c>
      <c r="M110" s="7">
        <f t="shared" si="2"/>
        <v>0</v>
      </c>
      <c r="N110" s="7">
        <f>'Estado de costos'!J138</f>
        <v>0</v>
      </c>
      <c r="O110" s="7">
        <f>'Estado de costos'!K138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costos'!B139</f>
        <v>0</v>
      </c>
      <c r="K111" s="105" t="str">
        <f>IF('Estado de costos'!D139=0,"",'Estado de costos'!D139)</f>
        <v/>
      </c>
      <c r="L111">
        <f>'Estado de costos'!E139</f>
        <v>0</v>
      </c>
      <c r="M111" s="7">
        <f t="shared" si="2"/>
        <v>0</v>
      </c>
      <c r="N111" s="7">
        <f>'Estado de costos'!J139</f>
        <v>0</v>
      </c>
      <c r="O111" s="7">
        <f>'Estado de costos'!K139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costos'!B140</f>
        <v>0</v>
      </c>
      <c r="K112" s="105" t="str">
        <f>IF('Estado de costos'!D140=0,"",'Estado de costos'!D140)</f>
        <v/>
      </c>
      <c r="L112">
        <f>'Estado de costos'!E140</f>
        <v>0</v>
      </c>
      <c r="M112" s="7">
        <f t="shared" si="2"/>
        <v>0</v>
      </c>
      <c r="N112" s="7">
        <f>'Estado de costos'!J140</f>
        <v>0</v>
      </c>
      <c r="O112" s="7">
        <f>'Estado de costos'!K140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costos'!B141</f>
        <v>0</v>
      </c>
      <c r="K113" s="105" t="str">
        <f>IF('Estado de costos'!D141=0,"",'Estado de costos'!D141)</f>
        <v/>
      </c>
      <c r="L113">
        <f>'Estado de costos'!E141</f>
        <v>0</v>
      </c>
      <c r="M113" s="7">
        <f t="shared" si="2"/>
        <v>0</v>
      </c>
      <c r="N113" s="7">
        <f>'Estado de costos'!J141</f>
        <v>0</v>
      </c>
      <c r="O113" s="7">
        <f>'Estado de costos'!K141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costos'!B142</f>
        <v>0</v>
      </c>
      <c r="K114" s="105" t="str">
        <f>IF('Estado de costos'!D142=0,"",'Estado de costos'!D142)</f>
        <v/>
      </c>
      <c r="L114">
        <f>'Estado de costos'!E142</f>
        <v>0</v>
      </c>
      <c r="M114" s="7">
        <f t="shared" si="2"/>
        <v>0</v>
      </c>
      <c r="N114" s="7">
        <f>'Estado de costos'!J142</f>
        <v>0</v>
      </c>
      <c r="O114" s="7">
        <f>'Estado de costos'!K142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costos'!B143</f>
        <v>0</v>
      </c>
      <c r="K115" s="105" t="str">
        <f>IF('Estado de costos'!D143=0,"",'Estado de costos'!D143)</f>
        <v/>
      </c>
      <c r="L115">
        <f>'Estado de costos'!E143</f>
        <v>0</v>
      </c>
      <c r="M115" s="7">
        <f t="shared" si="2"/>
        <v>0</v>
      </c>
      <c r="N115" s="7">
        <f>'Estado de costos'!J143</f>
        <v>0</v>
      </c>
      <c r="O115" s="7">
        <f>'Estado de costos'!K143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costos'!B144</f>
        <v>0</v>
      </c>
      <c r="K116" s="105" t="str">
        <f>IF('Estado de costos'!D144=0,"",'Estado de costos'!D144)</f>
        <v/>
      </c>
      <c r="L116">
        <f>'Estado de costos'!E144</f>
        <v>0</v>
      </c>
      <c r="M116" s="7">
        <f t="shared" si="2"/>
        <v>0</v>
      </c>
      <c r="N116" s="7">
        <f>'Estado de costos'!J144</f>
        <v>0</v>
      </c>
      <c r="O116" s="7">
        <f>'Estado de costos'!K144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costos'!B145</f>
        <v>0</v>
      </c>
      <c r="K117" s="105" t="str">
        <f>IF('Estado de costos'!D145=0,"",'Estado de costos'!D145)</f>
        <v/>
      </c>
      <c r="L117">
        <f>'Estado de costos'!E145</f>
        <v>0</v>
      </c>
      <c r="M117" s="7">
        <f t="shared" si="2"/>
        <v>0</v>
      </c>
      <c r="N117" s="7">
        <f>'Estado de costos'!J145</f>
        <v>0</v>
      </c>
      <c r="O117" s="7">
        <f>'Estado de costos'!K145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costos'!B146</f>
        <v>0</v>
      </c>
      <c r="K118" s="105" t="str">
        <f>IF('Estado de costos'!D146=0,"",'Estado de costos'!D146)</f>
        <v/>
      </c>
      <c r="L118">
        <f>'Estado de costos'!E146</f>
        <v>0</v>
      </c>
      <c r="M118" s="7">
        <f t="shared" si="2"/>
        <v>0</v>
      </c>
      <c r="N118" s="7">
        <f>'Estado de costos'!J146</f>
        <v>0</v>
      </c>
      <c r="O118" s="7">
        <f>'Estado de costos'!K146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costos'!B147</f>
        <v>0</v>
      </c>
      <c r="K119" s="105" t="str">
        <f>IF('Estado de costos'!D147=0,"",'Estado de costos'!D147)</f>
        <v/>
      </c>
      <c r="L119">
        <f>'Estado de costos'!E147</f>
        <v>0</v>
      </c>
      <c r="M119" s="7">
        <f t="shared" si="2"/>
        <v>0</v>
      </c>
      <c r="N119" s="7">
        <f>'Estado de costos'!J147</f>
        <v>0</v>
      </c>
      <c r="O119" s="7">
        <f>'Estado de costos'!K147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costos'!B148</f>
        <v>0</v>
      </c>
      <c r="K120" s="105" t="str">
        <f>IF('Estado de costos'!D148=0,"",'Estado de costos'!D148)</f>
        <v/>
      </c>
      <c r="L120">
        <f>'Estado de costos'!E148</f>
        <v>0</v>
      </c>
      <c r="M120" s="7">
        <f t="shared" si="2"/>
        <v>0</v>
      </c>
      <c r="N120" s="7">
        <f>'Estado de costos'!J148</f>
        <v>0</v>
      </c>
      <c r="O120" s="7">
        <f>'Estado de costos'!K148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costos'!B149</f>
        <v>0</v>
      </c>
      <c r="K121" s="105" t="str">
        <f>IF('Estado de costos'!D149=0,"",'Estado de costos'!D149)</f>
        <v/>
      </c>
      <c r="L121">
        <f>'Estado de costos'!E149</f>
        <v>0</v>
      </c>
      <c r="M121" s="7">
        <f t="shared" si="2"/>
        <v>0</v>
      </c>
      <c r="N121" s="7">
        <f>'Estado de costos'!J149</f>
        <v>0</v>
      </c>
      <c r="O121" s="7">
        <f>'Estado de costos'!K149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costos'!B150</f>
        <v>0</v>
      </c>
      <c r="K122" s="105" t="str">
        <f>IF('Estado de costos'!D150=0,"",'Estado de costos'!D150)</f>
        <v/>
      </c>
      <c r="L122">
        <f>'Estado de costos'!E150</f>
        <v>0</v>
      </c>
      <c r="M122" s="7">
        <f t="shared" si="2"/>
        <v>0</v>
      </c>
      <c r="N122" s="7">
        <f>'Estado de costos'!J150</f>
        <v>0</v>
      </c>
      <c r="O122" s="7">
        <f>'Estado de costos'!K150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costos'!B151</f>
        <v>0</v>
      </c>
      <c r="K123" s="105" t="str">
        <f>IF('Estado de costos'!D151=0,"",'Estado de costos'!D151)</f>
        <v/>
      </c>
      <c r="L123">
        <f>'Estado de costos'!E151</f>
        <v>0</v>
      </c>
      <c r="M123" s="7">
        <f t="shared" si="2"/>
        <v>0</v>
      </c>
      <c r="N123" s="7">
        <f>'Estado de costos'!J151</f>
        <v>0</v>
      </c>
      <c r="O123" s="7">
        <f>'Estado de costos'!K151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costos'!B152</f>
        <v>0</v>
      </c>
      <c r="K124" s="105" t="str">
        <f>IF('Estado de costos'!D152=0,"",'Estado de costos'!D152)</f>
        <v/>
      </c>
      <c r="L124">
        <f>'Estado de costos'!E152</f>
        <v>0</v>
      </c>
      <c r="M124" s="7">
        <f t="shared" si="2"/>
        <v>0</v>
      </c>
      <c r="N124" s="7">
        <f>'Estado de costos'!J152</f>
        <v>0</v>
      </c>
      <c r="O124" s="7">
        <f>'Estado de costos'!K152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costos'!B153</f>
        <v>0</v>
      </c>
      <c r="K125" s="105" t="str">
        <f>IF('Estado de costos'!D153=0,"",'Estado de costos'!D153)</f>
        <v/>
      </c>
      <c r="L125">
        <f>'Estado de costos'!E153</f>
        <v>0</v>
      </c>
      <c r="M125" s="7">
        <f t="shared" si="2"/>
        <v>0</v>
      </c>
      <c r="N125" s="7">
        <f>'Estado de costos'!J153</f>
        <v>0</v>
      </c>
      <c r="O125" s="7">
        <f>'Estado de costos'!K153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costos'!B154</f>
        <v>0</v>
      </c>
      <c r="K126" s="105" t="str">
        <f>IF('Estado de costos'!D154=0,"",'Estado de costos'!D154)</f>
        <v/>
      </c>
      <c r="L126">
        <f>'Estado de costos'!E154</f>
        <v>0</v>
      </c>
      <c r="M126" s="7">
        <f t="shared" si="2"/>
        <v>0</v>
      </c>
      <c r="N126" s="7">
        <f>'Estado de costos'!J154</f>
        <v>0</v>
      </c>
      <c r="O126" s="7">
        <f>'Estado de costos'!K154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costos'!B155</f>
        <v>0</v>
      </c>
      <c r="K127" s="105" t="str">
        <f>IF('Estado de costos'!D155=0,"",'Estado de costos'!D155)</f>
        <v/>
      </c>
      <c r="L127">
        <f>'Estado de costos'!E155</f>
        <v>0</v>
      </c>
      <c r="M127" s="7">
        <f t="shared" si="2"/>
        <v>0</v>
      </c>
      <c r="N127" s="7">
        <f>'Estado de costos'!J155</f>
        <v>0</v>
      </c>
      <c r="O127" s="7">
        <f>'Estado de costos'!K155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costos'!B156</f>
        <v>0</v>
      </c>
      <c r="K128" s="105" t="str">
        <f>IF('Estado de costos'!D156=0,"",'Estado de costos'!D156)</f>
        <v/>
      </c>
      <c r="L128">
        <f>'Estado de costos'!E156</f>
        <v>0</v>
      </c>
      <c r="M128" s="7">
        <f t="shared" si="2"/>
        <v>0</v>
      </c>
      <c r="N128" s="7">
        <f>'Estado de costos'!J156</f>
        <v>0</v>
      </c>
      <c r="O128" s="7">
        <f>'Estado de costos'!K156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costos'!B157</f>
        <v>0</v>
      </c>
      <c r="K129" s="105" t="str">
        <f>IF('Estado de costos'!D157=0,"",'Estado de costos'!D157)</f>
        <v/>
      </c>
      <c r="L129">
        <f>'Estado de costos'!E157</f>
        <v>0</v>
      </c>
      <c r="M129" s="7">
        <f t="shared" si="2"/>
        <v>0</v>
      </c>
      <c r="N129" s="7">
        <f>'Estado de costos'!J157</f>
        <v>0</v>
      </c>
      <c r="O129" s="7">
        <f>'Estado de costos'!K157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costos'!B158</f>
        <v>0</v>
      </c>
      <c r="K130" s="105" t="str">
        <f>IF('Estado de costos'!D158=0,"",'Estado de costos'!D158)</f>
        <v/>
      </c>
      <c r="L130">
        <f>'Estado de costos'!E158</f>
        <v>0</v>
      </c>
      <c r="M130" s="7">
        <f t="shared" si="2"/>
        <v>0</v>
      </c>
      <c r="N130" s="7">
        <f>'Estado de costos'!J158</f>
        <v>0</v>
      </c>
      <c r="O130" s="7">
        <f>'Estado de costos'!K158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costos'!B159</f>
        <v>0</v>
      </c>
      <c r="K131" s="105" t="str">
        <f>IF('Estado de costos'!D159=0,"",'Estado de costos'!D159)</f>
        <v/>
      </c>
      <c r="L131">
        <f>'Estado de costos'!E159</f>
        <v>0</v>
      </c>
      <c r="M131" s="7">
        <f t="shared" ref="M131:M194" si="4">IFERROR(+N131/L131/IF(K131="",1,K131),0)</f>
        <v>0</v>
      </c>
      <c r="N131" s="7">
        <f>'Estado de costos'!J159</f>
        <v>0</v>
      </c>
      <c r="O131" s="7">
        <f>'Estado de costos'!K159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costos'!B160</f>
        <v>0</v>
      </c>
      <c r="K132" s="105" t="str">
        <f>IF('Estado de costos'!D160=0,"",'Estado de costos'!D160)</f>
        <v/>
      </c>
      <c r="L132">
        <f>'Estado de costos'!E160</f>
        <v>0</v>
      </c>
      <c r="M132" s="7">
        <f t="shared" si="4"/>
        <v>0</v>
      </c>
      <c r="N132" s="7">
        <f>'Estado de costos'!J160</f>
        <v>0</v>
      </c>
      <c r="O132" s="7">
        <f>'Estado de costos'!K160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costos'!B161</f>
        <v>0</v>
      </c>
      <c r="K133" s="105" t="str">
        <f>IF('Estado de costos'!D161=0,"",'Estado de costos'!D161)</f>
        <v/>
      </c>
      <c r="L133">
        <f>'Estado de costos'!E161</f>
        <v>0</v>
      </c>
      <c r="M133" s="7">
        <f t="shared" si="4"/>
        <v>0</v>
      </c>
      <c r="N133" s="7">
        <f>'Estado de costos'!J161</f>
        <v>0</v>
      </c>
      <c r="O133" s="7">
        <f>'Estado de costos'!K161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costos'!B162</f>
        <v>0</v>
      </c>
      <c r="K134" s="105" t="str">
        <f>IF('Estado de costos'!D162=0,"",'Estado de costos'!D162)</f>
        <v/>
      </c>
      <c r="L134">
        <f>'Estado de costos'!E162</f>
        <v>0</v>
      </c>
      <c r="M134" s="7">
        <f t="shared" si="4"/>
        <v>0</v>
      </c>
      <c r="N134" s="7">
        <f>'Estado de costos'!J162</f>
        <v>0</v>
      </c>
      <c r="O134" s="7">
        <f>'Estado de costos'!K162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costos'!B163</f>
        <v>0</v>
      </c>
      <c r="K135" s="105" t="str">
        <f>IF('Estado de costos'!D163=0,"",'Estado de costos'!D163)</f>
        <v/>
      </c>
      <c r="L135">
        <f>'Estado de costos'!E163</f>
        <v>0</v>
      </c>
      <c r="M135" s="7">
        <f t="shared" si="4"/>
        <v>0</v>
      </c>
      <c r="N135" s="7">
        <f>'Estado de costos'!J163</f>
        <v>0</v>
      </c>
      <c r="O135" s="7">
        <f>'Estado de costos'!K163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costos'!B164</f>
        <v>0</v>
      </c>
      <c r="K136" s="105" t="str">
        <f>IF('Estado de costos'!D164=0,"",'Estado de costos'!D164)</f>
        <v/>
      </c>
      <c r="L136">
        <f>'Estado de costos'!E164</f>
        <v>0</v>
      </c>
      <c r="M136" s="7">
        <f t="shared" si="4"/>
        <v>0</v>
      </c>
      <c r="N136" s="7">
        <f>'Estado de costos'!J164</f>
        <v>0</v>
      </c>
      <c r="O136" s="7">
        <f>'Estado de costos'!K164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costos'!B165</f>
        <v>0</v>
      </c>
      <c r="K137" s="105" t="str">
        <f>IF('Estado de costos'!D165=0,"",'Estado de costos'!D165)</f>
        <v/>
      </c>
      <c r="L137">
        <f>'Estado de costos'!E165</f>
        <v>0</v>
      </c>
      <c r="M137" s="7">
        <f t="shared" si="4"/>
        <v>0</v>
      </c>
      <c r="N137" s="7">
        <f>'Estado de costos'!J165</f>
        <v>0</v>
      </c>
      <c r="O137" s="7">
        <f>'Estado de costos'!K165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costos'!B166</f>
        <v>0</v>
      </c>
      <c r="K138" s="105" t="str">
        <f>IF('Estado de costos'!D166=0,"",'Estado de costos'!D166)</f>
        <v/>
      </c>
      <c r="L138">
        <f>'Estado de costos'!E166</f>
        <v>0</v>
      </c>
      <c r="M138" s="7">
        <f t="shared" si="4"/>
        <v>0</v>
      </c>
      <c r="N138" s="7">
        <f>'Estado de costos'!J166</f>
        <v>0</v>
      </c>
      <c r="O138" s="7">
        <f>'Estado de costos'!K166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costos'!B167</f>
        <v>0</v>
      </c>
      <c r="K139" s="105" t="str">
        <f>IF('Estado de costos'!D167=0,"",'Estado de costos'!D167)</f>
        <v/>
      </c>
      <c r="L139">
        <f>'Estado de costos'!E167</f>
        <v>0</v>
      </c>
      <c r="M139" s="7">
        <f t="shared" si="4"/>
        <v>0</v>
      </c>
      <c r="N139" s="7">
        <f>'Estado de costos'!J167</f>
        <v>0</v>
      </c>
      <c r="O139" s="7">
        <f>'Estado de costos'!K167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costos'!B168</f>
        <v>0</v>
      </c>
      <c r="K140" s="105" t="str">
        <f>IF('Estado de costos'!D168=0,"",'Estado de costos'!D168)</f>
        <v/>
      </c>
      <c r="L140">
        <f>'Estado de costos'!E168</f>
        <v>0</v>
      </c>
      <c r="M140" s="7">
        <f t="shared" si="4"/>
        <v>0</v>
      </c>
      <c r="N140" s="7">
        <f>'Estado de costos'!J168</f>
        <v>0</v>
      </c>
      <c r="O140" s="7">
        <f>'Estado de costos'!K168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costos'!B169</f>
        <v>0</v>
      </c>
      <c r="K141" s="105" t="str">
        <f>IF('Estado de costos'!D169=0,"",'Estado de costos'!D169)</f>
        <v/>
      </c>
      <c r="L141">
        <f>'Estado de costos'!E169</f>
        <v>0</v>
      </c>
      <c r="M141" s="7">
        <f t="shared" si="4"/>
        <v>0</v>
      </c>
      <c r="N141" s="7">
        <f>'Estado de costos'!J169</f>
        <v>0</v>
      </c>
      <c r="O141" s="7">
        <f>'Estado de costos'!K169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costos'!B170</f>
        <v>0</v>
      </c>
      <c r="K142" s="105" t="str">
        <f>IF('Estado de costos'!D170=0,"",'Estado de costos'!D170)</f>
        <v/>
      </c>
      <c r="L142">
        <f>'Estado de costos'!E170</f>
        <v>0</v>
      </c>
      <c r="M142" s="7">
        <f t="shared" si="4"/>
        <v>0</v>
      </c>
      <c r="N142" s="7">
        <f>'Estado de costos'!J170</f>
        <v>0</v>
      </c>
      <c r="O142" s="7">
        <f>'Estado de costos'!K170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costos'!B171</f>
        <v>0</v>
      </c>
      <c r="K143" s="105" t="str">
        <f>IF('Estado de costos'!D171=0,"",'Estado de costos'!D171)</f>
        <v/>
      </c>
      <c r="L143">
        <f>'Estado de costos'!E171</f>
        <v>0</v>
      </c>
      <c r="M143" s="7">
        <f t="shared" si="4"/>
        <v>0</v>
      </c>
      <c r="N143" s="7">
        <f>'Estado de costos'!J171</f>
        <v>0</v>
      </c>
      <c r="O143" s="7">
        <f>'Estado de costos'!K171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costos'!B172</f>
        <v>0</v>
      </c>
      <c r="K144" s="105" t="str">
        <f>IF('Estado de costos'!D172=0,"",'Estado de costos'!D172)</f>
        <v/>
      </c>
      <c r="L144">
        <f>'Estado de costos'!E172</f>
        <v>0</v>
      </c>
      <c r="M144" s="7">
        <f t="shared" si="4"/>
        <v>0</v>
      </c>
      <c r="N144" s="7">
        <f>'Estado de costos'!J172</f>
        <v>0</v>
      </c>
      <c r="O144" s="7">
        <f>'Estado de costos'!K172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costos'!B173</f>
        <v>0</v>
      </c>
      <c r="K145" s="105" t="str">
        <f>IF('Estado de costos'!D173=0,"",'Estado de costos'!D173)</f>
        <v/>
      </c>
      <c r="L145">
        <f>'Estado de costos'!E173</f>
        <v>0</v>
      </c>
      <c r="M145" s="7">
        <f t="shared" si="4"/>
        <v>0</v>
      </c>
      <c r="N145" s="7">
        <f>'Estado de costos'!J173</f>
        <v>0</v>
      </c>
      <c r="O145" s="7">
        <f>'Estado de costos'!K173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costos'!B174</f>
        <v>0</v>
      </c>
      <c r="K146" s="105" t="str">
        <f>IF('Estado de costos'!D174=0,"",'Estado de costos'!D174)</f>
        <v/>
      </c>
      <c r="L146">
        <f>'Estado de costos'!E174</f>
        <v>0</v>
      </c>
      <c r="M146" s="7">
        <f t="shared" si="4"/>
        <v>0</v>
      </c>
      <c r="N146" s="7">
        <f>'Estado de costos'!J174</f>
        <v>0</v>
      </c>
      <c r="O146" s="7">
        <f>'Estado de costos'!K174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costos'!B175</f>
        <v>0</v>
      </c>
      <c r="K147" s="105" t="str">
        <f>IF('Estado de costos'!D175=0,"",'Estado de costos'!D175)</f>
        <v/>
      </c>
      <c r="L147">
        <f>'Estado de costos'!E175</f>
        <v>0</v>
      </c>
      <c r="M147" s="7">
        <f t="shared" si="4"/>
        <v>0</v>
      </c>
      <c r="N147" s="7">
        <f>'Estado de costos'!J175</f>
        <v>0</v>
      </c>
      <c r="O147" s="7">
        <f>'Estado de costos'!K175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costos'!B176</f>
        <v>0</v>
      </c>
      <c r="K148" s="105" t="str">
        <f>IF('Estado de costos'!D176=0,"",'Estado de costos'!D176)</f>
        <v/>
      </c>
      <c r="L148">
        <f>'Estado de costos'!E176</f>
        <v>0</v>
      </c>
      <c r="M148" s="7">
        <f t="shared" si="4"/>
        <v>0</v>
      </c>
      <c r="N148" s="7">
        <f>'Estado de costos'!J176</f>
        <v>0</v>
      </c>
      <c r="O148" s="7">
        <f>'Estado de costos'!K176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costos'!B177</f>
        <v>0</v>
      </c>
      <c r="K149" s="105" t="str">
        <f>IF('Estado de costos'!D177=0,"",'Estado de costos'!D177)</f>
        <v/>
      </c>
      <c r="L149">
        <f>'Estado de costos'!E177</f>
        <v>0</v>
      </c>
      <c r="M149" s="7">
        <f t="shared" si="4"/>
        <v>0</v>
      </c>
      <c r="N149" s="7">
        <f>'Estado de costos'!J177</f>
        <v>0</v>
      </c>
      <c r="O149" s="7">
        <f>'Estado de costos'!K177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costos'!B178</f>
        <v>0</v>
      </c>
      <c r="K150" s="105" t="str">
        <f>IF('Estado de costos'!D178=0,"",'Estado de costos'!D178)</f>
        <v/>
      </c>
      <c r="L150">
        <f>'Estado de costos'!E178</f>
        <v>0</v>
      </c>
      <c r="M150" s="7">
        <f t="shared" si="4"/>
        <v>0</v>
      </c>
      <c r="N150" s="7">
        <f>'Estado de costos'!J178</f>
        <v>0</v>
      </c>
      <c r="O150" s="7">
        <f>'Estado de costos'!K178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costos'!B179</f>
        <v>0</v>
      </c>
      <c r="K151" s="105" t="str">
        <f>IF('Estado de costos'!D179=0,"",'Estado de costos'!D179)</f>
        <v/>
      </c>
      <c r="L151">
        <f>'Estado de costos'!E179</f>
        <v>0</v>
      </c>
      <c r="M151" s="7">
        <f t="shared" si="4"/>
        <v>0</v>
      </c>
      <c r="N151" s="7">
        <f>'Estado de costos'!J179</f>
        <v>0</v>
      </c>
      <c r="O151" s="7">
        <f>'Estado de costos'!K179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costos'!B180</f>
        <v>0</v>
      </c>
      <c r="K152" s="105" t="str">
        <f>IF('Estado de costos'!D180=0,"",'Estado de costos'!D180)</f>
        <v/>
      </c>
      <c r="L152">
        <f>'Estado de costos'!E180</f>
        <v>0</v>
      </c>
      <c r="M152" s="7">
        <f t="shared" si="4"/>
        <v>0</v>
      </c>
      <c r="N152" s="7">
        <f>'Estado de costos'!J180</f>
        <v>0</v>
      </c>
      <c r="O152" s="7">
        <f>'Estado de costos'!K180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costos'!B181</f>
        <v>0</v>
      </c>
      <c r="K153" s="105" t="str">
        <f>IF('Estado de costos'!D181=0,"",'Estado de costos'!D181)</f>
        <v/>
      </c>
      <c r="L153">
        <f>'Estado de costos'!E181</f>
        <v>0</v>
      </c>
      <c r="M153" s="7">
        <f t="shared" si="4"/>
        <v>0</v>
      </c>
      <c r="N153" s="7">
        <f>'Estado de costos'!J181</f>
        <v>0</v>
      </c>
      <c r="O153" s="7">
        <f>'Estado de costos'!K181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costos'!B182</f>
        <v>0</v>
      </c>
      <c r="K154" s="105" t="str">
        <f>IF('Estado de costos'!D182=0,"",'Estado de costos'!D182)</f>
        <v/>
      </c>
      <c r="L154">
        <f>'Estado de costos'!E182</f>
        <v>0</v>
      </c>
      <c r="M154" s="7">
        <f t="shared" si="4"/>
        <v>0</v>
      </c>
      <c r="N154" s="7">
        <f>'Estado de costos'!J182</f>
        <v>0</v>
      </c>
      <c r="O154" s="7">
        <f>'Estado de costos'!K182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costos'!B183</f>
        <v>0</v>
      </c>
      <c r="K155" s="105" t="str">
        <f>IF('Estado de costos'!D183=0,"",'Estado de costos'!D183)</f>
        <v/>
      </c>
      <c r="L155">
        <f>'Estado de costos'!E183</f>
        <v>0</v>
      </c>
      <c r="M155" s="7">
        <f t="shared" si="4"/>
        <v>0</v>
      </c>
      <c r="N155" s="7">
        <f>'Estado de costos'!J183</f>
        <v>0</v>
      </c>
      <c r="O155" s="7">
        <f>'Estado de costos'!K183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costos'!B184</f>
        <v>0</v>
      </c>
      <c r="K156" s="105" t="str">
        <f>IF('Estado de costos'!D184=0,"",'Estado de costos'!D184)</f>
        <v/>
      </c>
      <c r="L156">
        <f>'Estado de costos'!E184</f>
        <v>0</v>
      </c>
      <c r="M156" s="7">
        <f t="shared" si="4"/>
        <v>0</v>
      </c>
      <c r="N156" s="7">
        <f>'Estado de costos'!J184</f>
        <v>0</v>
      </c>
      <c r="O156" s="7">
        <f>'Estado de costos'!K184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costos'!B185</f>
        <v>0</v>
      </c>
      <c r="K157" s="105" t="str">
        <f>IF('Estado de costos'!D185=0,"",'Estado de costos'!D185)</f>
        <v/>
      </c>
      <c r="L157">
        <f>'Estado de costos'!E185</f>
        <v>0</v>
      </c>
      <c r="M157" s="7">
        <f t="shared" si="4"/>
        <v>0</v>
      </c>
      <c r="N157" s="7">
        <f>'Estado de costos'!J185</f>
        <v>0</v>
      </c>
      <c r="O157" s="7">
        <f>'Estado de costos'!K185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costos'!B186</f>
        <v>0</v>
      </c>
      <c r="K158" s="105" t="str">
        <f>IF('Estado de costos'!D186=0,"",'Estado de costos'!D186)</f>
        <v/>
      </c>
      <c r="L158">
        <f>'Estado de costos'!E186</f>
        <v>0</v>
      </c>
      <c r="M158" s="7">
        <f t="shared" si="4"/>
        <v>0</v>
      </c>
      <c r="N158" s="7">
        <f>'Estado de costos'!J186</f>
        <v>0</v>
      </c>
      <c r="O158" s="7">
        <f>'Estado de costos'!K186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costos'!B187</f>
        <v>0</v>
      </c>
      <c r="K159" s="105" t="str">
        <f>IF('Estado de costos'!D187=0,"",'Estado de costos'!D187)</f>
        <v/>
      </c>
      <c r="L159">
        <f>'Estado de costos'!E187</f>
        <v>0</v>
      </c>
      <c r="M159" s="7">
        <f t="shared" si="4"/>
        <v>0</v>
      </c>
      <c r="N159" s="7">
        <f>'Estado de costos'!J187</f>
        <v>0</v>
      </c>
      <c r="O159" s="7">
        <f>'Estado de costos'!K187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costos'!B188</f>
        <v>0</v>
      </c>
      <c r="K160" s="105" t="str">
        <f>IF('Estado de costos'!D188=0,"",'Estado de costos'!D188)</f>
        <v/>
      </c>
      <c r="L160">
        <f>'Estado de costos'!E188</f>
        <v>0</v>
      </c>
      <c r="M160" s="7">
        <f t="shared" si="4"/>
        <v>0</v>
      </c>
      <c r="N160" s="7">
        <f>'Estado de costos'!J188</f>
        <v>0</v>
      </c>
      <c r="O160" s="7">
        <f>'Estado de costos'!K188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costos'!B189</f>
        <v>0</v>
      </c>
      <c r="K161" s="105" t="str">
        <f>IF('Estado de costos'!D189=0,"",'Estado de costos'!D189)</f>
        <v/>
      </c>
      <c r="L161">
        <f>'Estado de costos'!E189</f>
        <v>0</v>
      </c>
      <c r="M161" s="7">
        <f t="shared" si="4"/>
        <v>0</v>
      </c>
      <c r="N161" s="7">
        <f>'Estado de costos'!J189</f>
        <v>0</v>
      </c>
      <c r="O161" s="7">
        <f>'Estado de costos'!K189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costos'!B190</f>
        <v>0</v>
      </c>
      <c r="K162" s="105" t="str">
        <f>IF('Estado de costos'!D190=0,"",'Estado de costos'!D190)</f>
        <v/>
      </c>
      <c r="L162">
        <f>'Estado de costos'!E190</f>
        <v>0</v>
      </c>
      <c r="M162" s="7">
        <f t="shared" si="4"/>
        <v>0</v>
      </c>
      <c r="N162" s="7">
        <f>'Estado de costos'!J190</f>
        <v>0</v>
      </c>
      <c r="O162" s="7">
        <f>'Estado de costos'!K190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costos'!B191</f>
        <v>0</v>
      </c>
      <c r="K163" s="105" t="str">
        <f>IF('Estado de costos'!D191=0,"",'Estado de costos'!D191)</f>
        <v/>
      </c>
      <c r="L163">
        <f>'Estado de costos'!E191</f>
        <v>0</v>
      </c>
      <c r="M163" s="7">
        <f t="shared" si="4"/>
        <v>0</v>
      </c>
      <c r="N163" s="7">
        <f>'Estado de costos'!J191</f>
        <v>0</v>
      </c>
      <c r="O163" s="7">
        <f>'Estado de costos'!K191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costos'!B192</f>
        <v>0</v>
      </c>
      <c r="K164" s="105" t="str">
        <f>IF('Estado de costos'!D192=0,"",'Estado de costos'!D192)</f>
        <v/>
      </c>
      <c r="L164">
        <f>'Estado de costos'!E192</f>
        <v>0</v>
      </c>
      <c r="M164" s="7">
        <f t="shared" si="4"/>
        <v>0</v>
      </c>
      <c r="N164" s="7">
        <f>'Estado de costos'!J192</f>
        <v>0</v>
      </c>
      <c r="O164" s="7">
        <f>'Estado de costos'!K192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costos'!B193</f>
        <v>0</v>
      </c>
      <c r="K165" s="105" t="str">
        <f>IF('Estado de costos'!D193=0,"",'Estado de costos'!D193)</f>
        <v/>
      </c>
      <c r="L165">
        <f>'Estado de costos'!E193</f>
        <v>0</v>
      </c>
      <c r="M165" s="7">
        <f t="shared" si="4"/>
        <v>0</v>
      </c>
      <c r="N165" s="7">
        <f>'Estado de costos'!J193</f>
        <v>0</v>
      </c>
      <c r="O165" s="7">
        <f>'Estado de costos'!K193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costos'!B194</f>
        <v>0</v>
      </c>
      <c r="K166" s="105" t="str">
        <f>IF('Estado de costos'!D194=0,"",'Estado de costos'!D194)</f>
        <v/>
      </c>
      <c r="L166">
        <f>'Estado de costos'!E194</f>
        <v>0</v>
      </c>
      <c r="M166" s="7">
        <f t="shared" si="4"/>
        <v>0</v>
      </c>
      <c r="N166" s="7">
        <f>'Estado de costos'!J194</f>
        <v>0</v>
      </c>
      <c r="O166" s="7">
        <f>'Estado de costos'!K194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costos'!B195</f>
        <v>0</v>
      </c>
      <c r="K167" s="105" t="str">
        <f>IF('Estado de costos'!D195=0,"",'Estado de costos'!D195)</f>
        <v/>
      </c>
      <c r="L167">
        <f>'Estado de costos'!E195</f>
        <v>0</v>
      </c>
      <c r="M167" s="7">
        <f t="shared" si="4"/>
        <v>0</v>
      </c>
      <c r="N167" s="7">
        <f>'Estado de costos'!J195</f>
        <v>0</v>
      </c>
      <c r="O167" s="7">
        <f>'Estado de costos'!K195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costos'!B196</f>
        <v>0</v>
      </c>
      <c r="K168" s="105" t="str">
        <f>IF('Estado de costos'!D196=0,"",'Estado de costos'!D196)</f>
        <v/>
      </c>
      <c r="L168">
        <f>'Estado de costos'!E196</f>
        <v>0</v>
      </c>
      <c r="M168" s="7">
        <f t="shared" si="4"/>
        <v>0</v>
      </c>
      <c r="N168" s="7">
        <f>'Estado de costos'!J196</f>
        <v>0</v>
      </c>
      <c r="O168" s="7">
        <f>'Estado de costos'!K196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costos'!B197</f>
        <v>0</v>
      </c>
      <c r="K169" s="105" t="str">
        <f>IF('Estado de costos'!D197=0,"",'Estado de costos'!D197)</f>
        <v/>
      </c>
      <c r="L169">
        <f>'Estado de costos'!E197</f>
        <v>0</v>
      </c>
      <c r="M169" s="7">
        <f t="shared" si="4"/>
        <v>0</v>
      </c>
      <c r="N169" s="7">
        <f>'Estado de costos'!J197</f>
        <v>0</v>
      </c>
      <c r="O169" s="7">
        <f>'Estado de costos'!K197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costos'!B198</f>
        <v>0</v>
      </c>
      <c r="K170" s="105" t="str">
        <f>IF('Estado de costos'!D198=0,"",'Estado de costos'!D198)</f>
        <v/>
      </c>
      <c r="L170">
        <f>'Estado de costos'!E198</f>
        <v>0</v>
      </c>
      <c r="M170" s="7">
        <f t="shared" si="4"/>
        <v>0</v>
      </c>
      <c r="N170" s="7">
        <f>'Estado de costos'!J198</f>
        <v>0</v>
      </c>
      <c r="O170" s="7">
        <f>'Estado de costos'!K198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costos'!B199</f>
        <v>0</v>
      </c>
      <c r="K171" s="105" t="str">
        <f>IF('Estado de costos'!D199=0,"",'Estado de costos'!D199)</f>
        <v/>
      </c>
      <c r="L171">
        <f>'Estado de costos'!E199</f>
        <v>0</v>
      </c>
      <c r="M171" s="7">
        <f t="shared" si="4"/>
        <v>0</v>
      </c>
      <c r="N171" s="7">
        <f>'Estado de costos'!J199</f>
        <v>0</v>
      </c>
      <c r="O171" s="7">
        <f>'Estado de costos'!K199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costos'!B200</f>
        <v>0</v>
      </c>
      <c r="K172" s="105" t="str">
        <f>IF('Estado de costos'!D200=0,"",'Estado de costos'!D200)</f>
        <v/>
      </c>
      <c r="L172">
        <f>'Estado de costos'!E200</f>
        <v>0</v>
      </c>
      <c r="M172" s="7">
        <f t="shared" si="4"/>
        <v>0</v>
      </c>
      <c r="N172" s="7">
        <f>'Estado de costos'!J200</f>
        <v>0</v>
      </c>
      <c r="O172" s="7">
        <f>'Estado de costos'!K200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costos'!B201</f>
        <v>0</v>
      </c>
      <c r="K173" s="105" t="str">
        <f>IF('Estado de costos'!D201=0,"",'Estado de costos'!D201)</f>
        <v/>
      </c>
      <c r="L173">
        <f>'Estado de costos'!E201</f>
        <v>0</v>
      </c>
      <c r="M173" s="7">
        <f t="shared" si="4"/>
        <v>0</v>
      </c>
      <c r="N173" s="7">
        <f>'Estado de costos'!J201</f>
        <v>0</v>
      </c>
      <c r="O173" s="7">
        <f>'Estado de costos'!K201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costos'!B202</f>
        <v>0</v>
      </c>
      <c r="K174" s="105" t="str">
        <f>IF('Estado de costos'!D202=0,"",'Estado de costos'!D202)</f>
        <v/>
      </c>
      <c r="L174">
        <f>'Estado de costos'!E202</f>
        <v>0</v>
      </c>
      <c r="M174" s="7">
        <f t="shared" si="4"/>
        <v>0</v>
      </c>
      <c r="N174" s="7">
        <f>'Estado de costos'!J202</f>
        <v>0</v>
      </c>
      <c r="O174" s="7">
        <f>'Estado de costos'!K202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costos'!B203</f>
        <v>0</v>
      </c>
      <c r="K175" s="105" t="str">
        <f>IF('Estado de costos'!D203=0,"",'Estado de costos'!D203)</f>
        <v/>
      </c>
      <c r="L175">
        <f>'Estado de costos'!E203</f>
        <v>0</v>
      </c>
      <c r="M175" s="7">
        <f t="shared" si="4"/>
        <v>0</v>
      </c>
      <c r="N175" s="7">
        <f>'Estado de costos'!J203</f>
        <v>0</v>
      </c>
      <c r="O175" s="7">
        <f>'Estado de costos'!K203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costos'!B204</f>
        <v>0</v>
      </c>
      <c r="K176" s="105" t="str">
        <f>IF('Estado de costos'!D204=0,"",'Estado de costos'!D204)</f>
        <v/>
      </c>
      <c r="L176">
        <f>'Estado de costos'!E204</f>
        <v>0</v>
      </c>
      <c r="M176" s="7">
        <f t="shared" si="4"/>
        <v>0</v>
      </c>
      <c r="N176" s="7">
        <f>'Estado de costos'!J204</f>
        <v>0</v>
      </c>
      <c r="O176" s="7">
        <f>'Estado de costos'!K204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costos'!B205</f>
        <v>0</v>
      </c>
      <c r="K177" s="105" t="str">
        <f>IF('Estado de costos'!D205=0,"",'Estado de costos'!D205)</f>
        <v/>
      </c>
      <c r="L177">
        <f>'Estado de costos'!E205</f>
        <v>0</v>
      </c>
      <c r="M177" s="7">
        <f t="shared" si="4"/>
        <v>0</v>
      </c>
      <c r="N177" s="7">
        <f>'Estado de costos'!J205</f>
        <v>0</v>
      </c>
      <c r="O177" s="7">
        <f>'Estado de costos'!K205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costos'!B206</f>
        <v>0</v>
      </c>
      <c r="K178" s="105" t="str">
        <f>IF('Estado de costos'!D206=0,"",'Estado de costos'!D206)</f>
        <v/>
      </c>
      <c r="L178">
        <f>'Estado de costos'!E206</f>
        <v>0</v>
      </c>
      <c r="M178" s="7">
        <f t="shared" si="4"/>
        <v>0</v>
      </c>
      <c r="N178" s="7">
        <f>'Estado de costos'!J206</f>
        <v>0</v>
      </c>
      <c r="O178" s="7">
        <f>'Estado de costos'!K206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costos'!B207</f>
        <v>0</v>
      </c>
      <c r="K179" s="105" t="str">
        <f>IF('Estado de costos'!D207=0,"",'Estado de costos'!D207)</f>
        <v/>
      </c>
      <c r="L179">
        <f>'Estado de costos'!E207</f>
        <v>0</v>
      </c>
      <c r="M179" s="7">
        <f t="shared" si="4"/>
        <v>0</v>
      </c>
      <c r="N179" s="7">
        <f>'Estado de costos'!J207</f>
        <v>0</v>
      </c>
      <c r="O179" s="7">
        <f>'Estado de costos'!K207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costos'!B208</f>
        <v>0</v>
      </c>
      <c r="K180" s="105" t="str">
        <f>IF('Estado de costos'!D208=0,"",'Estado de costos'!D208)</f>
        <v/>
      </c>
      <c r="L180">
        <f>'Estado de costos'!E208</f>
        <v>0</v>
      </c>
      <c r="M180" s="7">
        <f t="shared" si="4"/>
        <v>0</v>
      </c>
      <c r="N180" s="7">
        <f>'Estado de costos'!J208</f>
        <v>0</v>
      </c>
      <c r="O180" s="7">
        <f>'Estado de costos'!K208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costos'!B209</f>
        <v>0</v>
      </c>
      <c r="K181" s="105" t="str">
        <f>IF('Estado de costos'!D209=0,"",'Estado de costos'!D209)</f>
        <v/>
      </c>
      <c r="L181">
        <f>'Estado de costos'!E209</f>
        <v>0</v>
      </c>
      <c r="M181" s="7">
        <f t="shared" si="4"/>
        <v>0</v>
      </c>
      <c r="N181" s="7">
        <f>'Estado de costos'!J209</f>
        <v>0</v>
      </c>
      <c r="O181" s="7">
        <f>'Estado de costos'!K209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costos'!B210</f>
        <v>0</v>
      </c>
      <c r="K182" s="105" t="str">
        <f>IF('Estado de costos'!D210=0,"",'Estado de costos'!D210)</f>
        <v/>
      </c>
      <c r="L182">
        <f>'Estado de costos'!E210</f>
        <v>0</v>
      </c>
      <c r="M182" s="7">
        <f t="shared" si="4"/>
        <v>0</v>
      </c>
      <c r="N182" s="7">
        <f>'Estado de costos'!J210</f>
        <v>0</v>
      </c>
      <c r="O182" s="7">
        <f>'Estado de costos'!K210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costos'!B211</f>
        <v>0</v>
      </c>
      <c r="K183" s="105" t="str">
        <f>IF('Estado de costos'!D211=0,"",'Estado de costos'!D211)</f>
        <v/>
      </c>
      <c r="L183">
        <f>'Estado de costos'!E211</f>
        <v>0</v>
      </c>
      <c r="M183" s="7">
        <f t="shared" si="4"/>
        <v>0</v>
      </c>
      <c r="N183" s="7">
        <f>'Estado de costos'!J211</f>
        <v>0</v>
      </c>
      <c r="O183" s="7">
        <f>'Estado de costos'!K211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costos'!B212</f>
        <v>0</v>
      </c>
      <c r="K184" s="105" t="str">
        <f>IF('Estado de costos'!D212=0,"",'Estado de costos'!D212)</f>
        <v/>
      </c>
      <c r="L184">
        <f>'Estado de costos'!E212</f>
        <v>0</v>
      </c>
      <c r="M184" s="7">
        <f t="shared" si="4"/>
        <v>0</v>
      </c>
      <c r="N184" s="7">
        <f>'Estado de costos'!J212</f>
        <v>0</v>
      </c>
      <c r="O184" s="7">
        <f>'Estado de costos'!K212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costos'!B213</f>
        <v>0</v>
      </c>
      <c r="K185" s="105" t="str">
        <f>IF('Estado de costos'!D213=0,"",'Estado de costos'!D213)</f>
        <v/>
      </c>
      <c r="L185">
        <f>'Estado de costos'!E213</f>
        <v>0</v>
      </c>
      <c r="M185" s="7">
        <f t="shared" si="4"/>
        <v>0</v>
      </c>
      <c r="N185" s="7">
        <f>'Estado de costos'!J213</f>
        <v>0</v>
      </c>
      <c r="O185" s="7">
        <f>'Estado de costos'!K213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costos'!B214</f>
        <v>0</v>
      </c>
      <c r="K186" s="105" t="str">
        <f>IF('Estado de costos'!D214=0,"",'Estado de costos'!D214)</f>
        <v/>
      </c>
      <c r="L186">
        <f>'Estado de costos'!E214</f>
        <v>0</v>
      </c>
      <c r="M186" s="7">
        <f t="shared" si="4"/>
        <v>0</v>
      </c>
      <c r="N186" s="7">
        <f>'Estado de costos'!J214</f>
        <v>0</v>
      </c>
      <c r="O186" s="7">
        <f>'Estado de costos'!K214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costos'!B215</f>
        <v>0</v>
      </c>
      <c r="K187" s="105" t="str">
        <f>IF('Estado de costos'!D215=0,"",'Estado de costos'!D215)</f>
        <v/>
      </c>
      <c r="L187">
        <f>'Estado de costos'!E215</f>
        <v>0</v>
      </c>
      <c r="M187" s="7">
        <f t="shared" si="4"/>
        <v>0</v>
      </c>
      <c r="N187" s="7">
        <f>'Estado de costos'!J215</f>
        <v>0</v>
      </c>
      <c r="O187" s="7">
        <f>'Estado de costos'!K215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costos'!B216</f>
        <v>0</v>
      </c>
      <c r="K188" s="105" t="str">
        <f>IF('Estado de costos'!D216=0,"",'Estado de costos'!D216)</f>
        <v/>
      </c>
      <c r="L188">
        <f>'Estado de costos'!E216</f>
        <v>0</v>
      </c>
      <c r="M188" s="7">
        <f t="shared" si="4"/>
        <v>0</v>
      </c>
      <c r="N188" s="7">
        <f>'Estado de costos'!J216</f>
        <v>0</v>
      </c>
      <c r="O188" s="7">
        <f>'Estado de costos'!K216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costos'!B217</f>
        <v>0</v>
      </c>
      <c r="K189" s="105" t="str">
        <f>IF('Estado de costos'!D217=0,"",'Estado de costos'!D217)</f>
        <v/>
      </c>
      <c r="L189">
        <f>'Estado de costos'!E217</f>
        <v>0</v>
      </c>
      <c r="M189" s="7">
        <f t="shared" si="4"/>
        <v>0</v>
      </c>
      <c r="N189" s="7">
        <f>'Estado de costos'!J217</f>
        <v>0</v>
      </c>
      <c r="O189" s="7">
        <f>'Estado de costos'!K217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costos'!B218</f>
        <v>0</v>
      </c>
      <c r="K190" s="105" t="str">
        <f>IF('Estado de costos'!D218=0,"",'Estado de costos'!D218)</f>
        <v/>
      </c>
      <c r="L190">
        <f>'Estado de costos'!E218</f>
        <v>0</v>
      </c>
      <c r="M190" s="7">
        <f t="shared" si="4"/>
        <v>0</v>
      </c>
      <c r="N190" s="7">
        <f>'Estado de costos'!J218</f>
        <v>0</v>
      </c>
      <c r="O190" s="7">
        <f>'Estado de costos'!K218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costos'!B219</f>
        <v>0</v>
      </c>
      <c r="K191" s="105" t="str">
        <f>IF('Estado de costos'!D219=0,"",'Estado de costos'!D219)</f>
        <v/>
      </c>
      <c r="L191">
        <f>'Estado de costos'!E219</f>
        <v>0</v>
      </c>
      <c r="M191" s="7">
        <f t="shared" si="4"/>
        <v>0</v>
      </c>
      <c r="N191" s="7">
        <f>'Estado de costos'!J219</f>
        <v>0</v>
      </c>
      <c r="O191" s="7">
        <f>'Estado de costos'!K219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costos'!B220</f>
        <v>0</v>
      </c>
      <c r="K192" s="105" t="str">
        <f>IF('Estado de costos'!D220=0,"",'Estado de costos'!D220)</f>
        <v/>
      </c>
      <c r="L192">
        <f>'Estado de costos'!E220</f>
        <v>0</v>
      </c>
      <c r="M192" s="7">
        <f t="shared" si="4"/>
        <v>0</v>
      </c>
      <c r="N192" s="7">
        <f>'Estado de costos'!J220</f>
        <v>0</v>
      </c>
      <c r="O192" s="7">
        <f>'Estado de costos'!K220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costos'!B221</f>
        <v>0</v>
      </c>
      <c r="K193" s="105" t="str">
        <f>IF('Estado de costos'!D221=0,"",'Estado de costos'!D221)</f>
        <v/>
      </c>
      <c r="L193">
        <f>'Estado de costos'!E221</f>
        <v>0</v>
      </c>
      <c r="M193" s="7">
        <f t="shared" si="4"/>
        <v>0</v>
      </c>
      <c r="N193" s="7">
        <f>'Estado de costos'!J221</f>
        <v>0</v>
      </c>
      <c r="O193" s="7">
        <f>'Estado de costos'!K221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costos'!B222</f>
        <v>0</v>
      </c>
      <c r="K194" s="105" t="str">
        <f>IF('Estado de costos'!D222=0,"",'Estado de costos'!D222)</f>
        <v/>
      </c>
      <c r="L194">
        <f>'Estado de costos'!E222</f>
        <v>0</v>
      </c>
      <c r="M194" s="7">
        <f t="shared" si="4"/>
        <v>0</v>
      </c>
      <c r="N194" s="7">
        <f>'Estado de costos'!J222</f>
        <v>0</v>
      </c>
      <c r="O194" s="7">
        <f>'Estado de costos'!K222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costos'!B223</f>
        <v>0</v>
      </c>
      <c r="K195" s="105" t="str">
        <f>IF('Estado de costos'!D223=0,"",'Estado de costos'!D223)</f>
        <v/>
      </c>
      <c r="L195">
        <f>'Estado de costos'!E223</f>
        <v>0</v>
      </c>
      <c r="M195" s="7">
        <f t="shared" ref="M195:M258" si="6">IFERROR(+N195/L195/IF(K195="",1,K195),0)</f>
        <v>0</v>
      </c>
      <c r="N195" s="7">
        <f>'Estado de costos'!J223</f>
        <v>0</v>
      </c>
      <c r="O195" s="7">
        <f>'Estado de costos'!K223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costos'!B224</f>
        <v>0</v>
      </c>
      <c r="K196" s="105" t="str">
        <f>IF('Estado de costos'!D224=0,"",'Estado de costos'!D224)</f>
        <v/>
      </c>
      <c r="L196">
        <f>'Estado de costos'!E224</f>
        <v>0</v>
      </c>
      <c r="M196" s="7">
        <f t="shared" si="6"/>
        <v>0</v>
      </c>
      <c r="N196" s="7">
        <f>'Estado de costos'!J224</f>
        <v>0</v>
      </c>
      <c r="O196" s="7">
        <f>'Estado de costos'!K224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costos'!B225</f>
        <v>0</v>
      </c>
      <c r="K197" s="105" t="str">
        <f>IF('Estado de costos'!D225=0,"",'Estado de costos'!D225)</f>
        <v/>
      </c>
      <c r="L197">
        <f>'Estado de costos'!E225</f>
        <v>0</v>
      </c>
      <c r="M197" s="7">
        <f t="shared" si="6"/>
        <v>0</v>
      </c>
      <c r="N197" s="7">
        <f>'Estado de costos'!J225</f>
        <v>0</v>
      </c>
      <c r="O197" s="7">
        <f>'Estado de costos'!K225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costos'!B226</f>
        <v>0</v>
      </c>
      <c r="K198" s="105" t="str">
        <f>IF('Estado de costos'!D226=0,"",'Estado de costos'!D226)</f>
        <v/>
      </c>
      <c r="L198">
        <f>'Estado de costos'!E226</f>
        <v>0</v>
      </c>
      <c r="M198" s="7">
        <f t="shared" si="6"/>
        <v>0</v>
      </c>
      <c r="N198" s="7">
        <f>'Estado de costos'!J226</f>
        <v>0</v>
      </c>
      <c r="O198" s="7">
        <f>'Estado de costos'!K226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costos'!B227</f>
        <v>0</v>
      </c>
      <c r="K199" s="105" t="str">
        <f>IF('Estado de costos'!D227=0,"",'Estado de costos'!D227)</f>
        <v/>
      </c>
      <c r="L199">
        <f>'Estado de costos'!E227</f>
        <v>0</v>
      </c>
      <c r="M199" s="7">
        <f t="shared" si="6"/>
        <v>0</v>
      </c>
      <c r="N199" s="7">
        <f>'Estado de costos'!J227</f>
        <v>0</v>
      </c>
      <c r="O199" s="7">
        <f>'Estado de costos'!K227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costos'!B228</f>
        <v>0</v>
      </c>
      <c r="K200" s="105" t="str">
        <f>IF('Estado de costos'!D228=0,"",'Estado de costos'!D228)</f>
        <v/>
      </c>
      <c r="L200">
        <f>'Estado de costos'!E228</f>
        <v>0</v>
      </c>
      <c r="M200" s="7">
        <f t="shared" si="6"/>
        <v>0</v>
      </c>
      <c r="N200" s="7">
        <f>'Estado de costos'!J228</f>
        <v>0</v>
      </c>
      <c r="O200" s="7">
        <f>'Estado de costos'!K228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costos'!B229</f>
        <v>0</v>
      </c>
      <c r="K201" s="105" t="str">
        <f>IF('Estado de costos'!D229=0,"",'Estado de costos'!D229)</f>
        <v/>
      </c>
      <c r="L201">
        <f>'Estado de costos'!E229</f>
        <v>0</v>
      </c>
      <c r="M201" s="7">
        <f t="shared" si="6"/>
        <v>0</v>
      </c>
      <c r="N201" s="7">
        <f>'Estado de costos'!J229</f>
        <v>0</v>
      </c>
      <c r="O201" s="7">
        <f>'Estado de costos'!K229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costos'!B230</f>
        <v>0</v>
      </c>
      <c r="K202" s="105" t="str">
        <f>IF('Estado de costos'!D230=0,"",'Estado de costos'!D230)</f>
        <v/>
      </c>
      <c r="L202">
        <f>'Estado de costos'!E230</f>
        <v>0</v>
      </c>
      <c r="M202" s="7">
        <f t="shared" si="6"/>
        <v>0</v>
      </c>
      <c r="N202" s="7">
        <f>'Estado de costos'!J230</f>
        <v>0</v>
      </c>
      <c r="O202" s="7">
        <f>'Estado de costos'!K230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costos'!B231</f>
        <v>0</v>
      </c>
      <c r="K203" s="105" t="str">
        <f>IF('Estado de costos'!D231=0,"",'Estado de costos'!D231)</f>
        <v/>
      </c>
      <c r="L203">
        <f>'Estado de costos'!E231</f>
        <v>0</v>
      </c>
      <c r="M203" s="7">
        <f t="shared" si="6"/>
        <v>0</v>
      </c>
      <c r="N203" s="7">
        <f>'Estado de costos'!J231</f>
        <v>0</v>
      </c>
      <c r="O203" s="7">
        <f>'Estado de costos'!K231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costos'!B232</f>
        <v>0</v>
      </c>
      <c r="K204" s="105" t="str">
        <f>IF('Estado de costos'!D232=0,"",'Estado de costos'!D232)</f>
        <v/>
      </c>
      <c r="L204">
        <f>'Estado de costos'!E232</f>
        <v>0</v>
      </c>
      <c r="M204" s="7">
        <f t="shared" si="6"/>
        <v>0</v>
      </c>
      <c r="N204" s="7">
        <f>'Estado de costos'!J232</f>
        <v>0</v>
      </c>
      <c r="O204" s="7">
        <f>'Estado de costos'!K232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costos'!B233</f>
        <v>0</v>
      </c>
      <c r="K205" s="105" t="str">
        <f>IF('Estado de costos'!D233=0,"",'Estado de costos'!D233)</f>
        <v/>
      </c>
      <c r="L205">
        <f>'Estado de costos'!E233</f>
        <v>0</v>
      </c>
      <c r="M205" s="7">
        <f t="shared" si="6"/>
        <v>0</v>
      </c>
      <c r="N205" s="7">
        <f>'Estado de costos'!J233</f>
        <v>0</v>
      </c>
      <c r="O205" s="7">
        <f>'Estado de costos'!K233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costos'!B234</f>
        <v>0</v>
      </c>
      <c r="K206" s="105" t="str">
        <f>IF('Estado de costos'!D234=0,"",'Estado de costos'!D234)</f>
        <v/>
      </c>
      <c r="L206">
        <f>'Estado de costos'!E234</f>
        <v>0</v>
      </c>
      <c r="M206" s="7">
        <f t="shared" si="6"/>
        <v>0</v>
      </c>
      <c r="N206" s="7">
        <f>'Estado de costos'!J234</f>
        <v>0</v>
      </c>
      <c r="O206" s="7">
        <f>'Estado de costos'!K234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costos'!B235</f>
        <v>0</v>
      </c>
      <c r="K207" s="105" t="str">
        <f>IF('Estado de costos'!D235=0,"",'Estado de costos'!D235)</f>
        <v/>
      </c>
      <c r="L207">
        <f>'Estado de costos'!E235</f>
        <v>0</v>
      </c>
      <c r="M207" s="7">
        <f t="shared" si="6"/>
        <v>0</v>
      </c>
      <c r="N207" s="7">
        <f>'Estado de costos'!J235</f>
        <v>0</v>
      </c>
      <c r="O207" s="7">
        <f>'Estado de costos'!K235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costos'!B236</f>
        <v>0</v>
      </c>
      <c r="K208" s="105" t="str">
        <f>IF('Estado de costos'!D236=0,"",'Estado de costos'!D236)</f>
        <v/>
      </c>
      <c r="L208">
        <f>'Estado de costos'!E236</f>
        <v>0</v>
      </c>
      <c r="M208" s="7">
        <f t="shared" si="6"/>
        <v>0</v>
      </c>
      <c r="N208" s="7">
        <f>'Estado de costos'!J236</f>
        <v>0</v>
      </c>
      <c r="O208" s="7">
        <f>'Estado de costos'!K236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costos'!B237</f>
        <v>0</v>
      </c>
      <c r="K209" s="105" t="str">
        <f>IF('Estado de costos'!D237=0,"",'Estado de costos'!D237)</f>
        <v/>
      </c>
      <c r="L209">
        <f>'Estado de costos'!E237</f>
        <v>0</v>
      </c>
      <c r="M209" s="7">
        <f t="shared" si="6"/>
        <v>0</v>
      </c>
      <c r="N209" s="7">
        <f>'Estado de costos'!J237</f>
        <v>0</v>
      </c>
      <c r="O209" s="7">
        <f>'Estado de costos'!K237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costos'!B238</f>
        <v>0</v>
      </c>
      <c r="K210" s="105" t="str">
        <f>IF('Estado de costos'!D238=0,"",'Estado de costos'!D238)</f>
        <v/>
      </c>
      <c r="L210">
        <f>'Estado de costos'!E238</f>
        <v>0</v>
      </c>
      <c r="M210" s="7">
        <f t="shared" si="6"/>
        <v>0</v>
      </c>
      <c r="N210" s="7">
        <f>'Estado de costos'!J238</f>
        <v>0</v>
      </c>
      <c r="O210" s="7">
        <f>'Estado de costos'!K238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costos'!B239</f>
        <v>0</v>
      </c>
      <c r="K211" s="105" t="str">
        <f>IF('Estado de costos'!D239=0,"",'Estado de costos'!D239)</f>
        <v/>
      </c>
      <c r="L211">
        <f>'Estado de costos'!E239</f>
        <v>0</v>
      </c>
      <c r="M211" s="7">
        <f t="shared" si="6"/>
        <v>0</v>
      </c>
      <c r="N211" s="7">
        <f>'Estado de costos'!J239</f>
        <v>0</v>
      </c>
      <c r="O211" s="7">
        <f>'Estado de costos'!K239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costos'!B240</f>
        <v>0</v>
      </c>
      <c r="K212" s="105" t="str">
        <f>IF('Estado de costos'!D240=0,"",'Estado de costos'!D240)</f>
        <v/>
      </c>
      <c r="L212">
        <f>'Estado de costos'!E240</f>
        <v>0</v>
      </c>
      <c r="M212" s="7">
        <f t="shared" si="6"/>
        <v>0</v>
      </c>
      <c r="N212" s="7">
        <f>'Estado de costos'!J240</f>
        <v>0</v>
      </c>
      <c r="O212" s="7">
        <f>'Estado de costos'!K240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costos'!B241</f>
        <v>0</v>
      </c>
      <c r="K213" s="105" t="str">
        <f>IF('Estado de costos'!D241=0,"",'Estado de costos'!D241)</f>
        <v/>
      </c>
      <c r="L213">
        <f>'Estado de costos'!E241</f>
        <v>0</v>
      </c>
      <c r="M213" s="7">
        <f t="shared" si="6"/>
        <v>0</v>
      </c>
      <c r="N213" s="7">
        <f>'Estado de costos'!J241</f>
        <v>0</v>
      </c>
      <c r="O213" s="7">
        <f>'Estado de costos'!K241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costos'!B242</f>
        <v>0</v>
      </c>
      <c r="K214" s="105" t="str">
        <f>IF('Estado de costos'!D242=0,"",'Estado de costos'!D242)</f>
        <v/>
      </c>
      <c r="L214">
        <f>'Estado de costos'!E242</f>
        <v>0</v>
      </c>
      <c r="M214" s="7">
        <f t="shared" si="6"/>
        <v>0</v>
      </c>
      <c r="N214" s="7">
        <f>'Estado de costos'!J242</f>
        <v>0</v>
      </c>
      <c r="O214" s="7">
        <f>'Estado de costos'!K242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costos'!B243</f>
        <v>0</v>
      </c>
      <c r="K215" s="105" t="str">
        <f>IF('Estado de costos'!D243=0,"",'Estado de costos'!D243)</f>
        <v/>
      </c>
      <c r="L215">
        <f>'Estado de costos'!E243</f>
        <v>0</v>
      </c>
      <c r="M215" s="7">
        <f t="shared" si="6"/>
        <v>0</v>
      </c>
      <c r="N215" s="7">
        <f>'Estado de costos'!J243</f>
        <v>0</v>
      </c>
      <c r="O215" s="7">
        <f>'Estado de costos'!K243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costos'!B244</f>
        <v>0</v>
      </c>
      <c r="K216" s="105" t="str">
        <f>IF('Estado de costos'!D244=0,"",'Estado de costos'!D244)</f>
        <v/>
      </c>
      <c r="L216">
        <f>'Estado de costos'!E244</f>
        <v>0</v>
      </c>
      <c r="M216" s="7">
        <f t="shared" si="6"/>
        <v>0</v>
      </c>
      <c r="N216" s="7">
        <f>'Estado de costos'!J244</f>
        <v>0</v>
      </c>
      <c r="O216" s="7">
        <f>'Estado de costos'!K244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costos'!B245</f>
        <v>0</v>
      </c>
      <c r="K217" s="105" t="str">
        <f>IF('Estado de costos'!D245=0,"",'Estado de costos'!D245)</f>
        <v/>
      </c>
      <c r="L217">
        <f>'Estado de costos'!E245</f>
        <v>0</v>
      </c>
      <c r="M217" s="7">
        <f t="shared" si="6"/>
        <v>0</v>
      </c>
      <c r="N217" s="7">
        <f>'Estado de costos'!J245</f>
        <v>0</v>
      </c>
      <c r="O217" s="7">
        <f>'Estado de costos'!K245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costos'!B246</f>
        <v>0</v>
      </c>
      <c r="K218" s="105" t="str">
        <f>IF('Estado de costos'!D246=0,"",'Estado de costos'!D246)</f>
        <v/>
      </c>
      <c r="L218">
        <f>'Estado de costos'!E246</f>
        <v>0</v>
      </c>
      <c r="M218" s="7">
        <f t="shared" si="6"/>
        <v>0</v>
      </c>
      <c r="N218" s="7">
        <f>'Estado de costos'!J246</f>
        <v>0</v>
      </c>
      <c r="O218" s="7">
        <f>'Estado de costos'!K246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costos'!B247</f>
        <v>0</v>
      </c>
      <c r="K219" s="105" t="str">
        <f>IF('Estado de costos'!D247=0,"",'Estado de costos'!D247)</f>
        <v/>
      </c>
      <c r="L219">
        <f>'Estado de costos'!E247</f>
        <v>0</v>
      </c>
      <c r="M219" s="7">
        <f t="shared" si="6"/>
        <v>0</v>
      </c>
      <c r="N219" s="7">
        <f>'Estado de costos'!J247</f>
        <v>0</v>
      </c>
      <c r="O219" s="7">
        <f>'Estado de costos'!K247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costos'!B248</f>
        <v>0</v>
      </c>
      <c r="K220" s="105" t="str">
        <f>IF('Estado de costos'!D248=0,"",'Estado de costos'!D248)</f>
        <v/>
      </c>
      <c r="L220">
        <f>'Estado de costos'!E248</f>
        <v>0</v>
      </c>
      <c r="M220" s="7">
        <f t="shared" si="6"/>
        <v>0</v>
      </c>
      <c r="N220" s="7">
        <f>'Estado de costos'!J248</f>
        <v>0</v>
      </c>
      <c r="O220" s="7">
        <f>'Estado de costos'!K248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costos'!B249</f>
        <v>0</v>
      </c>
      <c r="K221" s="105" t="str">
        <f>IF('Estado de costos'!D249=0,"",'Estado de costos'!D249)</f>
        <v/>
      </c>
      <c r="L221">
        <f>'Estado de costos'!E249</f>
        <v>0</v>
      </c>
      <c r="M221" s="7">
        <f t="shared" si="6"/>
        <v>0</v>
      </c>
      <c r="N221" s="7">
        <f>'Estado de costos'!J249</f>
        <v>0</v>
      </c>
      <c r="O221" s="7">
        <f>'Estado de costos'!K249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costos'!B250</f>
        <v>0</v>
      </c>
      <c r="K222" s="105" t="str">
        <f>IF('Estado de costos'!D250=0,"",'Estado de costos'!D250)</f>
        <v/>
      </c>
      <c r="L222">
        <f>'Estado de costos'!E250</f>
        <v>0</v>
      </c>
      <c r="M222" s="7">
        <f t="shared" si="6"/>
        <v>0</v>
      </c>
      <c r="N222" s="7">
        <f>'Estado de costos'!J250</f>
        <v>0</v>
      </c>
      <c r="O222" s="7">
        <f>'Estado de costos'!K250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costos'!B251</f>
        <v>0</v>
      </c>
      <c r="K223" s="105" t="str">
        <f>IF('Estado de costos'!D251=0,"",'Estado de costos'!D251)</f>
        <v/>
      </c>
      <c r="L223">
        <f>'Estado de costos'!E251</f>
        <v>0</v>
      </c>
      <c r="M223" s="7">
        <f t="shared" si="6"/>
        <v>0</v>
      </c>
      <c r="N223" s="7">
        <f>'Estado de costos'!J251</f>
        <v>0</v>
      </c>
      <c r="O223" s="7">
        <f>'Estado de costos'!K251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costos'!B252</f>
        <v>0</v>
      </c>
      <c r="K224" s="105" t="str">
        <f>IF('Estado de costos'!D252=0,"",'Estado de costos'!D252)</f>
        <v/>
      </c>
      <c r="L224">
        <f>'Estado de costos'!E252</f>
        <v>0</v>
      </c>
      <c r="M224" s="7">
        <f t="shared" si="6"/>
        <v>0</v>
      </c>
      <c r="N224" s="7">
        <f>'Estado de costos'!J252</f>
        <v>0</v>
      </c>
      <c r="O224" s="7">
        <f>'Estado de costos'!K252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costos'!B253</f>
        <v>0</v>
      </c>
      <c r="K225" s="105" t="str">
        <f>IF('Estado de costos'!D253=0,"",'Estado de costos'!D253)</f>
        <v/>
      </c>
      <c r="L225">
        <f>'Estado de costos'!E253</f>
        <v>0</v>
      </c>
      <c r="M225" s="7">
        <f t="shared" si="6"/>
        <v>0</v>
      </c>
      <c r="N225" s="7">
        <f>'Estado de costos'!J253</f>
        <v>0</v>
      </c>
      <c r="O225" s="7">
        <f>'Estado de costos'!K253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costos'!B254</f>
        <v>0</v>
      </c>
      <c r="K226" s="105" t="str">
        <f>IF('Estado de costos'!D254=0,"",'Estado de costos'!D254)</f>
        <v/>
      </c>
      <c r="L226">
        <f>'Estado de costos'!E254</f>
        <v>0</v>
      </c>
      <c r="M226" s="7">
        <f t="shared" si="6"/>
        <v>0</v>
      </c>
      <c r="N226" s="7">
        <f>'Estado de costos'!J254</f>
        <v>0</v>
      </c>
      <c r="O226" s="7">
        <f>'Estado de costos'!K254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costos'!B255</f>
        <v>0</v>
      </c>
      <c r="K227" s="105" t="str">
        <f>IF('Estado de costos'!D255=0,"",'Estado de costos'!D255)</f>
        <v/>
      </c>
      <c r="L227">
        <f>'Estado de costos'!E255</f>
        <v>0</v>
      </c>
      <c r="M227" s="7">
        <f t="shared" si="6"/>
        <v>0</v>
      </c>
      <c r="N227" s="7">
        <f>'Estado de costos'!J255</f>
        <v>0</v>
      </c>
      <c r="O227" s="7">
        <f>'Estado de costos'!K255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costos'!B256</f>
        <v>0</v>
      </c>
      <c r="K228" s="105" t="str">
        <f>IF('Estado de costos'!D256=0,"",'Estado de costos'!D256)</f>
        <v/>
      </c>
      <c r="L228">
        <f>'Estado de costos'!E256</f>
        <v>0</v>
      </c>
      <c r="M228" s="7">
        <f t="shared" si="6"/>
        <v>0</v>
      </c>
      <c r="N228" s="7">
        <f>'Estado de costos'!J256</f>
        <v>0</v>
      </c>
      <c r="O228" s="7">
        <f>'Estado de costos'!K256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costos'!B257</f>
        <v>0</v>
      </c>
      <c r="K229" s="105" t="str">
        <f>IF('Estado de costos'!D257=0,"",'Estado de costos'!D257)</f>
        <v/>
      </c>
      <c r="L229">
        <f>'Estado de costos'!E257</f>
        <v>0</v>
      </c>
      <c r="M229" s="7">
        <f t="shared" si="6"/>
        <v>0</v>
      </c>
      <c r="N229" s="7">
        <f>'Estado de costos'!J257</f>
        <v>0</v>
      </c>
      <c r="O229" s="7">
        <f>'Estado de costos'!K257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costos'!B258</f>
        <v>0</v>
      </c>
      <c r="K230" s="105" t="str">
        <f>IF('Estado de costos'!D258=0,"",'Estado de costos'!D258)</f>
        <v/>
      </c>
      <c r="L230">
        <f>'Estado de costos'!E258</f>
        <v>0</v>
      </c>
      <c r="M230" s="7">
        <f t="shared" si="6"/>
        <v>0</v>
      </c>
      <c r="N230" s="7">
        <f>'Estado de costos'!J258</f>
        <v>0</v>
      </c>
      <c r="O230" s="7">
        <f>'Estado de costos'!K258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costos'!B259</f>
        <v>0</v>
      </c>
      <c r="K231" s="105" t="str">
        <f>IF('Estado de costos'!D259=0,"",'Estado de costos'!D259)</f>
        <v/>
      </c>
      <c r="L231">
        <f>'Estado de costos'!E259</f>
        <v>0</v>
      </c>
      <c r="M231" s="7">
        <f t="shared" si="6"/>
        <v>0</v>
      </c>
      <c r="N231" s="7">
        <f>'Estado de costos'!J259</f>
        <v>0</v>
      </c>
      <c r="O231" s="7">
        <f>'Estado de costos'!K259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costos'!B260</f>
        <v>0</v>
      </c>
      <c r="K232" s="105" t="str">
        <f>IF('Estado de costos'!D260=0,"",'Estado de costos'!D260)</f>
        <v/>
      </c>
      <c r="L232">
        <f>'Estado de costos'!E260</f>
        <v>0</v>
      </c>
      <c r="M232" s="7">
        <f t="shared" si="6"/>
        <v>0</v>
      </c>
      <c r="N232" s="7">
        <f>'Estado de costos'!J260</f>
        <v>0</v>
      </c>
      <c r="O232" s="7">
        <f>'Estado de costos'!K260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costos'!B261</f>
        <v>0</v>
      </c>
      <c r="K233" s="105" t="str">
        <f>IF('Estado de costos'!D261=0,"",'Estado de costos'!D261)</f>
        <v/>
      </c>
      <c r="L233">
        <f>'Estado de costos'!E261</f>
        <v>0</v>
      </c>
      <c r="M233" s="7">
        <f t="shared" si="6"/>
        <v>0</v>
      </c>
      <c r="N233" s="7">
        <f>'Estado de costos'!J261</f>
        <v>0</v>
      </c>
      <c r="O233" s="7">
        <f>'Estado de costos'!K261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costos'!B262</f>
        <v>0</v>
      </c>
      <c r="K234" s="105" t="str">
        <f>IF('Estado de costos'!D262=0,"",'Estado de costos'!D262)</f>
        <v/>
      </c>
      <c r="L234">
        <f>'Estado de costos'!E262</f>
        <v>0</v>
      </c>
      <c r="M234" s="7">
        <f t="shared" si="6"/>
        <v>0</v>
      </c>
      <c r="N234" s="7">
        <f>'Estado de costos'!J262</f>
        <v>0</v>
      </c>
      <c r="O234" s="7">
        <f>'Estado de costos'!K262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costos'!B263</f>
        <v>0</v>
      </c>
      <c r="K235" s="105" t="str">
        <f>IF('Estado de costos'!D263=0,"",'Estado de costos'!D263)</f>
        <v/>
      </c>
      <c r="L235">
        <f>'Estado de costos'!E263</f>
        <v>0</v>
      </c>
      <c r="M235" s="7">
        <f t="shared" si="6"/>
        <v>0</v>
      </c>
      <c r="N235" s="7">
        <f>'Estado de costos'!J263</f>
        <v>0</v>
      </c>
      <c r="O235" s="7">
        <f>'Estado de costos'!K263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costos'!B264</f>
        <v>0</v>
      </c>
      <c r="K236" s="105" t="str">
        <f>IF('Estado de costos'!D264=0,"",'Estado de costos'!D264)</f>
        <v/>
      </c>
      <c r="L236">
        <f>'Estado de costos'!E264</f>
        <v>0</v>
      </c>
      <c r="M236" s="7">
        <f t="shared" si="6"/>
        <v>0</v>
      </c>
      <c r="N236" s="7">
        <f>'Estado de costos'!J264</f>
        <v>0</v>
      </c>
      <c r="O236" s="7">
        <f>'Estado de costos'!K264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costos'!B265</f>
        <v>0</v>
      </c>
      <c r="K237" s="105" t="str">
        <f>IF('Estado de costos'!D265=0,"",'Estado de costos'!D265)</f>
        <v/>
      </c>
      <c r="L237">
        <f>'Estado de costos'!E265</f>
        <v>0</v>
      </c>
      <c r="M237" s="7">
        <f t="shared" si="6"/>
        <v>0</v>
      </c>
      <c r="N237" s="7">
        <f>'Estado de costos'!J265</f>
        <v>0</v>
      </c>
      <c r="O237" s="7">
        <f>'Estado de costos'!K265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costos'!B266</f>
        <v>0</v>
      </c>
      <c r="K238" s="105" t="str">
        <f>IF('Estado de costos'!D266=0,"",'Estado de costos'!D266)</f>
        <v/>
      </c>
      <c r="L238">
        <f>'Estado de costos'!E266</f>
        <v>0</v>
      </c>
      <c r="M238" s="7">
        <f t="shared" si="6"/>
        <v>0</v>
      </c>
      <c r="N238" s="7">
        <f>'Estado de costos'!J266</f>
        <v>0</v>
      </c>
      <c r="O238" s="7">
        <f>'Estado de costos'!K266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costos'!B267</f>
        <v>0</v>
      </c>
      <c r="K239" s="105" t="str">
        <f>IF('Estado de costos'!D267=0,"",'Estado de costos'!D267)</f>
        <v/>
      </c>
      <c r="L239">
        <f>'Estado de costos'!E267</f>
        <v>0</v>
      </c>
      <c r="M239" s="7">
        <f t="shared" si="6"/>
        <v>0</v>
      </c>
      <c r="N239" s="7">
        <f>'Estado de costos'!J267</f>
        <v>0</v>
      </c>
      <c r="O239" s="7">
        <f>'Estado de costos'!K267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costos'!B268</f>
        <v>0</v>
      </c>
      <c r="K240" s="105" t="str">
        <f>IF('Estado de costos'!D268=0,"",'Estado de costos'!D268)</f>
        <v/>
      </c>
      <c r="L240">
        <f>'Estado de costos'!E268</f>
        <v>0</v>
      </c>
      <c r="M240" s="7">
        <f t="shared" si="6"/>
        <v>0</v>
      </c>
      <c r="N240" s="7">
        <f>'Estado de costos'!J268</f>
        <v>0</v>
      </c>
      <c r="O240" s="7">
        <f>'Estado de costos'!K268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costos'!B269</f>
        <v>0</v>
      </c>
      <c r="K241" s="105" t="str">
        <f>IF('Estado de costos'!D269=0,"",'Estado de costos'!D269)</f>
        <v/>
      </c>
      <c r="L241">
        <f>'Estado de costos'!E269</f>
        <v>0</v>
      </c>
      <c r="M241" s="7">
        <f t="shared" si="6"/>
        <v>0</v>
      </c>
      <c r="N241" s="7">
        <f>'Estado de costos'!J269</f>
        <v>0</v>
      </c>
      <c r="O241" s="7">
        <f>'Estado de costos'!K269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costos'!B270</f>
        <v>0</v>
      </c>
      <c r="K242" s="105" t="str">
        <f>IF('Estado de costos'!D270=0,"",'Estado de costos'!D270)</f>
        <v/>
      </c>
      <c r="L242">
        <f>'Estado de costos'!E270</f>
        <v>0</v>
      </c>
      <c r="M242" s="7">
        <f t="shared" si="6"/>
        <v>0</v>
      </c>
      <c r="N242" s="7">
        <f>'Estado de costos'!J270</f>
        <v>0</v>
      </c>
      <c r="O242" s="7">
        <f>'Estado de costos'!K270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costos'!B271</f>
        <v>0</v>
      </c>
      <c r="K243" s="105" t="str">
        <f>IF('Estado de costos'!D271=0,"",'Estado de costos'!D271)</f>
        <v/>
      </c>
      <c r="L243">
        <f>'Estado de costos'!E271</f>
        <v>0</v>
      </c>
      <c r="M243" s="7">
        <f t="shared" si="6"/>
        <v>0</v>
      </c>
      <c r="N243" s="7">
        <f>'Estado de costos'!J271</f>
        <v>0</v>
      </c>
      <c r="O243" s="7">
        <f>'Estado de costos'!K271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costos'!B272</f>
        <v>0</v>
      </c>
      <c r="K244" s="105" t="str">
        <f>IF('Estado de costos'!D272=0,"",'Estado de costos'!D272)</f>
        <v/>
      </c>
      <c r="L244">
        <f>'Estado de costos'!E272</f>
        <v>0</v>
      </c>
      <c r="M244" s="7">
        <f t="shared" si="6"/>
        <v>0</v>
      </c>
      <c r="N244" s="7">
        <f>'Estado de costos'!J272</f>
        <v>0</v>
      </c>
      <c r="O244" s="7">
        <f>'Estado de costos'!K272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costos'!B273</f>
        <v>0</v>
      </c>
      <c r="K245" s="105" t="str">
        <f>IF('Estado de costos'!D273=0,"",'Estado de costos'!D273)</f>
        <v/>
      </c>
      <c r="L245">
        <f>'Estado de costos'!E273</f>
        <v>0</v>
      </c>
      <c r="M245" s="7">
        <f t="shared" si="6"/>
        <v>0</v>
      </c>
      <c r="N245" s="7">
        <f>'Estado de costos'!J273</f>
        <v>0</v>
      </c>
      <c r="O245" s="7">
        <f>'Estado de costos'!K273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costos'!B274</f>
        <v>0</v>
      </c>
      <c r="K246" s="105" t="str">
        <f>IF('Estado de costos'!D274=0,"",'Estado de costos'!D274)</f>
        <v/>
      </c>
      <c r="L246">
        <f>'Estado de costos'!E274</f>
        <v>0</v>
      </c>
      <c r="M246" s="7">
        <f t="shared" si="6"/>
        <v>0</v>
      </c>
      <c r="N246" s="7">
        <f>'Estado de costos'!J274</f>
        <v>0</v>
      </c>
      <c r="O246" s="7">
        <f>'Estado de costos'!K274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costos'!B275</f>
        <v>0</v>
      </c>
      <c r="K247" s="105" t="str">
        <f>IF('Estado de costos'!D275=0,"",'Estado de costos'!D275)</f>
        <v/>
      </c>
      <c r="L247">
        <f>'Estado de costos'!E275</f>
        <v>0</v>
      </c>
      <c r="M247" s="7">
        <f t="shared" si="6"/>
        <v>0</v>
      </c>
      <c r="N247" s="7">
        <f>'Estado de costos'!J275</f>
        <v>0</v>
      </c>
      <c r="O247" s="7">
        <f>'Estado de costos'!K275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costos'!B276</f>
        <v>0</v>
      </c>
      <c r="K248" s="105" t="str">
        <f>IF('Estado de costos'!D276=0,"",'Estado de costos'!D276)</f>
        <v/>
      </c>
      <c r="L248">
        <f>'Estado de costos'!E276</f>
        <v>0</v>
      </c>
      <c r="M248" s="7">
        <f t="shared" si="6"/>
        <v>0</v>
      </c>
      <c r="N248" s="7">
        <f>'Estado de costos'!J276</f>
        <v>0</v>
      </c>
      <c r="O248" s="7">
        <f>'Estado de costos'!K276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costos'!B277</f>
        <v>0</v>
      </c>
      <c r="K249" s="105" t="str">
        <f>IF('Estado de costos'!D277=0,"",'Estado de costos'!D277)</f>
        <v/>
      </c>
      <c r="L249">
        <f>'Estado de costos'!E277</f>
        <v>0</v>
      </c>
      <c r="M249" s="7">
        <f t="shared" si="6"/>
        <v>0</v>
      </c>
      <c r="N249" s="7">
        <f>'Estado de costos'!J277</f>
        <v>0</v>
      </c>
      <c r="O249" s="7">
        <f>'Estado de costos'!K277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costos'!B278</f>
        <v>0</v>
      </c>
      <c r="K250" s="105" t="str">
        <f>IF('Estado de costos'!D278=0,"",'Estado de costos'!D278)</f>
        <v/>
      </c>
      <c r="L250">
        <f>'Estado de costos'!E278</f>
        <v>0</v>
      </c>
      <c r="M250" s="7">
        <f t="shared" si="6"/>
        <v>0</v>
      </c>
      <c r="N250" s="7">
        <f>'Estado de costos'!J278</f>
        <v>0</v>
      </c>
      <c r="O250" s="7">
        <f>'Estado de costos'!K278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costos'!B279</f>
        <v>0</v>
      </c>
      <c r="K251" s="105" t="str">
        <f>IF('Estado de costos'!D279=0,"",'Estado de costos'!D279)</f>
        <v/>
      </c>
      <c r="L251">
        <f>'Estado de costos'!E279</f>
        <v>0</v>
      </c>
      <c r="M251" s="7">
        <f t="shared" si="6"/>
        <v>0</v>
      </c>
      <c r="N251" s="7">
        <f>'Estado de costos'!J279</f>
        <v>0</v>
      </c>
      <c r="O251" s="7">
        <f>'Estado de costos'!K279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costos'!B280</f>
        <v>0</v>
      </c>
      <c r="K252" s="105" t="str">
        <f>IF('Estado de costos'!D280=0,"",'Estado de costos'!D280)</f>
        <v/>
      </c>
      <c r="L252">
        <f>'Estado de costos'!E280</f>
        <v>0</v>
      </c>
      <c r="M252" s="7">
        <f t="shared" si="6"/>
        <v>0</v>
      </c>
      <c r="N252" s="7">
        <f>'Estado de costos'!J280</f>
        <v>0</v>
      </c>
      <c r="O252" s="7">
        <f>'Estado de costos'!K280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costos'!B281</f>
        <v>0</v>
      </c>
      <c r="K253" s="105" t="str">
        <f>IF('Estado de costos'!D281=0,"",'Estado de costos'!D281)</f>
        <v/>
      </c>
      <c r="L253">
        <f>'Estado de costos'!E281</f>
        <v>0</v>
      </c>
      <c r="M253" s="7">
        <f t="shared" si="6"/>
        <v>0</v>
      </c>
      <c r="N253" s="7">
        <f>'Estado de costos'!J281</f>
        <v>0</v>
      </c>
      <c r="O253" s="7">
        <f>'Estado de costos'!K281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costos'!B282</f>
        <v>0</v>
      </c>
      <c r="K254" s="105" t="str">
        <f>IF('Estado de costos'!D282=0,"",'Estado de costos'!D282)</f>
        <v/>
      </c>
      <c r="L254">
        <f>'Estado de costos'!E282</f>
        <v>0</v>
      </c>
      <c r="M254" s="7">
        <f t="shared" si="6"/>
        <v>0</v>
      </c>
      <c r="N254" s="7">
        <f>'Estado de costos'!J282</f>
        <v>0</v>
      </c>
      <c r="O254" s="7">
        <f>'Estado de costos'!K282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costos'!B283</f>
        <v>0</v>
      </c>
      <c r="K255" s="105" t="str">
        <f>IF('Estado de costos'!D283=0,"",'Estado de costos'!D283)</f>
        <v/>
      </c>
      <c r="L255">
        <f>'Estado de costos'!E283</f>
        <v>0</v>
      </c>
      <c r="M255" s="7">
        <f t="shared" si="6"/>
        <v>0</v>
      </c>
      <c r="N255" s="7">
        <f>'Estado de costos'!J283</f>
        <v>0</v>
      </c>
      <c r="O255" s="7">
        <f>'Estado de costos'!K283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costos'!B284</f>
        <v>0</v>
      </c>
      <c r="K256" s="105" t="str">
        <f>IF('Estado de costos'!D284=0,"",'Estado de costos'!D284)</f>
        <v/>
      </c>
      <c r="L256">
        <f>'Estado de costos'!E284</f>
        <v>0</v>
      </c>
      <c r="M256" s="7">
        <f t="shared" si="6"/>
        <v>0</v>
      </c>
      <c r="N256" s="7">
        <f>'Estado de costos'!J284</f>
        <v>0</v>
      </c>
      <c r="O256" s="7">
        <f>'Estado de costos'!K284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costos'!B285</f>
        <v>0</v>
      </c>
      <c r="K257" s="105" t="str">
        <f>IF('Estado de costos'!D285=0,"",'Estado de costos'!D285)</f>
        <v/>
      </c>
      <c r="L257">
        <f>'Estado de costos'!E285</f>
        <v>0</v>
      </c>
      <c r="M257" s="7">
        <f t="shared" si="6"/>
        <v>0</v>
      </c>
      <c r="N257" s="7">
        <f>'Estado de costos'!J285</f>
        <v>0</v>
      </c>
      <c r="O257" s="7">
        <f>'Estado de costos'!K285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costos'!B286</f>
        <v>0</v>
      </c>
      <c r="K258" s="105" t="str">
        <f>IF('Estado de costos'!D286=0,"",'Estado de costos'!D286)</f>
        <v/>
      </c>
      <c r="L258">
        <f>'Estado de costos'!E286</f>
        <v>0</v>
      </c>
      <c r="M258" s="7">
        <f t="shared" si="6"/>
        <v>0</v>
      </c>
      <c r="N258" s="7">
        <f>'Estado de costos'!J286</f>
        <v>0</v>
      </c>
      <c r="O258" s="7">
        <f>'Estado de costos'!K286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costos'!B287</f>
        <v>0</v>
      </c>
      <c r="K259" s="105" t="str">
        <f>IF('Estado de costos'!D287=0,"",'Estado de costos'!D287)</f>
        <v/>
      </c>
      <c r="L259">
        <f>'Estado de costos'!E287</f>
        <v>0</v>
      </c>
      <c r="M259" s="7">
        <f t="shared" ref="M259:M300" si="8">IFERROR(+N259/L259/IF(K259="",1,K259),0)</f>
        <v>0</v>
      </c>
      <c r="N259" s="7">
        <f>'Estado de costos'!J287</f>
        <v>0</v>
      </c>
      <c r="O259" s="7">
        <f>'Estado de costos'!K287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costos'!B288</f>
        <v>0</v>
      </c>
      <c r="K260" s="105" t="str">
        <f>IF('Estado de costos'!D288=0,"",'Estado de costos'!D288)</f>
        <v/>
      </c>
      <c r="L260">
        <f>'Estado de costos'!E288</f>
        <v>0</v>
      </c>
      <c r="M260" s="7">
        <f t="shared" si="8"/>
        <v>0</v>
      </c>
      <c r="N260" s="7">
        <f>'Estado de costos'!J288</f>
        <v>0</v>
      </c>
      <c r="O260" s="7">
        <f>'Estado de costos'!K288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costos'!B289</f>
        <v>0</v>
      </c>
      <c r="K261" s="105" t="str">
        <f>IF('Estado de costos'!D289=0,"",'Estado de costos'!D289)</f>
        <v/>
      </c>
      <c r="L261">
        <f>'Estado de costos'!E289</f>
        <v>0</v>
      </c>
      <c r="M261" s="7">
        <f t="shared" si="8"/>
        <v>0</v>
      </c>
      <c r="N261" s="7">
        <f>'Estado de costos'!J289</f>
        <v>0</v>
      </c>
      <c r="O261" s="7">
        <f>'Estado de costos'!K289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costos'!B290</f>
        <v>0</v>
      </c>
      <c r="K262" s="105" t="str">
        <f>IF('Estado de costos'!D290=0,"",'Estado de costos'!D290)</f>
        <v/>
      </c>
      <c r="L262">
        <f>'Estado de costos'!E290</f>
        <v>0</v>
      </c>
      <c r="M262" s="7">
        <f t="shared" si="8"/>
        <v>0</v>
      </c>
      <c r="N262" s="7">
        <f>'Estado de costos'!J290</f>
        <v>0</v>
      </c>
      <c r="O262" s="7">
        <f>'Estado de costos'!K290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costos'!B291</f>
        <v>0</v>
      </c>
      <c r="K263" s="105" t="str">
        <f>IF('Estado de costos'!D291=0,"",'Estado de costos'!D291)</f>
        <v/>
      </c>
      <c r="L263">
        <f>'Estado de costos'!E291</f>
        <v>0</v>
      </c>
      <c r="M263" s="7">
        <f t="shared" si="8"/>
        <v>0</v>
      </c>
      <c r="N263" s="7">
        <f>'Estado de costos'!J291</f>
        <v>0</v>
      </c>
      <c r="O263" s="7">
        <f>'Estado de costos'!K291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costos'!B292</f>
        <v>0</v>
      </c>
      <c r="K264" s="105" t="str">
        <f>IF('Estado de costos'!D292=0,"",'Estado de costos'!D292)</f>
        <v/>
      </c>
      <c r="L264">
        <f>'Estado de costos'!E292</f>
        <v>0</v>
      </c>
      <c r="M264" s="7">
        <f t="shared" si="8"/>
        <v>0</v>
      </c>
      <c r="N264" s="7">
        <f>'Estado de costos'!J292</f>
        <v>0</v>
      </c>
      <c r="O264" s="7">
        <f>'Estado de costos'!K292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costos'!B293</f>
        <v>0</v>
      </c>
      <c r="K265" s="105" t="str">
        <f>IF('Estado de costos'!D293=0,"",'Estado de costos'!D293)</f>
        <v/>
      </c>
      <c r="L265">
        <f>'Estado de costos'!E293</f>
        <v>0</v>
      </c>
      <c r="M265" s="7">
        <f t="shared" si="8"/>
        <v>0</v>
      </c>
      <c r="N265" s="7">
        <f>'Estado de costos'!J293</f>
        <v>0</v>
      </c>
      <c r="O265" s="7">
        <f>'Estado de costos'!K293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costos'!B294</f>
        <v>0</v>
      </c>
      <c r="K266" s="105" t="str">
        <f>IF('Estado de costos'!D294=0,"",'Estado de costos'!D294)</f>
        <v/>
      </c>
      <c r="L266">
        <f>'Estado de costos'!E294</f>
        <v>0</v>
      </c>
      <c r="M266" s="7">
        <f t="shared" si="8"/>
        <v>0</v>
      </c>
      <c r="N266" s="7">
        <f>'Estado de costos'!J294</f>
        <v>0</v>
      </c>
      <c r="O266" s="7">
        <f>'Estado de costos'!K294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costos'!B295</f>
        <v>0</v>
      </c>
      <c r="K267" s="105" t="str">
        <f>IF('Estado de costos'!D295=0,"",'Estado de costos'!D295)</f>
        <v/>
      </c>
      <c r="L267">
        <f>'Estado de costos'!E295</f>
        <v>0</v>
      </c>
      <c r="M267" s="7">
        <f t="shared" si="8"/>
        <v>0</v>
      </c>
      <c r="N267" s="7">
        <f>'Estado de costos'!J295</f>
        <v>0</v>
      </c>
      <c r="O267" s="7">
        <f>'Estado de costos'!K295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costos'!B296</f>
        <v>0</v>
      </c>
      <c r="K268" s="105" t="str">
        <f>IF('Estado de costos'!D296=0,"",'Estado de costos'!D296)</f>
        <v/>
      </c>
      <c r="L268">
        <f>'Estado de costos'!E296</f>
        <v>0</v>
      </c>
      <c r="M268" s="7">
        <f t="shared" si="8"/>
        <v>0</v>
      </c>
      <c r="N268" s="7">
        <f>'Estado de costos'!J296</f>
        <v>0</v>
      </c>
      <c r="O268" s="7">
        <f>'Estado de costos'!K296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costos'!B297</f>
        <v>0</v>
      </c>
      <c r="K269" s="105" t="str">
        <f>IF('Estado de costos'!D297=0,"",'Estado de costos'!D297)</f>
        <v/>
      </c>
      <c r="L269">
        <f>'Estado de costos'!E297</f>
        <v>0</v>
      </c>
      <c r="M269" s="7">
        <f t="shared" si="8"/>
        <v>0</v>
      </c>
      <c r="N269" s="7">
        <f>'Estado de costos'!J297</f>
        <v>0</v>
      </c>
      <c r="O269" s="7">
        <f>'Estado de costos'!K297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costos'!B298</f>
        <v>0</v>
      </c>
      <c r="K270" s="105" t="str">
        <f>IF('Estado de costos'!D298=0,"",'Estado de costos'!D298)</f>
        <v/>
      </c>
      <c r="L270">
        <f>'Estado de costos'!E298</f>
        <v>0</v>
      </c>
      <c r="M270" s="7">
        <f t="shared" si="8"/>
        <v>0</v>
      </c>
      <c r="N270" s="7">
        <f>'Estado de costos'!J298</f>
        <v>0</v>
      </c>
      <c r="O270" s="7">
        <f>'Estado de costos'!K298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costos'!B299</f>
        <v>0</v>
      </c>
      <c r="K271" s="105" t="str">
        <f>IF('Estado de costos'!D299=0,"",'Estado de costos'!D299)</f>
        <v/>
      </c>
      <c r="L271">
        <f>'Estado de costos'!E299</f>
        <v>0</v>
      </c>
      <c r="M271" s="7">
        <f t="shared" si="8"/>
        <v>0</v>
      </c>
      <c r="N271" s="7">
        <f>'Estado de costos'!J299</f>
        <v>0</v>
      </c>
      <c r="O271" s="7">
        <f>'Estado de costos'!K299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costos'!B300</f>
        <v>0</v>
      </c>
      <c r="K272" s="105" t="str">
        <f>IF('Estado de costos'!D300=0,"",'Estado de costos'!D300)</f>
        <v/>
      </c>
      <c r="L272">
        <f>'Estado de costos'!E300</f>
        <v>0</v>
      </c>
      <c r="M272" s="7">
        <f t="shared" si="8"/>
        <v>0</v>
      </c>
      <c r="N272" s="7">
        <f>'Estado de costos'!J300</f>
        <v>0</v>
      </c>
      <c r="O272" s="7">
        <f>'Estado de costos'!K300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costos'!B301</f>
        <v>0</v>
      </c>
      <c r="K273" s="105" t="str">
        <f>IF('Estado de costos'!D301=0,"",'Estado de costos'!D301)</f>
        <v/>
      </c>
      <c r="L273">
        <f>'Estado de costos'!E301</f>
        <v>0</v>
      </c>
      <c r="M273" s="7">
        <f t="shared" si="8"/>
        <v>0</v>
      </c>
      <c r="N273" s="7">
        <f>'Estado de costos'!J301</f>
        <v>0</v>
      </c>
      <c r="O273" s="7">
        <f>'Estado de costos'!K301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costos'!B302</f>
        <v>0</v>
      </c>
      <c r="K274" s="105" t="str">
        <f>IF('Estado de costos'!D302=0,"",'Estado de costos'!D302)</f>
        <v/>
      </c>
      <c r="L274">
        <f>'Estado de costos'!E302</f>
        <v>0</v>
      </c>
      <c r="M274" s="7">
        <f t="shared" si="8"/>
        <v>0</v>
      </c>
      <c r="N274" s="7">
        <f>'Estado de costos'!J302</f>
        <v>0</v>
      </c>
      <c r="O274" s="7">
        <f>'Estado de costos'!K302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costos'!B303</f>
        <v>0</v>
      </c>
      <c r="K275" s="105" t="str">
        <f>IF('Estado de costos'!D303=0,"",'Estado de costos'!D303)</f>
        <v/>
      </c>
      <c r="L275">
        <f>'Estado de costos'!E303</f>
        <v>0</v>
      </c>
      <c r="M275" s="7">
        <f t="shared" si="8"/>
        <v>0</v>
      </c>
      <c r="N275" s="7">
        <f>'Estado de costos'!J303</f>
        <v>0</v>
      </c>
      <c r="O275" s="7">
        <f>'Estado de costos'!K303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costos'!B304</f>
        <v>0</v>
      </c>
      <c r="K276" s="105" t="str">
        <f>IF('Estado de costos'!D304=0,"",'Estado de costos'!D304)</f>
        <v/>
      </c>
      <c r="L276">
        <f>'Estado de costos'!E304</f>
        <v>0</v>
      </c>
      <c r="M276" s="7">
        <f t="shared" si="8"/>
        <v>0</v>
      </c>
      <c r="N276" s="7">
        <f>'Estado de costos'!J304</f>
        <v>0</v>
      </c>
      <c r="O276" s="7">
        <f>'Estado de costos'!K304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costos'!B305</f>
        <v>0</v>
      </c>
      <c r="K277" s="105" t="str">
        <f>IF('Estado de costos'!D305=0,"",'Estado de costos'!D305)</f>
        <v/>
      </c>
      <c r="L277">
        <f>'Estado de costos'!E305</f>
        <v>0</v>
      </c>
      <c r="M277" s="7">
        <f t="shared" si="8"/>
        <v>0</v>
      </c>
      <c r="N277" s="7">
        <f>'Estado de costos'!J305</f>
        <v>0</v>
      </c>
      <c r="O277" s="7">
        <f>'Estado de costos'!K305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costos'!B306</f>
        <v>0</v>
      </c>
      <c r="K278" s="105" t="str">
        <f>IF('Estado de costos'!D306=0,"",'Estado de costos'!D306)</f>
        <v/>
      </c>
      <c r="L278">
        <f>'Estado de costos'!E306</f>
        <v>0</v>
      </c>
      <c r="M278" s="7">
        <f t="shared" si="8"/>
        <v>0</v>
      </c>
      <c r="N278" s="7">
        <f>'Estado de costos'!J306</f>
        <v>0</v>
      </c>
      <c r="O278" s="7">
        <f>'Estado de costos'!K306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costos'!B307</f>
        <v>0</v>
      </c>
      <c r="K279" s="105" t="str">
        <f>IF('Estado de costos'!D307=0,"",'Estado de costos'!D307)</f>
        <v/>
      </c>
      <c r="L279">
        <f>'Estado de costos'!E307</f>
        <v>0</v>
      </c>
      <c r="M279" s="7">
        <f t="shared" si="8"/>
        <v>0</v>
      </c>
      <c r="N279" s="7">
        <f>'Estado de costos'!J307</f>
        <v>0</v>
      </c>
      <c r="O279" s="7">
        <f>'Estado de costos'!K307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costos'!B308</f>
        <v>0</v>
      </c>
      <c r="K280" s="105" t="str">
        <f>IF('Estado de costos'!D308=0,"",'Estado de costos'!D308)</f>
        <v/>
      </c>
      <c r="L280">
        <f>'Estado de costos'!E308</f>
        <v>0</v>
      </c>
      <c r="M280" s="7">
        <f t="shared" si="8"/>
        <v>0</v>
      </c>
      <c r="N280" s="7">
        <f>'Estado de costos'!J308</f>
        <v>0</v>
      </c>
      <c r="O280" s="7">
        <f>'Estado de costos'!K308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costos'!B309</f>
        <v>0</v>
      </c>
      <c r="K281" s="105" t="str">
        <f>IF('Estado de costos'!D309=0,"",'Estado de costos'!D309)</f>
        <v/>
      </c>
      <c r="L281">
        <f>'Estado de costos'!E309</f>
        <v>0</v>
      </c>
      <c r="M281" s="7">
        <f t="shared" si="8"/>
        <v>0</v>
      </c>
      <c r="N281" s="7">
        <f>'Estado de costos'!J309</f>
        <v>0</v>
      </c>
      <c r="O281" s="7">
        <f>'Estado de costos'!K309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costos'!B310</f>
        <v>0</v>
      </c>
      <c r="K282" s="105" t="str">
        <f>IF('Estado de costos'!D310=0,"",'Estado de costos'!D310)</f>
        <v/>
      </c>
      <c r="L282">
        <f>'Estado de costos'!E310</f>
        <v>0</v>
      </c>
      <c r="M282" s="7">
        <f t="shared" si="8"/>
        <v>0</v>
      </c>
      <c r="N282" s="7">
        <f>'Estado de costos'!J310</f>
        <v>0</v>
      </c>
      <c r="O282" s="7">
        <f>'Estado de costos'!K310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costos'!B311</f>
        <v>0</v>
      </c>
      <c r="K283" s="105" t="str">
        <f>IF('Estado de costos'!D311=0,"",'Estado de costos'!D311)</f>
        <v/>
      </c>
      <c r="L283">
        <f>'Estado de costos'!E311</f>
        <v>0</v>
      </c>
      <c r="M283" s="7">
        <f t="shared" si="8"/>
        <v>0</v>
      </c>
      <c r="N283" s="7">
        <f>'Estado de costos'!J311</f>
        <v>0</v>
      </c>
      <c r="O283" s="7">
        <f>'Estado de costos'!K311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costos'!B312</f>
        <v>0</v>
      </c>
      <c r="K284" s="105" t="str">
        <f>IF('Estado de costos'!D312=0,"",'Estado de costos'!D312)</f>
        <v/>
      </c>
      <c r="L284">
        <f>'Estado de costos'!E312</f>
        <v>0</v>
      </c>
      <c r="M284" s="7">
        <f t="shared" si="8"/>
        <v>0</v>
      </c>
      <c r="N284" s="7">
        <f>'Estado de costos'!J312</f>
        <v>0</v>
      </c>
      <c r="O284" s="7">
        <f>'Estado de costos'!K312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costos'!B313</f>
        <v>0</v>
      </c>
      <c r="K285" s="105" t="str">
        <f>IF('Estado de costos'!D313=0,"",'Estado de costos'!D313)</f>
        <v/>
      </c>
      <c r="L285">
        <f>'Estado de costos'!E313</f>
        <v>0</v>
      </c>
      <c r="M285" s="7">
        <f t="shared" si="8"/>
        <v>0</v>
      </c>
      <c r="N285" s="7">
        <f>'Estado de costos'!J313</f>
        <v>0</v>
      </c>
      <c r="O285" s="7">
        <f>'Estado de costos'!K313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costos'!B314</f>
        <v>0</v>
      </c>
      <c r="K286" s="105" t="str">
        <f>IF('Estado de costos'!D314=0,"",'Estado de costos'!D314)</f>
        <v/>
      </c>
      <c r="L286">
        <f>'Estado de costos'!E314</f>
        <v>0</v>
      </c>
      <c r="M286" s="7">
        <f t="shared" si="8"/>
        <v>0</v>
      </c>
      <c r="N286" s="7">
        <f>'Estado de costos'!J314</f>
        <v>0</v>
      </c>
      <c r="O286" s="7">
        <f>'Estado de costos'!K314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costos'!B315</f>
        <v>0</v>
      </c>
      <c r="K287" s="105" t="str">
        <f>IF('Estado de costos'!D315=0,"",'Estado de costos'!D315)</f>
        <v/>
      </c>
      <c r="L287">
        <f>'Estado de costos'!E315</f>
        <v>0</v>
      </c>
      <c r="M287" s="7">
        <f t="shared" si="8"/>
        <v>0</v>
      </c>
      <c r="N287" s="7">
        <f>'Estado de costos'!J315</f>
        <v>0</v>
      </c>
      <c r="O287" s="7">
        <f>'Estado de costos'!K315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costos'!B316</f>
        <v>0</v>
      </c>
      <c r="K288" s="105" t="str">
        <f>IF('Estado de costos'!D316=0,"",'Estado de costos'!D316)</f>
        <v/>
      </c>
      <c r="L288">
        <f>'Estado de costos'!E316</f>
        <v>0</v>
      </c>
      <c r="M288" s="7">
        <f t="shared" si="8"/>
        <v>0</v>
      </c>
      <c r="N288" s="7">
        <f>'Estado de costos'!J316</f>
        <v>0</v>
      </c>
      <c r="O288" s="7">
        <f>'Estado de costos'!K316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costos'!B317</f>
        <v>0</v>
      </c>
      <c r="K289" s="105" t="str">
        <f>IF('Estado de costos'!D317=0,"",'Estado de costos'!D317)</f>
        <v/>
      </c>
      <c r="L289">
        <f>'Estado de costos'!E317</f>
        <v>0</v>
      </c>
      <c r="M289" s="7">
        <f t="shared" si="8"/>
        <v>0</v>
      </c>
      <c r="N289" s="7">
        <f>'Estado de costos'!J317</f>
        <v>0</v>
      </c>
      <c r="O289" s="7">
        <f>'Estado de costos'!K317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costos'!B318</f>
        <v>0</v>
      </c>
      <c r="K290" s="105" t="str">
        <f>IF('Estado de costos'!D318=0,"",'Estado de costos'!D318)</f>
        <v/>
      </c>
      <c r="L290">
        <f>'Estado de costos'!E318</f>
        <v>0</v>
      </c>
      <c r="M290" s="7">
        <f t="shared" si="8"/>
        <v>0</v>
      </c>
      <c r="N290" s="7">
        <f>'Estado de costos'!J318</f>
        <v>0</v>
      </c>
      <c r="O290" s="7">
        <f>'Estado de costos'!K318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costos'!B319</f>
        <v>0</v>
      </c>
      <c r="K291" s="105" t="str">
        <f>IF('Estado de costos'!D319=0,"",'Estado de costos'!D319)</f>
        <v/>
      </c>
      <c r="L291">
        <f>'Estado de costos'!E319</f>
        <v>0</v>
      </c>
      <c r="M291" s="7">
        <f t="shared" si="8"/>
        <v>0</v>
      </c>
      <c r="N291" s="7">
        <f>'Estado de costos'!J319</f>
        <v>0</v>
      </c>
      <c r="O291" s="7">
        <f>'Estado de costos'!K319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costos'!B320</f>
        <v>0</v>
      </c>
      <c r="K292" s="105" t="str">
        <f>IF('Estado de costos'!D320=0,"",'Estado de costos'!D320)</f>
        <v/>
      </c>
      <c r="L292">
        <f>'Estado de costos'!E320</f>
        <v>0</v>
      </c>
      <c r="M292" s="7">
        <f t="shared" si="8"/>
        <v>0</v>
      </c>
      <c r="N292" s="7">
        <f>'Estado de costos'!J320</f>
        <v>0</v>
      </c>
      <c r="O292" s="7">
        <f>'Estado de costos'!K320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costos'!B321</f>
        <v>0</v>
      </c>
      <c r="K293" s="105" t="str">
        <f>IF('Estado de costos'!D321=0,"",'Estado de costos'!D321)</f>
        <v/>
      </c>
      <c r="L293">
        <f>'Estado de costos'!E321</f>
        <v>0</v>
      </c>
      <c r="M293" s="7">
        <f t="shared" si="8"/>
        <v>0</v>
      </c>
      <c r="N293" s="7">
        <f>'Estado de costos'!J321</f>
        <v>0</v>
      </c>
      <c r="O293" s="7">
        <f>'Estado de costos'!K321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costos'!B322</f>
        <v>0</v>
      </c>
      <c r="K294" s="105" t="str">
        <f>IF('Estado de costos'!D322=0,"",'Estado de costos'!D322)</f>
        <v/>
      </c>
      <c r="L294">
        <f>'Estado de costos'!E322</f>
        <v>0</v>
      </c>
      <c r="M294" s="7">
        <f t="shared" si="8"/>
        <v>0</v>
      </c>
      <c r="N294" s="7">
        <f>'Estado de costos'!J322</f>
        <v>0</v>
      </c>
      <c r="O294" s="7">
        <f>'Estado de costos'!K322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costos'!B323</f>
        <v>0</v>
      </c>
      <c r="K295" s="105" t="str">
        <f>IF('Estado de costos'!D323=0,"",'Estado de costos'!D323)</f>
        <v/>
      </c>
      <c r="L295">
        <f>'Estado de costos'!E323</f>
        <v>0</v>
      </c>
      <c r="M295" s="7">
        <f t="shared" si="8"/>
        <v>0</v>
      </c>
      <c r="N295" s="7">
        <f>'Estado de costos'!J323</f>
        <v>0</v>
      </c>
      <c r="O295" s="7">
        <f>'Estado de costos'!K323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costos'!B324</f>
        <v>0</v>
      </c>
      <c r="K296" s="105" t="str">
        <f>IF('Estado de costos'!D324=0,"",'Estado de costos'!D324)</f>
        <v/>
      </c>
      <c r="L296">
        <f>'Estado de costos'!E324</f>
        <v>0</v>
      </c>
      <c r="M296" s="7">
        <f t="shared" si="8"/>
        <v>0</v>
      </c>
      <c r="N296" s="7">
        <f>'Estado de costos'!J324</f>
        <v>0</v>
      </c>
      <c r="O296" s="7">
        <f>'Estado de costos'!K324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costos'!B325</f>
        <v>0</v>
      </c>
      <c r="K297" s="105" t="str">
        <f>IF('Estado de costos'!D325=0,"",'Estado de costos'!D325)</f>
        <v/>
      </c>
      <c r="L297">
        <f>'Estado de costos'!E325</f>
        <v>0</v>
      </c>
      <c r="M297" s="7">
        <f t="shared" si="8"/>
        <v>0</v>
      </c>
      <c r="N297" s="7">
        <f>'Estado de costos'!J325</f>
        <v>0</v>
      </c>
      <c r="O297" s="7">
        <f>'Estado de costos'!K325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costos'!B326</f>
        <v>0</v>
      </c>
      <c r="K298" s="105" t="str">
        <f>IF('Estado de costos'!D326=0,"",'Estado de costos'!D326)</f>
        <v/>
      </c>
      <c r="L298">
        <f>'Estado de costos'!E326</f>
        <v>0</v>
      </c>
      <c r="M298" s="7">
        <f t="shared" si="8"/>
        <v>0</v>
      </c>
      <c r="N298" s="7">
        <f>'Estado de costos'!J326</f>
        <v>0</v>
      </c>
      <c r="O298" s="7">
        <f>'Estado de costos'!K326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costos'!B327</f>
        <v>0</v>
      </c>
      <c r="K299" s="105" t="str">
        <f>IF('Estado de costos'!D327=0,"",'Estado de costos'!D327)</f>
        <v/>
      </c>
      <c r="L299">
        <f>'Estado de costos'!E327</f>
        <v>0</v>
      </c>
      <c r="M299" s="7">
        <f t="shared" si="8"/>
        <v>0</v>
      </c>
      <c r="N299" s="7">
        <f>'Estado de costos'!J327</f>
        <v>0</v>
      </c>
      <c r="O299" s="7">
        <f>'Estado de costos'!K327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costos'!B328</f>
        <v>0</v>
      </c>
      <c r="K300" s="105" t="str">
        <f>IF('Estado de costos'!D328=0,"",'Estado de costos'!D328)</f>
        <v/>
      </c>
      <c r="L300">
        <f>'Estado de costos'!E328</f>
        <v>0</v>
      </c>
      <c r="M300" s="7">
        <f t="shared" si="8"/>
        <v>0</v>
      </c>
      <c r="N300" s="7">
        <f>'Estado de costos'!J328</f>
        <v>0</v>
      </c>
      <c r="O300" s="7">
        <f>'Estado de costos'!K328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Diego</cp:lastModifiedBy>
  <cp:lastPrinted>2017-12-06T13:32:18Z</cp:lastPrinted>
  <dcterms:created xsi:type="dcterms:W3CDTF">2016-10-17T20:34:40Z</dcterms:created>
  <dcterms:modified xsi:type="dcterms:W3CDTF">2019-01-15T18:50:33Z</dcterms:modified>
</cp:coreProperties>
</file>