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imena\Desktop\COTIZACIONES ENERO 19\"/>
    </mc:Choice>
  </mc:AlternateContent>
  <bookViews>
    <workbookView xWindow="11985" yWindow="-15" windowWidth="8505" windowHeight="6870" firstSheet="4" activeTab="5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Carta PDF" sheetId="28" r:id="rId5"/>
    <sheet name="Estado de costos" sheetId="8" r:id="rId6"/>
    <sheet name="Proforma " sheetId="27" r:id="rId7"/>
  </sheets>
  <externalReferences>
    <externalReference r:id="rId8"/>
    <externalReference r:id="rId9"/>
    <externalReference r:id="rId10"/>
  </externalReferences>
  <definedNames>
    <definedName name="_xlnm._FilterDatabase">#REF!</definedName>
    <definedName name="_xlnm.Print_Area" localSheetId="5">'Estado de costos'!$A$1:$Q$56</definedName>
    <definedName name="_xlnm.Print_Area" localSheetId="0">'PARA FOTOS'!$A$1:$O$49</definedName>
    <definedName name="Carga">#REF!</definedName>
    <definedName name="DEPENDE">[1]Hoja3!$A$2:$A$4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7" i="8" l="1"/>
  <c r="F27" i="28" l="1"/>
  <c r="F28" i="28"/>
  <c r="E28" i="28" s="1"/>
  <c r="F29" i="28"/>
  <c r="F30" i="28"/>
  <c r="F31" i="28"/>
  <c r="F32" i="28"/>
  <c r="F33" i="28"/>
  <c r="F34" i="28"/>
  <c r="F35" i="28"/>
  <c r="F36" i="28"/>
  <c r="F26" i="28"/>
  <c r="E26" i="28" s="1"/>
  <c r="D27" i="28"/>
  <c r="E27" i="28" s="1"/>
  <c r="D28" i="28"/>
  <c r="D29" i="28"/>
  <c r="D30" i="28"/>
  <c r="D31" i="28"/>
  <c r="D32" i="28"/>
  <c r="D33" i="28"/>
  <c r="D34" i="28"/>
  <c r="D35" i="28"/>
  <c r="E35" i="28" s="1"/>
  <c r="D36" i="28"/>
  <c r="D26" i="28"/>
  <c r="B27" i="28"/>
  <c r="B28" i="28"/>
  <c r="B29" i="28"/>
  <c r="B30" i="28"/>
  <c r="B31" i="28"/>
  <c r="B32" i="28"/>
  <c r="B33" i="28"/>
  <c r="B34" i="28"/>
  <c r="B35" i="28"/>
  <c r="B36" i="28"/>
  <c r="B26" i="28"/>
  <c r="C27" i="28"/>
  <c r="C28" i="28"/>
  <c r="C29" i="28"/>
  <c r="C30" i="28"/>
  <c r="C31" i="28"/>
  <c r="C32" i="28"/>
  <c r="C33" i="28"/>
  <c r="C34" i="28"/>
  <c r="C35" i="28"/>
  <c r="C36" i="28"/>
  <c r="C26" i="28"/>
  <c r="I27" i="8"/>
  <c r="K27" i="8" s="1"/>
  <c r="I28" i="8"/>
  <c r="I29" i="8"/>
  <c r="K29" i="8" s="1"/>
  <c r="I30" i="8"/>
  <c r="K30" i="8" s="1"/>
  <c r="I31" i="8"/>
  <c r="I32" i="8"/>
  <c r="I33" i="8"/>
  <c r="I34" i="8"/>
  <c r="K34" i="8" s="1"/>
  <c r="I35" i="8"/>
  <c r="I36" i="8"/>
  <c r="I26" i="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E63" i="28"/>
  <c r="E61" i="28"/>
  <c r="C61" i="28"/>
  <c r="B61" i="28"/>
  <c r="E60" i="28"/>
  <c r="C60" i="28"/>
  <c r="B60" i="28"/>
  <c r="E59" i="28"/>
  <c r="C59" i="28"/>
  <c r="B59" i="28"/>
  <c r="E58" i="28"/>
  <c r="C58" i="28"/>
  <c r="B58" i="28"/>
  <c r="E57" i="28"/>
  <c r="C57" i="28"/>
  <c r="B57" i="28"/>
  <c r="E56" i="28"/>
  <c r="C56" i="28"/>
  <c r="B56" i="28"/>
  <c r="E55" i="28"/>
  <c r="C55" i="28"/>
  <c r="B55" i="28"/>
  <c r="E54" i="28"/>
  <c r="C54" i="28"/>
  <c r="B54" i="28"/>
  <c r="E53" i="28"/>
  <c r="C53" i="28"/>
  <c r="B53" i="28"/>
  <c r="E52" i="28"/>
  <c r="C52" i="28"/>
  <c r="B52" i="28"/>
  <c r="D51" i="28"/>
  <c r="E51" i="28"/>
  <c r="C51" i="28"/>
  <c r="B51" i="28"/>
  <c r="E50" i="28"/>
  <c r="C50" i="28"/>
  <c r="B50" i="28"/>
  <c r="E49" i="28"/>
  <c r="C49" i="28"/>
  <c r="B49" i="28"/>
  <c r="E48" i="28"/>
  <c r="C48" i="28"/>
  <c r="B48" i="28"/>
  <c r="E47" i="28"/>
  <c r="C47" i="28"/>
  <c r="B47" i="28"/>
  <c r="D46" i="28"/>
  <c r="E46" i="28"/>
  <c r="C46" i="28"/>
  <c r="B46" i="28"/>
  <c r="D45" i="28"/>
  <c r="E45" i="28"/>
  <c r="C45" i="28"/>
  <c r="B45" i="28"/>
  <c r="D44" i="28"/>
  <c r="E44" i="28"/>
  <c r="C44" i="28"/>
  <c r="B44" i="28"/>
  <c r="D43" i="28"/>
  <c r="E43" i="28"/>
  <c r="C43" i="28"/>
  <c r="B43" i="28"/>
  <c r="D42" i="28"/>
  <c r="E42" i="28"/>
  <c r="C42" i="28"/>
  <c r="B42" i="28"/>
  <c r="D41" i="28"/>
  <c r="E41" i="28"/>
  <c r="C41" i="28"/>
  <c r="B41" i="28"/>
  <c r="D40" i="28"/>
  <c r="E40" i="28"/>
  <c r="C40" i="28"/>
  <c r="B40" i="28"/>
  <c r="D39" i="28"/>
  <c r="E39" i="28"/>
  <c r="C39" i="28"/>
  <c r="B39" i="28"/>
  <c r="D38" i="28"/>
  <c r="E38" i="28"/>
  <c r="C38" i="28"/>
  <c r="B38" i="28"/>
  <c r="D37" i="28"/>
  <c r="E37" i="28"/>
  <c r="C37" i="28"/>
  <c r="B37" i="28"/>
  <c r="E36" i="28"/>
  <c r="E33" i="28"/>
  <c r="E32" i="28"/>
  <c r="E31" i="28"/>
  <c r="E29" i="28"/>
  <c r="L25" i="27"/>
  <c r="L26" i="27"/>
  <c r="L27" i="27"/>
  <c r="L28" i="27"/>
  <c r="K28" i="27" s="1"/>
  <c r="L29" i="27"/>
  <c r="L30" i="27"/>
  <c r="K30" i="27" s="1"/>
  <c r="L31" i="27"/>
  <c r="K31" i="27" s="1"/>
  <c r="L32" i="27"/>
  <c r="K32" i="27" s="1"/>
  <c r="L33" i="27"/>
  <c r="L34" i="27"/>
  <c r="K34" i="27" s="1"/>
  <c r="L24" i="27"/>
  <c r="C25" i="27"/>
  <c r="C26" i="27"/>
  <c r="C27" i="27"/>
  <c r="C28" i="27"/>
  <c r="C29" i="27"/>
  <c r="C30" i="27"/>
  <c r="C31" i="27"/>
  <c r="C32" i="27"/>
  <c r="C33" i="27"/>
  <c r="C34" i="27"/>
  <c r="C24" i="27"/>
  <c r="J34" i="27"/>
  <c r="T37" i="8"/>
  <c r="J25" i="27"/>
  <c r="J26" i="27"/>
  <c r="K26" i="27" s="1"/>
  <c r="J27" i="27"/>
  <c r="K27" i="27" s="1"/>
  <c r="J28" i="27"/>
  <c r="J29" i="27"/>
  <c r="J30" i="27"/>
  <c r="J31" i="27"/>
  <c r="J32" i="27"/>
  <c r="J33" i="27"/>
  <c r="K33" i="27" s="1"/>
  <c r="K28" i="8"/>
  <c r="K31" i="8"/>
  <c r="K32" i="8"/>
  <c r="K33" i="8"/>
  <c r="K29" i="27"/>
  <c r="G25" i="8"/>
  <c r="F25" i="8"/>
  <c r="K26" i="8"/>
  <c r="C18" i="27"/>
  <c r="K35" i="8"/>
  <c r="K36" i="8"/>
  <c r="J24" i="27"/>
  <c r="M16" i="27"/>
  <c r="C16" i="27"/>
  <c r="M13" i="27"/>
  <c r="K24" i="27"/>
  <c r="I21" i="5"/>
  <c r="L25" i="8"/>
  <c r="H25" i="8"/>
  <c r="M23" i="8"/>
  <c r="E34" i="28" l="1"/>
  <c r="L35" i="27"/>
  <c r="L36" i="27" s="1"/>
  <c r="L37" i="27" s="1"/>
  <c r="E30" i="28"/>
  <c r="F62" i="28"/>
  <c r="F63" i="28" s="1"/>
  <c r="F64" i="28" s="1"/>
  <c r="K25" i="27"/>
  <c r="K37" i="8"/>
  <c r="L33" i="8" l="1"/>
  <c r="L27" i="8"/>
  <c r="L28" i="8"/>
  <c r="L30" i="8"/>
  <c r="L36" i="8"/>
  <c r="L29" i="8"/>
  <c r="L31" i="8"/>
  <c r="J25" i="8"/>
  <c r="L32" i="8"/>
  <c r="L35" i="8"/>
  <c r="L34" i="8"/>
  <c r="L26" i="8"/>
  <c r="M34" i="8" l="1"/>
  <c r="N34" i="8" s="1"/>
  <c r="O34" i="8" s="1"/>
  <c r="M35" i="8"/>
  <c r="N35" i="8" s="1"/>
  <c r="O35" i="8" s="1"/>
  <c r="L37" i="8"/>
  <c r="M26" i="8"/>
  <c r="M30" i="8"/>
  <c r="N30" i="8" s="1"/>
  <c r="O30" i="8" s="1"/>
  <c r="M31" i="8"/>
  <c r="N31" i="8" s="1"/>
  <c r="O31" i="8" s="1"/>
  <c r="M28" i="8"/>
  <c r="N28" i="8" s="1"/>
  <c r="O28" i="8" s="1"/>
  <c r="M29" i="8"/>
  <c r="N29" i="8" s="1"/>
  <c r="O29" i="8" s="1"/>
  <c r="M27" i="8"/>
  <c r="N27" i="8" s="1"/>
  <c r="O27" i="8" s="1"/>
  <c r="M32" i="8"/>
  <c r="N32" i="8" s="1"/>
  <c r="O32" i="8" s="1"/>
  <c r="M36" i="8"/>
  <c r="N36" i="8" s="1"/>
  <c r="O36" i="8" s="1"/>
  <c r="M33" i="8"/>
  <c r="N33" i="8" s="1"/>
  <c r="O33" i="8" s="1"/>
  <c r="N26" i="8" l="1"/>
  <c r="M37" i="8"/>
  <c r="M25" i="8" s="1"/>
  <c r="N37" i="8" l="1"/>
  <c r="P38" i="8" s="1"/>
  <c r="O26" i="8"/>
  <c r="O37" i="8" s="1"/>
</calcChain>
</file>

<file path=xl/comments1.xml><?xml version="1.0" encoding="utf-8"?>
<comments xmlns="http://schemas.openxmlformats.org/spreadsheetml/2006/main">
  <authors>
    <author>GRUPOREGIONAL</author>
  </authors>
  <commentList>
    <comment ref="E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LA FECHA EN LA QUE SE PLANIFICA EFECTUAR EL AUSPICIO</t>
        </r>
      </text>
    </comment>
    <comment ref="F18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EL TOTAL DE DIAS DE CREDITO </t>
        </r>
      </text>
    </comment>
    <comment ref="O22" authorId="0" shapeId="0">
      <text>
        <r>
          <rPr>
            <b/>
            <sz val="9"/>
            <color indexed="81"/>
            <rFont val="Tahoma"/>
            <family val="2"/>
          </rPr>
          <t xml:space="preserve">GRUPOREGIONAL:
INGRESAR EL MONTO DE F.E.E. QUE SE  QUIERE GANAR 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CORRESPONDE AL INTERES DIARIO POR CREDITO OTORGADO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CORRESPONDE AL 13 % IVA Y AL 3% IT </t>
        </r>
      </text>
    </comment>
    <comment ref="O2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CORRESPONDE AL MONTO DE F.E.E. ESTABLECIDO 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LOS SERVICOS QUE SE UTILIZARA</t>
        </r>
      </text>
    </comment>
    <comment ref="F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LA COMO SE PUEDE MEDIR EL SERVICIO </t>
        </r>
      </text>
    </comment>
    <comment ref="G24" authorId="0" shapeId="0">
      <text>
        <r>
          <rPr>
            <b/>
            <sz val="9"/>
            <color indexed="81"/>
            <rFont val="Tahoma"/>
            <family val="2"/>
          </rPr>
          <t xml:space="preserve">GRUPOREGIONAL:
CANTIDAD DE SERVICIO 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</rPr>
          <t xml:space="preserve">GRUPOREGIONAL: COSTO UNITARIO DEL SERVICIO 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FORMA DE ADQUISICION DEL SERVICIO 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GRUPOREGIONAL:
MONTO QUE ICLUYE COSTO MAS COSTOS ADMINISTR. MAS IMPUESTOS PERO NO INCLUYE F.E.E.</t>
        </r>
      </text>
    </comment>
    <comment ref="O24" authorId="0" shapeId="0">
      <text>
        <r>
          <rPr>
            <b/>
            <sz val="9"/>
            <color indexed="81"/>
            <rFont val="Tahoma"/>
            <family val="2"/>
          </rPr>
          <t>GRUPOREGIONAL:
INCLUYE COSTO DE  SERVICIO MAS COSTO FINANCIERO MAS IMPUESTOS MAS F.E.E.</t>
        </r>
      </text>
    </comment>
    <comment ref="P24" authorId="0" shapeId="0">
      <text>
        <r>
          <rPr>
            <b/>
            <sz val="9"/>
            <color indexed="81"/>
            <rFont val="Tahoma"/>
            <family val="2"/>
          </rPr>
          <t>GRUPOREGIONAL:
PRECIO QUE SE PUEDE CONVERSAR CON EL CLIENTE , ESTE MONTO NO INCLUYE F.E.E.</t>
        </r>
      </text>
    </comment>
  </commentList>
</comments>
</file>

<file path=xl/sharedStrings.xml><?xml version="1.0" encoding="utf-8"?>
<sst xmlns="http://schemas.openxmlformats.org/spreadsheetml/2006/main" count="168" uniqueCount="123">
  <si>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</si>
  <si>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</si>
  <si>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</si>
  <si>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</si>
  <si>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</si>
  <si>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</si>
  <si>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</si>
  <si>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</si>
  <si>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</si>
  <si>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</si>
  <si>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</si>
  <si>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</si>
  <si>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</si>
  <si>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</si>
  <si>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</si>
  <si>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</si>
  <si>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</si>
  <si>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</si>
  <si>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</si>
  <si>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</si>
  <si>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</si>
  <si>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</si>
  <si>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</si>
  <si>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</si>
  <si>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</si>
  <si>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</si>
  <si>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</si>
  <si>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</si>
  <si>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</si>
  <si>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</si>
  <si>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</si>
  <si>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</si>
  <si>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</si>
  <si>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</si>
  <si>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</si>
  <si>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</si>
  <si>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</si>
  <si>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</si>
  <si>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</si>
  <si>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</si>
  <si>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</si>
  <si>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</si>
  <si>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</si>
  <si>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</si>
  <si>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</si>
  <si>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</si>
  <si>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</si>
  <si>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</si>
  <si>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</si>
  <si>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</si>
  <si>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</si>
  <si>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</si>
  <si>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</si>
  <si>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</si>
  <si>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</si>
  <si>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</si>
  <si>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</si>
  <si>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</si>
  <si>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</si>
  <si>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</si>
  <si>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</si>
  <si>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GRUPO REGIONAL SRL.</t>
  </si>
  <si>
    <t>CODIGO TRABAJO</t>
  </si>
  <si>
    <t xml:space="preserve">CODIGO CLIENTE </t>
  </si>
  <si>
    <t>COSTO UNITARIO</t>
  </si>
  <si>
    <t>CANTIDAD ESTIMADA</t>
  </si>
  <si>
    <t>COSTOS ESTIMADOS</t>
  </si>
  <si>
    <t>FACTURA</t>
  </si>
  <si>
    <t>ELABORADO POR:</t>
  </si>
  <si>
    <t>REVISADO POR:</t>
  </si>
  <si>
    <t>APROBADO  POR:</t>
  </si>
  <si>
    <t>COSTO FINANCIERO</t>
  </si>
  <si>
    <t>PROFORMA</t>
  </si>
  <si>
    <t>FECHA</t>
  </si>
  <si>
    <t>DESCRICION / DETALLE</t>
  </si>
  <si>
    <t>TOTAL Bs</t>
  </si>
  <si>
    <t>NOTA</t>
  </si>
  <si>
    <t>DIAS DE LA VALIDES DE LA PROPUESTA</t>
  </si>
  <si>
    <t>FORMA DE PAGO</t>
  </si>
  <si>
    <t>CREDITO</t>
  </si>
  <si>
    <t>VALOR FACTURADO</t>
  </si>
  <si>
    <t xml:space="preserve">ELABORADO POR :GRUPO REGIONAL SRL </t>
  </si>
  <si>
    <t>ACEPTADO POR CLIENTE</t>
  </si>
  <si>
    <t>Esta cotizacion esta basada en informacion proporcionada por el cliente, cualquier reajuste requerira una recotizacion</t>
  </si>
  <si>
    <t xml:space="preserve">COSTO TOTAL ESTIMADO </t>
  </si>
  <si>
    <t>CODIGO DE CLIENTE</t>
  </si>
  <si>
    <t>SUT TOTAL</t>
  </si>
  <si>
    <t>RECIBO</t>
  </si>
  <si>
    <t>F.E.E.</t>
  </si>
  <si>
    <t>TIPO DE SERVICIO</t>
  </si>
  <si>
    <r>
      <rPr>
        <b/>
        <sz val="22"/>
        <color theme="1"/>
        <rFont val="Calibri"/>
        <family val="2"/>
        <scheme val="minor"/>
      </rPr>
      <t xml:space="preserve">       </t>
    </r>
    <r>
      <rPr>
        <b/>
        <u/>
        <sz val="22"/>
        <color theme="1"/>
        <rFont val="Calibri"/>
        <family val="2"/>
        <scheme val="minor"/>
      </rPr>
      <t>HOJA DE COSTO DE AUSPICIO</t>
    </r>
  </si>
  <si>
    <t>REF:</t>
  </si>
  <si>
    <t xml:space="preserve">FECHA DE AUSPICIO </t>
  </si>
  <si>
    <t xml:space="preserve">DETALLE DEL SERVICIO COTIZADO </t>
  </si>
  <si>
    <t xml:space="preserve">SERVICIO </t>
  </si>
  <si>
    <t xml:space="preserve"> N* DIAS</t>
  </si>
  <si>
    <t>TOTAL MAS F.E.E.</t>
  </si>
  <si>
    <t>DOCUMENTO</t>
  </si>
  <si>
    <t xml:space="preserve">COSTO FINANCIERO </t>
  </si>
  <si>
    <t>IMPUESTOS</t>
  </si>
  <si>
    <t xml:space="preserve">     GRUPO REGIONAL S.R.L.</t>
  </si>
  <si>
    <t xml:space="preserve">TASA DE INTERES </t>
  </si>
  <si>
    <t>PRECIO SIN F.E.E.</t>
  </si>
  <si>
    <t>TOTAL MAS IMPUESTOS SIN F.E.E.</t>
  </si>
  <si>
    <t>COMPARATIVO ENTRE COSTO REAL Y COTIZADO SIN F.E.E.</t>
  </si>
  <si>
    <t>TIGO</t>
  </si>
  <si>
    <t>Cochabamba, 02 de Junio  del 2017</t>
  </si>
  <si>
    <t>Señores:</t>
  </si>
  <si>
    <t>TELECEL S.A.</t>
  </si>
  <si>
    <t>Presente.-</t>
  </si>
  <si>
    <t xml:space="preserve">REF: ACTIVACION  TIGO STAR BARRAS / 2 SALIDAS </t>
  </si>
  <si>
    <t>De  nuestra consideracion : nos es grato dirigimos a ustedes  a los efectos de hacerle llegar al siguiente detalle:</t>
  </si>
  <si>
    <t>Detalle por utilitarios :</t>
  </si>
  <si>
    <t>DIAS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</si>
  <si>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</si>
  <si>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</si>
  <si>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</si>
  <si>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</si>
  <si>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</si>
  <si>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</si>
  <si>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Atentamente
Lic. Paola  Bolivar 
Jefe Nacional de Operaciones 
paolabolivar@gruporegional.com
www.gruporegional.com</t>
  </si>
  <si>
    <t xml:space="preserve">Auspicio pago proveedor uniformes de futbol Tigo </t>
  </si>
  <si>
    <t xml:space="preserve">Pago proveedor uniformes de futbol tigo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</si>
</sst>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\ _€_-;\-* #,##0.00\ _€_-;_-* &quot;-&quot;??\ _€_-;_-@_-"/>
    <numFmt numFmtId="164" formatCode="[$-F800]dddd\,\ mmmm\ dd\,\ yyyy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0.0%"/>
    <numFmt numFmtId="170" formatCode="#,##0.0000"/>
    <numFmt numFmtId="171" formatCode="_(* #,##0.00_);_(* \(#,##0.00\);_(* &quot;-&quot;??_);_(@_)"/>
    <numFmt numFmtId="172" formatCode="_(* #,##0_);_(* \(#,##0\);_(* &quot;-&quot;??_);_(@_)"/>
  </numFmts>
  <fonts count="4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2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33CC33"/>
      </right>
      <top style="thin">
        <color rgb="FF33CC33"/>
      </top>
      <bottom style="thin">
        <color rgb="FF33CC33"/>
      </bottom>
      <diagonal/>
    </border>
    <border>
      <left/>
      <right style="thin">
        <color rgb="FF33CC33"/>
      </right>
      <top style="thin">
        <color rgb="FF33CC33"/>
      </top>
      <bottom style="thin">
        <color rgb="FF33CC33"/>
      </bottom>
      <diagonal/>
    </border>
    <border>
      <left style="thin">
        <color rgb="FF33CC33"/>
      </left>
      <right style="thin">
        <color rgb="FF33CC33"/>
      </right>
      <top style="thin">
        <color rgb="FF33CC33"/>
      </top>
      <bottom style="thin">
        <color rgb="FF33CC33"/>
      </bottom>
      <diagonal/>
    </border>
    <border>
      <left style="thin">
        <color rgb="FF33CC33"/>
      </left>
      <right style="medium">
        <color rgb="FF33CC33"/>
      </right>
      <top style="thin">
        <color rgb="FF33CC33"/>
      </top>
      <bottom style="thin">
        <color rgb="FF33CC33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thin">
        <color rgb="FF33CC33"/>
      </left>
      <right style="medium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 style="medium">
        <color rgb="FF33CC33"/>
      </bottom>
      <diagonal/>
    </border>
  </borders>
  <cellStyleXfs count="6">
    <xf numFmtId="0" fontId="0" fillId="0" borderId="0"/>
    <xf numFmtId="9" fontId="24" fillId="0" borderId="0" applyFont="0" applyFill="0" applyBorder="0" applyAlignment="0" applyProtection="0"/>
    <xf numFmtId="0" fontId="25" fillId="0" borderId="0"/>
    <xf numFmtId="0" fontId="25" fillId="0" borderId="0"/>
    <xf numFmtId="43" fontId="24" fillId="0" borderId="0" applyFont="0" applyFill="0" applyBorder="0" applyAlignment="0" applyProtection="0"/>
    <xf numFmtId="171" fontId="24" fillId="0" borderId="0" applyFont="0" applyFill="0" applyBorder="0" applyAlignment="0" applyProtection="0"/>
  </cellStyleXfs>
  <cellXfs count="307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0" fillId="0" borderId="0" xfId="0" applyFill="1"/>
    <xf numFmtId="0" fontId="6" fillId="0" borderId="0" xfId="0" applyFont="1" applyAlignment="1">
      <alignment wrapText="1"/>
    </xf>
    <xf numFmtId="0" fontId="8" fillId="0" borderId="0" xfId="0" applyFont="1"/>
    <xf numFmtId="0" fontId="8" fillId="0" borderId="0" xfId="0" applyFont="1" applyAlignment="1">
      <alignment vertical="center"/>
    </xf>
    <xf numFmtId="4" fontId="0" fillId="0" borderId="0" xfId="0" applyNumberFormat="1"/>
    <xf numFmtId="0" fontId="7" fillId="0" borderId="0" xfId="0" applyFont="1" applyAlignment="1">
      <alignment vertical="center"/>
    </xf>
    <xf numFmtId="0" fontId="21" fillId="0" borderId="0" xfId="0" applyFont="1" applyBorder="1" applyAlignment="1">
      <alignment horizontal="left" vertical="center" wrapText="1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8" fillId="0" borderId="0" xfId="0" applyFont="1"/>
    <xf numFmtId="0" fontId="8" fillId="0" borderId="0" xfId="0" applyFont="1" applyFill="1" applyAlignment="1">
      <alignment horizontal="center" vertical="center"/>
    </xf>
    <xf numFmtId="164" fontId="8" fillId="0" borderId="0" xfId="0" applyNumberFormat="1" applyFont="1" applyFill="1" applyAlignment="1">
      <alignment wrapText="1"/>
    </xf>
    <xf numFmtId="0" fontId="29" fillId="0" borderId="0" xfId="0" applyFont="1" applyAlignment="1">
      <alignment horizontal="left"/>
    </xf>
    <xf numFmtId="0" fontId="29" fillId="0" borderId="0" xfId="0" applyFont="1"/>
    <xf numFmtId="0" fontId="8" fillId="0" borderId="0" xfId="0" applyFont="1" applyAlignment="1">
      <alignment horizontal="left"/>
    </xf>
    <xf numFmtId="0" fontId="29" fillId="0" borderId="0" xfId="0" applyFont="1" applyBorder="1" applyAlignment="1">
      <alignment horizontal="left" vertical="center" wrapText="1"/>
    </xf>
    <xf numFmtId="0" fontId="29" fillId="0" borderId="0" xfId="0" applyFont="1" applyBorder="1"/>
    <xf numFmtId="0" fontId="27" fillId="0" borderId="32" xfId="0" applyFont="1" applyBorder="1"/>
    <xf numFmtId="0" fontId="0" fillId="0" borderId="32" xfId="0" applyBorder="1"/>
    <xf numFmtId="0" fontId="6" fillId="0" borderId="32" xfId="0" applyFont="1" applyBorder="1"/>
    <xf numFmtId="1" fontId="8" fillId="0" borderId="0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28" fillId="0" borderId="0" xfId="0" applyFont="1" applyBorder="1"/>
    <xf numFmtId="1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0" fontId="28" fillId="0" borderId="0" xfId="0" applyFont="1" applyFill="1" applyBorder="1"/>
    <xf numFmtId="0" fontId="8" fillId="0" borderId="0" xfId="0" applyFont="1" applyFill="1" applyBorder="1" applyAlignment="1">
      <alignment horizontal="center" vertical="center" wrapText="1"/>
    </xf>
    <xf numFmtId="0" fontId="28" fillId="0" borderId="0" xfId="0" applyFont="1" applyFill="1" applyAlignment="1">
      <alignment horizontal="center" vertical="center" wrapText="1"/>
    </xf>
    <xf numFmtId="0" fontId="0" fillId="3" borderId="0" xfId="0" applyFill="1" applyAlignment="1"/>
    <xf numFmtId="0" fontId="0" fillId="3" borderId="0" xfId="0" applyFill="1"/>
    <xf numFmtId="0" fontId="0" fillId="0" borderId="0" xfId="0" applyFill="1" applyAlignment="1"/>
    <xf numFmtId="0" fontId="0" fillId="0" borderId="0" xfId="0" applyAlignment="1">
      <alignment wrapText="1"/>
    </xf>
    <xf numFmtId="0" fontId="7" fillId="0" borderId="0" xfId="0" applyFont="1" applyAlignment="1">
      <alignment horizontal="center" vertical="center"/>
    </xf>
    <xf numFmtId="0" fontId="34" fillId="6" borderId="11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/>
    </xf>
    <xf numFmtId="0" fontId="0" fillId="0" borderId="0" xfId="0" applyFill="1" applyBorder="1"/>
    <xf numFmtId="0" fontId="34" fillId="0" borderId="11" xfId="0" applyFont="1" applyFill="1" applyBorder="1" applyAlignment="1">
      <alignment horizontal="center" vertical="center"/>
    </xf>
    <xf numFmtId="4" fontId="34" fillId="0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0" fillId="7" borderId="0" xfId="0" applyFill="1"/>
    <xf numFmtId="0" fontId="8" fillId="0" borderId="0" xfId="0" applyFont="1" applyFill="1" applyBorder="1" applyAlignment="1">
      <alignment vertical="center" wrapText="1"/>
    </xf>
    <xf numFmtId="0" fontId="8" fillId="0" borderId="0" xfId="0" applyNumberFormat="1" applyFont="1" applyFill="1" applyBorder="1" applyAlignment="1">
      <alignment vertical="center"/>
    </xf>
    <xf numFmtId="0" fontId="0" fillId="8" borderId="0" xfId="0" applyFill="1"/>
    <xf numFmtId="0" fontId="34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68" fontId="34" fillId="0" borderId="0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6" fillId="0" borderId="0" xfId="0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vertical="center" wrapText="1"/>
    </xf>
    <xf numFmtId="4" fontId="34" fillId="0" borderId="0" xfId="0" applyNumberFormat="1" applyFont="1" applyFill="1" applyBorder="1"/>
    <xf numFmtId="4" fontId="34" fillId="0" borderId="0" xfId="0" applyNumberFormat="1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4" fontId="34" fillId="0" borderId="0" xfId="0" applyNumberFormat="1" applyFont="1" applyFill="1" applyBorder="1" applyAlignment="1">
      <alignment horizontal="center" vertical="center" wrapText="1"/>
    </xf>
    <xf numFmtId="2" fontId="34" fillId="0" borderId="0" xfId="0" applyNumberFormat="1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6" fillId="0" borderId="11" xfId="0" applyFont="1" applyFill="1" applyBorder="1" applyAlignment="1">
      <alignment horizontal="left" vertical="center"/>
    </xf>
    <xf numFmtId="4" fontId="6" fillId="0" borderId="11" xfId="0" applyNumberFormat="1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8" fillId="0" borderId="0" xfId="0" applyFont="1" applyBorder="1" applyAlignment="1"/>
    <xf numFmtId="0" fontId="8" fillId="0" borderId="0" xfId="0" applyFont="1" applyFill="1" applyAlignment="1">
      <alignment horizontal="center"/>
    </xf>
    <xf numFmtId="0" fontId="8" fillId="0" borderId="0" xfId="0" applyFont="1" applyAlignment="1">
      <alignment horizontal="left" vertical="center"/>
    </xf>
    <xf numFmtId="168" fontId="34" fillId="0" borderId="11" xfId="0" applyNumberFormat="1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27" fillId="0" borderId="25" xfId="0" applyFont="1" applyBorder="1" applyAlignment="1">
      <alignment vertical="center"/>
    </xf>
    <xf numFmtId="0" fontId="27" fillId="0" borderId="20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8" fillId="0" borderId="11" xfId="0" applyFont="1" applyFill="1" applyBorder="1" applyAlignment="1">
      <alignment horizontal="center" vertical="center" wrapText="1"/>
    </xf>
    <xf numFmtId="0" fontId="8" fillId="0" borderId="11" xfId="0" applyFont="1" applyFill="1" applyBorder="1" applyAlignment="1">
      <alignment horizontal="center" vertical="center"/>
    </xf>
    <xf numFmtId="0" fontId="27" fillId="0" borderId="11" xfId="0" applyFont="1" applyFill="1" applyBorder="1" applyAlignment="1">
      <alignment horizontal="center" vertical="center" wrapText="1"/>
    </xf>
    <xf numFmtId="166" fontId="34" fillId="6" borderId="11" xfId="1" applyNumberFormat="1" applyFont="1" applyFill="1" applyBorder="1" applyAlignment="1">
      <alignment horizontal="center" vertical="center" wrapText="1"/>
    </xf>
    <xf numFmtId="9" fontId="8" fillId="0" borderId="11" xfId="1" applyFont="1" applyFill="1" applyBorder="1" applyAlignment="1">
      <alignment horizontal="center" vertical="center" wrapText="1"/>
    </xf>
    <xf numFmtId="9" fontId="0" fillId="0" borderId="0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0" fillId="0" borderId="0" xfId="1" applyNumberFormat="1" applyFont="1" applyBorder="1" applyAlignment="1">
      <alignment horizontal="center" vertical="center"/>
    </xf>
    <xf numFmtId="165" fontId="0" fillId="0" borderId="0" xfId="1" applyNumberFormat="1" applyFont="1" applyBorder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0" fontId="36" fillId="2" borderId="11" xfId="0" applyFont="1" applyFill="1" applyBorder="1" applyAlignment="1">
      <alignment horizontal="center" vertical="center"/>
    </xf>
    <xf numFmtId="14" fontId="8" fillId="10" borderId="0" xfId="0" applyNumberFormat="1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6" fillId="10" borderId="33" xfId="0" applyFont="1" applyFill="1" applyBorder="1" applyAlignment="1">
      <alignment horizontal="center" vertical="center" wrapText="1"/>
    </xf>
    <xf numFmtId="0" fontId="36" fillId="10" borderId="33" xfId="0" applyFont="1" applyFill="1" applyBorder="1" applyAlignment="1" applyProtection="1">
      <alignment horizontal="center" vertical="center" wrapText="1"/>
      <protection hidden="1"/>
    </xf>
    <xf numFmtId="0" fontId="31" fillId="10" borderId="11" xfId="0" applyFont="1" applyFill="1" applyBorder="1" applyAlignment="1">
      <alignment horizontal="center" vertical="center"/>
    </xf>
    <xf numFmtId="0" fontId="34" fillId="10" borderId="11" xfId="0" applyFont="1" applyFill="1" applyBorder="1" applyAlignment="1">
      <alignment horizontal="center" vertical="center"/>
    </xf>
    <xf numFmtId="4" fontId="34" fillId="10" borderId="11" xfId="0" applyNumberFormat="1" applyFont="1" applyFill="1" applyBorder="1" applyAlignment="1">
      <alignment horizontal="center" vertical="center"/>
    </xf>
    <xf numFmtId="4" fontId="34" fillId="10" borderId="11" xfId="0" applyNumberFormat="1" applyFont="1" applyFill="1" applyBorder="1" applyAlignment="1" applyProtection="1">
      <alignment horizontal="center" vertical="center"/>
      <protection hidden="1"/>
    </xf>
    <xf numFmtId="167" fontId="34" fillId="10" borderId="11" xfId="0" applyNumberFormat="1" applyFont="1" applyFill="1" applyBorder="1" applyAlignment="1">
      <alignment horizontal="center" vertical="center"/>
    </xf>
    <xf numFmtId="9" fontId="34" fillId="10" borderId="11" xfId="1" applyFont="1" applyFill="1" applyBorder="1" applyAlignment="1">
      <alignment horizontal="center" vertical="center" wrapText="1"/>
    </xf>
    <xf numFmtId="0" fontId="34" fillId="10" borderId="11" xfId="0" applyFont="1" applyFill="1" applyBorder="1" applyAlignment="1">
      <alignment horizontal="center" vertical="center" wrapText="1"/>
    </xf>
    <xf numFmtId="170" fontId="34" fillId="10" borderId="11" xfId="0" applyNumberFormat="1" applyFont="1" applyFill="1" applyBorder="1" applyAlignment="1" applyProtection="1">
      <alignment horizontal="center" vertical="center" wrapText="1"/>
      <protection hidden="1"/>
    </xf>
    <xf numFmtId="4" fontId="34" fillId="10" borderId="11" xfId="0" applyNumberFormat="1" applyFont="1" applyFill="1" applyBorder="1" applyAlignment="1">
      <alignment horizontal="center" vertical="center" wrapText="1"/>
    </xf>
    <xf numFmtId="169" fontId="8" fillId="10" borderId="11" xfId="1" applyNumberFormat="1" applyFont="1" applyFill="1" applyBorder="1" applyAlignment="1">
      <alignment horizontal="center" vertical="center" wrapText="1"/>
    </xf>
    <xf numFmtId="9" fontId="8" fillId="10" borderId="11" xfId="1" applyFont="1" applyFill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center"/>
    </xf>
    <xf numFmtId="4" fontId="6" fillId="0" borderId="11" xfId="0" applyNumberFormat="1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5" fillId="11" borderId="36" xfId="0" applyFont="1" applyFill="1" applyBorder="1" applyAlignment="1">
      <alignment horizontal="center"/>
    </xf>
    <xf numFmtId="0" fontId="5" fillId="11" borderId="37" xfId="0" applyFont="1" applyFill="1" applyBorder="1" applyAlignment="1">
      <alignment horizontal="center"/>
    </xf>
    <xf numFmtId="0" fontId="5" fillId="11" borderId="38" xfId="0" applyFont="1" applyFill="1" applyBorder="1" applyAlignment="1">
      <alignment horizontal="center"/>
    </xf>
    <xf numFmtId="0" fontId="5" fillId="11" borderId="39" xfId="0" applyFont="1" applyFill="1" applyBorder="1" applyAlignment="1">
      <alignment horizontal="center"/>
    </xf>
    <xf numFmtId="4" fontId="5" fillId="11" borderId="40" xfId="0" applyNumberFormat="1" applyFont="1" applyFill="1" applyBorder="1" applyAlignment="1">
      <alignment horizontal="center"/>
    </xf>
    <xf numFmtId="0" fontId="0" fillId="2" borderId="41" xfId="0" applyFill="1" applyBorder="1" applyAlignment="1">
      <alignment horizontal="left" wrapText="1"/>
    </xf>
    <xf numFmtId="0" fontId="0" fillId="2" borderId="42" xfId="0" applyFill="1" applyBorder="1" applyAlignment="1">
      <alignment horizontal="left" wrapText="1"/>
    </xf>
    <xf numFmtId="0" fontId="0" fillId="2" borderId="43" xfId="0" applyFill="1" applyBorder="1" applyAlignment="1">
      <alignment horizontal="center"/>
    </xf>
    <xf numFmtId="2" fontId="0" fillId="2" borderId="43" xfId="0" applyNumberFormat="1" applyFill="1" applyBorder="1" applyAlignment="1">
      <alignment horizontal="center"/>
    </xf>
    <xf numFmtId="1" fontId="0" fillId="2" borderId="42" xfId="0" applyNumberFormat="1" applyFill="1" applyBorder="1" applyAlignment="1">
      <alignment horizontal="center" wrapText="1"/>
    </xf>
    <xf numFmtId="1" fontId="0" fillId="2" borderId="43" xfId="0" applyNumberFormat="1" applyFill="1" applyBorder="1" applyAlignment="1">
      <alignment horizontal="center"/>
    </xf>
    <xf numFmtId="4" fontId="0" fillId="2" borderId="44" xfId="5" applyNumberFormat="1" applyFont="1" applyFill="1" applyBorder="1" applyAlignment="1">
      <alignment horizontal="center"/>
    </xf>
    <xf numFmtId="0" fontId="5" fillId="12" borderId="45" xfId="0" applyFont="1" applyFill="1" applyBorder="1" applyAlignment="1">
      <alignment horizontal="center"/>
    </xf>
    <xf numFmtId="4" fontId="40" fillId="12" borderId="46" xfId="5" applyNumberFormat="1" applyFont="1" applyFill="1" applyBorder="1" applyAlignment="1" applyProtection="1">
      <alignment horizontal="center" vertical="top"/>
    </xf>
    <xf numFmtId="9" fontId="0" fillId="0" borderId="0" xfId="0" applyNumberFormat="1"/>
    <xf numFmtId="9" fontId="5" fillId="12" borderId="47" xfId="1" applyNumberFormat="1" applyFont="1" applyFill="1" applyBorder="1" applyAlignment="1">
      <alignment horizontal="center"/>
    </xf>
    <xf numFmtId="4" fontId="40" fillId="12" borderId="48" xfId="5" applyNumberFormat="1" applyFont="1" applyFill="1" applyBorder="1" applyAlignment="1" applyProtection="1">
      <alignment horizontal="center" vertical="top"/>
    </xf>
    <xf numFmtId="0" fontId="5" fillId="12" borderId="47" xfId="0" applyFont="1" applyFill="1" applyBorder="1" applyAlignment="1">
      <alignment horizontal="center"/>
    </xf>
    <xf numFmtId="172" fontId="0" fillId="0" borderId="0" xfId="0" applyNumberFormat="1"/>
    <xf numFmtId="0" fontId="5" fillId="0" borderId="0" xfId="0" applyFont="1" applyFill="1" applyBorder="1" applyAlignment="1">
      <alignment horizontal="center"/>
    </xf>
    <xf numFmtId="4" fontId="40" fillId="0" borderId="0" xfId="5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0" fontId="2" fillId="0" borderId="11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left" vertical="top" wrapText="1"/>
    </xf>
    <xf numFmtId="0" fontId="35" fillId="0" borderId="0" xfId="0" applyFont="1"/>
    <xf numFmtId="0" fontId="35" fillId="0" borderId="0" xfId="0" applyFont="1" applyAlignment="1">
      <alignment horizontal="center" wrapText="1"/>
    </xf>
    <xf numFmtId="0" fontId="35" fillId="0" borderId="0" xfId="0" applyFont="1" applyAlignment="1">
      <alignment horizontal="left" wrapText="1"/>
    </xf>
    <xf numFmtId="0" fontId="36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8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39" fillId="0" borderId="0" xfId="0" applyFont="1"/>
    <xf numFmtId="0" fontId="35" fillId="0" borderId="0" xfId="0" applyFont="1" applyAlignment="1">
      <alignment horizontal="right"/>
    </xf>
    <xf numFmtId="0" fontId="36" fillId="0" borderId="0" xfId="0" applyFont="1" applyAlignment="1">
      <alignment horizontal="left"/>
    </xf>
    <xf numFmtId="43" fontId="32" fillId="0" borderId="0" xfId="4" applyFont="1" applyFill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/>
    </xf>
    <xf numFmtId="0" fontId="8" fillId="10" borderId="0" xfId="0" applyFont="1" applyFill="1" applyAlignment="1">
      <alignment horizontal="left" vertical="center"/>
    </xf>
    <xf numFmtId="0" fontId="36" fillId="0" borderId="5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8" fillId="0" borderId="0" xfId="0" applyFont="1" applyFill="1" applyAlignment="1">
      <alignment horizontal="center" vertical="center" wrapText="1"/>
    </xf>
    <xf numFmtId="14" fontId="8" fillId="0" borderId="0" xfId="0" applyNumberFormat="1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28" fillId="0" borderId="0" xfId="0" applyFont="1" applyBorder="1" applyAlignment="1"/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4" fontId="8" fillId="10" borderId="0" xfId="0" applyNumberFormat="1" applyFont="1" applyFill="1" applyBorder="1" applyAlignment="1">
      <alignment horizontal="left" vertical="center"/>
    </xf>
    <xf numFmtId="0" fontId="27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10" borderId="0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36" fillId="0" borderId="11" xfId="0" applyFont="1" applyBorder="1" applyAlignment="1">
      <alignment horizontal="center" vertical="center" wrapText="1"/>
    </xf>
    <xf numFmtId="0" fontId="34" fillId="0" borderId="25" xfId="0" applyFont="1" applyBorder="1" applyAlignment="1">
      <alignment horizontal="center" vertical="center"/>
    </xf>
    <xf numFmtId="0" fontId="34" fillId="0" borderId="20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 wrapText="1"/>
    </xf>
    <xf numFmtId="0" fontId="36" fillId="0" borderId="2" xfId="0" applyFont="1" applyBorder="1" applyAlignment="1">
      <alignment horizontal="center" vertical="center" wrapText="1"/>
    </xf>
    <xf numFmtId="0" fontId="36" fillId="0" borderId="34" xfId="0" applyFont="1" applyBorder="1" applyAlignment="1">
      <alignment horizontal="center" vertical="center" wrapText="1"/>
    </xf>
    <xf numFmtId="0" fontId="8" fillId="10" borderId="0" xfId="0" applyNumberFormat="1" applyFont="1" applyFill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35" xfId="0" applyFont="1" applyBorder="1" applyAlignment="1">
      <alignment horizontal="center" vertical="center"/>
    </xf>
    <xf numFmtId="0" fontId="21" fillId="0" borderId="25" xfId="0" applyFont="1" applyBorder="1" applyAlignment="1">
      <alignment horizontal="left" vertical="center"/>
    </xf>
    <xf numFmtId="0" fontId="21" fillId="0" borderId="26" xfId="0" applyFont="1" applyBorder="1" applyAlignment="1">
      <alignment horizontal="left" vertical="center"/>
    </xf>
    <xf numFmtId="0" fontId="29" fillId="0" borderId="25" xfId="0" applyFont="1" applyBorder="1" applyAlignment="1">
      <alignment horizontal="left" vertical="center" wrapText="1"/>
    </xf>
    <xf numFmtId="0" fontId="29" fillId="0" borderId="20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left" vertical="center" wrapText="1"/>
    </xf>
    <xf numFmtId="0" fontId="30" fillId="0" borderId="25" xfId="0" applyFont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30" fillId="0" borderId="26" xfId="0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/>
    </xf>
    <xf numFmtId="4" fontId="6" fillId="0" borderId="11" xfId="0" applyNumberFormat="1" applyFont="1" applyBorder="1" applyAlignment="1">
      <alignment horizontal="center" vertical="center"/>
    </xf>
    <xf numFmtId="0" fontId="21" fillId="0" borderId="25" xfId="0" applyFont="1" applyBorder="1" applyAlignment="1">
      <alignment horizontal="left" vertical="center" wrapText="1"/>
    </xf>
    <xf numFmtId="0" fontId="21" fillId="0" borderId="26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/>
    </xf>
    <xf numFmtId="0" fontId="29" fillId="0" borderId="20" xfId="0" applyFont="1" applyBorder="1" applyAlignment="1">
      <alignment horizontal="left" vertical="center"/>
    </xf>
    <xf numFmtId="0" fontId="29" fillId="0" borderId="26" xfId="0" applyFont="1" applyBorder="1" applyAlignment="1">
      <alignment horizontal="left" vertical="center"/>
    </xf>
    <xf numFmtId="0" fontId="6" fillId="0" borderId="11" xfId="0" applyFont="1" applyFill="1" applyBorder="1" applyAlignment="1">
      <alignment horizontal="left" vertical="center"/>
    </xf>
    <xf numFmtId="4" fontId="6" fillId="0" borderId="11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164" fontId="8" fillId="10" borderId="0" xfId="0" applyNumberFormat="1" applyFont="1" applyFill="1" applyAlignment="1">
      <alignment horizontal="center" wrapText="1"/>
    </xf>
    <xf numFmtId="0" fontId="8" fillId="10" borderId="0" xfId="0" applyFont="1" applyFill="1" applyAlignment="1">
      <alignment horizontal="center" vertical="center"/>
    </xf>
    <xf numFmtId="0" fontId="0" fillId="9" borderId="27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31" xfId="0" applyFill="1" applyBorder="1" applyAlignment="1">
      <alignment horizontal="center" vertical="center"/>
    </xf>
  </cellXfs>
  <cellStyles count="6">
    <cellStyle name="Millares" xfId="4" builtinId="3"/>
    <cellStyle name="Millares 2" xfId="5"/>
    <cellStyle name="Normal" xfId="0" builtinId="0"/>
    <cellStyle name="Normal 10" xfId="3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9FAD0"/>
      <color rgb="FFD1FDCF"/>
      <color rgb="FF60AD35"/>
      <color rgb="FF663300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</xdr:col>
      <xdr:colOff>676275</xdr:colOff>
      <xdr:row>7</xdr:row>
      <xdr:rowOff>123825</xdr:rowOff>
    </xdr:to>
    <xdr:pic>
      <xdr:nvPicPr>
        <xdr:cNvPr id="3" name="Imagen 2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4954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1276350"/>
          <a:ext cx="185737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571501</xdr:colOff>
      <xdr:row>3</xdr:row>
      <xdr:rowOff>72284</xdr:rowOff>
    </xdr:from>
    <xdr:to>
      <xdr:col>4</xdr:col>
      <xdr:colOff>44823</xdr:colOff>
      <xdr:row>8</xdr:row>
      <xdr:rowOff>179299</xdr:rowOff>
    </xdr:to>
    <xdr:pic>
      <xdr:nvPicPr>
        <xdr:cNvPr id="2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1" y="643784"/>
          <a:ext cx="2206997" cy="1059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</xdr:row>
          <xdr:rowOff>38100</xdr:rowOff>
        </xdr:from>
        <xdr:to>
          <xdr:col>12</xdr:col>
          <xdr:colOff>1562100</xdr:colOff>
          <xdr:row>4</xdr:row>
          <xdr:rowOff>114300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/ PDF ENVIAR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/Desktop/HOJAS%20DE%20COSTOS/HOJA%20DE%20COSTO%20DE%20OPERACION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/Desktop/HOJAS%20DE%20COSTOS/HOJA%20DE%20ACTIVACIONES%20SERVICIOS%202%20F%20E%20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 FOTOS"/>
      <sheetName val="FORMATO DE COTIZACION1"/>
      <sheetName val="NOTA DE ENTREGA "/>
      <sheetName val="NGRESO A TALLER "/>
      <sheetName val="Carta PDF"/>
      <sheetName val="H PRESENT."/>
      <sheetName val="Estado de costos"/>
      <sheetName val="FORM ORDEN D TRA"/>
      <sheetName val="Proforma (3)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59">
          <cell r="B59" t="str">
            <v>B</v>
          </cell>
        </row>
        <row r="75">
          <cell r="B75" t="str">
            <v xml:space="preserve">SERVICIO DE ANIMACION </v>
          </cell>
          <cell r="F75">
            <v>9</v>
          </cell>
          <cell r="G75">
            <v>1</v>
          </cell>
        </row>
        <row r="76">
          <cell r="B76" t="str">
            <v>SERVICIO DE MODELOS</v>
          </cell>
          <cell r="F76">
            <v>9</v>
          </cell>
          <cell r="G76">
            <v>2</v>
          </cell>
        </row>
        <row r="77">
          <cell r="B77" t="str">
            <v>SERVICIO DE LOGISTICA</v>
          </cell>
          <cell r="F77">
            <v>9</v>
          </cell>
          <cell r="G77">
            <v>3</v>
          </cell>
        </row>
        <row r="78">
          <cell r="B78" t="str">
            <v xml:space="preserve">SERVICIO DE CATERING </v>
          </cell>
          <cell r="F78">
            <v>8</v>
          </cell>
          <cell r="G78">
            <v>4</v>
          </cell>
        </row>
        <row r="79">
          <cell r="B79" t="str">
            <v>SERVICIO DE DECORADO</v>
          </cell>
          <cell r="F79">
            <v>1</v>
          </cell>
          <cell r="G79">
            <v>1</v>
          </cell>
        </row>
        <row r="80">
          <cell r="B80" t="str">
            <v>ALQUILER DEL LOCAL</v>
          </cell>
          <cell r="F80">
            <v>9</v>
          </cell>
          <cell r="G80">
            <v>1</v>
          </cell>
        </row>
        <row r="81">
          <cell r="B81" t="str">
            <v>SERVICIO DE DESARROLLO</v>
          </cell>
          <cell r="F81">
            <v>9</v>
          </cell>
          <cell r="G81">
            <v>1</v>
          </cell>
        </row>
        <row r="126">
          <cell r="F126">
            <v>0.1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 FOTOS"/>
      <sheetName val="FORMATO DE COTIZACION1"/>
      <sheetName val="NOTA DE ENTREGA "/>
      <sheetName val="H PRESENT"/>
      <sheetName val="PROFORMA"/>
      <sheetName val="Carta PDF"/>
      <sheetName val="HOJA D TRABAJO"/>
      <sheetName val="Hoja2"/>
      <sheetName val="GASTO AUX "/>
      <sheetName val="HOJA 1 AUX"/>
      <sheetName val="HOJA 2 AUX"/>
      <sheetName val="HOJA 3 AUX"/>
      <sheetName val="HOJA 4 AUX"/>
      <sheetName val="HOJA 5 AUX"/>
      <sheetName val="HOJA 6 AUX"/>
      <sheetName val="HOJA 7AUX"/>
      <sheetName val="HOJA 8 AUX"/>
      <sheetName val="HOJA 9 AUX"/>
      <sheetName val="HOJA DE ACTIVACIONES SERVICIO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49"/>
  <sheetViews>
    <sheetView zoomScaleNormal="100" zoomScaleSheetLayoutView="85" zoomScalePageLayoutView="80" workbookViewId="0">
      <selection activeCell="Q16" sqref="Q16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13" t="s">
        <v>20</v>
      </c>
      <c r="C1" s="213"/>
      <c r="D1" s="213"/>
      <c r="E1" s="2"/>
      <c r="F1" s="2"/>
      <c r="G1" s="2"/>
      <c r="H1" s="2"/>
      <c r="J1" s="14" t="s">
        <v>9</v>
      </c>
      <c r="L1" s="2"/>
      <c r="M1" s="213" t="s">
        <v>20</v>
      </c>
      <c r="N1" s="213"/>
      <c r="O1" s="213"/>
    </row>
    <row r="2" spans="1:15" ht="17.25" customHeight="1" thickBot="1" x14ac:dyDescent="0.25">
      <c r="A2" s="10" t="s">
        <v>1</v>
      </c>
      <c r="B2" s="214"/>
      <c r="C2" s="214"/>
      <c r="D2" s="214"/>
      <c r="E2" s="214"/>
      <c r="F2" s="214"/>
      <c r="G2" s="214"/>
      <c r="H2" s="214"/>
      <c r="I2" s="214"/>
      <c r="J2" s="214"/>
      <c r="K2" s="2"/>
      <c r="L2" s="2"/>
    </row>
    <row r="3" spans="1:15" ht="17.25" customHeight="1" thickBot="1" x14ac:dyDescent="0.25">
      <c r="A3" s="10" t="s">
        <v>2</v>
      </c>
      <c r="B3" s="215"/>
      <c r="C3" s="215"/>
      <c r="D3" s="215"/>
      <c r="E3" s="215"/>
      <c r="F3" s="215"/>
      <c r="G3" s="215"/>
      <c r="H3" s="215"/>
      <c r="I3" s="215"/>
      <c r="J3" s="215"/>
      <c r="K3" s="216" t="s">
        <v>15</v>
      </c>
      <c r="L3" s="216"/>
      <c r="M3" s="211"/>
      <c r="N3" s="217"/>
      <c r="O3" s="212"/>
    </row>
    <row r="4" spans="1:15" ht="17.25" customHeight="1" x14ac:dyDescent="0.2">
      <c r="A4" s="10" t="s">
        <v>3</v>
      </c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214"/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</row>
    <row r="9" spans="1:15" ht="17.25" customHeight="1" x14ac:dyDescent="0.2">
      <c r="A9" s="215"/>
      <c r="B9" s="215"/>
      <c r="C9" s="215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08" t="s">
        <v>10</v>
      </c>
      <c r="F36" s="208"/>
      <c r="G36" s="208"/>
      <c r="H36" s="19" t="s">
        <v>16</v>
      </c>
      <c r="I36" s="19" t="s">
        <v>14</v>
      </c>
      <c r="J36" s="10"/>
      <c r="K36" s="208" t="s">
        <v>10</v>
      </c>
      <c r="L36" s="208"/>
      <c r="M36" s="208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08"/>
      <c r="F37" s="208"/>
      <c r="G37" s="208"/>
      <c r="H37" s="18"/>
      <c r="I37" s="18"/>
      <c r="J37" s="2"/>
      <c r="K37" s="208"/>
      <c r="L37" s="208"/>
      <c r="M37" s="208"/>
      <c r="N37" s="18"/>
      <c r="O37" s="18"/>
    </row>
    <row r="38" spans="1:15" ht="14.1" customHeight="1" x14ac:dyDescent="0.2">
      <c r="A38" s="18"/>
      <c r="B38" s="18"/>
      <c r="C38" s="18"/>
      <c r="D38" s="2"/>
      <c r="E38" s="208"/>
      <c r="F38" s="208"/>
      <c r="G38" s="208"/>
      <c r="H38" s="18"/>
      <c r="I38" s="18"/>
      <c r="J38" s="2"/>
      <c r="K38" s="208"/>
      <c r="L38" s="208"/>
      <c r="M38" s="208"/>
      <c r="N38" s="18"/>
      <c r="O38" s="18"/>
    </row>
    <row r="39" spans="1:15" ht="14.1" customHeight="1" x14ac:dyDescent="0.2">
      <c r="A39" s="18"/>
      <c r="B39" s="18"/>
      <c r="C39" s="18"/>
      <c r="D39" s="2"/>
      <c r="E39" s="208"/>
      <c r="F39" s="208"/>
      <c r="G39" s="208"/>
      <c r="H39" s="18"/>
      <c r="I39" s="18"/>
      <c r="J39" s="2"/>
      <c r="K39" s="208"/>
      <c r="L39" s="208"/>
      <c r="M39" s="208"/>
      <c r="N39" s="18"/>
      <c r="O39" s="18"/>
    </row>
    <row r="40" spans="1:15" ht="14.1" customHeight="1" x14ac:dyDescent="0.2">
      <c r="A40" s="18"/>
      <c r="B40" s="18"/>
      <c r="C40" s="18"/>
      <c r="D40" s="2"/>
      <c r="E40" s="208"/>
      <c r="F40" s="208"/>
      <c r="G40" s="208"/>
      <c r="H40" s="18"/>
      <c r="I40" s="18"/>
      <c r="J40" s="2"/>
      <c r="K40" s="208"/>
      <c r="L40" s="208"/>
      <c r="M40" s="208"/>
      <c r="N40" s="18"/>
      <c r="O40" s="18"/>
    </row>
    <row r="41" spans="1:15" ht="14.1" customHeight="1" x14ac:dyDescent="0.2">
      <c r="A41" s="18"/>
      <c r="B41" s="18"/>
      <c r="C41" s="18"/>
      <c r="D41" s="2"/>
      <c r="E41" s="208"/>
      <c r="F41" s="208"/>
      <c r="G41" s="208"/>
      <c r="H41" s="18"/>
      <c r="I41" s="18"/>
      <c r="J41" s="2"/>
      <c r="K41" s="208"/>
      <c r="L41" s="208"/>
      <c r="M41" s="208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09" t="s">
        <v>18</v>
      </c>
      <c r="L43" s="210"/>
      <c r="M43" s="210"/>
      <c r="N43" s="211"/>
      <c r="O43" s="212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13" t="s">
        <v>20</v>
      </c>
      <c r="C49" s="213"/>
      <c r="D49" s="213"/>
      <c r="I49" s="10" t="s">
        <v>19</v>
      </c>
      <c r="J49" s="213" t="s">
        <v>20</v>
      </c>
      <c r="K49" s="213"/>
      <c r="L49" s="213"/>
    </row>
  </sheetData>
  <mergeCells count="25"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  <mergeCell ref="E38:G38"/>
    <mergeCell ref="K38:M38"/>
    <mergeCell ref="E39:G39"/>
    <mergeCell ref="K39:M39"/>
    <mergeCell ref="E40:G40"/>
    <mergeCell ref="K40:M40"/>
    <mergeCell ref="E41:G41"/>
    <mergeCell ref="K41:M41"/>
    <mergeCell ref="K43:M43"/>
    <mergeCell ref="N43:O43"/>
    <mergeCell ref="B49:D49"/>
    <mergeCell ref="J49:L49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7:I27"/>
  <sheetViews>
    <sheetView topLeftCell="A5" workbookViewId="0">
      <selection activeCell="L14" sqref="L14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218" t="s">
        <v>30</v>
      </c>
      <c r="D9" s="218"/>
      <c r="E9" s="218"/>
      <c r="F9" s="218"/>
      <c r="G9" s="218"/>
      <c r="H9" s="218"/>
      <c r="I9" s="218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220" t="s">
        <v>57</v>
      </c>
      <c r="B11" s="220"/>
      <c r="C11" s="220"/>
      <c r="D11" s="220"/>
      <c r="E11" s="220"/>
      <c r="F11" s="220"/>
      <c r="G11" s="220"/>
      <c r="H11" s="220"/>
      <c r="I11" s="220"/>
    </row>
    <row r="12" spans="1:9" x14ac:dyDescent="0.25">
      <c r="A12" s="220" t="s">
        <v>58</v>
      </c>
      <c r="B12" s="220"/>
      <c r="C12" s="220"/>
      <c r="D12" s="220"/>
      <c r="E12" s="220"/>
      <c r="F12" s="220"/>
      <c r="G12" s="220"/>
      <c r="H12" s="220"/>
      <c r="I12" s="220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219" t="s">
        <v>28</v>
      </c>
      <c r="B26" s="219"/>
      <c r="C26" s="219"/>
      <c r="D26" s="219"/>
      <c r="E26" s="219"/>
      <c r="F26" s="219"/>
      <c r="G26" s="219"/>
      <c r="H26" s="219"/>
      <c r="I26" s="219"/>
    </row>
    <row r="27" spans="1:9" x14ac:dyDescent="0.25">
      <c r="A27" s="219"/>
      <c r="B27" s="219"/>
      <c r="C27" s="219"/>
      <c r="D27" s="219"/>
      <c r="E27" s="219"/>
      <c r="F27" s="219"/>
      <c r="G27" s="219"/>
      <c r="H27" s="219"/>
      <c r="I27" s="219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G43"/>
  <sheetViews>
    <sheetView zoomScale="50" zoomScaleNormal="50" workbookViewId="0">
      <selection activeCell="I46" sqref="I46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221" t="s">
        <v>38</v>
      </c>
      <c r="D8" s="222"/>
      <c r="E8" s="223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224" t="s">
        <v>40</v>
      </c>
      <c r="F21" s="224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221" t="s">
        <v>38</v>
      </c>
      <c r="D30" s="222"/>
      <c r="E30" s="223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224" t="s">
        <v>40</v>
      </c>
      <c r="F43" s="224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3:G16"/>
  <sheetViews>
    <sheetView topLeftCell="A4" workbookViewId="0">
      <selection activeCell="G21" sqref="G21:G22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229" t="s">
        <v>44</v>
      </c>
      <c r="C3" s="229"/>
      <c r="D3" s="229"/>
      <c r="E3" s="229"/>
      <c r="F3" s="229"/>
      <c r="G3" s="229"/>
    </row>
    <row r="4" spans="2:7" ht="18.75" x14ac:dyDescent="0.3">
      <c r="B4" s="230" t="s">
        <v>45</v>
      </c>
      <c r="C4" s="230"/>
      <c r="D4" s="230"/>
      <c r="E4" s="230"/>
      <c r="F4" s="230"/>
      <c r="G4" s="230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225" t="s">
        <v>46</v>
      </c>
      <c r="D9" s="226"/>
      <c r="E9" s="226"/>
      <c r="F9" s="227"/>
      <c r="G9" s="72" t="s">
        <v>47</v>
      </c>
    </row>
    <row r="10" spans="2:7" ht="15.75" thickBot="1" x14ac:dyDescent="0.3">
      <c r="B10" s="73"/>
      <c r="C10" s="225"/>
      <c r="D10" s="226"/>
      <c r="E10" s="226"/>
      <c r="F10" s="227"/>
      <c r="G10" s="73"/>
    </row>
    <row r="11" spans="2:7" ht="30" customHeight="1" x14ac:dyDescent="0.25">
      <c r="B11" s="74">
        <v>1</v>
      </c>
      <c r="C11" s="231" t="s">
        <v>53</v>
      </c>
      <c r="D11" s="232"/>
      <c r="E11" s="232"/>
      <c r="F11" s="233"/>
      <c r="G11" s="74">
        <v>6</v>
      </c>
    </row>
    <row r="12" spans="2:7" ht="45.75" customHeight="1" thickBot="1" x14ac:dyDescent="0.3">
      <c r="B12" s="75"/>
      <c r="C12" s="234"/>
      <c r="D12" s="235"/>
      <c r="E12" s="235"/>
      <c r="F12" s="236"/>
      <c r="G12" s="75"/>
    </row>
    <row r="16" spans="2:7" x14ac:dyDescent="0.25">
      <c r="F16" s="228" t="s">
        <v>48</v>
      </c>
      <c r="G16" s="228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H98"/>
  <sheetViews>
    <sheetView showGridLines="0" view="pageLayout" zoomScaleNormal="100" zoomScaleSheetLayoutView="106" workbookViewId="0">
      <selection activeCell="A70" sqref="A70:H70"/>
    </sheetView>
  </sheetViews>
  <sheetFormatPr baseColWidth="10" defaultRowHeight="15" x14ac:dyDescent="0.25"/>
  <cols>
    <col min="2" max="2" width="29" customWidth="1"/>
    <col min="3" max="3" width="11.7109375" customWidth="1"/>
    <col min="4" max="4" width="16.28515625" bestFit="1" customWidth="1"/>
    <col min="5" max="5" width="21.28515625" bestFit="1" customWidth="1"/>
    <col min="6" max="6" width="23.28515625" style="82" bestFit="1" customWidth="1"/>
    <col min="7" max="7" width="14.7109375" customWidth="1"/>
    <col min="8" max="8" width="7.42578125" customWidth="1"/>
  </cols>
  <sheetData>
    <row r="1" spans="1:8" s="183" customFormat="1" x14ac:dyDescent="0.2">
      <c r="F1" s="184"/>
    </row>
    <row r="2" spans="1:8" s="183" customFormat="1" x14ac:dyDescent="0.2">
      <c r="F2" s="184"/>
    </row>
    <row r="3" spans="1:8" s="183" customFormat="1" x14ac:dyDescent="0.2">
      <c r="F3" s="184"/>
    </row>
    <row r="4" spans="1:8" s="183" customFormat="1" x14ac:dyDescent="0.2">
      <c r="F4" s="184"/>
    </row>
    <row r="5" spans="1:8" s="183" customFormat="1" x14ac:dyDescent="0.2">
      <c r="F5" s="184"/>
    </row>
    <row r="6" spans="1:8" s="183" customFormat="1" x14ac:dyDescent="0.2">
      <c r="F6" s="184"/>
    </row>
    <row r="7" spans="1:8" s="183" customFormat="1" x14ac:dyDescent="0.2">
      <c r="F7" s="184"/>
    </row>
    <row r="8" spans="1:8" s="183" customFormat="1" x14ac:dyDescent="0.2">
      <c r="F8" s="184"/>
    </row>
    <row r="9" spans="1:8" s="183" customFormat="1" x14ac:dyDescent="0.2">
      <c r="A9" s="247" t="s">
        <v>106</v>
      </c>
      <c r="B9" s="247"/>
      <c r="C9" s="247"/>
      <c r="D9" s="247"/>
      <c r="E9" s="247"/>
      <c r="F9" s="247"/>
      <c r="G9" s="247"/>
      <c r="H9" s="247"/>
    </row>
    <row r="10" spans="1:8" s="183" customFormat="1" x14ac:dyDescent="0.2">
      <c r="A10" s="185"/>
      <c r="B10" s="185"/>
      <c r="C10" s="185"/>
      <c r="D10" s="185"/>
      <c r="E10" s="185"/>
      <c r="F10" s="185"/>
      <c r="G10" s="185"/>
      <c r="H10" s="185"/>
    </row>
    <row r="11" spans="1:8" s="183" customFormat="1" x14ac:dyDescent="0.2">
      <c r="F11" s="184"/>
    </row>
    <row r="12" spans="1:8" s="183" customFormat="1" x14ac:dyDescent="0.2">
      <c r="A12" s="239" t="s">
        <v>107</v>
      </c>
      <c r="B12" s="239"/>
      <c r="C12" s="239"/>
      <c r="D12" s="239"/>
      <c r="E12" s="239"/>
      <c r="F12" s="239"/>
      <c r="G12" s="239"/>
      <c r="H12" s="239"/>
    </row>
    <row r="13" spans="1:8" s="183" customFormat="1" x14ac:dyDescent="0.2">
      <c r="A13" s="239" t="s">
        <v>108</v>
      </c>
      <c r="B13" s="239"/>
      <c r="C13" s="239"/>
      <c r="D13" s="239"/>
      <c r="E13" s="239"/>
      <c r="F13" s="239"/>
      <c r="G13" s="239"/>
      <c r="H13" s="239"/>
    </row>
    <row r="14" spans="1:8" s="183" customFormat="1" x14ac:dyDescent="0.2">
      <c r="A14" s="239" t="s">
        <v>109</v>
      </c>
      <c r="B14" s="239"/>
      <c r="C14" s="239"/>
      <c r="D14" s="239"/>
      <c r="E14" s="239"/>
      <c r="F14" s="239"/>
      <c r="G14" s="239"/>
      <c r="H14" s="239"/>
    </row>
    <row r="15" spans="1:8" s="183" customFormat="1" x14ac:dyDescent="0.2">
      <c r="F15" s="184"/>
    </row>
    <row r="16" spans="1:8" s="183" customFormat="1" ht="15.75" x14ac:dyDescent="0.25">
      <c r="B16" s="248" t="s">
        <v>110</v>
      </c>
      <c r="C16" s="248"/>
      <c r="D16" s="248"/>
      <c r="E16" s="248"/>
      <c r="F16" s="248"/>
      <c r="G16" s="248"/>
      <c r="H16" s="248"/>
    </row>
    <row r="17" spans="1:8" s="183" customFormat="1" x14ac:dyDescent="0.2">
      <c r="F17" s="184"/>
    </row>
    <row r="18" spans="1:8" s="183" customFormat="1" x14ac:dyDescent="0.2">
      <c r="A18" s="246"/>
      <c r="B18" s="246"/>
      <c r="C18" s="246"/>
      <c r="D18" s="246"/>
      <c r="E18" s="246"/>
      <c r="F18" s="246"/>
      <c r="G18" s="246"/>
      <c r="H18" s="246"/>
    </row>
    <row r="19" spans="1:8" s="183" customFormat="1" x14ac:dyDescent="0.2">
      <c r="F19" s="184"/>
    </row>
    <row r="20" spans="1:8" s="183" customFormat="1" ht="48" customHeight="1" x14ac:dyDescent="0.2">
      <c r="A20" s="241" t="s">
        <v>111</v>
      </c>
      <c r="B20" s="241"/>
      <c r="C20" s="241"/>
      <c r="D20" s="241"/>
      <c r="E20" s="241"/>
      <c r="F20" s="241"/>
      <c r="G20" s="241"/>
      <c r="H20" s="241"/>
    </row>
    <row r="21" spans="1:8" s="183" customFormat="1" x14ac:dyDescent="0.2">
      <c r="F21" s="184"/>
    </row>
    <row r="22" spans="1:8" s="183" customFormat="1" x14ac:dyDescent="0.2">
      <c r="F22" s="184"/>
    </row>
    <row r="23" spans="1:8" s="183" customFormat="1" ht="15.75" x14ac:dyDescent="0.2">
      <c r="A23" s="242" t="s">
        <v>112</v>
      </c>
      <c r="B23" s="243"/>
      <c r="C23" s="243"/>
      <c r="D23" s="243"/>
      <c r="E23" s="243"/>
      <c r="F23" s="243"/>
      <c r="G23" s="243"/>
    </row>
    <row r="24" spans="1:8" ht="15.75" thickBot="1" x14ac:dyDescent="0.3"/>
    <row r="25" spans="1:8" x14ac:dyDescent="0.25">
      <c r="B25" s="186" t="s">
        <v>22</v>
      </c>
      <c r="C25" s="187" t="s">
        <v>113</v>
      </c>
      <c r="D25" s="188" t="s">
        <v>11</v>
      </c>
      <c r="E25" s="189" t="s">
        <v>114</v>
      </c>
      <c r="F25" s="190" t="s">
        <v>115</v>
      </c>
    </row>
    <row r="26" spans="1:8" ht="30" x14ac:dyDescent="0.25">
      <c r="B26" s="191" t="str">
        <f>+'Estado de costos'!B26:E26</f>
        <v xml:space="preserve">Pago proveedor uniformes de futbol tigo </v>
      </c>
      <c r="C26" s="192">
        <f>+'Estado de costos'!F26</f>
        <v>1</v>
      </c>
      <c r="D26" s="193">
        <f>+'Estado de costos'!G26</f>
        <v>1</v>
      </c>
      <c r="E26" s="194">
        <f>IFERROR(+F26/D26,0)</f>
        <v>3125</v>
      </c>
      <c r="F26" s="194">
        <f>+'Estado de costos'!P26</f>
        <v>3125</v>
      </c>
    </row>
    <row r="27" spans="1:8" x14ac:dyDescent="0.25">
      <c r="B27" s="191">
        <f>+'Estado de costos'!B27:E27</f>
        <v>0</v>
      </c>
      <c r="C27" s="192">
        <f>+'Estado de costos'!F27</f>
        <v>0</v>
      </c>
      <c r="D27" s="193">
        <f>+'Estado de costos'!G27</f>
        <v>0</v>
      </c>
      <c r="E27" s="194">
        <f t="shared" ref="E27:E61" si="0">IFERROR(+F27/D27,0)</f>
        <v>0</v>
      </c>
      <c r="F27" s="194">
        <f>+'Estado de costos'!P27</f>
        <v>0</v>
      </c>
    </row>
    <row r="28" spans="1:8" x14ac:dyDescent="0.25">
      <c r="B28" s="191">
        <f>+'Estado de costos'!B28:E28</f>
        <v>0</v>
      </c>
      <c r="C28" s="192">
        <f>+'Estado de costos'!F28</f>
        <v>0</v>
      </c>
      <c r="D28" s="193">
        <f>+'Estado de costos'!G28</f>
        <v>0</v>
      </c>
      <c r="E28" s="194">
        <f t="shared" si="0"/>
        <v>0</v>
      </c>
      <c r="F28" s="194">
        <f>+'Estado de costos'!P28</f>
        <v>0</v>
      </c>
    </row>
    <row r="29" spans="1:8" x14ac:dyDescent="0.25">
      <c r="B29" s="191">
        <f>+'Estado de costos'!B29:E29</f>
        <v>0</v>
      </c>
      <c r="C29" s="192">
        <f>+'Estado de costos'!F29</f>
        <v>0</v>
      </c>
      <c r="D29" s="193">
        <f>+'Estado de costos'!G29</f>
        <v>0</v>
      </c>
      <c r="E29" s="194">
        <f t="shared" si="0"/>
        <v>0</v>
      </c>
      <c r="F29" s="194">
        <f>+'Estado de costos'!P29</f>
        <v>0</v>
      </c>
    </row>
    <row r="30" spans="1:8" x14ac:dyDescent="0.25">
      <c r="B30" s="191">
        <f>+'Estado de costos'!B30:E30</f>
        <v>0</v>
      </c>
      <c r="C30" s="192">
        <f>+'Estado de costos'!F30</f>
        <v>0</v>
      </c>
      <c r="D30" s="193">
        <f>+'Estado de costos'!G30</f>
        <v>0</v>
      </c>
      <c r="E30" s="194">
        <f t="shared" si="0"/>
        <v>0</v>
      </c>
      <c r="F30" s="194">
        <f>+'Estado de costos'!P30</f>
        <v>0</v>
      </c>
    </row>
    <row r="31" spans="1:8" x14ac:dyDescent="0.25">
      <c r="B31" s="191">
        <f>+'Estado de costos'!B31:E31</f>
        <v>0</v>
      </c>
      <c r="C31" s="192">
        <f>+'Estado de costos'!F31</f>
        <v>0</v>
      </c>
      <c r="D31" s="193">
        <f>+'Estado de costos'!G31</f>
        <v>0</v>
      </c>
      <c r="E31" s="194">
        <f t="shared" si="0"/>
        <v>0</v>
      </c>
      <c r="F31" s="194">
        <f>+'Estado de costos'!P31</f>
        <v>0</v>
      </c>
    </row>
    <row r="32" spans="1:8" x14ac:dyDescent="0.25">
      <c r="B32" s="191">
        <f>+'Estado de costos'!B32:E32</f>
        <v>0</v>
      </c>
      <c r="C32" s="192">
        <f>+'Estado de costos'!F32</f>
        <v>0</v>
      </c>
      <c r="D32" s="193">
        <f>+'Estado de costos'!G32</f>
        <v>0</v>
      </c>
      <c r="E32" s="194">
        <f t="shared" si="0"/>
        <v>0</v>
      </c>
      <c r="F32" s="194">
        <f>+'Estado de costos'!P32</f>
        <v>0</v>
      </c>
    </row>
    <row r="33" spans="2:6" x14ac:dyDescent="0.25">
      <c r="B33" s="191">
        <f>+'Estado de costos'!B33:E33</f>
        <v>0</v>
      </c>
      <c r="C33" s="192">
        <f>+'Estado de costos'!F33</f>
        <v>0</v>
      </c>
      <c r="D33" s="193">
        <f>+'Estado de costos'!G33</f>
        <v>0</v>
      </c>
      <c r="E33" s="194">
        <f t="shared" si="0"/>
        <v>0</v>
      </c>
      <c r="F33" s="194">
        <f>+'Estado de costos'!P33</f>
        <v>0</v>
      </c>
    </row>
    <row r="34" spans="2:6" x14ac:dyDescent="0.25">
      <c r="B34" s="191">
        <f>+'Estado de costos'!B34:E34</f>
        <v>0</v>
      </c>
      <c r="C34" s="192">
        <f>+'Estado de costos'!F34</f>
        <v>0</v>
      </c>
      <c r="D34" s="193">
        <f>+'Estado de costos'!G34</f>
        <v>0</v>
      </c>
      <c r="E34" s="194">
        <f t="shared" si="0"/>
        <v>0</v>
      </c>
      <c r="F34" s="194">
        <f>+'Estado de costos'!P34</f>
        <v>0</v>
      </c>
    </row>
    <row r="35" spans="2:6" x14ac:dyDescent="0.25">
      <c r="B35" s="191">
        <f>+'Estado de costos'!B35:E35</f>
        <v>0</v>
      </c>
      <c r="C35" s="192">
        <f>+'Estado de costos'!F35</f>
        <v>0</v>
      </c>
      <c r="D35" s="193">
        <f>+'Estado de costos'!G35</f>
        <v>0</v>
      </c>
      <c r="E35" s="194">
        <f t="shared" si="0"/>
        <v>0</v>
      </c>
      <c r="F35" s="194">
        <f>+'Estado de costos'!P35</f>
        <v>0</v>
      </c>
    </row>
    <row r="36" spans="2:6" x14ac:dyDescent="0.25">
      <c r="B36" s="191">
        <f>+'Estado de costos'!B36:E36</f>
        <v>0</v>
      </c>
      <c r="C36" s="192">
        <f>+'Estado de costos'!F36</f>
        <v>0</v>
      </c>
      <c r="D36" s="193">
        <f>+'Estado de costos'!G36</f>
        <v>0</v>
      </c>
      <c r="E36" s="194">
        <f t="shared" si="0"/>
        <v>0</v>
      </c>
      <c r="F36" s="194">
        <f>+'Estado de costos'!P36</f>
        <v>0</v>
      </c>
    </row>
    <row r="37" spans="2:6" hidden="1" x14ac:dyDescent="0.25">
      <c r="B37" s="191" t="str">
        <f>+'[2]Estado de costos'!B75:E75</f>
        <v xml:space="preserve">SERVICIO DE ANIMACION </v>
      </c>
      <c r="C37" s="195">
        <f>+'[2]Estado de costos'!F75</f>
        <v>9</v>
      </c>
      <c r="D37" s="196">
        <f>+'[2]Estado de costos'!G75</f>
        <v>1</v>
      </c>
      <c r="E37" s="194">
        <f t="shared" si="0"/>
        <v>0</v>
      </c>
      <c r="F37" s="197">
        <f>+'[2]Estado de costos'!P75</f>
        <v>0</v>
      </c>
    </row>
    <row r="38" spans="2:6" hidden="1" x14ac:dyDescent="0.25">
      <c r="B38" s="191" t="str">
        <f>+'[2]Estado de costos'!B76:E76</f>
        <v>SERVICIO DE MODELOS</v>
      </c>
      <c r="C38" s="195">
        <f>+'[2]Estado de costos'!F76</f>
        <v>9</v>
      </c>
      <c r="D38" s="196">
        <f>+'[2]Estado de costos'!G76</f>
        <v>2</v>
      </c>
      <c r="E38" s="194">
        <f t="shared" si="0"/>
        <v>0</v>
      </c>
      <c r="F38" s="197">
        <f>+'[2]Estado de costos'!P76</f>
        <v>0</v>
      </c>
    </row>
    <row r="39" spans="2:6" hidden="1" x14ac:dyDescent="0.25">
      <c r="B39" s="191" t="str">
        <f>+'[2]Estado de costos'!B77:E77</f>
        <v>SERVICIO DE LOGISTICA</v>
      </c>
      <c r="C39" s="195">
        <f>+'[2]Estado de costos'!F77</f>
        <v>9</v>
      </c>
      <c r="D39" s="196">
        <f>+'[2]Estado de costos'!G77</f>
        <v>3</v>
      </c>
      <c r="E39" s="194">
        <f t="shared" si="0"/>
        <v>0</v>
      </c>
      <c r="F39" s="197">
        <f>+'[2]Estado de costos'!P77</f>
        <v>0</v>
      </c>
    </row>
    <row r="40" spans="2:6" hidden="1" x14ac:dyDescent="0.25">
      <c r="B40" s="191" t="str">
        <f>+'[2]Estado de costos'!B78:E78</f>
        <v xml:space="preserve">SERVICIO DE CATERING </v>
      </c>
      <c r="C40" s="195">
        <f>+'[2]Estado de costos'!F78</f>
        <v>8</v>
      </c>
      <c r="D40" s="196">
        <f>+'[2]Estado de costos'!G78</f>
        <v>4</v>
      </c>
      <c r="E40" s="194">
        <f t="shared" si="0"/>
        <v>0</v>
      </c>
      <c r="F40" s="197">
        <f>+'[2]Estado de costos'!P78</f>
        <v>0</v>
      </c>
    </row>
    <row r="41" spans="2:6" hidden="1" x14ac:dyDescent="0.25">
      <c r="B41" s="191" t="str">
        <f>+'[2]Estado de costos'!B79:E79</f>
        <v>SERVICIO DE DECORADO</v>
      </c>
      <c r="C41" s="195">
        <f>+'[2]Estado de costos'!F79</f>
        <v>1</v>
      </c>
      <c r="D41" s="196">
        <f>+'[2]Estado de costos'!G79</f>
        <v>1</v>
      </c>
      <c r="E41" s="194">
        <f t="shared" si="0"/>
        <v>0</v>
      </c>
      <c r="F41" s="197">
        <f>+'[2]Estado de costos'!P79</f>
        <v>0</v>
      </c>
    </row>
    <row r="42" spans="2:6" hidden="1" x14ac:dyDescent="0.25">
      <c r="B42" s="191" t="str">
        <f>+'[2]Estado de costos'!B80:E80</f>
        <v>ALQUILER DEL LOCAL</v>
      </c>
      <c r="C42" s="195">
        <f>+'[2]Estado de costos'!F80</f>
        <v>9</v>
      </c>
      <c r="D42" s="196">
        <f>+'[2]Estado de costos'!G80</f>
        <v>1</v>
      </c>
      <c r="E42" s="194">
        <f t="shared" si="0"/>
        <v>0</v>
      </c>
      <c r="F42" s="197">
        <f>+'[2]Estado de costos'!P80</f>
        <v>0</v>
      </c>
    </row>
    <row r="43" spans="2:6" hidden="1" x14ac:dyDescent="0.25">
      <c r="B43" s="191" t="str">
        <f>+'[2]Estado de costos'!B81:E81</f>
        <v>SERVICIO DE DESARROLLO</v>
      </c>
      <c r="C43" s="195">
        <f>+'[2]Estado de costos'!F81</f>
        <v>9</v>
      </c>
      <c r="D43" s="196">
        <f>+'[2]Estado de costos'!G81</f>
        <v>1</v>
      </c>
      <c r="E43" s="194">
        <f t="shared" si="0"/>
        <v>0</v>
      </c>
      <c r="F43" s="197">
        <f>+'[2]Estado de costos'!P81</f>
        <v>0</v>
      </c>
    </row>
    <row r="44" spans="2:6" hidden="1" x14ac:dyDescent="0.25">
      <c r="B44" s="191">
        <f>+'[2]Estado de costos'!B82:E82</f>
        <v>0</v>
      </c>
      <c r="C44" s="195">
        <f>+'[2]Estado de costos'!F82</f>
        <v>0</v>
      </c>
      <c r="D44" s="196">
        <f>+'[2]Estado de costos'!G82</f>
        <v>0</v>
      </c>
      <c r="E44" s="194">
        <f t="shared" si="0"/>
        <v>0</v>
      </c>
      <c r="F44" s="197">
        <f>+'[2]Estado de costos'!P82</f>
        <v>0</v>
      </c>
    </row>
    <row r="45" spans="2:6" hidden="1" x14ac:dyDescent="0.25">
      <c r="B45" s="191">
        <f>+'[2]Estado de costos'!B83:E83</f>
        <v>0</v>
      </c>
      <c r="C45" s="195">
        <f>+'[2]Estado de costos'!F83</f>
        <v>0</v>
      </c>
      <c r="D45" s="196">
        <f>+'[2]Estado de costos'!G83</f>
        <v>0</v>
      </c>
      <c r="E45" s="194">
        <f t="shared" si="0"/>
        <v>0</v>
      </c>
      <c r="F45" s="197">
        <f>+'[2]Estado de costos'!P83</f>
        <v>0</v>
      </c>
    </row>
    <row r="46" spans="2:6" hidden="1" x14ac:dyDescent="0.25">
      <c r="B46" s="191">
        <f>+'[2]Estado de costos'!B84:E84</f>
        <v>0</v>
      </c>
      <c r="C46" s="195">
        <f>+'[2]Estado de costos'!F84</f>
        <v>0</v>
      </c>
      <c r="D46" s="196">
        <f>+'[2]Estado de costos'!G84</f>
        <v>0</v>
      </c>
      <c r="E46" s="194">
        <f t="shared" si="0"/>
        <v>0</v>
      </c>
      <c r="F46" s="197">
        <f>+'[2]Estado de costos'!P84</f>
        <v>0</v>
      </c>
    </row>
    <row r="47" spans="2:6" hidden="1" x14ac:dyDescent="0.25">
      <c r="B47" s="191">
        <f>+'[2]Estado de costos'!B85:E85</f>
        <v>0</v>
      </c>
      <c r="C47" s="195">
        <f>+'[2]Estado de costos'!F85</f>
        <v>0</v>
      </c>
      <c r="D47" s="196"/>
      <c r="E47" s="194">
        <f t="shared" si="0"/>
        <v>0</v>
      </c>
      <c r="F47" s="197">
        <f>+'[2]Estado de costos'!P85</f>
        <v>0</v>
      </c>
    </row>
    <row r="48" spans="2:6" hidden="1" x14ac:dyDescent="0.25">
      <c r="B48" s="191">
        <f>+'[2]Estado de costos'!B86:E86</f>
        <v>0</v>
      </c>
      <c r="C48" s="195">
        <f>+'[2]Estado de costos'!F86</f>
        <v>0</v>
      </c>
      <c r="D48" s="196"/>
      <c r="E48" s="194">
        <f t="shared" si="0"/>
        <v>0</v>
      </c>
      <c r="F48" s="197">
        <f>+'[2]Estado de costos'!P86</f>
        <v>0</v>
      </c>
    </row>
    <row r="49" spans="2:7" hidden="1" x14ac:dyDescent="0.25">
      <c r="B49" s="191">
        <f>+'[2]Estado de costos'!B87:E87</f>
        <v>0</v>
      </c>
      <c r="C49" s="195">
        <f>+'[2]Estado de costos'!F87</f>
        <v>0</v>
      </c>
      <c r="D49" s="196"/>
      <c r="E49" s="194">
        <f t="shared" si="0"/>
        <v>0</v>
      </c>
      <c r="F49" s="197">
        <f>+'[2]Estado de costos'!P87</f>
        <v>0</v>
      </c>
    </row>
    <row r="50" spans="2:7" hidden="1" x14ac:dyDescent="0.25">
      <c r="B50" s="191">
        <f>+'[2]Estado de costos'!B88:E88</f>
        <v>0</v>
      </c>
      <c r="C50" s="195">
        <f>+'[2]Estado de costos'!F88</f>
        <v>0</v>
      </c>
      <c r="D50" s="196"/>
      <c r="E50" s="194">
        <f t="shared" si="0"/>
        <v>0</v>
      </c>
      <c r="F50" s="197">
        <f>+'[2]Estado de costos'!P88</f>
        <v>0</v>
      </c>
    </row>
    <row r="51" spans="2:7" hidden="1" x14ac:dyDescent="0.25">
      <c r="B51" s="191">
        <f>+'[2]Estado de costos'!B89:E89</f>
        <v>0</v>
      </c>
      <c r="C51" s="195">
        <f>+'[2]Estado de costos'!F89</f>
        <v>0</v>
      </c>
      <c r="D51" s="196">
        <f>+'[3]HOJA D TRABAJO'!G79</f>
        <v>0</v>
      </c>
      <c r="E51" s="194">
        <f t="shared" si="0"/>
        <v>0</v>
      </c>
      <c r="F51" s="197">
        <f>+'[2]Estado de costos'!P89</f>
        <v>0</v>
      </c>
    </row>
    <row r="52" spans="2:7" hidden="1" x14ac:dyDescent="0.25">
      <c r="B52" s="191">
        <f>+'[2]Estado de costos'!B90:E90</f>
        <v>0</v>
      </c>
      <c r="C52" s="195">
        <f>+'[2]Estado de costos'!F90</f>
        <v>0</v>
      </c>
      <c r="D52" s="196"/>
      <c r="E52" s="194">
        <f t="shared" si="0"/>
        <v>0</v>
      </c>
      <c r="F52" s="197">
        <f>+'[2]Estado de costos'!P90</f>
        <v>0</v>
      </c>
    </row>
    <row r="53" spans="2:7" hidden="1" x14ac:dyDescent="0.25">
      <c r="B53" s="191">
        <f>+'[2]Estado de costos'!B91:E91</f>
        <v>0</v>
      </c>
      <c r="C53" s="195">
        <f>+'[2]Estado de costos'!F91</f>
        <v>0</v>
      </c>
      <c r="D53" s="196"/>
      <c r="E53" s="194">
        <f t="shared" si="0"/>
        <v>0</v>
      </c>
      <c r="F53" s="197">
        <f>+'[2]Estado de costos'!P91</f>
        <v>0</v>
      </c>
    </row>
    <row r="54" spans="2:7" hidden="1" x14ac:dyDescent="0.25">
      <c r="B54" s="191">
        <f>+'[2]Estado de costos'!B92:E92</f>
        <v>0</v>
      </c>
      <c r="C54" s="195">
        <f>+'[2]Estado de costos'!F92</f>
        <v>0</v>
      </c>
      <c r="D54" s="196"/>
      <c r="E54" s="194">
        <f t="shared" si="0"/>
        <v>0</v>
      </c>
      <c r="F54" s="197">
        <f>+'[2]Estado de costos'!P92</f>
        <v>0</v>
      </c>
    </row>
    <row r="55" spans="2:7" hidden="1" x14ac:dyDescent="0.25">
      <c r="B55" s="191">
        <f>+'[2]Estado de costos'!B93:E93</f>
        <v>0</v>
      </c>
      <c r="C55" s="195">
        <f>+'[2]Estado de costos'!F93</f>
        <v>0</v>
      </c>
      <c r="D55" s="196"/>
      <c r="E55" s="194">
        <f t="shared" si="0"/>
        <v>0</v>
      </c>
      <c r="F55" s="197">
        <f>+'[2]Estado de costos'!P93</f>
        <v>0</v>
      </c>
    </row>
    <row r="56" spans="2:7" hidden="1" x14ac:dyDescent="0.25">
      <c r="B56" s="191">
        <f>+'[2]Estado de costos'!B94:E94</f>
        <v>0</v>
      </c>
      <c r="C56" s="195">
        <f>+'[2]Estado de costos'!F94</f>
        <v>0</v>
      </c>
      <c r="D56" s="196"/>
      <c r="E56" s="194">
        <f t="shared" si="0"/>
        <v>0</v>
      </c>
      <c r="F56" s="197">
        <f>+'[2]Estado de costos'!P94</f>
        <v>0</v>
      </c>
    </row>
    <row r="57" spans="2:7" hidden="1" x14ac:dyDescent="0.25">
      <c r="B57" s="191">
        <f>+'[2]Estado de costos'!B95:E95</f>
        <v>0</v>
      </c>
      <c r="C57" s="195">
        <f>+'[2]Estado de costos'!F95</f>
        <v>0</v>
      </c>
      <c r="D57" s="196"/>
      <c r="E57" s="194">
        <f t="shared" si="0"/>
        <v>0</v>
      </c>
      <c r="F57" s="197">
        <f>+'[2]Estado de costos'!P95</f>
        <v>0</v>
      </c>
    </row>
    <row r="58" spans="2:7" hidden="1" x14ac:dyDescent="0.25">
      <c r="B58" s="191">
        <f>+'[2]Estado de costos'!B96:E96</f>
        <v>0</v>
      </c>
      <c r="C58" s="195">
        <f>+'[2]Estado de costos'!F96</f>
        <v>0</v>
      </c>
      <c r="D58" s="196"/>
      <c r="E58" s="194">
        <f t="shared" si="0"/>
        <v>0</v>
      </c>
      <c r="F58" s="197">
        <f>+'[2]Estado de costos'!P96</f>
        <v>0</v>
      </c>
    </row>
    <row r="59" spans="2:7" hidden="1" x14ac:dyDescent="0.25">
      <c r="B59" s="191">
        <f>+'[2]Estado de costos'!B97:E97</f>
        <v>0</v>
      </c>
      <c r="C59" s="195">
        <f>+'[2]Estado de costos'!F97</f>
        <v>0</v>
      </c>
      <c r="D59" s="196"/>
      <c r="E59" s="194">
        <f t="shared" si="0"/>
        <v>0</v>
      </c>
      <c r="F59" s="197">
        <f>+'[2]Estado de costos'!P97</f>
        <v>0</v>
      </c>
    </row>
    <row r="60" spans="2:7" hidden="1" x14ac:dyDescent="0.25">
      <c r="B60" s="191">
        <f>+'[2]Estado de costos'!B98:E98</f>
        <v>0</v>
      </c>
      <c r="C60" s="195">
        <f>+'[2]Estado de costos'!F98</f>
        <v>0</v>
      </c>
      <c r="D60" s="196"/>
      <c r="E60" s="194">
        <f t="shared" si="0"/>
        <v>0</v>
      </c>
      <c r="F60" s="197">
        <f>+'[2]Estado de costos'!P98</f>
        <v>0</v>
      </c>
    </row>
    <row r="61" spans="2:7" hidden="1" x14ac:dyDescent="0.25">
      <c r="B61" s="191">
        <f>+'[2]Estado de costos'!B99:E99</f>
        <v>0</v>
      </c>
      <c r="C61" s="195">
        <f>+'[2]Estado de costos'!F99</f>
        <v>0</v>
      </c>
      <c r="D61" s="196"/>
      <c r="E61" s="194">
        <f t="shared" si="0"/>
        <v>0</v>
      </c>
      <c r="F61" s="197">
        <f>+'[2]Estado de costos'!P99</f>
        <v>0</v>
      </c>
    </row>
    <row r="62" spans="2:7" ht="15.75" thickBot="1" x14ac:dyDescent="0.3">
      <c r="E62" s="198" t="s">
        <v>116</v>
      </c>
      <c r="F62" s="199">
        <f>SUM(F26:F61)</f>
        <v>3125</v>
      </c>
      <c r="G62" s="82"/>
    </row>
    <row r="63" spans="2:7" ht="15.75" thickBot="1" x14ac:dyDescent="0.3">
      <c r="D63" s="200"/>
      <c r="E63" s="201" t="str">
        <f>"F E E  "</f>
        <v xml:space="preserve">F E E  </v>
      </c>
      <c r="F63" s="202">
        <f>+F62*'[2]Estado de costos'!F126</f>
        <v>312.5</v>
      </c>
    </row>
    <row r="64" spans="2:7" ht="15.75" thickBot="1" x14ac:dyDescent="0.3">
      <c r="E64" s="203" t="s">
        <v>117</v>
      </c>
      <c r="F64" s="202">
        <f>+F63+F62</f>
        <v>3437.5</v>
      </c>
      <c r="G64" s="204"/>
    </row>
    <row r="65" spans="1:8" x14ac:dyDescent="0.25">
      <c r="E65" s="205"/>
      <c r="F65" s="206"/>
      <c r="G65" s="204"/>
    </row>
    <row r="66" spans="1:8" x14ac:dyDescent="0.25">
      <c r="E66" s="205"/>
      <c r="F66" s="206"/>
      <c r="G66" s="204"/>
    </row>
    <row r="67" spans="1:8" x14ac:dyDescent="0.25">
      <c r="E67" s="205"/>
      <c r="F67" s="206"/>
      <c r="G67" s="204"/>
    </row>
    <row r="68" spans="1:8" x14ac:dyDescent="0.25">
      <c r="E68" s="205"/>
      <c r="F68" s="206"/>
      <c r="G68" s="204"/>
    </row>
    <row r="69" spans="1:8" x14ac:dyDescent="0.25">
      <c r="E69" s="205"/>
      <c r="F69" s="206"/>
      <c r="G69" s="204"/>
    </row>
    <row r="70" spans="1:8" ht="18.75" x14ac:dyDescent="0.3">
      <c r="A70" s="244" t="s">
        <v>118</v>
      </c>
      <c r="B70" s="244"/>
      <c r="C70" s="244"/>
      <c r="D70" s="244"/>
      <c r="E70" s="244"/>
      <c r="F70" s="244"/>
      <c r="G70" s="244"/>
      <c r="H70" s="244"/>
    </row>
    <row r="71" spans="1:8" x14ac:dyDescent="0.25">
      <c r="A71" s="207"/>
      <c r="B71" s="207"/>
      <c r="C71" s="207"/>
      <c r="D71" s="207"/>
      <c r="E71" s="207"/>
      <c r="F71" s="207"/>
      <c r="G71" s="207"/>
      <c r="H71" s="207"/>
    </row>
    <row r="72" spans="1:8" s="183" customFormat="1" x14ac:dyDescent="0.2">
      <c r="A72" s="237" t="s">
        <v>119</v>
      </c>
      <c r="B72" s="237"/>
      <c r="C72" s="237"/>
      <c r="D72" s="237"/>
      <c r="E72" s="237"/>
      <c r="F72" s="237"/>
      <c r="G72" s="237"/>
      <c r="H72" s="237"/>
    </row>
    <row r="73" spans="1:8" s="183" customFormat="1" ht="15.75" x14ac:dyDescent="0.25">
      <c r="A73" s="245"/>
      <c r="B73" s="245"/>
      <c r="C73" s="245"/>
      <c r="D73" s="245"/>
      <c r="E73" s="245"/>
      <c r="F73" s="245"/>
      <c r="G73" s="245"/>
      <c r="H73" s="245"/>
    </row>
    <row r="74" spans="1:8" s="183" customFormat="1" x14ac:dyDescent="0.2">
      <c r="A74" s="237"/>
      <c r="B74" s="237"/>
      <c r="C74" s="237"/>
      <c r="D74" s="237"/>
      <c r="E74" s="237"/>
      <c r="F74" s="237"/>
      <c r="G74" s="237"/>
      <c r="H74" s="237"/>
    </row>
    <row r="75" spans="1:8" s="183" customFormat="1" x14ac:dyDescent="0.2">
      <c r="B75" s="237"/>
      <c r="C75" s="237"/>
      <c r="D75" s="237"/>
      <c r="E75" s="237"/>
      <c r="F75" s="237"/>
      <c r="G75" s="237"/>
      <c r="H75" s="237"/>
    </row>
    <row r="76" spans="1:8" s="183" customFormat="1" ht="14.25" customHeight="1" x14ac:dyDescent="0.2">
      <c r="B76" s="238"/>
      <c r="C76" s="238"/>
      <c r="D76" s="238"/>
      <c r="E76" s="238"/>
      <c r="F76" s="238"/>
      <c r="G76" s="238"/>
      <c r="H76" s="238"/>
    </row>
    <row r="77" spans="1:8" s="183" customFormat="1" x14ac:dyDescent="0.2">
      <c r="B77" s="239"/>
      <c r="C77" s="239"/>
      <c r="D77" s="239"/>
      <c r="E77" s="239"/>
      <c r="F77" s="239"/>
      <c r="G77" s="239"/>
      <c r="H77" s="239"/>
    </row>
    <row r="78" spans="1:8" s="183" customFormat="1" x14ac:dyDescent="0.2"/>
    <row r="79" spans="1:8" s="183" customFormat="1" x14ac:dyDescent="0.2"/>
    <row r="80" spans="1:8" s="183" customFormat="1" x14ac:dyDescent="0.2"/>
    <row r="81" spans="1:8" s="183" customFormat="1" x14ac:dyDescent="0.2"/>
    <row r="82" spans="1:8" s="183" customFormat="1" x14ac:dyDescent="0.2"/>
    <row r="83" spans="1:8" s="183" customFormat="1" x14ac:dyDescent="0.2">
      <c r="F83" s="184"/>
    </row>
    <row r="84" spans="1:8" s="183" customFormat="1" x14ac:dyDescent="0.2">
      <c r="F84" s="184"/>
    </row>
    <row r="85" spans="1:8" s="183" customFormat="1" x14ac:dyDescent="0.2">
      <c r="F85" s="184"/>
    </row>
    <row r="86" spans="1:8" s="183" customFormat="1" x14ac:dyDescent="0.2">
      <c r="F86" s="184"/>
    </row>
    <row r="87" spans="1:8" s="183" customFormat="1" x14ac:dyDescent="0.2">
      <c r="F87" s="184"/>
    </row>
    <row r="88" spans="1:8" s="183" customFormat="1" x14ac:dyDescent="0.2">
      <c r="F88" s="184"/>
    </row>
    <row r="89" spans="1:8" s="183" customFormat="1" x14ac:dyDescent="0.2">
      <c r="F89" s="184"/>
    </row>
    <row r="90" spans="1:8" s="183" customFormat="1" x14ac:dyDescent="0.2">
      <c r="F90" s="184"/>
    </row>
    <row r="91" spans="1:8" s="183" customFormat="1" ht="15" customHeight="1" x14ac:dyDescent="0.2">
      <c r="A91" s="240" t="s">
        <v>120</v>
      </c>
      <c r="B91" s="240"/>
      <c r="C91" s="240"/>
      <c r="D91" s="240"/>
      <c r="E91" s="240"/>
      <c r="F91" s="240"/>
      <c r="G91" s="240"/>
      <c r="H91" s="240"/>
    </row>
    <row r="92" spans="1:8" s="183" customFormat="1" x14ac:dyDescent="0.2">
      <c r="A92" s="240"/>
      <c r="B92" s="240"/>
      <c r="C92" s="240"/>
      <c r="D92" s="240"/>
      <c r="E92" s="240"/>
      <c r="F92" s="240"/>
      <c r="G92" s="240"/>
      <c r="H92" s="240"/>
    </row>
    <row r="93" spans="1:8" s="183" customFormat="1" x14ac:dyDescent="0.2">
      <c r="A93" s="240"/>
      <c r="B93" s="240"/>
      <c r="C93" s="240"/>
      <c r="D93" s="240"/>
      <c r="E93" s="240"/>
      <c r="F93" s="240"/>
      <c r="G93" s="240"/>
      <c r="H93" s="240"/>
    </row>
    <row r="94" spans="1:8" s="183" customFormat="1" x14ac:dyDescent="0.2">
      <c r="A94" s="240"/>
      <c r="B94" s="240"/>
      <c r="C94" s="240"/>
      <c r="D94" s="240"/>
      <c r="E94" s="240"/>
      <c r="F94" s="240"/>
      <c r="G94" s="240"/>
      <c r="H94" s="240"/>
    </row>
    <row r="95" spans="1:8" s="183" customFormat="1" x14ac:dyDescent="0.2">
      <c r="A95" s="240"/>
      <c r="B95" s="240"/>
      <c r="C95" s="240"/>
      <c r="D95" s="240"/>
      <c r="E95" s="240"/>
      <c r="F95" s="240"/>
      <c r="G95" s="240"/>
      <c r="H95" s="240"/>
    </row>
    <row r="98" ht="15" customHeight="1" x14ac:dyDescent="0.25"/>
  </sheetData>
  <mergeCells count="16">
    <mergeCell ref="A18:H18"/>
    <mergeCell ref="A9:H9"/>
    <mergeCell ref="A12:H12"/>
    <mergeCell ref="A13:H13"/>
    <mergeCell ref="A14:H14"/>
    <mergeCell ref="B16:H16"/>
    <mergeCell ref="B75:H75"/>
    <mergeCell ref="B76:H76"/>
    <mergeCell ref="B77:H77"/>
    <mergeCell ref="A91:H95"/>
    <mergeCell ref="A20:H20"/>
    <mergeCell ref="A23:G23"/>
    <mergeCell ref="A70:H70"/>
    <mergeCell ref="A72:H72"/>
    <mergeCell ref="A73:H73"/>
    <mergeCell ref="A74:H74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Footer xml:space="preserve">&amp;L&amp;G&amp;R
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  <pageSetUpPr fitToPage="1"/>
  </sheetPr>
  <dimension ref="A8:AJ54"/>
  <sheetViews>
    <sheetView tabSelected="1" topLeftCell="A31" zoomScale="70" zoomScaleNormal="70" zoomScalePageLayoutView="55" workbookViewId="0">
      <selection activeCell="M27" sqref="M27"/>
    </sheetView>
  </sheetViews>
  <sheetFormatPr baseColWidth="10" defaultRowHeight="15" x14ac:dyDescent="0.25"/>
  <cols>
    <col min="2" max="2" width="16.85546875" customWidth="1"/>
    <col min="4" max="4" width="16.28515625" customWidth="1"/>
    <col min="5" max="5" width="16.42578125" customWidth="1"/>
    <col min="6" max="6" width="14.140625" customWidth="1"/>
    <col min="7" max="8" width="18.7109375" bestFit="1" customWidth="1"/>
    <col min="9" max="9" width="13.140625" customWidth="1"/>
    <col min="10" max="11" width="17.42578125" customWidth="1"/>
    <col min="12" max="12" width="19.42578125" hidden="1" customWidth="1"/>
    <col min="13" max="16" width="19.42578125" customWidth="1"/>
    <col min="17" max="17" width="17.5703125" customWidth="1"/>
    <col min="18" max="18" width="14.7109375" customWidth="1"/>
    <col min="19" max="19" width="16.5703125" customWidth="1"/>
    <col min="20" max="20" width="17.42578125" customWidth="1"/>
    <col min="21" max="21" width="20.140625" customWidth="1"/>
    <col min="22" max="22" width="17.28515625" customWidth="1"/>
    <col min="23" max="27" width="19.140625" hidden="1" customWidth="1"/>
    <col min="28" max="28" width="29.42578125" style="125" hidden="1" customWidth="1"/>
    <col min="29" max="29" width="29" hidden="1" customWidth="1"/>
    <col min="30" max="30" width="23" style="122" hidden="1" customWidth="1"/>
    <col min="31" max="31" width="11.42578125" hidden="1" customWidth="1"/>
    <col min="32" max="32" width="0" hidden="1" customWidth="1"/>
    <col min="36" max="36" width="16.28515625" hidden="1" customWidth="1"/>
    <col min="37" max="37" width="16.28515625" customWidth="1"/>
  </cols>
  <sheetData>
    <row r="8" spans="2:36" ht="28.5" x14ac:dyDescent="0.25">
      <c r="B8" s="265" t="s">
        <v>90</v>
      </c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83"/>
      <c r="R8" s="83"/>
      <c r="S8" s="83"/>
      <c r="T8" s="162"/>
      <c r="U8" s="249"/>
      <c r="V8" s="249"/>
    </row>
    <row r="9" spans="2:36" ht="28.5" x14ac:dyDescent="0.25">
      <c r="B9" s="265" t="s">
        <v>100</v>
      </c>
      <c r="C9" s="265"/>
      <c r="D9" s="265"/>
      <c r="E9" s="265"/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83"/>
      <c r="R9" s="83"/>
      <c r="S9" s="83"/>
      <c r="T9" s="83"/>
      <c r="U9" s="83"/>
      <c r="V9" s="83"/>
    </row>
    <row r="10" spans="2:36" ht="28.5" x14ac:dyDescent="0.25">
      <c r="B10" s="76"/>
      <c r="C10" s="76"/>
      <c r="D10" s="76"/>
      <c r="E10" s="76"/>
      <c r="F10" s="76"/>
      <c r="G10" s="76"/>
      <c r="H10" s="76"/>
      <c r="I10" s="114"/>
      <c r="J10" s="114"/>
      <c r="K10" s="76"/>
      <c r="L10" s="114"/>
      <c r="M10" s="114"/>
      <c r="N10" s="114"/>
      <c r="O10" s="149"/>
      <c r="P10" s="114"/>
      <c r="Q10" s="76"/>
      <c r="R10" s="76"/>
      <c r="S10" s="76"/>
      <c r="T10" s="76"/>
      <c r="U10" s="76"/>
      <c r="V10" s="76"/>
    </row>
    <row r="11" spans="2:36" ht="30" customHeight="1" x14ac:dyDescent="0.3">
      <c r="B11" s="262" t="s">
        <v>1</v>
      </c>
      <c r="C11" s="262"/>
      <c r="D11" s="262"/>
      <c r="E11" s="275" t="s">
        <v>105</v>
      </c>
      <c r="F11" s="275"/>
      <c r="G11" s="275"/>
      <c r="H11" s="275"/>
      <c r="I11" s="124"/>
      <c r="J11" s="124"/>
      <c r="K11" s="259" t="s">
        <v>85</v>
      </c>
      <c r="L11" s="260"/>
      <c r="M11" s="260"/>
      <c r="N11" s="252"/>
      <c r="O11" s="252"/>
      <c r="P11" s="252"/>
      <c r="AJ11" t="s">
        <v>87</v>
      </c>
    </row>
    <row r="12" spans="2:36" ht="18.75" x14ac:dyDescent="0.25">
      <c r="B12" s="99"/>
      <c r="C12" s="99"/>
      <c r="D12" s="99"/>
      <c r="E12" s="99"/>
      <c r="F12" s="99"/>
      <c r="G12" s="99"/>
      <c r="H12" s="99"/>
      <c r="I12" s="162"/>
      <c r="J12" s="162"/>
      <c r="K12" s="162"/>
      <c r="L12" s="99"/>
      <c r="M12" s="99"/>
      <c r="N12" s="99"/>
      <c r="O12" s="99"/>
      <c r="P12" s="99"/>
      <c r="Q12" s="99"/>
      <c r="R12" s="99"/>
      <c r="S12" s="99"/>
      <c r="T12" s="100"/>
      <c r="U12" s="100"/>
      <c r="V12" s="100"/>
      <c r="AJ12" t="s">
        <v>67</v>
      </c>
    </row>
    <row r="13" spans="2:36" ht="57" customHeight="1" x14ac:dyDescent="0.3">
      <c r="B13" s="262" t="s">
        <v>3</v>
      </c>
      <c r="C13" s="262"/>
      <c r="D13" s="262"/>
      <c r="E13" s="266" t="s">
        <v>121</v>
      </c>
      <c r="F13" s="266"/>
      <c r="G13" s="266"/>
      <c r="H13" s="266"/>
      <c r="I13" s="123"/>
      <c r="J13" s="123"/>
      <c r="K13" s="250" t="s">
        <v>62</v>
      </c>
      <c r="L13" s="251"/>
      <c r="M13" s="251"/>
      <c r="N13" s="252"/>
      <c r="O13" s="252"/>
      <c r="P13" s="252"/>
    </row>
    <row r="14" spans="2:36" ht="18.75" x14ac:dyDescent="0.25"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100"/>
      <c r="U14" s="100"/>
      <c r="V14" s="100"/>
    </row>
    <row r="15" spans="2:36" ht="37.5" customHeight="1" x14ac:dyDescent="0.3">
      <c r="B15" s="261" t="s">
        <v>92</v>
      </c>
      <c r="C15" s="261"/>
      <c r="D15" s="261"/>
      <c r="E15" s="263">
        <v>43482</v>
      </c>
      <c r="F15" s="263"/>
      <c r="G15" s="263"/>
      <c r="H15" s="101"/>
      <c r="I15" s="101"/>
      <c r="J15" s="101"/>
      <c r="K15" s="101"/>
      <c r="L15" s="101"/>
      <c r="M15" s="101"/>
      <c r="N15" s="101"/>
      <c r="O15" s="101"/>
      <c r="P15" s="101"/>
      <c r="Q15" s="255"/>
      <c r="R15" s="256"/>
      <c r="S15" s="256"/>
      <c r="T15" s="257"/>
      <c r="U15" s="258"/>
      <c r="V15" s="258"/>
    </row>
    <row r="16" spans="2:36" ht="11.25" customHeight="1" x14ac:dyDescent="0.3">
      <c r="B16" s="85"/>
      <c r="C16" s="102"/>
      <c r="D16" s="103"/>
      <c r="E16" s="103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4"/>
      <c r="R16" s="105"/>
      <c r="S16" s="105"/>
      <c r="T16" s="102"/>
      <c r="U16" s="103"/>
      <c r="V16" s="103"/>
    </row>
    <row r="17" spans="2:32" s="78" customFormat="1" ht="19.5" customHeight="1" x14ac:dyDescent="0.3">
      <c r="B17" s="106"/>
      <c r="C17" s="102"/>
      <c r="D17" s="98"/>
      <c r="E17" s="103"/>
      <c r="F17" s="147" t="s">
        <v>95</v>
      </c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8"/>
      <c r="R17" s="109"/>
      <c r="S17" s="109"/>
      <c r="T17" s="102"/>
      <c r="U17" s="103"/>
      <c r="V17" s="103"/>
      <c r="AB17" s="125"/>
      <c r="AD17" s="122"/>
    </row>
    <row r="18" spans="2:32" s="78" customFormat="1" ht="48" customHeight="1" x14ac:dyDescent="0.3">
      <c r="B18" s="255" t="s">
        <v>78</v>
      </c>
      <c r="C18" s="255"/>
      <c r="D18" s="255"/>
      <c r="E18" s="164" t="s">
        <v>79</v>
      </c>
      <c r="F18" s="165">
        <v>30</v>
      </c>
      <c r="G18" s="107"/>
      <c r="H18" s="107"/>
      <c r="I18" s="107"/>
      <c r="L18" s="148"/>
      <c r="O18" s="148"/>
      <c r="P18" s="158"/>
      <c r="Q18" s="159"/>
      <c r="R18" s="159"/>
      <c r="S18" s="160"/>
      <c r="T18" s="161"/>
      <c r="U18" s="103"/>
      <c r="V18" s="103"/>
      <c r="AB18" s="125"/>
      <c r="AD18" s="122"/>
    </row>
    <row r="19" spans="2:32" s="78" customFormat="1" ht="48" customHeight="1" x14ac:dyDescent="0.3">
      <c r="B19" s="148"/>
      <c r="C19" s="148"/>
      <c r="D19" s="148"/>
      <c r="E19" s="102"/>
      <c r="F19" s="103"/>
      <c r="G19" s="107"/>
      <c r="H19" s="107"/>
      <c r="I19" s="107"/>
      <c r="L19" s="148"/>
      <c r="O19" s="148"/>
      <c r="P19" s="158"/>
      <c r="Q19" s="159"/>
      <c r="R19" s="159"/>
      <c r="S19" s="160"/>
      <c r="T19" s="161"/>
      <c r="U19" s="103"/>
      <c r="V19" s="103"/>
      <c r="AB19" s="125"/>
      <c r="AD19" s="122"/>
    </row>
    <row r="20" spans="2:32" s="78" customFormat="1" ht="48" customHeight="1" x14ac:dyDescent="0.3">
      <c r="B20" s="148"/>
      <c r="C20" s="148"/>
      <c r="D20" s="148"/>
      <c r="E20" s="102"/>
      <c r="F20" s="103"/>
      <c r="G20" s="107"/>
      <c r="H20" s="107"/>
      <c r="I20" s="107"/>
      <c r="L20" s="148"/>
      <c r="O20" s="148"/>
      <c r="P20" s="158"/>
      <c r="Q20" s="159"/>
      <c r="R20" s="159"/>
      <c r="S20" s="160"/>
      <c r="T20" s="161"/>
      <c r="U20" s="103"/>
      <c r="V20" s="103"/>
      <c r="AB20" s="125"/>
      <c r="AD20" s="122"/>
    </row>
    <row r="21" spans="2:32" s="78" customFormat="1" ht="27" customHeight="1" x14ac:dyDescent="0.3">
      <c r="B21" s="106"/>
      <c r="C21" s="102"/>
      <c r="D21" s="98"/>
      <c r="E21" s="103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8"/>
      <c r="R21" s="109"/>
      <c r="S21" s="109"/>
      <c r="T21" s="102"/>
      <c r="U21" s="103"/>
      <c r="V21" s="103"/>
      <c r="AB21" s="125"/>
      <c r="AD21" s="122"/>
    </row>
    <row r="22" spans="2:32" s="78" customFormat="1" ht="49.5" customHeight="1" x14ac:dyDescent="0.3">
      <c r="B22" s="106"/>
      <c r="C22" s="102"/>
      <c r="D22" s="98"/>
      <c r="E22" s="103"/>
      <c r="F22" s="107"/>
      <c r="G22" s="107"/>
      <c r="H22" s="107"/>
      <c r="I22" s="107"/>
      <c r="J22" s="107"/>
      <c r="K22" s="107"/>
      <c r="L22" s="107"/>
      <c r="M22" s="155" t="s">
        <v>101</v>
      </c>
      <c r="N22" s="154" t="s">
        <v>99</v>
      </c>
      <c r="O22" s="153" t="s">
        <v>88</v>
      </c>
      <c r="P22" s="107"/>
      <c r="Q22" s="108"/>
      <c r="R22" s="109"/>
      <c r="S22" s="109"/>
      <c r="T22" s="102"/>
      <c r="U22" s="103"/>
      <c r="V22" s="103"/>
      <c r="AB22" s="125"/>
      <c r="AD22" s="122"/>
    </row>
    <row r="23" spans="2:32" ht="49.5" customHeight="1" x14ac:dyDescent="0.3">
      <c r="B23" s="264" t="s">
        <v>94</v>
      </c>
      <c r="C23" s="264"/>
      <c r="D23" s="264"/>
      <c r="E23" s="264"/>
      <c r="F23" s="150" t="s">
        <v>66</v>
      </c>
      <c r="G23" s="151"/>
      <c r="H23" s="151"/>
      <c r="I23" s="151"/>
      <c r="J23" s="151"/>
      <c r="K23" s="151"/>
      <c r="L23" s="151"/>
      <c r="M23" s="177">
        <f>+H25</f>
        <v>9.6153846153846148E-4</v>
      </c>
      <c r="N23" s="178">
        <v>0.16</v>
      </c>
      <c r="O23" s="157">
        <v>0.1</v>
      </c>
      <c r="P23" s="152"/>
      <c r="Q23" s="259"/>
      <c r="R23" s="259"/>
      <c r="S23" s="259"/>
      <c r="T23" s="259"/>
      <c r="U23" s="143"/>
      <c r="V23" s="143"/>
      <c r="W23" s="143"/>
      <c r="X23" s="116"/>
      <c r="Y23" s="116"/>
      <c r="Z23" s="116"/>
      <c r="AA23" s="116"/>
    </row>
    <row r="24" spans="2:32" s="77" customFormat="1" ht="65.25" customHeight="1" thickBot="1" x14ac:dyDescent="0.3">
      <c r="B24" s="253" t="s">
        <v>89</v>
      </c>
      <c r="C24" s="254"/>
      <c r="D24" s="254"/>
      <c r="E24" s="254"/>
      <c r="F24" s="166" t="s">
        <v>113</v>
      </c>
      <c r="G24" s="166" t="s">
        <v>65</v>
      </c>
      <c r="H24" s="166" t="s">
        <v>64</v>
      </c>
      <c r="I24" s="166" t="s">
        <v>86</v>
      </c>
      <c r="J24" s="166" t="s">
        <v>97</v>
      </c>
      <c r="K24" s="166" t="s">
        <v>84</v>
      </c>
      <c r="L24" s="167"/>
      <c r="M24" s="166" t="s">
        <v>98</v>
      </c>
      <c r="N24" s="166" t="s">
        <v>103</v>
      </c>
      <c r="O24" s="166" t="s">
        <v>96</v>
      </c>
      <c r="P24" s="166" t="s">
        <v>102</v>
      </c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5"/>
      <c r="AC24" s="135"/>
      <c r="AD24" s="135"/>
      <c r="AE24" s="135"/>
      <c r="AF24" s="135"/>
    </row>
    <row r="25" spans="2:32" s="77" customFormat="1" ht="55.5" hidden="1" customHeight="1" x14ac:dyDescent="0.25">
      <c r="B25" s="272" t="s">
        <v>71</v>
      </c>
      <c r="C25" s="273"/>
      <c r="D25" s="273"/>
      <c r="E25" s="274"/>
      <c r="F25" s="115">
        <f>+F18</f>
        <v>30</v>
      </c>
      <c r="G25" s="156">
        <f>I25/2496</f>
        <v>1.2019230769230769E-4</v>
      </c>
      <c r="H25" s="156">
        <f>+G25*8</f>
        <v>9.6153846153846148E-4</v>
      </c>
      <c r="I25" s="173">
        <v>0.3</v>
      </c>
      <c r="J25" s="115">
        <f>+H25*F25*K37</f>
        <v>62.740384615384613</v>
      </c>
      <c r="K25" s="174"/>
      <c r="L25" s="175" t="e">
        <f>+#REF!</f>
        <v>#REF!</v>
      </c>
      <c r="M25" s="176">
        <f>+M37</f>
        <v>62.740384615384613</v>
      </c>
      <c r="N25" s="174"/>
      <c r="O25" s="174"/>
      <c r="P25" s="115"/>
      <c r="Q25" s="131"/>
      <c r="R25" s="131"/>
      <c r="S25" s="131"/>
      <c r="T25" s="131"/>
      <c r="U25" s="136"/>
      <c r="V25" s="136"/>
      <c r="W25" s="131"/>
      <c r="X25" s="131"/>
      <c r="Y25" s="131"/>
      <c r="Z25" s="131"/>
      <c r="AA25" s="131"/>
      <c r="AB25" s="135"/>
      <c r="AC25" s="135"/>
      <c r="AD25" s="135"/>
      <c r="AE25" s="135"/>
      <c r="AF25" s="135"/>
    </row>
    <row r="26" spans="2:32" ht="35.25" customHeight="1" x14ac:dyDescent="0.25">
      <c r="B26" s="268" t="s">
        <v>122</v>
      </c>
      <c r="C26" s="268"/>
      <c r="D26" s="268"/>
      <c r="E26" s="268"/>
      <c r="F26" s="163">
        <v>1</v>
      </c>
      <c r="G26" s="118">
        <v>1</v>
      </c>
      <c r="H26" s="119">
        <v>2500</v>
      </c>
      <c r="I26" s="170">
        <f>+H26*G26*F26</f>
        <v>2500</v>
      </c>
      <c r="J26" s="118" t="s">
        <v>67</v>
      </c>
      <c r="K26" s="170">
        <f>IF(J26="FACTURA",I26*0.87,IF(J26=AJ11,I26/0.845,))</f>
        <v>2175</v>
      </c>
      <c r="L26" s="171">
        <f>+K26/$K$37</f>
        <v>1</v>
      </c>
      <c r="M26" s="170">
        <f>+L26*$J$25</f>
        <v>62.740384615384613</v>
      </c>
      <c r="N26" s="170">
        <f>(K26+M26)/0.84</f>
        <v>2663.9766483516487</v>
      </c>
      <c r="O26" s="170">
        <f>N26*($O$23+1)</f>
        <v>2930.3743131868137</v>
      </c>
      <c r="P26" s="119">
        <v>3125</v>
      </c>
      <c r="Q26" s="133"/>
      <c r="R26" s="133"/>
      <c r="S26" s="138"/>
      <c r="T26" s="133"/>
      <c r="U26" s="137"/>
      <c r="V26" s="133"/>
      <c r="W26" s="133"/>
      <c r="X26" s="132"/>
      <c r="Y26" s="132"/>
      <c r="Z26" s="132"/>
      <c r="AA26" s="132"/>
      <c r="AB26" s="117"/>
      <c r="AC26" s="117"/>
      <c r="AD26" s="117"/>
      <c r="AE26" s="117"/>
      <c r="AF26" s="117"/>
    </row>
    <row r="27" spans="2:32" ht="35.25" customHeight="1" x14ac:dyDescent="0.25">
      <c r="B27" s="268"/>
      <c r="C27" s="268"/>
      <c r="D27" s="268"/>
      <c r="E27" s="268"/>
      <c r="F27" s="163"/>
      <c r="G27" s="118"/>
      <c r="H27" s="119"/>
      <c r="I27" s="170">
        <f t="shared" ref="I27:I36" si="0">+H27*G27*F27</f>
        <v>0</v>
      </c>
      <c r="J27" s="118" t="s">
        <v>67</v>
      </c>
      <c r="K27" s="170">
        <f t="shared" ref="K27:K33" si="1">IF(J27="FACTURA",I27*0.87,IF(J27=AJ12,I27/0.845,))</f>
        <v>0</v>
      </c>
      <c r="L27" s="171">
        <f t="shared" ref="L27:L33" si="2">+K27/$K$37</f>
        <v>0</v>
      </c>
      <c r="M27" s="170">
        <f t="shared" ref="M27:M34" si="3">+L27*$J$25</f>
        <v>0</v>
      </c>
      <c r="N27" s="170">
        <f t="shared" ref="N27:N33" si="4">(K27+M27)/0.84</f>
        <v>0</v>
      </c>
      <c r="O27" s="170">
        <f t="shared" ref="O27:O34" si="5">N27*($O$23+1)</f>
        <v>0</v>
      </c>
      <c r="P27" s="119"/>
      <c r="Q27" s="133"/>
      <c r="R27" s="133"/>
      <c r="S27" s="138"/>
      <c r="T27" s="133"/>
      <c r="U27" s="137"/>
      <c r="V27" s="133"/>
      <c r="W27" s="133"/>
      <c r="X27" s="132"/>
      <c r="Y27" s="132"/>
      <c r="Z27" s="132"/>
      <c r="AA27" s="132"/>
      <c r="AB27" s="117"/>
      <c r="AC27" s="117"/>
      <c r="AD27" s="117"/>
      <c r="AE27" s="117"/>
      <c r="AF27" s="117"/>
    </row>
    <row r="28" spans="2:32" ht="35.25" customHeight="1" x14ac:dyDescent="0.25">
      <c r="B28" s="268"/>
      <c r="C28" s="268"/>
      <c r="D28" s="268"/>
      <c r="E28" s="268"/>
      <c r="F28" s="163"/>
      <c r="G28" s="118"/>
      <c r="H28" s="119"/>
      <c r="I28" s="170">
        <f t="shared" si="0"/>
        <v>0</v>
      </c>
      <c r="J28" s="118" t="s">
        <v>67</v>
      </c>
      <c r="K28" s="170">
        <f t="shared" si="1"/>
        <v>0</v>
      </c>
      <c r="L28" s="171">
        <f t="shared" si="2"/>
        <v>0</v>
      </c>
      <c r="M28" s="170">
        <f t="shared" si="3"/>
        <v>0</v>
      </c>
      <c r="N28" s="170">
        <f t="shared" si="4"/>
        <v>0</v>
      </c>
      <c r="O28" s="170">
        <f t="shared" si="5"/>
        <v>0</v>
      </c>
      <c r="P28" s="119"/>
      <c r="Q28" s="133"/>
      <c r="R28" s="133"/>
      <c r="S28" s="138"/>
      <c r="T28" s="133"/>
      <c r="U28" s="137"/>
      <c r="V28" s="133"/>
      <c r="W28" s="133"/>
      <c r="X28" s="132"/>
      <c r="Y28" s="132"/>
      <c r="Z28" s="132"/>
      <c r="AA28" s="132"/>
      <c r="AB28" s="117"/>
      <c r="AC28" s="117"/>
      <c r="AD28" s="117"/>
      <c r="AE28" s="117"/>
      <c r="AF28" s="117"/>
    </row>
    <row r="29" spans="2:32" ht="35.25" customHeight="1" x14ac:dyDescent="0.25">
      <c r="B29" s="268"/>
      <c r="C29" s="268"/>
      <c r="D29" s="268"/>
      <c r="E29" s="268"/>
      <c r="F29" s="163"/>
      <c r="G29" s="118"/>
      <c r="H29" s="119"/>
      <c r="I29" s="170">
        <f t="shared" si="0"/>
        <v>0</v>
      </c>
      <c r="J29" s="118" t="s">
        <v>67</v>
      </c>
      <c r="K29" s="170">
        <f t="shared" si="1"/>
        <v>0</v>
      </c>
      <c r="L29" s="171">
        <f t="shared" si="2"/>
        <v>0</v>
      </c>
      <c r="M29" s="170">
        <f t="shared" si="3"/>
        <v>0</v>
      </c>
      <c r="N29" s="170">
        <f t="shared" si="4"/>
        <v>0</v>
      </c>
      <c r="O29" s="170">
        <f t="shared" si="5"/>
        <v>0</v>
      </c>
      <c r="P29" s="119"/>
      <c r="Q29" s="133"/>
      <c r="R29" s="133"/>
      <c r="S29" s="138"/>
      <c r="T29" s="133"/>
      <c r="U29" s="137"/>
      <c r="V29" s="133"/>
      <c r="W29" s="133"/>
      <c r="X29" s="132"/>
      <c r="Y29" s="132"/>
      <c r="Z29" s="132"/>
      <c r="AA29" s="132"/>
      <c r="AB29" s="117"/>
      <c r="AC29" s="117"/>
      <c r="AD29" s="117"/>
      <c r="AE29" s="117"/>
      <c r="AF29" s="117"/>
    </row>
    <row r="30" spans="2:32" ht="35.25" customHeight="1" x14ac:dyDescent="0.25">
      <c r="B30" s="268"/>
      <c r="C30" s="268"/>
      <c r="D30" s="268"/>
      <c r="E30" s="268"/>
      <c r="F30" s="163"/>
      <c r="G30" s="118"/>
      <c r="H30" s="119"/>
      <c r="I30" s="170">
        <f t="shared" si="0"/>
        <v>0</v>
      </c>
      <c r="J30" s="118" t="s">
        <v>67</v>
      </c>
      <c r="K30" s="170">
        <f t="shared" si="1"/>
        <v>0</v>
      </c>
      <c r="L30" s="171">
        <f t="shared" si="2"/>
        <v>0</v>
      </c>
      <c r="M30" s="170">
        <f t="shared" si="3"/>
        <v>0</v>
      </c>
      <c r="N30" s="170">
        <f t="shared" si="4"/>
        <v>0</v>
      </c>
      <c r="O30" s="170">
        <f t="shared" si="5"/>
        <v>0</v>
      </c>
      <c r="P30" s="119"/>
      <c r="Q30" s="133"/>
      <c r="R30" s="133"/>
      <c r="S30" s="138"/>
      <c r="T30" s="133"/>
      <c r="U30" s="137"/>
      <c r="V30" s="133"/>
      <c r="W30" s="133"/>
      <c r="X30" s="132"/>
      <c r="Y30" s="132"/>
      <c r="Z30" s="132"/>
      <c r="AA30" s="132"/>
      <c r="AB30" s="117"/>
      <c r="AC30" s="117"/>
      <c r="AD30" s="117"/>
      <c r="AE30" s="117"/>
      <c r="AF30" s="117"/>
    </row>
    <row r="31" spans="2:32" ht="35.25" customHeight="1" x14ac:dyDescent="0.25">
      <c r="B31" s="268"/>
      <c r="C31" s="268"/>
      <c r="D31" s="268"/>
      <c r="E31" s="268"/>
      <c r="F31" s="163"/>
      <c r="G31" s="118"/>
      <c r="H31" s="119"/>
      <c r="I31" s="170">
        <f t="shared" si="0"/>
        <v>0</v>
      </c>
      <c r="J31" s="118" t="s">
        <v>67</v>
      </c>
      <c r="K31" s="170">
        <f t="shared" si="1"/>
        <v>0</v>
      </c>
      <c r="L31" s="171">
        <f t="shared" si="2"/>
        <v>0</v>
      </c>
      <c r="M31" s="170">
        <f t="shared" si="3"/>
        <v>0</v>
      </c>
      <c r="N31" s="170">
        <f t="shared" si="4"/>
        <v>0</v>
      </c>
      <c r="O31" s="170">
        <f t="shared" si="5"/>
        <v>0</v>
      </c>
      <c r="P31" s="119"/>
      <c r="Q31" s="133"/>
      <c r="R31" s="133"/>
      <c r="S31" s="138"/>
      <c r="T31" s="133"/>
      <c r="U31" s="137"/>
      <c r="V31" s="133"/>
      <c r="W31" s="133"/>
      <c r="X31" s="132"/>
      <c r="Y31" s="132"/>
      <c r="Z31" s="132"/>
      <c r="AA31" s="132"/>
      <c r="AB31" s="117"/>
      <c r="AC31" s="117"/>
      <c r="AD31" s="117"/>
      <c r="AE31" s="117"/>
      <c r="AF31" s="117"/>
    </row>
    <row r="32" spans="2:32" ht="35.25" customHeight="1" x14ac:dyDescent="0.25">
      <c r="B32" s="268"/>
      <c r="C32" s="268"/>
      <c r="D32" s="268"/>
      <c r="E32" s="268"/>
      <c r="F32" s="163"/>
      <c r="G32" s="118"/>
      <c r="H32" s="119"/>
      <c r="I32" s="170">
        <f t="shared" si="0"/>
        <v>0</v>
      </c>
      <c r="J32" s="118" t="s">
        <v>67</v>
      </c>
      <c r="K32" s="170">
        <f t="shared" si="1"/>
        <v>0</v>
      </c>
      <c r="L32" s="171">
        <f t="shared" si="2"/>
        <v>0</v>
      </c>
      <c r="M32" s="170">
        <f t="shared" si="3"/>
        <v>0</v>
      </c>
      <c r="N32" s="170">
        <f t="shared" si="4"/>
        <v>0</v>
      </c>
      <c r="O32" s="170">
        <f t="shared" si="5"/>
        <v>0</v>
      </c>
      <c r="P32" s="119"/>
      <c r="Q32" s="133"/>
      <c r="R32" s="133"/>
      <c r="S32" s="138"/>
      <c r="T32" s="133"/>
      <c r="U32" s="137"/>
      <c r="V32" s="133"/>
      <c r="W32" s="133"/>
      <c r="X32" s="132"/>
      <c r="Y32" s="132"/>
      <c r="Z32" s="132"/>
      <c r="AA32" s="132"/>
      <c r="AB32" s="117"/>
      <c r="AC32" s="117"/>
      <c r="AD32" s="117"/>
      <c r="AE32" s="117"/>
      <c r="AF32" s="117"/>
    </row>
    <row r="33" spans="2:32" ht="35.25" customHeight="1" x14ac:dyDescent="0.25">
      <c r="B33" s="268"/>
      <c r="C33" s="268"/>
      <c r="D33" s="268"/>
      <c r="E33" s="268"/>
      <c r="F33" s="163"/>
      <c r="G33" s="118"/>
      <c r="H33" s="119"/>
      <c r="I33" s="170">
        <f t="shared" si="0"/>
        <v>0</v>
      </c>
      <c r="J33" s="118" t="s">
        <v>67</v>
      </c>
      <c r="K33" s="170">
        <f t="shared" si="1"/>
        <v>0</v>
      </c>
      <c r="L33" s="171">
        <f t="shared" si="2"/>
        <v>0</v>
      </c>
      <c r="M33" s="170">
        <f t="shared" si="3"/>
        <v>0</v>
      </c>
      <c r="N33" s="170">
        <f t="shared" si="4"/>
        <v>0</v>
      </c>
      <c r="O33" s="170">
        <f t="shared" si="5"/>
        <v>0</v>
      </c>
      <c r="P33" s="119"/>
      <c r="Q33" s="133"/>
      <c r="R33" s="133"/>
      <c r="S33" s="138"/>
      <c r="T33" s="133"/>
      <c r="U33" s="137"/>
      <c r="V33" s="133"/>
      <c r="W33" s="133"/>
      <c r="X33" s="132"/>
      <c r="Y33" s="132"/>
      <c r="Z33" s="132"/>
      <c r="AA33" s="132"/>
      <c r="AB33" s="117"/>
      <c r="AC33" s="117"/>
      <c r="AD33" s="117"/>
      <c r="AE33" s="117"/>
      <c r="AF33" s="117"/>
    </row>
    <row r="34" spans="2:32" ht="35.25" customHeight="1" x14ac:dyDescent="0.25">
      <c r="B34" s="268"/>
      <c r="C34" s="268"/>
      <c r="D34" s="268"/>
      <c r="E34" s="268"/>
      <c r="F34" s="163"/>
      <c r="G34" s="118"/>
      <c r="H34" s="119"/>
      <c r="I34" s="170">
        <f t="shared" si="0"/>
        <v>0</v>
      </c>
      <c r="J34" s="118" t="s">
        <v>67</v>
      </c>
      <c r="K34" s="170">
        <f>IF(J34="FACTURA",I34*0.87,IF(J34=AJ11,I34/0.845,))</f>
        <v>0</v>
      </c>
      <c r="L34" s="171">
        <f>+K34/K37</f>
        <v>0</v>
      </c>
      <c r="M34" s="170">
        <f t="shared" si="3"/>
        <v>0</v>
      </c>
      <c r="N34" s="170">
        <f t="shared" ref="N34:N36" si="6">(K34+M34)*1.19047619</f>
        <v>0</v>
      </c>
      <c r="O34" s="170">
        <f t="shared" si="5"/>
        <v>0</v>
      </c>
      <c r="P34" s="119"/>
      <c r="Q34" s="133"/>
      <c r="R34" s="133"/>
      <c r="S34" s="138"/>
      <c r="T34" s="133"/>
      <c r="U34" s="137"/>
      <c r="V34" s="133"/>
      <c r="W34" s="133"/>
      <c r="X34" s="132"/>
      <c r="Y34" s="132"/>
      <c r="Z34" s="132"/>
      <c r="AA34" s="132"/>
      <c r="AB34" s="117"/>
      <c r="AC34" s="117"/>
      <c r="AD34" s="117"/>
      <c r="AE34" s="117"/>
      <c r="AF34" s="117"/>
    </row>
    <row r="35" spans="2:32" ht="35.25" customHeight="1" x14ac:dyDescent="0.25">
      <c r="B35" s="268"/>
      <c r="C35" s="268"/>
      <c r="D35" s="268"/>
      <c r="E35" s="268"/>
      <c r="F35" s="163"/>
      <c r="G35" s="118"/>
      <c r="H35" s="119"/>
      <c r="I35" s="170">
        <f t="shared" si="0"/>
        <v>0</v>
      </c>
      <c r="J35" s="118" t="s">
        <v>67</v>
      </c>
      <c r="K35" s="170">
        <f>IF(J35="FACTURA",I35*0.87,IF(J35=AJ11,I35/0.845,))</f>
        <v>0</v>
      </c>
      <c r="L35" s="171">
        <f>+K35/K37</f>
        <v>0</v>
      </c>
      <c r="M35" s="170">
        <f>+L35*J25</f>
        <v>0</v>
      </c>
      <c r="N35" s="170">
        <f t="shared" si="6"/>
        <v>0</v>
      </c>
      <c r="O35" s="170">
        <f>N35*($O$23+1)</f>
        <v>0</v>
      </c>
      <c r="P35" s="119"/>
      <c r="Q35" s="133"/>
      <c r="R35" s="133"/>
      <c r="S35" s="138"/>
      <c r="T35" s="133"/>
      <c r="U35" s="137"/>
      <c r="V35" s="133"/>
      <c r="W35" s="133"/>
      <c r="X35" s="132"/>
      <c r="Y35" s="132"/>
      <c r="Z35" s="132"/>
      <c r="AA35" s="132"/>
      <c r="AB35" s="117"/>
      <c r="AC35" s="117"/>
      <c r="AD35" s="117"/>
      <c r="AE35" s="117"/>
      <c r="AF35" s="117"/>
    </row>
    <row r="36" spans="2:32" ht="35.25" customHeight="1" x14ac:dyDescent="0.25">
      <c r="B36" s="268"/>
      <c r="C36" s="268"/>
      <c r="D36" s="268"/>
      <c r="E36" s="268"/>
      <c r="F36" s="163"/>
      <c r="G36" s="118"/>
      <c r="H36" s="119"/>
      <c r="I36" s="170">
        <f t="shared" si="0"/>
        <v>0</v>
      </c>
      <c r="J36" s="118" t="s">
        <v>67</v>
      </c>
      <c r="K36" s="170">
        <f>IF(J36="FACTURA",I36*0.87,IF(J36=AJ11,I36/0.845,))</f>
        <v>0</v>
      </c>
      <c r="L36" s="171">
        <f>+K36/K37</f>
        <v>0</v>
      </c>
      <c r="M36" s="170">
        <f>+L36*J25</f>
        <v>0</v>
      </c>
      <c r="N36" s="170">
        <f t="shared" si="6"/>
        <v>0</v>
      </c>
      <c r="O36" s="170">
        <f>N36*($O$23+1)</f>
        <v>0</v>
      </c>
      <c r="P36" s="119"/>
      <c r="Q36" s="133"/>
      <c r="R36" s="133"/>
      <c r="S36" s="138"/>
      <c r="T36" s="133"/>
      <c r="U36" s="137"/>
      <c r="V36" s="133"/>
      <c r="W36" s="133"/>
      <c r="X36" s="132"/>
      <c r="Y36" s="132"/>
      <c r="Z36" s="132"/>
      <c r="AA36" s="132"/>
      <c r="AB36" s="117"/>
      <c r="AC36" s="117"/>
      <c r="AD36" s="117"/>
      <c r="AE36" s="117"/>
      <c r="AF36" s="117"/>
    </row>
    <row r="37" spans="2:32" ht="36" customHeight="1" thickBot="1" x14ac:dyDescent="0.3">
      <c r="B37" s="276" t="s">
        <v>60</v>
      </c>
      <c r="C37" s="277"/>
      <c r="D37" s="277"/>
      <c r="E37" s="278"/>
      <c r="F37" s="168"/>
      <c r="G37" s="168"/>
      <c r="H37" s="169"/>
      <c r="I37" s="169"/>
      <c r="J37" s="169"/>
      <c r="K37" s="170">
        <f t="shared" ref="K37:O37" si="7">SUM(K26:K36)</f>
        <v>2175</v>
      </c>
      <c r="L37" s="171">
        <f t="shared" si="7"/>
        <v>1</v>
      </c>
      <c r="M37" s="170">
        <f t="shared" si="7"/>
        <v>62.740384615384613</v>
      </c>
      <c r="N37" s="170">
        <f t="shared" si="7"/>
        <v>2663.9766483516487</v>
      </c>
      <c r="O37" s="170">
        <f t="shared" si="7"/>
        <v>2930.3743131868137</v>
      </c>
      <c r="P37" s="172">
        <f>SUM(P26:P36)</f>
        <v>3125</v>
      </c>
      <c r="Q37" s="138"/>
      <c r="R37" s="133">
        <v>1205.01</v>
      </c>
      <c r="S37" s="138">
        <v>1.3</v>
      </c>
      <c r="T37" s="133">
        <f>+R37*S37</f>
        <v>1566.5130000000001</v>
      </c>
      <c r="U37" s="138"/>
      <c r="V37" s="133"/>
      <c r="W37" s="133"/>
      <c r="X37" s="133"/>
      <c r="Y37" s="133"/>
      <c r="Z37" s="133"/>
      <c r="AA37" s="133"/>
      <c r="AB37" s="117"/>
      <c r="AC37" s="117"/>
      <c r="AD37" s="117"/>
      <c r="AE37" s="117"/>
      <c r="AF37" s="117"/>
    </row>
    <row r="38" spans="2:32" ht="41.25" customHeight="1" x14ac:dyDescent="0.25">
      <c r="B38" s="126"/>
      <c r="C38" s="126"/>
      <c r="D38" s="126"/>
      <c r="E38" s="126"/>
      <c r="F38" s="127"/>
      <c r="G38" s="127"/>
      <c r="H38" s="126"/>
      <c r="I38" s="126"/>
      <c r="J38" s="269" t="s">
        <v>104</v>
      </c>
      <c r="K38" s="270"/>
      <c r="L38" s="270"/>
      <c r="M38" s="270"/>
      <c r="N38" s="270"/>
      <c r="O38" s="271"/>
      <c r="P38" s="146">
        <f>+P37-N37</f>
        <v>461.02335164835131</v>
      </c>
      <c r="Q38" s="127"/>
      <c r="R38" s="126"/>
      <c r="S38" s="127"/>
      <c r="T38" s="129"/>
      <c r="U38" s="134"/>
      <c r="V38" s="134"/>
      <c r="W38" s="134"/>
      <c r="X38" s="117"/>
      <c r="Y38" s="117"/>
      <c r="Z38" s="117"/>
      <c r="AA38" s="117"/>
      <c r="AB38" s="117"/>
      <c r="AC38" s="117"/>
      <c r="AD38" s="117"/>
      <c r="AE38" s="117"/>
      <c r="AF38" s="117"/>
    </row>
    <row r="39" spans="2:32" ht="18" x14ac:dyDescent="0.25">
      <c r="B39" s="126"/>
      <c r="C39" s="126"/>
      <c r="D39" s="126"/>
      <c r="E39" s="126"/>
      <c r="F39" s="127"/>
      <c r="G39" s="127"/>
      <c r="H39" s="126"/>
      <c r="I39" s="126"/>
      <c r="J39" s="126"/>
      <c r="K39" s="126"/>
      <c r="L39" s="126"/>
      <c r="M39" s="126"/>
      <c r="N39" s="126"/>
      <c r="O39" s="126"/>
      <c r="P39" s="128"/>
      <c r="Q39" s="127"/>
      <c r="R39" s="126"/>
      <c r="S39" s="127"/>
      <c r="T39" s="129"/>
      <c r="U39" s="134"/>
      <c r="V39" s="134"/>
      <c r="W39" s="134"/>
      <c r="X39" s="117"/>
      <c r="Y39" s="117"/>
      <c r="Z39" s="117"/>
      <c r="AA39" s="117"/>
      <c r="AB39" s="117"/>
      <c r="AC39" s="117"/>
      <c r="AD39" s="117"/>
      <c r="AE39" s="117"/>
      <c r="AF39" s="117"/>
    </row>
    <row r="40" spans="2:32" ht="18" x14ac:dyDescent="0.25">
      <c r="B40" s="126"/>
      <c r="C40" s="126"/>
      <c r="D40" s="126"/>
      <c r="E40" s="126"/>
      <c r="F40" s="127"/>
      <c r="G40" s="127"/>
      <c r="H40" s="126"/>
      <c r="I40" s="126"/>
      <c r="J40" s="126"/>
      <c r="K40" s="126"/>
      <c r="L40" s="126"/>
      <c r="M40" s="126"/>
      <c r="N40" s="126"/>
      <c r="O40" s="126"/>
      <c r="P40" s="128"/>
      <c r="Q40" s="127"/>
      <c r="R40" s="126"/>
      <c r="S40" s="127"/>
      <c r="T40" s="129"/>
      <c r="U40" s="134"/>
      <c r="V40" s="134"/>
      <c r="W40" s="134"/>
      <c r="X40" s="117"/>
      <c r="Y40" s="117"/>
      <c r="Z40" s="117"/>
      <c r="AA40" s="117"/>
      <c r="AB40" s="117"/>
      <c r="AC40" s="117"/>
      <c r="AD40" s="117"/>
      <c r="AE40" s="117"/>
      <c r="AF40" s="117"/>
    </row>
    <row r="41" spans="2:32" x14ac:dyDescent="0.25">
      <c r="Q41" s="82"/>
    </row>
    <row r="44" spans="2:32" x14ac:dyDescent="0.25">
      <c r="R44" s="82"/>
    </row>
    <row r="51" spans="1:18" ht="29.25" customHeight="1" x14ac:dyDescent="0.25">
      <c r="A51" s="86" t="s">
        <v>68</v>
      </c>
      <c r="B51" s="111"/>
      <c r="C51" s="111"/>
      <c r="D51" s="45"/>
      <c r="E51" s="110"/>
      <c r="F51" s="112"/>
      <c r="G51" s="79" t="s">
        <v>69</v>
      </c>
      <c r="H51" s="111"/>
      <c r="I51" s="111"/>
      <c r="J51" s="111"/>
      <c r="K51" s="78"/>
      <c r="L51" s="111"/>
      <c r="M51" s="79" t="s">
        <v>70</v>
      </c>
      <c r="N51" s="267"/>
      <c r="O51" s="267"/>
      <c r="P51" s="267"/>
      <c r="Q51" s="112"/>
      <c r="R51" s="112"/>
    </row>
    <row r="52" spans="1:18" x14ac:dyDescent="0.25">
      <c r="A52" s="113"/>
      <c r="R52" s="78"/>
    </row>
    <row r="53" spans="1:18" x14ac:dyDescent="0.25">
      <c r="A53" s="113"/>
      <c r="R53" s="78"/>
    </row>
    <row r="54" spans="1:18" x14ac:dyDescent="0.25">
      <c r="A54" s="113"/>
      <c r="R54" s="78"/>
    </row>
  </sheetData>
  <protectedRanges>
    <protectedRange sqref="F26:F36" name="Rango2"/>
    <protectedRange sqref="E11 N11 E13 N13 E15 E18:F18 G26:H36 J26:J36 O23 P26:P36 B26:E36" name="Rango1"/>
  </protectedRanges>
  <mergeCells count="34">
    <mergeCell ref="E11:H11"/>
    <mergeCell ref="B37:E37"/>
    <mergeCell ref="B35:E35"/>
    <mergeCell ref="B36:E36"/>
    <mergeCell ref="B26:E26"/>
    <mergeCell ref="B34:E34"/>
    <mergeCell ref="B27:E27"/>
    <mergeCell ref="B28:E28"/>
    <mergeCell ref="B29:E29"/>
    <mergeCell ref="B30:E30"/>
    <mergeCell ref="B31:E31"/>
    <mergeCell ref="N51:P51"/>
    <mergeCell ref="Q23:T23"/>
    <mergeCell ref="B18:D18"/>
    <mergeCell ref="B32:E32"/>
    <mergeCell ref="B33:E33"/>
    <mergeCell ref="J38:O38"/>
    <mergeCell ref="B25:E25"/>
    <mergeCell ref="U8:V8"/>
    <mergeCell ref="K13:M13"/>
    <mergeCell ref="N13:P13"/>
    <mergeCell ref="B24:E24"/>
    <mergeCell ref="Q15:S15"/>
    <mergeCell ref="T15:V15"/>
    <mergeCell ref="K11:M11"/>
    <mergeCell ref="N11:P11"/>
    <mergeCell ref="B15:D15"/>
    <mergeCell ref="B11:D11"/>
    <mergeCell ref="B13:D13"/>
    <mergeCell ref="E15:G15"/>
    <mergeCell ref="B23:E23"/>
    <mergeCell ref="B8:P8"/>
    <mergeCell ref="B9:P9"/>
    <mergeCell ref="E13:H13"/>
  </mergeCells>
  <dataValidations count="3">
    <dataValidation type="list" allowBlank="1" showInputMessage="1" showErrorMessage="1" sqref="J26:J36">
      <formula1>$AJ$11:$AJ$12</formula1>
    </dataValidation>
    <dataValidation type="list" allowBlank="1" showInputMessage="1" showErrorMessage="1" sqref="E18:E20">
      <formula1>#REF!</formula1>
    </dataValidation>
    <dataValidation type="list" allowBlank="1" showInputMessage="1" showErrorMessage="1" sqref="S26:S36">
      <formula1>#REF!</formula1>
    </dataValidation>
  </dataValidations>
  <pageMargins left="0.70866141732283472" right="0.70866141732283472" top="0.74803149606299213" bottom="0.74803149606299213" header="0.31496062992125984" footer="0.31496062992125984"/>
  <pageSetup scale="34" orientation="portrait" horizontalDpi="4294967293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B10:M61"/>
  <sheetViews>
    <sheetView view="pageLayout" topLeftCell="A29" zoomScale="85" zoomScaleNormal="85" zoomScalePageLayoutView="85" workbookViewId="0">
      <selection activeCell="B37" sqref="B37:K37"/>
    </sheetView>
  </sheetViews>
  <sheetFormatPr baseColWidth="10" defaultRowHeight="15" x14ac:dyDescent="0.25"/>
  <cols>
    <col min="1" max="1" width="5.85546875" customWidth="1"/>
    <col min="2" max="2" width="15.28515625" customWidth="1"/>
    <col min="5" max="5" width="11.85546875" customWidth="1"/>
    <col min="9" max="9" width="4.28515625" customWidth="1"/>
    <col min="10" max="10" width="11.7109375" customWidth="1"/>
    <col min="11" max="11" width="12.5703125" customWidth="1"/>
    <col min="12" max="12" width="9" customWidth="1"/>
    <col min="13" max="13" width="22.28515625" customWidth="1"/>
  </cols>
  <sheetData>
    <row r="10" spans="2:13" ht="46.5" x14ac:dyDescent="0.7">
      <c r="B10" s="297" t="s">
        <v>72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</row>
    <row r="11" spans="2:13" ht="26.25" x14ac:dyDescent="0.4">
      <c r="B11" s="298" t="s">
        <v>61</v>
      </c>
      <c r="C11" s="298"/>
      <c r="D11" s="298"/>
      <c r="E11" s="298"/>
      <c r="F11" s="298"/>
      <c r="G11" s="298"/>
      <c r="H11" s="298"/>
      <c r="I11" s="298"/>
      <c r="J11" s="298"/>
      <c r="K11" s="298"/>
      <c r="L11" s="298"/>
      <c r="M11" s="298"/>
    </row>
    <row r="12" spans="2:13" ht="26.25" x14ac:dyDescent="0.4"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</row>
    <row r="13" spans="2:13" ht="18.75" x14ac:dyDescent="0.3">
      <c r="B13" s="92" t="s">
        <v>73</v>
      </c>
      <c r="C13" s="299">
        <v>42782</v>
      </c>
      <c r="D13" s="299"/>
      <c r="E13" s="299"/>
      <c r="F13" s="89"/>
      <c r="G13" s="89"/>
      <c r="H13" s="89"/>
      <c r="I13" s="89"/>
      <c r="J13" s="89"/>
      <c r="K13" s="81" t="s">
        <v>62</v>
      </c>
      <c r="L13" s="120"/>
      <c r="M13" s="179">
        <f>+'Estado de costos'!N13</f>
        <v>0</v>
      </c>
    </row>
    <row r="14" spans="2:13" ht="18.75" x14ac:dyDescent="0.3"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</row>
    <row r="15" spans="2:13" ht="18.75" x14ac:dyDescent="0.3">
      <c r="B15" s="80"/>
      <c r="C15" s="80"/>
      <c r="D15" s="80"/>
      <c r="E15" s="80"/>
      <c r="F15" s="87"/>
      <c r="G15" s="87"/>
      <c r="H15" s="87"/>
      <c r="I15" s="87"/>
      <c r="J15" s="87"/>
      <c r="K15" s="81"/>
      <c r="L15" s="81"/>
      <c r="M15" s="87"/>
    </row>
    <row r="16" spans="2:13" ht="18.75" x14ac:dyDescent="0.3">
      <c r="B16" s="80" t="s">
        <v>1</v>
      </c>
      <c r="C16" s="300" t="str">
        <f>+'Estado de costos'!E11</f>
        <v>TIGO</v>
      </c>
      <c r="D16" s="300"/>
      <c r="E16" s="300"/>
      <c r="F16" s="87"/>
      <c r="G16" s="87"/>
      <c r="H16" s="87"/>
      <c r="I16" s="87"/>
      <c r="J16" s="87"/>
      <c r="K16" s="81" t="s">
        <v>63</v>
      </c>
      <c r="L16" s="81"/>
      <c r="M16" s="180">
        <f>+'Estado de costos'!N11</f>
        <v>0</v>
      </c>
    </row>
    <row r="17" spans="2:13" ht="18.75" x14ac:dyDescent="0.3">
      <c r="B17" s="80"/>
      <c r="C17" s="88"/>
      <c r="D17" s="88"/>
      <c r="E17" s="88"/>
      <c r="F17" s="87"/>
      <c r="G17" s="87"/>
      <c r="H17" s="87"/>
      <c r="I17" s="87"/>
      <c r="J17" s="87"/>
      <c r="K17" s="81"/>
      <c r="L17" s="81"/>
      <c r="M17" s="144"/>
    </row>
    <row r="18" spans="2:13" ht="30" customHeight="1" x14ac:dyDescent="0.3">
      <c r="B18" s="145" t="s">
        <v>91</v>
      </c>
      <c r="C18" s="300" t="str">
        <f>+'Estado de costos'!E13</f>
        <v xml:space="preserve">Auspicio pago proveedor uniformes de futbol Tigo </v>
      </c>
      <c r="D18" s="300"/>
      <c r="E18" s="300"/>
      <c r="F18" s="300"/>
      <c r="G18" s="300"/>
      <c r="H18" s="300"/>
      <c r="I18" s="87"/>
      <c r="J18" s="87"/>
      <c r="K18" s="81"/>
      <c r="L18" s="81"/>
      <c r="M18" s="144"/>
    </row>
    <row r="19" spans="2:13" ht="18.75" x14ac:dyDescent="0.3">
      <c r="B19" s="80"/>
      <c r="C19" s="80"/>
      <c r="D19" s="80"/>
      <c r="E19" s="80"/>
      <c r="F19" s="87"/>
      <c r="G19" s="87"/>
      <c r="H19" s="87"/>
      <c r="I19" s="87"/>
      <c r="J19" s="87"/>
      <c r="K19" s="81"/>
      <c r="L19" s="81"/>
      <c r="M19" s="87"/>
    </row>
    <row r="20" spans="2:13" ht="18.75" x14ac:dyDescent="0.3">
      <c r="B20" s="80" t="s">
        <v>93</v>
      </c>
      <c r="C20" s="80"/>
      <c r="D20" s="80"/>
      <c r="E20" s="80"/>
      <c r="F20" s="87"/>
      <c r="G20" s="87"/>
      <c r="H20" s="87"/>
      <c r="I20" s="87"/>
      <c r="J20" s="87"/>
      <c r="K20" s="81"/>
      <c r="L20" s="81"/>
      <c r="M20" s="87"/>
    </row>
    <row r="21" spans="2:13" ht="6.75" customHeight="1" thickBot="1" x14ac:dyDescent="0.3"/>
    <row r="22" spans="2:13" x14ac:dyDescent="0.25">
      <c r="B22" s="301" t="s">
        <v>22</v>
      </c>
      <c r="C22" s="303" t="s">
        <v>74</v>
      </c>
      <c r="D22" s="303"/>
      <c r="E22" s="303"/>
      <c r="F22" s="303"/>
      <c r="G22" s="303"/>
      <c r="H22" s="303"/>
      <c r="I22" s="303"/>
      <c r="J22" s="303" t="s">
        <v>11</v>
      </c>
      <c r="K22" s="303" t="s">
        <v>14</v>
      </c>
      <c r="L22" s="303" t="s">
        <v>75</v>
      </c>
      <c r="M22" s="305"/>
    </row>
    <row r="23" spans="2:13" x14ac:dyDescent="0.25">
      <c r="B23" s="302"/>
      <c r="C23" s="304"/>
      <c r="D23" s="304"/>
      <c r="E23" s="304"/>
      <c r="F23" s="304"/>
      <c r="G23" s="304"/>
      <c r="H23" s="304"/>
      <c r="I23" s="304"/>
      <c r="J23" s="304"/>
      <c r="K23" s="304"/>
      <c r="L23" s="304"/>
      <c r="M23" s="306"/>
    </row>
    <row r="24" spans="2:13" ht="27.75" customHeight="1" x14ac:dyDescent="0.25">
      <c r="B24" s="140">
        <v>1</v>
      </c>
      <c r="C24" s="295" t="str">
        <f>+'Estado de costos'!B26</f>
        <v xml:space="preserve">Pago proveedor uniformes de futbol tigo </v>
      </c>
      <c r="D24" s="295"/>
      <c r="E24" s="295"/>
      <c r="F24" s="295"/>
      <c r="G24" s="295"/>
      <c r="H24" s="295"/>
      <c r="I24" s="295"/>
      <c r="J24" s="142">
        <f>+'Estado de costos'!G26</f>
        <v>1</v>
      </c>
      <c r="K24" s="141">
        <f>+L24/J24</f>
        <v>3125</v>
      </c>
      <c r="L24" s="296">
        <f>+'Estado de costos'!P26</f>
        <v>3125</v>
      </c>
      <c r="M24" s="296"/>
    </row>
    <row r="25" spans="2:13" ht="27.75" customHeight="1" x14ac:dyDescent="0.25">
      <c r="B25" s="140">
        <v>2</v>
      </c>
      <c r="C25" s="295">
        <f>+'Estado de costos'!B27</f>
        <v>0</v>
      </c>
      <c r="D25" s="295"/>
      <c r="E25" s="295"/>
      <c r="F25" s="295"/>
      <c r="G25" s="295"/>
      <c r="H25" s="295"/>
      <c r="I25" s="295"/>
      <c r="J25" s="182">
        <f>+'Estado de costos'!G27</f>
        <v>0</v>
      </c>
      <c r="K25" s="181" t="e">
        <f t="shared" ref="K25:K34" si="0">+L25/J25</f>
        <v>#DIV/0!</v>
      </c>
      <c r="L25" s="296">
        <f>+'Estado de costos'!P27</f>
        <v>0</v>
      </c>
      <c r="M25" s="296"/>
    </row>
    <row r="26" spans="2:13" ht="27.75" customHeight="1" x14ac:dyDescent="0.25">
      <c r="B26" s="140">
        <v>3</v>
      </c>
      <c r="C26" s="295">
        <f>+'Estado de costos'!B28</f>
        <v>0</v>
      </c>
      <c r="D26" s="295"/>
      <c r="E26" s="295"/>
      <c r="F26" s="295"/>
      <c r="G26" s="295"/>
      <c r="H26" s="295"/>
      <c r="I26" s="295"/>
      <c r="J26" s="182">
        <f>+'Estado de costos'!G28</f>
        <v>0</v>
      </c>
      <c r="K26" s="181" t="e">
        <f t="shared" si="0"/>
        <v>#DIV/0!</v>
      </c>
      <c r="L26" s="296">
        <f>+'Estado de costos'!P28</f>
        <v>0</v>
      </c>
      <c r="M26" s="296"/>
    </row>
    <row r="27" spans="2:13" ht="27.75" customHeight="1" x14ac:dyDescent="0.25">
      <c r="B27" s="140">
        <v>4</v>
      </c>
      <c r="C27" s="295">
        <f>+'Estado de costos'!B29</f>
        <v>0</v>
      </c>
      <c r="D27" s="295"/>
      <c r="E27" s="295"/>
      <c r="F27" s="295"/>
      <c r="G27" s="295"/>
      <c r="H27" s="295"/>
      <c r="I27" s="295"/>
      <c r="J27" s="182">
        <f>+'Estado de costos'!G29</f>
        <v>0</v>
      </c>
      <c r="K27" s="181" t="e">
        <f t="shared" si="0"/>
        <v>#DIV/0!</v>
      </c>
      <c r="L27" s="296">
        <f>+'Estado de costos'!P29</f>
        <v>0</v>
      </c>
      <c r="M27" s="296"/>
    </row>
    <row r="28" spans="2:13" ht="27.75" customHeight="1" x14ac:dyDescent="0.25">
      <c r="B28" s="140">
        <v>5</v>
      </c>
      <c r="C28" s="295">
        <f>+'Estado de costos'!B30</f>
        <v>0</v>
      </c>
      <c r="D28" s="295"/>
      <c r="E28" s="295"/>
      <c r="F28" s="295"/>
      <c r="G28" s="295"/>
      <c r="H28" s="295"/>
      <c r="I28" s="295"/>
      <c r="J28" s="182">
        <f>+'Estado de costos'!G30</f>
        <v>0</v>
      </c>
      <c r="K28" s="181" t="e">
        <f t="shared" si="0"/>
        <v>#DIV/0!</v>
      </c>
      <c r="L28" s="296">
        <f>+'Estado de costos'!P30</f>
        <v>0</v>
      </c>
      <c r="M28" s="296"/>
    </row>
    <row r="29" spans="2:13" ht="27.75" customHeight="1" x14ac:dyDescent="0.25">
      <c r="B29" s="140">
        <v>6</v>
      </c>
      <c r="C29" s="295">
        <f>+'Estado de costos'!B31</f>
        <v>0</v>
      </c>
      <c r="D29" s="295"/>
      <c r="E29" s="295"/>
      <c r="F29" s="295"/>
      <c r="G29" s="295"/>
      <c r="H29" s="295"/>
      <c r="I29" s="295"/>
      <c r="J29" s="182">
        <f>+'Estado de costos'!G31</f>
        <v>0</v>
      </c>
      <c r="K29" s="181" t="e">
        <f t="shared" si="0"/>
        <v>#DIV/0!</v>
      </c>
      <c r="L29" s="296">
        <f>+'Estado de costos'!P31</f>
        <v>0</v>
      </c>
      <c r="M29" s="296"/>
    </row>
    <row r="30" spans="2:13" ht="27.75" customHeight="1" x14ac:dyDescent="0.25">
      <c r="B30" s="140">
        <v>7</v>
      </c>
      <c r="C30" s="295">
        <f>+'Estado de costos'!B32</f>
        <v>0</v>
      </c>
      <c r="D30" s="295"/>
      <c r="E30" s="295"/>
      <c r="F30" s="295"/>
      <c r="G30" s="295"/>
      <c r="H30" s="295"/>
      <c r="I30" s="295"/>
      <c r="J30" s="182">
        <f>+'Estado de costos'!G32</f>
        <v>0</v>
      </c>
      <c r="K30" s="181" t="e">
        <f t="shared" si="0"/>
        <v>#DIV/0!</v>
      </c>
      <c r="L30" s="296">
        <f>+'Estado de costos'!P32</f>
        <v>0</v>
      </c>
      <c r="M30" s="296"/>
    </row>
    <row r="31" spans="2:13" ht="27.75" customHeight="1" x14ac:dyDescent="0.25">
      <c r="B31" s="140">
        <v>8</v>
      </c>
      <c r="C31" s="295">
        <f>+'Estado de costos'!B33</f>
        <v>0</v>
      </c>
      <c r="D31" s="295"/>
      <c r="E31" s="295"/>
      <c r="F31" s="295"/>
      <c r="G31" s="295"/>
      <c r="H31" s="295"/>
      <c r="I31" s="295"/>
      <c r="J31" s="182">
        <f>+'Estado de costos'!G33</f>
        <v>0</v>
      </c>
      <c r="K31" s="181" t="e">
        <f t="shared" si="0"/>
        <v>#DIV/0!</v>
      </c>
      <c r="L31" s="296">
        <f>+'Estado de costos'!P33</f>
        <v>0</v>
      </c>
      <c r="M31" s="296"/>
    </row>
    <row r="32" spans="2:13" ht="27.75" customHeight="1" x14ac:dyDescent="0.25">
      <c r="B32" s="140">
        <v>9</v>
      </c>
      <c r="C32" s="295">
        <f>+'Estado de costos'!B34</f>
        <v>0</v>
      </c>
      <c r="D32" s="295"/>
      <c r="E32" s="295"/>
      <c r="F32" s="295"/>
      <c r="G32" s="295"/>
      <c r="H32" s="295"/>
      <c r="I32" s="295"/>
      <c r="J32" s="182">
        <f>+'Estado de costos'!G34</f>
        <v>0</v>
      </c>
      <c r="K32" s="181" t="e">
        <f t="shared" si="0"/>
        <v>#DIV/0!</v>
      </c>
      <c r="L32" s="296">
        <f>+'Estado de costos'!P34</f>
        <v>0</v>
      </c>
      <c r="M32" s="296"/>
    </row>
    <row r="33" spans="2:13" ht="27.75" customHeight="1" x14ac:dyDescent="0.25">
      <c r="B33" s="140">
        <v>10</v>
      </c>
      <c r="C33" s="295">
        <f>+'Estado de costos'!B35</f>
        <v>0</v>
      </c>
      <c r="D33" s="295"/>
      <c r="E33" s="295"/>
      <c r="F33" s="295"/>
      <c r="G33" s="295"/>
      <c r="H33" s="295"/>
      <c r="I33" s="295"/>
      <c r="J33" s="182">
        <f>+'Estado de costos'!G35</f>
        <v>0</v>
      </c>
      <c r="K33" s="181" t="e">
        <f t="shared" si="0"/>
        <v>#DIV/0!</v>
      </c>
      <c r="L33" s="296">
        <f>+'Estado de costos'!P35</f>
        <v>0</v>
      </c>
      <c r="M33" s="296"/>
    </row>
    <row r="34" spans="2:13" ht="27.75" customHeight="1" x14ac:dyDescent="0.25">
      <c r="B34" s="140">
        <v>11</v>
      </c>
      <c r="C34" s="295">
        <f>+'Estado de costos'!B36</f>
        <v>0</v>
      </c>
      <c r="D34" s="295"/>
      <c r="E34" s="295"/>
      <c r="F34" s="295"/>
      <c r="G34" s="295"/>
      <c r="H34" s="295"/>
      <c r="I34" s="295"/>
      <c r="J34" s="182">
        <f>+'Estado de costos'!G36</f>
        <v>0</v>
      </c>
      <c r="K34" s="181" t="e">
        <f t="shared" si="0"/>
        <v>#DIV/0!</v>
      </c>
      <c r="L34" s="296">
        <f>+'Estado de costos'!P36</f>
        <v>0</v>
      </c>
      <c r="M34" s="296"/>
    </row>
    <row r="35" spans="2:13" ht="30.75" customHeight="1" x14ac:dyDescent="0.25">
      <c r="B35" s="140"/>
      <c r="C35" s="288" t="s">
        <v>86</v>
      </c>
      <c r="D35" s="288"/>
      <c r="E35" s="288"/>
      <c r="F35" s="288"/>
      <c r="G35" s="288"/>
      <c r="H35" s="288"/>
      <c r="I35" s="288"/>
      <c r="J35" s="288"/>
      <c r="K35" s="288"/>
      <c r="L35" s="289">
        <f>SUM(L24:M34)</f>
        <v>3125</v>
      </c>
      <c r="M35" s="289"/>
    </row>
    <row r="36" spans="2:13" ht="30.75" customHeight="1" x14ac:dyDescent="0.25">
      <c r="B36" s="139"/>
      <c r="C36" s="288" t="s">
        <v>88</v>
      </c>
      <c r="D36" s="288"/>
      <c r="E36" s="288"/>
      <c r="F36" s="288"/>
      <c r="G36" s="288"/>
      <c r="H36" s="288"/>
      <c r="I36" s="288"/>
      <c r="J36" s="288"/>
      <c r="K36" s="288"/>
      <c r="L36" s="289">
        <f>+'Proforma '!L35:M35*'Estado de costos'!O23</f>
        <v>312.5</v>
      </c>
      <c r="M36" s="289"/>
    </row>
    <row r="37" spans="2:13" ht="30.75" customHeight="1" x14ac:dyDescent="0.25">
      <c r="B37" s="284" t="s">
        <v>80</v>
      </c>
      <c r="C37" s="285"/>
      <c r="D37" s="285"/>
      <c r="E37" s="285"/>
      <c r="F37" s="285"/>
      <c r="G37" s="285"/>
      <c r="H37" s="285"/>
      <c r="I37" s="285"/>
      <c r="J37" s="285"/>
      <c r="K37" s="286"/>
      <c r="L37" s="287">
        <f>+L36+L35</f>
        <v>3437.5</v>
      </c>
      <c r="M37" s="287"/>
    </row>
    <row r="38" spans="2:13" ht="25.5" customHeight="1" x14ac:dyDescent="0.25"/>
    <row r="39" spans="2:13" ht="14.25" customHeight="1" x14ac:dyDescent="0.25">
      <c r="B39" s="84"/>
      <c r="C39" s="84"/>
      <c r="D39" s="93"/>
      <c r="E39" s="93"/>
      <c r="F39" s="93"/>
      <c r="G39" s="93"/>
      <c r="H39" s="93"/>
      <c r="I39" s="93"/>
      <c r="J39" s="93"/>
      <c r="K39" s="93"/>
      <c r="L39" s="93"/>
      <c r="M39" s="93"/>
    </row>
    <row r="40" spans="2:13" ht="9.75" customHeight="1" x14ac:dyDescent="0.35"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</row>
    <row r="41" spans="2:13" ht="9.75" customHeight="1" x14ac:dyDescent="0.35">
      <c r="B41" s="90"/>
      <c r="C41" s="90"/>
      <c r="D41" s="91"/>
      <c r="E41" s="91"/>
      <c r="F41" s="91"/>
      <c r="G41" s="91"/>
      <c r="H41" s="91"/>
      <c r="I41" s="91"/>
      <c r="J41" s="91"/>
      <c r="K41" s="94"/>
      <c r="L41" s="91"/>
      <c r="M41" s="91"/>
    </row>
    <row r="42" spans="2:13" ht="34.5" customHeight="1" x14ac:dyDescent="0.25">
      <c r="B42" s="290" t="s">
        <v>77</v>
      </c>
      <c r="C42" s="291"/>
      <c r="D42" s="292"/>
      <c r="E42" s="293"/>
      <c r="F42" s="293"/>
      <c r="G42" s="293"/>
      <c r="H42" s="293"/>
      <c r="I42" s="293"/>
      <c r="J42" s="293"/>
      <c r="K42" s="293"/>
      <c r="L42" s="293"/>
      <c r="M42" s="294"/>
    </row>
    <row r="43" spans="2:13" ht="6.75" customHeight="1" x14ac:dyDescent="0.35">
      <c r="B43" s="90"/>
      <c r="C43" s="90"/>
      <c r="D43" s="91"/>
      <c r="E43" s="91"/>
      <c r="F43" s="91"/>
      <c r="G43" s="91"/>
      <c r="H43" s="91"/>
      <c r="I43" s="91"/>
      <c r="J43" s="91"/>
      <c r="K43" s="91"/>
      <c r="L43" s="91"/>
      <c r="M43" s="91"/>
    </row>
    <row r="44" spans="2:13" ht="6.75" customHeight="1" x14ac:dyDescent="0.35">
      <c r="B44" s="90"/>
      <c r="C44" s="90"/>
      <c r="D44" s="91"/>
      <c r="E44" s="91"/>
      <c r="F44" s="91"/>
      <c r="G44" s="91"/>
      <c r="H44" s="91"/>
      <c r="I44" s="91"/>
      <c r="J44" s="91"/>
      <c r="K44" s="91"/>
      <c r="L44" s="91"/>
      <c r="M44" s="91"/>
    </row>
    <row r="45" spans="2:13" ht="36" customHeight="1" x14ac:dyDescent="0.25">
      <c r="B45" s="279" t="s">
        <v>76</v>
      </c>
      <c r="C45" s="280"/>
      <c r="D45" s="281" t="s">
        <v>83</v>
      </c>
      <c r="E45" s="282"/>
      <c r="F45" s="282"/>
      <c r="G45" s="282"/>
      <c r="H45" s="282"/>
      <c r="I45" s="282"/>
      <c r="J45" s="282"/>
      <c r="K45" s="282"/>
      <c r="L45" s="282"/>
      <c r="M45" s="283"/>
    </row>
    <row r="61" spans="2:13" ht="15.75" x14ac:dyDescent="0.25">
      <c r="B61" s="95"/>
      <c r="C61" s="95" t="s">
        <v>81</v>
      </c>
      <c r="D61" s="96"/>
      <c r="E61" s="96"/>
      <c r="F61" s="96"/>
      <c r="I61" s="97"/>
      <c r="J61" s="97"/>
      <c r="K61" s="97" t="s">
        <v>82</v>
      </c>
      <c r="L61" s="97"/>
      <c r="M61" s="96"/>
    </row>
  </sheetData>
  <protectedRanges>
    <protectedRange sqref="C13 D42 D45 A24:XFD34" name="Rango1"/>
  </protectedRanges>
  <mergeCells count="42">
    <mergeCell ref="C34:I34"/>
    <mergeCell ref="L34:M34"/>
    <mergeCell ref="C32:I32"/>
    <mergeCell ref="L25:M25"/>
    <mergeCell ref="L26:M26"/>
    <mergeCell ref="L27:M27"/>
    <mergeCell ref="L28:M28"/>
    <mergeCell ref="L29:M29"/>
    <mergeCell ref="L30:M30"/>
    <mergeCell ref="L31:M31"/>
    <mergeCell ref="L32:M32"/>
    <mergeCell ref="C27:I27"/>
    <mergeCell ref="C28:I28"/>
    <mergeCell ref="C29:I29"/>
    <mergeCell ref="C30:I30"/>
    <mergeCell ref="C31:I31"/>
    <mergeCell ref="B10:M10"/>
    <mergeCell ref="B11:M11"/>
    <mergeCell ref="C13:E13"/>
    <mergeCell ref="C16:E16"/>
    <mergeCell ref="B22:B23"/>
    <mergeCell ref="C22:I23"/>
    <mergeCell ref="J22:J23"/>
    <mergeCell ref="K22:K23"/>
    <mergeCell ref="C18:H18"/>
    <mergeCell ref="L22:M23"/>
    <mergeCell ref="C24:I24"/>
    <mergeCell ref="L24:M24"/>
    <mergeCell ref="C33:I33"/>
    <mergeCell ref="L33:M33"/>
    <mergeCell ref="C25:I25"/>
    <mergeCell ref="C26:I26"/>
    <mergeCell ref="B45:C45"/>
    <mergeCell ref="D45:M45"/>
    <mergeCell ref="B37:K37"/>
    <mergeCell ref="L37:M37"/>
    <mergeCell ref="C35:K35"/>
    <mergeCell ref="L35:M35"/>
    <mergeCell ref="C36:K36"/>
    <mergeCell ref="L36:M36"/>
    <mergeCell ref="B42:C42"/>
    <mergeCell ref="D42:M42"/>
  </mergeCells>
  <pageMargins left="0.7" right="0.7" top="0.75" bottom="0.75" header="0.3" footer="0.3"/>
  <pageSetup scale="56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exportar">
                <anchor moveWithCells="1" sizeWithCells="1">
                  <from>
                    <xdr:col>12</xdr:col>
                    <xdr:colOff>447675</xdr:colOff>
                    <xdr:row>2</xdr:row>
                    <xdr:rowOff>38100</xdr:rowOff>
                  </from>
                  <to>
                    <xdr:col>12</xdr:col>
                    <xdr:colOff>1562100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Carta PDF</vt:lpstr>
      <vt:lpstr>Estado de costos</vt:lpstr>
      <vt:lpstr>Proforma </vt:lpstr>
      <vt:lpstr>'Estado de costos'!Área_de_impresión</vt:lpstr>
      <vt:lpstr>'PARA FOTOS'!Área_de_impresión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2017-07-04T20:09:33Z</cp:lastPrinted>
  <dcterms:created xsi:type="dcterms:W3CDTF">2016-10-17T20:34:40Z</dcterms:created>
  <dcterms:modified xsi:type="dcterms:W3CDTF">2019-01-17T14:12:59Z</dcterms:modified>
</cp:coreProperties>
</file>