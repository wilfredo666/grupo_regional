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UNILEVER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costos'!$A$1:$N$87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O10" i="32"/>
  <c r="P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M14" i="32"/>
  <c r="N14" i="32"/>
  <c r="P14" i="32" s="1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L20" i="32"/>
  <c r="O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M26" i="32"/>
  <c r="N26" i="32"/>
  <c r="P26" i="32" s="1"/>
  <c r="O26" i="32"/>
  <c r="J27" i="32"/>
  <c r="K27" i="32"/>
  <c r="L27" i="32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N31" i="32"/>
  <c r="P31" i="32" s="1"/>
  <c r="O31" i="32"/>
  <c r="J32" i="32"/>
  <c r="K32" i="32"/>
  <c r="L32" i="32"/>
  <c r="O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K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O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L41" i="32"/>
  <c r="N41" i="32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M44" i="32" s="1"/>
  <c r="L44" i="32"/>
  <c r="N44" i="32"/>
  <c r="O44" i="32"/>
  <c r="P44" i="32"/>
  <c r="J45" i="32"/>
  <c r="K45" i="32"/>
  <c r="L45" i="32"/>
  <c r="N45" i="32"/>
  <c r="M45" i="32" s="1"/>
  <c r="O45" i="32"/>
  <c r="P45" i="32"/>
  <c r="J46" i="32"/>
  <c r="K46" i="32"/>
  <c r="L46" i="32"/>
  <c r="M46" i="32"/>
  <c r="N46" i="32"/>
  <c r="P46" i="32" s="1"/>
  <c r="O46" i="32"/>
  <c r="J47" i="32"/>
  <c r="K47" i="32"/>
  <c r="L47" i="32"/>
  <c r="N47" i="32"/>
  <c r="P47" i="32" s="1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O50" i="32"/>
  <c r="J51" i="32"/>
  <c r="K51" i="32"/>
  <c r="L51" i="32"/>
  <c r="O51" i="32"/>
  <c r="J52" i="32"/>
  <c r="K52" i="32"/>
  <c r="M52" i="32" s="1"/>
  <c r="L52" i="32"/>
  <c r="N52" i="32"/>
  <c r="O52" i="32"/>
  <c r="P52" i="32"/>
  <c r="J53" i="32"/>
  <c r="K53" i="32"/>
  <c r="L53" i="32"/>
  <c r="O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P58" i="32" s="1"/>
  <c r="O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M128" i="32" s="1"/>
  <c r="L128" i="32"/>
  <c r="N128" i="32"/>
  <c r="O128" i="32"/>
  <c r="P128" i="32"/>
  <c r="J129" i="32"/>
  <c r="K129" i="32"/>
  <c r="L129" i="32"/>
  <c r="N129" i="32"/>
  <c r="M129" i="32" s="1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M131" i="32" s="1"/>
  <c r="O131" i="32"/>
  <c r="P131" i="32"/>
  <c r="J132" i="32"/>
  <c r="K132" i="32"/>
  <c r="L132" i="32"/>
  <c r="M132" i="32"/>
  <c r="N132" i="32"/>
  <c r="O132" i="32"/>
  <c r="P132" i="32"/>
  <c r="J133" i="32"/>
  <c r="K133" i="32"/>
  <c r="L133" i="32"/>
  <c r="N133" i="32"/>
  <c r="M133" i="32" s="1"/>
  <c r="O133" i="32"/>
  <c r="J134" i="32"/>
  <c r="K134" i="32"/>
  <c r="M134" i="32" s="1"/>
  <c r="L134" i="32"/>
  <c r="N134" i="32"/>
  <c r="P134" i="32" s="1"/>
  <c r="O134" i="32"/>
  <c r="J135" i="32"/>
  <c r="K135" i="32"/>
  <c r="L135" i="32"/>
  <c r="N135" i="32"/>
  <c r="M135" i="32" s="1"/>
  <c r="O135" i="32"/>
  <c r="J136" i="32"/>
  <c r="K136" i="32"/>
  <c r="M136" i="32" s="1"/>
  <c r="L136" i="32"/>
  <c r="N136" i="32"/>
  <c r="O136" i="32"/>
  <c r="P136" i="32"/>
  <c r="J137" i="32"/>
  <c r="K137" i="32"/>
  <c r="L137" i="32"/>
  <c r="N137" i="32"/>
  <c r="P137" i="32" s="1"/>
  <c r="O137" i="32"/>
  <c r="J138" i="32"/>
  <c r="K138" i="32"/>
  <c r="M138" i="32" s="1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M140" i="32" s="1"/>
  <c r="L140" i="32"/>
  <c r="N140" i="32"/>
  <c r="O140" i="32"/>
  <c r="P140" i="32"/>
  <c r="J141" i="32"/>
  <c r="K141" i="32"/>
  <c r="L141" i="32"/>
  <c r="N141" i="32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P143" i="32"/>
  <c r="J144" i="32"/>
  <c r="K144" i="32"/>
  <c r="L144" i="32"/>
  <c r="M144" i="32"/>
  <c r="N144" i="32"/>
  <c r="O144" i="32"/>
  <c r="P144" i="32"/>
  <c r="J145" i="32"/>
  <c r="K145" i="32"/>
  <c r="L145" i="32"/>
  <c r="N145" i="32"/>
  <c r="M145" i="32" s="1"/>
  <c r="O145" i="32"/>
  <c r="P145" i="32"/>
  <c r="J146" i="32"/>
  <c r="K146" i="32"/>
  <c r="L146" i="32"/>
  <c r="M146" i="32"/>
  <c r="N146" i="32"/>
  <c r="P146" i="32" s="1"/>
  <c r="O146" i="32"/>
  <c r="J147" i="32"/>
  <c r="K147" i="32"/>
  <c r="L147" i="32"/>
  <c r="N147" i="32"/>
  <c r="M147" i="32" s="1"/>
  <c r="O147" i="32"/>
  <c r="P147" i="32"/>
  <c r="J148" i="32"/>
  <c r="K148" i="32"/>
  <c r="L148" i="32"/>
  <c r="M148" i="32"/>
  <c r="N148" i="32"/>
  <c r="O148" i="32"/>
  <c r="P148" i="32"/>
  <c r="J149" i="32"/>
  <c r="K149" i="32"/>
  <c r="L149" i="32"/>
  <c r="N149" i="32"/>
  <c r="M149" i="32" s="1"/>
  <c r="O149" i="32"/>
  <c r="J150" i="32"/>
  <c r="K150" i="32"/>
  <c r="M150" i="32" s="1"/>
  <c r="L150" i="32"/>
  <c r="N150" i="32"/>
  <c r="P150" i="32" s="1"/>
  <c r="O150" i="32"/>
  <c r="J151" i="32"/>
  <c r="K151" i="32"/>
  <c r="L151" i="32"/>
  <c r="N151" i="32"/>
  <c r="M151" i="32" s="1"/>
  <c r="O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M154" i="32" s="1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M156" i="32" s="1"/>
  <c r="L156" i="32"/>
  <c r="N156" i="32"/>
  <c r="O156" i="32"/>
  <c r="P156" i="32"/>
  <c r="J157" i="32"/>
  <c r="K157" i="32"/>
  <c r="L157" i="32"/>
  <c r="N157" i="32"/>
  <c r="O157" i="32"/>
  <c r="P157" i="32"/>
  <c r="J158" i="32"/>
  <c r="K158" i="32"/>
  <c r="L158" i="32"/>
  <c r="N158" i="32"/>
  <c r="P158" i="32" s="1"/>
  <c r="O158" i="32"/>
  <c r="J159" i="32"/>
  <c r="K159" i="32"/>
  <c r="L159" i="32"/>
  <c r="N159" i="32"/>
  <c r="O159" i="32"/>
  <c r="P159" i="32"/>
  <c r="J160" i="32"/>
  <c r="K160" i="32"/>
  <c r="L160" i="32"/>
  <c r="M160" i="32"/>
  <c r="N160" i="32"/>
  <c r="O160" i="32"/>
  <c r="P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M163" i="32" s="1"/>
  <c r="O163" i="32"/>
  <c r="J164" i="32"/>
  <c r="K164" i="32"/>
  <c r="L164" i="32"/>
  <c r="M164" i="32" s="1"/>
  <c r="N164" i="32"/>
  <c r="O164" i="32"/>
  <c r="P164" i="32"/>
  <c r="J165" i="32"/>
  <c r="K165" i="32"/>
  <c r="L165" i="32"/>
  <c r="M165" i="32" s="1"/>
  <c r="N165" i="32"/>
  <c r="O165" i="32"/>
  <c r="P165" i="32"/>
  <c r="J166" i="32"/>
  <c r="K166" i="32"/>
  <c r="L166" i="32"/>
  <c r="M166" i="32"/>
  <c r="N166" i="32"/>
  <c r="P166" i="32" s="1"/>
  <c r="O166" i="32"/>
  <c r="J167" i="32"/>
  <c r="K167" i="32"/>
  <c r="L167" i="32"/>
  <c r="N167" i="32"/>
  <c r="O167" i="32"/>
  <c r="P167" i="32"/>
  <c r="J168" i="32"/>
  <c r="K168" i="32"/>
  <c r="L168" i="32"/>
  <c r="M168" i="32"/>
  <c r="N168" i="32"/>
  <c r="P168" i="32" s="1"/>
  <c r="O168" i="32"/>
  <c r="J169" i="32"/>
  <c r="K169" i="32"/>
  <c r="L169" i="32"/>
  <c r="N169" i="32"/>
  <c r="P169" i="32" s="1"/>
  <c r="O169" i="32"/>
  <c r="J170" i="32"/>
  <c r="K170" i="32"/>
  <c r="L170" i="32"/>
  <c r="N170" i="32"/>
  <c r="M170" i="32" s="1"/>
  <c r="O170" i="32"/>
  <c r="P170" i="32"/>
  <c r="J171" i="32"/>
  <c r="K171" i="32"/>
  <c r="L171" i="32"/>
  <c r="M171" i="32" s="1"/>
  <c r="N171" i="32"/>
  <c r="O171" i="32"/>
  <c r="P171" i="32"/>
  <c r="J172" i="32"/>
  <c r="K172" i="32"/>
  <c r="L172" i="32"/>
  <c r="M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M174" i="32" s="1"/>
  <c r="O174" i="32"/>
  <c r="P174" i="32"/>
  <c r="J175" i="32"/>
  <c r="K175" i="32"/>
  <c r="L175" i="32"/>
  <c r="M175" i="32" s="1"/>
  <c r="N175" i="32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N178" i="32"/>
  <c r="M178" i="32" s="1"/>
  <c r="O178" i="32"/>
  <c r="P178" i="32"/>
  <c r="J179" i="32"/>
  <c r="K179" i="32"/>
  <c r="L179" i="32"/>
  <c r="M179" i="32" s="1"/>
  <c r="N179" i="32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M182" i="32" s="1"/>
  <c r="O182" i="32"/>
  <c r="P182" i="32"/>
  <c r="J183" i="32"/>
  <c r="K183" i="32"/>
  <c r="L183" i="32"/>
  <c r="M183" i="32" s="1"/>
  <c r="N183" i="32"/>
  <c r="O183" i="32"/>
  <c r="P183" i="32"/>
  <c r="J184" i="32"/>
  <c r="K184" i="32"/>
  <c r="L184" i="32"/>
  <c r="M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L186" i="32"/>
  <c r="N186" i="32"/>
  <c r="M186" i="32" s="1"/>
  <c r="O186" i="32"/>
  <c r="P186" i="32"/>
  <c r="J187" i="32"/>
  <c r="K187" i="32"/>
  <c r="L187" i="32"/>
  <c r="M187" i="32" s="1"/>
  <c r="N187" i="32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M190" i="32" s="1"/>
  <c r="O190" i="32"/>
  <c r="P190" i="32"/>
  <c r="J191" i="32"/>
  <c r="K191" i="32"/>
  <c r="L191" i="32"/>
  <c r="M191" i="32" s="1"/>
  <c r="N191" i="32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L194" i="32"/>
  <c r="N194" i="32"/>
  <c r="M194" i="32" s="1"/>
  <c r="O194" i="32"/>
  <c r="P194" i="32"/>
  <c r="J195" i="32"/>
  <c r="K195" i="32"/>
  <c r="L195" i="32"/>
  <c r="M195" i="32" s="1"/>
  <c r="N195" i="32"/>
  <c r="O195" i="32"/>
  <c r="P195" i="32"/>
  <c r="J196" i="32"/>
  <c r="K196" i="32"/>
  <c r="L196" i="32"/>
  <c r="M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M198" i="32" s="1"/>
  <c r="N198" i="32"/>
  <c r="O198" i="32"/>
  <c r="P198" i="32"/>
  <c r="J199" i="32"/>
  <c r="K199" i="32"/>
  <c r="L199" i="32"/>
  <c r="M199" i="32" s="1"/>
  <c r="N199" i="32"/>
  <c r="O199" i="32"/>
  <c r="P199" i="32"/>
  <c r="J200" i="32"/>
  <c r="K200" i="32"/>
  <c r="L200" i="32"/>
  <c r="M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L202" i="32"/>
  <c r="M202" i="32" s="1"/>
  <c r="N202" i="32"/>
  <c r="O202" i="32"/>
  <c r="P202" i="32"/>
  <c r="J203" i="32"/>
  <c r="K203" i="32"/>
  <c r="L203" i="32"/>
  <c r="M203" i="32" s="1"/>
  <c r="N203" i="32"/>
  <c r="O203" i="32"/>
  <c r="P203" i="32"/>
  <c r="J204" i="32"/>
  <c r="K204" i="32"/>
  <c r="L204" i="32"/>
  <c r="M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M206" i="32" s="1"/>
  <c r="N206" i="32"/>
  <c r="O206" i="32"/>
  <c r="P206" i="32"/>
  <c r="J207" i="32"/>
  <c r="K207" i="32"/>
  <c r="L207" i="32"/>
  <c r="M207" i="32" s="1"/>
  <c r="N207" i="32"/>
  <c r="O207" i="32"/>
  <c r="P207" i="32"/>
  <c r="J208" i="32"/>
  <c r="K208" i="32"/>
  <c r="L208" i="32"/>
  <c r="M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M210" i="32" s="1"/>
  <c r="O210" i="32"/>
  <c r="P210" i="32"/>
  <c r="J211" i="32"/>
  <c r="K211" i="32"/>
  <c r="L211" i="32"/>
  <c r="M211" i="32" s="1"/>
  <c r="N211" i="32"/>
  <c r="O211" i="32"/>
  <c r="P211" i="32"/>
  <c r="J212" i="32"/>
  <c r="K212" i="32"/>
  <c r="L212" i="32"/>
  <c r="M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M214" i="32" s="1"/>
  <c r="O214" i="32"/>
  <c r="P214" i="32"/>
  <c r="J215" i="32"/>
  <c r="K215" i="32"/>
  <c r="L215" i="32"/>
  <c r="M215" i="32" s="1"/>
  <c r="N215" i="32"/>
  <c r="O215" i="32"/>
  <c r="P215" i="32"/>
  <c r="J216" i="32"/>
  <c r="K216" i="32"/>
  <c r="L216" i="32"/>
  <c r="M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M218" i="32" s="1"/>
  <c r="O218" i="32"/>
  <c r="P218" i="32"/>
  <c r="J219" i="32"/>
  <c r="K219" i="32"/>
  <c r="L219" i="32"/>
  <c r="M219" i="32" s="1"/>
  <c r="N219" i="32"/>
  <c r="O219" i="32"/>
  <c r="P219" i="32"/>
  <c r="J220" i="32"/>
  <c r="K220" i="32"/>
  <c r="L220" i="32"/>
  <c r="M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M222" i="32" s="1"/>
  <c r="O222" i="32"/>
  <c r="P222" i="32"/>
  <c r="J223" i="32"/>
  <c r="K223" i="32"/>
  <c r="L223" i="32"/>
  <c r="M223" i="32" s="1"/>
  <c r="N223" i="32"/>
  <c r="O223" i="32"/>
  <c r="P223" i="32"/>
  <c r="J224" i="32"/>
  <c r="K224" i="32"/>
  <c r="L224" i="32"/>
  <c r="M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M226" i="32" s="1"/>
  <c r="O226" i="32"/>
  <c r="P226" i="32"/>
  <c r="J227" i="32"/>
  <c r="K227" i="32"/>
  <c r="L227" i="32"/>
  <c r="M227" i="32" s="1"/>
  <c r="N227" i="32"/>
  <c r="O227" i="32"/>
  <c r="P227" i="32"/>
  <c r="J228" i="32"/>
  <c r="K228" i="32"/>
  <c r="L228" i="32"/>
  <c r="M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M230" i="32" s="1"/>
  <c r="O230" i="32"/>
  <c r="P230" i="32"/>
  <c r="J231" i="32"/>
  <c r="K231" i="32"/>
  <c r="L231" i="32"/>
  <c r="M231" i="32" s="1"/>
  <c r="N231" i="32"/>
  <c r="O231" i="32"/>
  <c r="P231" i="32"/>
  <c r="J232" i="32"/>
  <c r="K232" i="32"/>
  <c r="L232" i="32"/>
  <c r="M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M234" i="32" s="1"/>
  <c r="O234" i="32"/>
  <c r="P234" i="32"/>
  <c r="J235" i="32"/>
  <c r="K235" i="32"/>
  <c r="L235" i="32"/>
  <c r="M235" i="32" s="1"/>
  <c r="N235" i="32"/>
  <c r="O235" i="32"/>
  <c r="P235" i="32"/>
  <c r="J236" i="32"/>
  <c r="K236" i="32"/>
  <c r="L236" i="32"/>
  <c r="M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M238" i="32" s="1"/>
  <c r="O238" i="32"/>
  <c r="P238" i="32"/>
  <c r="J239" i="32"/>
  <c r="K239" i="32"/>
  <c r="L239" i="32"/>
  <c r="M239" i="32" s="1"/>
  <c r="N239" i="32"/>
  <c r="O239" i="32"/>
  <c r="P239" i="32"/>
  <c r="J240" i="32"/>
  <c r="K240" i="32"/>
  <c r="L240" i="32"/>
  <c r="M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M242" i="32" s="1"/>
  <c r="O242" i="32"/>
  <c r="P242" i="32"/>
  <c r="J243" i="32"/>
  <c r="K243" i="32"/>
  <c r="L243" i="32"/>
  <c r="M243" i="32" s="1"/>
  <c r="N243" i="32"/>
  <c r="O243" i="32"/>
  <c r="P243" i="32"/>
  <c r="J244" i="32"/>
  <c r="K244" i="32"/>
  <c r="L244" i="32"/>
  <c r="M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M246" i="32" s="1"/>
  <c r="N246" i="32"/>
  <c r="O246" i="32"/>
  <c r="P246" i="32"/>
  <c r="J247" i="32"/>
  <c r="K247" i="32"/>
  <c r="L247" i="32"/>
  <c r="M247" i="32" s="1"/>
  <c r="N247" i="32"/>
  <c r="O247" i="32"/>
  <c r="P247" i="32"/>
  <c r="J248" i="32"/>
  <c r="K248" i="32"/>
  <c r="L248" i="32"/>
  <c r="M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M250" i="32" s="1"/>
  <c r="N250" i="32"/>
  <c r="O250" i="32"/>
  <c r="P250" i="32"/>
  <c r="J251" i="32"/>
  <c r="K251" i="32"/>
  <c r="L251" i="32"/>
  <c r="M251" i="32" s="1"/>
  <c r="N251" i="32"/>
  <c r="O251" i="32"/>
  <c r="P251" i="32"/>
  <c r="J252" i="32"/>
  <c r="K252" i="32"/>
  <c r="L252" i="32"/>
  <c r="M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M254" i="32" s="1"/>
  <c r="N254" i="32"/>
  <c r="O254" i="32"/>
  <c r="P254" i="32"/>
  <c r="J255" i="32"/>
  <c r="K255" i="32"/>
  <c r="L255" i="32"/>
  <c r="M255" i="32" s="1"/>
  <c r="N255" i="32"/>
  <c r="O255" i="32"/>
  <c r="P255" i="32"/>
  <c r="J256" i="32"/>
  <c r="K256" i="32"/>
  <c r="L256" i="32"/>
  <c r="M256" i="32"/>
  <c r="N256" i="32"/>
  <c r="P256" i="32" s="1"/>
  <c r="O256" i="32"/>
  <c r="J257" i="32"/>
  <c r="K257" i="32"/>
  <c r="L257" i="32"/>
  <c r="N257" i="32"/>
  <c r="O257" i="32"/>
  <c r="J258" i="32"/>
  <c r="K258" i="32"/>
  <c r="L258" i="32"/>
  <c r="N258" i="32"/>
  <c r="O258" i="32"/>
  <c r="P258" i="32"/>
  <c r="J259" i="32"/>
  <c r="K259" i="32"/>
  <c r="L259" i="32"/>
  <c r="M259" i="32" s="1"/>
  <c r="N259" i="32"/>
  <c r="O259" i="32"/>
  <c r="P259" i="32"/>
  <c r="J260" i="32"/>
  <c r="K260" i="32"/>
  <c r="L260" i="32"/>
  <c r="M260" i="32"/>
  <c r="N260" i="32"/>
  <c r="P260" i="32" s="1"/>
  <c r="O260" i="32"/>
  <c r="J261" i="32"/>
  <c r="K261" i="32"/>
  <c r="L261" i="32"/>
  <c r="N261" i="32"/>
  <c r="O261" i="32"/>
  <c r="J262" i="32"/>
  <c r="K262" i="32"/>
  <c r="L262" i="32"/>
  <c r="N262" i="32"/>
  <c r="M262" i="32" s="1"/>
  <c r="O262" i="32"/>
  <c r="P262" i="32"/>
  <c r="J263" i="32"/>
  <c r="K263" i="32"/>
  <c r="L263" i="32"/>
  <c r="M263" i="32" s="1"/>
  <c r="N263" i="32"/>
  <c r="O263" i="32"/>
  <c r="P263" i="32"/>
  <c r="J264" i="32"/>
  <c r="K264" i="32"/>
  <c r="L264" i="32"/>
  <c r="M264" i="32"/>
  <c r="N264" i="32"/>
  <c r="P264" i="32" s="1"/>
  <c r="O264" i="32"/>
  <c r="J265" i="32"/>
  <c r="K265" i="32"/>
  <c r="L265" i="32"/>
  <c r="N265" i="32"/>
  <c r="O265" i="32"/>
  <c r="J266" i="32"/>
  <c r="K266" i="32"/>
  <c r="L266" i="32"/>
  <c r="N266" i="32"/>
  <c r="O266" i="32"/>
  <c r="P266" i="32"/>
  <c r="J267" i="32"/>
  <c r="K267" i="32"/>
  <c r="L267" i="32"/>
  <c r="M267" i="32" s="1"/>
  <c r="N267" i="32"/>
  <c r="O267" i="32"/>
  <c r="P267" i="32"/>
  <c r="J268" i="32"/>
  <c r="K268" i="32"/>
  <c r="L268" i="32"/>
  <c r="M268" i="32"/>
  <c r="N268" i="32"/>
  <c r="P268" i="32" s="1"/>
  <c r="O268" i="32"/>
  <c r="J269" i="32"/>
  <c r="K269" i="32"/>
  <c r="L269" i="32"/>
  <c r="N269" i="32"/>
  <c r="O269" i="32"/>
  <c r="J270" i="32"/>
  <c r="K270" i="32"/>
  <c r="L270" i="32"/>
  <c r="N270" i="32"/>
  <c r="O270" i="32"/>
  <c r="P270" i="32"/>
  <c r="J271" i="32"/>
  <c r="K271" i="32"/>
  <c r="L271" i="32"/>
  <c r="M271" i="32" s="1"/>
  <c r="N271" i="32"/>
  <c r="O271" i="32"/>
  <c r="P271" i="32"/>
  <c r="J272" i="32"/>
  <c r="K272" i="32"/>
  <c r="L272" i="32"/>
  <c r="M272" i="32"/>
  <c r="N272" i="32"/>
  <c r="P272" i="32" s="1"/>
  <c r="O272" i="32"/>
  <c r="J273" i="32"/>
  <c r="K273" i="32"/>
  <c r="L273" i="32"/>
  <c r="N273" i="32"/>
  <c r="O273" i="32"/>
  <c r="J274" i="32"/>
  <c r="K274" i="32"/>
  <c r="L274" i="32"/>
  <c r="N274" i="32"/>
  <c r="M274" i="32" s="1"/>
  <c r="O274" i="32"/>
  <c r="P274" i="32"/>
  <c r="J275" i="32"/>
  <c r="K275" i="32"/>
  <c r="L275" i="32"/>
  <c r="M275" i="32" s="1"/>
  <c r="N275" i="32"/>
  <c r="O275" i="32"/>
  <c r="P275" i="32"/>
  <c r="J276" i="32"/>
  <c r="K276" i="32"/>
  <c r="L276" i="32"/>
  <c r="M276" i="32"/>
  <c r="N276" i="32"/>
  <c r="P276" i="32" s="1"/>
  <c r="O276" i="32"/>
  <c r="J277" i="32"/>
  <c r="K277" i="32"/>
  <c r="L277" i="32"/>
  <c r="N277" i="32"/>
  <c r="O277" i="32"/>
  <c r="J278" i="32"/>
  <c r="K278" i="32"/>
  <c r="L278" i="32"/>
  <c r="N278" i="32"/>
  <c r="M278" i="32" s="1"/>
  <c r="O278" i="32"/>
  <c r="P278" i="32"/>
  <c r="J279" i="32"/>
  <c r="K279" i="32"/>
  <c r="L279" i="32"/>
  <c r="M279" i="32" s="1"/>
  <c r="N279" i="32"/>
  <c r="O279" i="32"/>
  <c r="P279" i="32"/>
  <c r="J280" i="32"/>
  <c r="K280" i="32"/>
  <c r="L280" i="32"/>
  <c r="M280" i="32"/>
  <c r="N280" i="32"/>
  <c r="P280" i="32" s="1"/>
  <c r="O280" i="32"/>
  <c r="J281" i="32"/>
  <c r="K281" i="32"/>
  <c r="L281" i="32"/>
  <c r="N281" i="32"/>
  <c r="O281" i="32"/>
  <c r="J282" i="32"/>
  <c r="K282" i="32"/>
  <c r="L282" i="32"/>
  <c r="N282" i="32"/>
  <c r="O282" i="32"/>
  <c r="P282" i="32"/>
  <c r="J283" i="32"/>
  <c r="K283" i="32"/>
  <c r="L283" i="32"/>
  <c r="M283" i="32" s="1"/>
  <c r="N283" i="32"/>
  <c r="O283" i="32"/>
  <c r="P283" i="32"/>
  <c r="J284" i="32"/>
  <c r="K284" i="32"/>
  <c r="L284" i="32"/>
  <c r="M284" i="32"/>
  <c r="N284" i="32"/>
  <c r="P284" i="32" s="1"/>
  <c r="O284" i="32"/>
  <c r="J285" i="32"/>
  <c r="K285" i="32"/>
  <c r="L285" i="32"/>
  <c r="N285" i="32"/>
  <c r="O285" i="32"/>
  <c r="J286" i="32"/>
  <c r="K286" i="32"/>
  <c r="L286" i="32"/>
  <c r="N286" i="32"/>
  <c r="O286" i="32"/>
  <c r="P286" i="32"/>
  <c r="J287" i="32"/>
  <c r="K287" i="32"/>
  <c r="L287" i="32"/>
  <c r="M287" i="32" s="1"/>
  <c r="N287" i="32"/>
  <c r="O287" i="32"/>
  <c r="P287" i="32"/>
  <c r="J288" i="32"/>
  <c r="K288" i="32"/>
  <c r="L288" i="32"/>
  <c r="M288" i="32"/>
  <c r="N288" i="32"/>
  <c r="P288" i="32" s="1"/>
  <c r="O288" i="32"/>
  <c r="J289" i="32"/>
  <c r="K289" i="32"/>
  <c r="L289" i="32"/>
  <c r="N289" i="32"/>
  <c r="O289" i="32"/>
  <c r="J290" i="32"/>
  <c r="K290" i="32"/>
  <c r="L290" i="32"/>
  <c r="N290" i="32"/>
  <c r="O290" i="32"/>
  <c r="P290" i="32"/>
  <c r="J291" i="32"/>
  <c r="K291" i="32"/>
  <c r="L291" i="32"/>
  <c r="M291" i="32" s="1"/>
  <c r="N291" i="32"/>
  <c r="O291" i="32"/>
  <c r="P291" i="32"/>
  <c r="J292" i="32"/>
  <c r="K292" i="32"/>
  <c r="L292" i="32"/>
  <c r="M292" i="32"/>
  <c r="N292" i="32"/>
  <c r="P292" i="32" s="1"/>
  <c r="O292" i="32"/>
  <c r="J293" i="32"/>
  <c r="K293" i="32"/>
  <c r="L293" i="32"/>
  <c r="N293" i="32"/>
  <c r="O293" i="32"/>
  <c r="J294" i="32"/>
  <c r="K294" i="32"/>
  <c r="L294" i="32"/>
  <c r="N294" i="32"/>
  <c r="O294" i="32"/>
  <c r="P294" i="32"/>
  <c r="J295" i="32"/>
  <c r="K295" i="32"/>
  <c r="L295" i="32"/>
  <c r="N295" i="32"/>
  <c r="M295" i="32" s="1"/>
  <c r="O295" i="32"/>
  <c r="P295" i="32"/>
  <c r="J296" i="32"/>
  <c r="K296" i="32"/>
  <c r="L296" i="32"/>
  <c r="M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M298" i="32" s="1"/>
  <c r="L298" i="32"/>
  <c r="N298" i="32"/>
  <c r="O298" i="32"/>
  <c r="P298" i="32"/>
  <c r="J299" i="32"/>
  <c r="K299" i="32"/>
  <c r="L299" i="32"/>
  <c r="N299" i="32"/>
  <c r="M299" i="32" s="1"/>
  <c r="O299" i="32"/>
  <c r="P299" i="32"/>
  <c r="J300" i="32"/>
  <c r="K300" i="32"/>
  <c r="L300" i="32"/>
  <c r="M300" i="32"/>
  <c r="N300" i="32"/>
  <c r="P300" i="32" s="1"/>
  <c r="O300" i="32"/>
  <c r="G46" i="8"/>
  <c r="I46" i="8"/>
  <c r="K46" i="8"/>
  <c r="G47" i="8"/>
  <c r="I47" i="8" s="1"/>
  <c r="K47" i="8"/>
  <c r="P273" i="32" l="1"/>
  <c r="M273" i="32"/>
  <c r="M297" i="32"/>
  <c r="M294" i="32"/>
  <c r="M290" i="32"/>
  <c r="M286" i="32"/>
  <c r="M282" i="32"/>
  <c r="P277" i="32"/>
  <c r="M277" i="32"/>
  <c r="M266" i="32"/>
  <c r="P261" i="32"/>
  <c r="M261" i="32"/>
  <c r="P293" i="32"/>
  <c r="M293" i="32"/>
  <c r="P289" i="32"/>
  <c r="M289" i="32"/>
  <c r="P285" i="32"/>
  <c r="M285" i="32"/>
  <c r="P281" i="32"/>
  <c r="M281" i="32"/>
  <c r="M270" i="32"/>
  <c r="P265" i="32"/>
  <c r="M265" i="32"/>
  <c r="P257" i="32"/>
  <c r="M257" i="32"/>
  <c r="P269" i="32"/>
  <c r="M269" i="32"/>
  <c r="M258" i="32"/>
  <c r="M158" i="32"/>
  <c r="P127" i="32"/>
  <c r="M127" i="32"/>
  <c r="P111" i="32"/>
  <c r="M111" i="32"/>
  <c r="P95" i="32"/>
  <c r="M95" i="32"/>
  <c r="M253" i="32"/>
  <c r="M249" i="32"/>
  <c r="M245" i="32"/>
  <c r="M241" i="32"/>
  <c r="M237" i="32"/>
  <c r="M233" i="32"/>
  <c r="M229" i="32"/>
  <c r="M225" i="32"/>
  <c r="M221" i="32"/>
  <c r="M217" i="32"/>
  <c r="M213" i="32"/>
  <c r="M209" i="32"/>
  <c r="M205" i="32"/>
  <c r="M201" i="32"/>
  <c r="M197" i="32"/>
  <c r="M193" i="32"/>
  <c r="M189" i="32"/>
  <c r="M185" i="32"/>
  <c r="M181" i="32"/>
  <c r="M177" i="32"/>
  <c r="M173" i="32"/>
  <c r="M169" i="32"/>
  <c r="M161" i="32"/>
  <c r="P115" i="32"/>
  <c r="M115" i="32"/>
  <c r="P99" i="32"/>
  <c r="M99" i="32"/>
  <c r="M167" i="32"/>
  <c r="P163" i="32"/>
  <c r="M162" i="32"/>
  <c r="M159" i="32"/>
  <c r="M157" i="32"/>
  <c r="P151" i="32"/>
  <c r="P149" i="32"/>
  <c r="M143" i="32"/>
  <c r="M141" i="32"/>
  <c r="P135" i="32"/>
  <c r="P133" i="32"/>
  <c r="P119" i="32"/>
  <c r="M119" i="32"/>
  <c r="M117" i="32"/>
  <c r="P103" i="32"/>
  <c r="M103" i="32"/>
  <c r="M101" i="32"/>
  <c r="M155" i="32"/>
  <c r="M153" i="32"/>
  <c r="M139" i="32"/>
  <c r="M137" i="32"/>
  <c r="P123" i="32"/>
  <c r="M123" i="32"/>
  <c r="P107" i="32"/>
  <c r="M107" i="32"/>
  <c r="P91" i="32"/>
  <c r="M91" i="32"/>
  <c r="M87" i="32"/>
  <c r="M83" i="32"/>
  <c r="M79" i="32"/>
  <c r="M75" i="32"/>
  <c r="M71" i="32"/>
  <c r="M67" i="32"/>
  <c r="M63" i="32"/>
  <c r="M59" i="32"/>
  <c r="M55" i="32"/>
  <c r="M47" i="32"/>
  <c r="M43" i="32"/>
  <c r="M39" i="32"/>
  <c r="M35" i="32"/>
  <c r="M31" i="32"/>
  <c r="M23" i="32"/>
  <c r="M19" i="32"/>
  <c r="M15" i="32"/>
  <c r="M11" i="32"/>
  <c r="M7" i="32"/>
  <c r="G44" i="8"/>
  <c r="I44" i="8"/>
  <c r="K44" i="8"/>
  <c r="G45" i="8" l="1"/>
  <c r="I45" i="8"/>
  <c r="K45" i="8"/>
  <c r="G41" i="8"/>
  <c r="I41" i="8" s="1"/>
  <c r="K41" i="8"/>
  <c r="G42" i="8"/>
  <c r="I42" i="8" s="1"/>
  <c r="K42" i="8"/>
  <c r="G43" i="8"/>
  <c r="I43" i="8" s="1"/>
  <c r="K43" i="8"/>
  <c r="G39" i="8" l="1"/>
  <c r="I39" i="8" s="1"/>
  <c r="K39" i="8"/>
  <c r="G40" i="8"/>
  <c r="I40" i="8" s="1"/>
  <c r="K40" i="8"/>
  <c r="C78" i="34" l="1"/>
  <c r="C77" i="34"/>
  <c r="C22" i="34" l="1"/>
  <c r="D35" i="34" s="1"/>
  <c r="A26" i="34" l="1"/>
  <c r="A38" i="34" l="1"/>
  <c r="D73" i="8"/>
  <c r="D9" i="34" l="1"/>
  <c r="J65" i="8" l="1"/>
  <c r="N37" i="32" s="1"/>
  <c r="J60" i="8"/>
  <c r="N32" i="32" s="1"/>
  <c r="J55" i="8"/>
  <c r="N27" i="32" s="1"/>
  <c r="J48" i="8"/>
  <c r="N20" i="32" s="1"/>
  <c r="J31" i="8"/>
  <c r="N3" i="32" s="1"/>
  <c r="P20" i="32" l="1"/>
  <c r="M20" i="32"/>
  <c r="P27" i="32"/>
  <c r="M27" i="32"/>
  <c r="P32" i="32"/>
  <c r="M32" i="32"/>
  <c r="P3" i="32"/>
  <c r="M3" i="32"/>
  <c r="P37" i="32"/>
  <c r="M37" i="32"/>
  <c r="I54" i="8"/>
  <c r="I55" i="8" s="1"/>
  <c r="K2" i="32"/>
  <c r="F25" i="8"/>
  <c r="C26" i="34" s="1"/>
  <c r="B16" i="34" l="1"/>
  <c r="A13" i="34" l="1"/>
  <c r="K64" i="8" l="1"/>
  <c r="K59" i="8"/>
  <c r="K54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60" i="8"/>
  <c r="F65" i="8"/>
  <c r="F55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82" i="8"/>
  <c r="J25" i="8"/>
  <c r="E26" i="34" s="1"/>
  <c r="E25" i="8"/>
  <c r="B26" i="34" s="1"/>
  <c r="I24" i="8"/>
  <c r="I64" i="8"/>
  <c r="I65" i="8" s="1"/>
  <c r="E65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60" i="8"/>
  <c r="I59" i="8"/>
  <c r="I60" i="8" s="1"/>
  <c r="G38" i="8"/>
  <c r="I38" i="8" s="1"/>
  <c r="I48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73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73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9" i="8" l="1"/>
  <c r="K41" i="32" s="1"/>
  <c r="M41" i="32" s="1"/>
  <c r="I34" i="8"/>
  <c r="G69" i="8" l="1"/>
  <c r="F69" i="8" l="1"/>
  <c r="F73" i="8" l="1"/>
  <c r="H78" i="8" s="1"/>
  <c r="J78" i="8"/>
  <c r="N50" i="32" s="1"/>
  <c r="M50" i="32" l="1"/>
  <c r="P50" i="32"/>
  <c r="K9" i="8"/>
  <c r="E34" i="34" s="1"/>
  <c r="C75" i="8"/>
  <c r="H79" i="8" s="1"/>
  <c r="H80" i="8" s="1"/>
  <c r="H81" i="8" s="1"/>
  <c r="J79" i="8"/>
  <c r="N51" i="32" s="1"/>
  <c r="P51" i="32" l="1"/>
  <c r="M51" i="32"/>
  <c r="K8" i="8"/>
  <c r="E35" i="34"/>
  <c r="J81" i="8"/>
  <c r="N53" i="32" s="1"/>
  <c r="D2" i="8"/>
  <c r="D22" i="34" s="1"/>
  <c r="C2" i="8"/>
  <c r="P53" i="32" l="1"/>
  <c r="M53" i="32"/>
  <c r="E36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53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8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63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6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7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75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<sst xmlns="http://schemas.openxmlformats.org/spreadsheetml/2006/main" count="335" uniqueCount="191">
  <si>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</si>
  <si>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</si>
  <si>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</si>
  <si>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</si>
  <si>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</si>
  <si>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</si>
  <si>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</si>
  <si>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</si>
  <si>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</si>
  <si>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</si>
  <si>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</si>
  <si>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</si>
  <si>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</si>
  <si>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</si>
  <si>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</si>
  <si>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</si>
  <si>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</si>
  <si>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</si>
  <si>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</si>
  <si>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</si>
  <si>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</si>
  <si>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</si>
  <si>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</si>
  <si>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</si>
  <si>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</si>
  <si>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</si>
  <si>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</si>
  <si>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</si>
  <si>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</si>
  <si>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</si>
  <si>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</si>
  <si>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</si>
  <si>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</si>
  <si>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</si>
  <si>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</si>
  <si>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</si>
  <si>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</si>
  <si>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</si>
  <si>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</si>
  <si>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</si>
  <si>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</si>
  <si>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</si>
  <si>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</si>
  <si>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</si>
  <si>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</si>
  <si>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</si>
  <si>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</si>
  <si>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</si>
  <si>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</si>
  <si>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</si>
  <si>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</si>
  <si>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</si>
  <si>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</si>
  <si>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</si>
  <si>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</si>
  <si>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</si>
  <si>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</si>
  <si>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</si>
  <si>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</si>
  <si>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</si>
  <si>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</si>
  <si>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</si>
  <si>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</si>
  <si>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</si>
  <si>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</si>
  <si>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</si>
  <si>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</si>
  <si>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</si>
  <si>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</si>
  <si>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</si>
  <si>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</si>
  <si>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</si>
  <si>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</si>
  <si>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</si>
  <si>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</si>
  <si>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</si>
  <si>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</si>
  <si>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</si>
  <si>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</si>
  <si>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</si>
  <si>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</si>
  <si>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</si>
  <si>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</si>
  <si>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</si>
  <si>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</si>
  <si>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</si>
  <si>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</si>
  <si>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</si>
  <si>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</si>
  <si>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</si>
  <si>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</si>
  <si>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</si>
  <si>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</si>
  <si>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</si>
  <si>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</si>
  <si>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</si>
  <si>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</si>
  <si>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</si>
  <si>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</si>
  <si>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</si>
  <si>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</si>
  <si>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</si>
  <si>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</si>
  <si>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</si>
  <si>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</si>
  <si>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</si>
  <si>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</si>
  <si>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</si>
  <si>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</si>
  <si>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</si>
  <si>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</si>
  <si>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</si>
  <si>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</si>
  <si>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</si>
  <si>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</si>
  <si>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</si>
  <si>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</si>
  <si>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</si>
  <si>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</si>
  <si>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</si>
  <si>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</si>
  <si>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</si>
  <si>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</si>
  <si>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</si>
  <si>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</si>
  <si>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</si>
  <si>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</si>
  <si>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</si>
  <si>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</si>
  <si>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</si>
  <si>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</si>
  <si>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</si>
  <si>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</si>
  <si>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</si>
  <si>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</si>
  <si>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</si>
  <si>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</si>
  <si>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</si>
  <si>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</si>
  <si>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</si>
  <si>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</si>
  <si>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</si>
  <si>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</si>
  <si>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</si>
  <si>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</si>
  <si>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</si>
  <si>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</si>
  <si>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</si>
  <si>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</si>
  <si>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</si>
  <si>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</si>
  <si>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</si>
  <si>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</si>
  <si>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</si>
  <si>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</si>
  <si>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</si>
  <si>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</si>
  <si>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</si>
  <si>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</si>
  <si>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</si>
  <si>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</si>
  <si>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</si>
  <si>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</si>
  <si>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</si>
  <si>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</si>
  <si>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</si>
  <si>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</si>
  <si>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</si>
  <si>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</si>
  <si>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</si>
  <si>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</si>
  <si>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</si>
  <si>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</si>
  <si>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</si>
  <si>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</si>
  <si>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</si>
  <si>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</si>
  <si>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UNILEVER </t>
  </si>
  <si>
    <t xml:space="preserve">OMO PIEL SENSIBLE ENDOMARKETING </t>
  </si>
  <si>
    <t>ELABORACION DE BOLSAS ECOLOGICAS DE 20*20 CM</t>
  </si>
  <si>
    <t xml:space="preserve">CUPCAPKES </t>
  </si>
  <si>
    <t xml:space="preserve">SOPORTE LOGISTICO CBBA </t>
  </si>
  <si>
    <t>888</t>
  </si>
  <si>
    <t xml:space="preserve">ENVIO DE BOLSAS A LP Y SC </t>
  </si>
  <si>
    <t xml:space="preserve">TRANSPORTE DE MATERIAL OFICINAS CBBA </t>
  </si>
  <si>
    <t>TRANSPORTE DE MATERIAL OFICINAS LP</t>
  </si>
  <si>
    <t xml:space="preserve">TRANSPORTE Y LOGISTICA DE ENTREGA EN OFICINAS DE CBBA, LP Y SCZ </t>
  </si>
  <si>
    <t xml:space="preserve">GASOLINA </t>
  </si>
  <si>
    <t xml:space="preserve">TRANSPORTE DE MATERIAL OFICINA SCZ </t>
  </si>
  <si>
    <t xml:space="preserve">TRANSPORTE A OFICINA RODRIGUES Y OFICINA INITIATIVE CIUDAD DE LA PAZ </t>
  </si>
  <si>
    <t xml:space="preserve">TRANSPORTE A OFICINA SO BRITIESY OFICINA RAZA CIUDAD DE SANTA CRUZ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</si>
</sst>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74</xdr:row>
      <xdr:rowOff>56031</xdr:rowOff>
    </xdr:from>
    <xdr:to>
      <xdr:col>3</xdr:col>
      <xdr:colOff>717176</xdr:colOff>
      <xdr:row>74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74</xdr:row>
      <xdr:rowOff>67236</xdr:rowOff>
    </xdr:from>
    <xdr:to>
      <xdr:col>4</xdr:col>
      <xdr:colOff>246529</xdr:colOff>
      <xdr:row>75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74</xdr:row>
      <xdr:rowOff>62753</xdr:rowOff>
    </xdr:from>
    <xdr:to>
      <xdr:col>4</xdr:col>
      <xdr:colOff>746312</xdr:colOff>
      <xdr:row>74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74</xdr:row>
      <xdr:rowOff>69476</xdr:rowOff>
    </xdr:from>
    <xdr:to>
      <xdr:col>5</xdr:col>
      <xdr:colOff>159123</xdr:colOff>
      <xdr:row>75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74</xdr:row>
      <xdr:rowOff>64994</xdr:rowOff>
    </xdr:from>
    <xdr:to>
      <xdr:col>5</xdr:col>
      <xdr:colOff>625288</xdr:colOff>
      <xdr:row>74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819150</xdr:colOff>
          <xdr:row>2</xdr:row>
          <xdr:rowOff>85725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6">
        <f>+AVERAGE(M29:P29)</f>
        <v>20066.59</v>
      </c>
      <c r="N30" s="326"/>
      <c r="O30" s="326"/>
      <c r="P30" s="326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6">
        <f>+M30*0.1671</f>
        <v>3353.1271889999998</v>
      </c>
      <c r="N31" s="326"/>
      <c r="O31" s="326"/>
      <c r="P31" s="326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6">
        <f>+M31+M30</f>
        <v>23419.717188999999</v>
      </c>
      <c r="N32" s="326"/>
      <c r="O32" s="326"/>
      <c r="P32" s="326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6">
        <f>+M30*0.0833</f>
        <v>1671.546947</v>
      </c>
      <c r="N33" s="326"/>
      <c r="O33" s="326"/>
      <c r="P33" s="326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6">
        <f>+M30*0.0833</f>
        <v>1671.546947</v>
      </c>
      <c r="N34" s="326"/>
      <c r="O34" s="326"/>
      <c r="P34" s="326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7">
        <f>+M34+M33+M32</f>
        <v>26762.811083000001</v>
      </c>
      <c r="N35" s="327"/>
      <c r="O35" s="327"/>
      <c r="P35" s="327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6">
        <v>2496</v>
      </c>
      <c r="N36" s="326"/>
      <c r="O36" s="326"/>
      <c r="P36" s="326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6">
        <v>208</v>
      </c>
      <c r="N37" s="326"/>
      <c r="O37" s="326"/>
      <c r="P37" s="326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6">
        <v>8</v>
      </c>
      <c r="N38" s="326"/>
      <c r="O38" s="326"/>
      <c r="P38" s="326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6">
        <f>+M35/M37</f>
        <v>128.66736097596154</v>
      </c>
      <c r="N39" s="326"/>
      <c r="O39" s="326"/>
      <c r="P39" s="326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6">
        <v>0</v>
      </c>
      <c r="N40" s="326"/>
      <c r="O40" s="326"/>
      <c r="P40" s="326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7">
        <f>+M40+M39</f>
        <v>128.66736097596154</v>
      </c>
      <c r="N41" s="327"/>
      <c r="O41" s="327"/>
      <c r="P41" s="327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7">
        <f>+M41*M38</f>
        <v>1029.3388878076923</v>
      </c>
      <c r="N42" s="327"/>
      <c r="O42" s="327"/>
      <c r="P42" s="327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7">
        <f>+M41*M36</f>
        <v>321153.73299600004</v>
      </c>
      <c r="N43" s="327"/>
      <c r="O43" s="327"/>
      <c r="P43" s="327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5"/>
  <sheetViews>
    <sheetView showGridLines="0" tabSelected="1" zoomScale="90" zoomScaleNormal="90" zoomScalePageLayoutView="85" workbookViewId="0">
      <pane ySplit="4" topLeftCell="A38" activePane="bottomLeft" state="frozen"/>
      <selection activeCell="A21" sqref="A21"/>
      <selection pane="bottomLeft" activeCell="J47" sqref="J47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92"/>
      <c r="B1" s="392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93"/>
      <c r="B2" s="403" t="s">
        <v>166</v>
      </c>
      <c r="C2" s="276">
        <f ca="1">+H81</f>
        <v>5487.8855545118349</v>
      </c>
      <c r="D2" s="333">
        <f ca="1">+J78+J79</f>
        <v>6203.1</v>
      </c>
      <c r="E2" s="334"/>
      <c r="F2" s="277">
        <f ca="1">+D2-C2</f>
        <v>715.21444548816544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93"/>
      <c r="B3" s="404"/>
      <c r="C3" s="296" t="s">
        <v>168</v>
      </c>
      <c r="D3" s="405" t="s">
        <v>169</v>
      </c>
      <c r="E3" s="40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93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97" t="s">
        <v>172</v>
      </c>
      <c r="C8" s="397"/>
      <c r="D8" s="397"/>
      <c r="E8" s="397"/>
      <c r="F8" s="397"/>
      <c r="G8" s="397"/>
      <c r="H8" s="397"/>
      <c r="I8" s="397"/>
      <c r="J8" s="397"/>
      <c r="K8" s="197">
        <f ca="1">C75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97" t="s">
        <v>173</v>
      </c>
      <c r="C9" s="397"/>
      <c r="D9" s="397"/>
      <c r="E9" s="397"/>
      <c r="F9" s="397"/>
      <c r="G9" s="397"/>
      <c r="H9" s="397"/>
      <c r="I9" s="397"/>
      <c r="J9" s="397"/>
      <c r="K9" s="198">
        <f ca="1">H78</f>
        <v>3973.986091198225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99" t="s">
        <v>177</v>
      </c>
      <c r="D12" s="399"/>
      <c r="E12" s="168">
        <v>1.2</v>
      </c>
      <c r="F12" s="353" t="s">
        <v>52</v>
      </c>
      <c r="G12" s="353"/>
      <c r="H12" s="353"/>
      <c r="I12" s="398"/>
      <c r="J12" s="398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400"/>
      <c r="D14" s="401"/>
      <c r="E14" s="165">
        <v>1.4</v>
      </c>
      <c r="F14" s="189" t="s">
        <v>125</v>
      </c>
      <c r="G14" s="128"/>
      <c r="H14" s="402" t="s">
        <v>178</v>
      </c>
      <c r="I14" s="402"/>
      <c r="J14" s="402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49">
        <v>43508</v>
      </c>
      <c r="D16" s="349"/>
      <c r="E16" s="165">
        <v>1.6</v>
      </c>
      <c r="F16" s="350" t="s">
        <v>127</v>
      </c>
      <c r="G16" s="351"/>
      <c r="H16" s="352"/>
      <c r="I16" s="349">
        <v>43511</v>
      </c>
      <c r="J16" s="349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401">
        <v>30</v>
      </c>
      <c r="D18" s="401"/>
      <c r="E18" s="166" t="s">
        <v>146</v>
      </c>
      <c r="F18" s="353" t="s">
        <v>150</v>
      </c>
      <c r="G18" s="353"/>
      <c r="H18" s="353"/>
      <c r="I18" s="349" t="s">
        <v>171</v>
      </c>
      <c r="J18" s="349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31</v>
      </c>
      <c r="E23" s="315"/>
      <c r="F23" s="147"/>
      <c r="G23" s="134"/>
      <c r="H23" s="207">
        <f>IF(D23="HRS",Hoja1!$D$48,IF('Estado de costos'!D23="DIAS",Hoja1!$E$48))</f>
        <v>30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43" t="s">
        <v>123</v>
      </c>
      <c r="C25" s="345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238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79" t="s">
        <v>153</v>
      </c>
      <c r="C26" s="379"/>
      <c r="D26" s="379"/>
      <c r="E26" s="379"/>
      <c r="F26" s="379"/>
      <c r="G26" s="379"/>
      <c r="H26" s="379"/>
      <c r="I26" s="379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80" t="s">
        <v>1</v>
      </c>
      <c r="C28" s="381"/>
      <c r="D28" s="382"/>
      <c r="E28" s="380" t="s">
        <v>45</v>
      </c>
      <c r="F28" s="381"/>
      <c r="G28" s="381"/>
      <c r="H28" s="381"/>
      <c r="I28" s="382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94" t="s">
        <v>65</v>
      </c>
      <c r="D29" s="395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43" t="s">
        <v>50</v>
      </c>
      <c r="C31" s="344"/>
      <c r="D31" s="344"/>
      <c r="E31" s="344"/>
      <c r="F31" s="344"/>
      <c r="G31" s="344"/>
      <c r="H31" s="345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+I31+I48</f>
        <v>3341.9414201183431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90" t="s">
        <v>154</v>
      </c>
      <c r="C36" s="396"/>
      <c r="D36" s="390" t="s">
        <v>46</v>
      </c>
      <c r="E36" s="391"/>
      <c r="F36" s="391"/>
      <c r="G36" s="391"/>
      <c r="H36" s="391"/>
      <c r="I36" s="391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280</v>
      </c>
      <c r="F38" s="149">
        <v>4</v>
      </c>
      <c r="G38" s="135">
        <f t="shared" ref="G38" si="0">+F38*E38*D38</f>
        <v>1120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974.4</v>
      </c>
      <c r="J38" s="136">
        <v>1820</v>
      </c>
      <c r="K38" s="224" t="str">
        <f t="shared" ref="K38:K47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280</v>
      </c>
      <c r="F39" s="149">
        <v>7</v>
      </c>
      <c r="G39" s="135">
        <f t="shared" ref="G39:G40" si="3">+F39*E39*D39</f>
        <v>1960</v>
      </c>
      <c r="H39" s="150" t="s">
        <v>13</v>
      </c>
      <c r="I39" s="320">
        <f t="shared" ref="I39:I40" si="4">IF(H39="FACTURA",G39*0.87,IF(H39="RECIBO",G39/0.845,IF(H39="SIN IMPUESTO",G39*1,IF(H39="ALQUILER SIN RECIBO",G39/0.84,IF(H39="VIATICOS",G39/0.87,"")))))</f>
        <v>1705.2</v>
      </c>
      <c r="J39" s="136">
        <v>2604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181</v>
      </c>
      <c r="C40" s="146"/>
      <c r="D40" s="147">
        <v>1</v>
      </c>
      <c r="E40" s="148">
        <v>1</v>
      </c>
      <c r="F40" s="149">
        <v>180</v>
      </c>
      <c r="G40" s="135">
        <f t="shared" si="3"/>
        <v>180</v>
      </c>
      <c r="H40" s="150" t="s">
        <v>38</v>
      </c>
      <c r="I40" s="320">
        <f t="shared" si="4"/>
        <v>213.01775147928996</v>
      </c>
      <c r="J40" s="136">
        <v>350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183</v>
      </c>
      <c r="C41" s="146"/>
      <c r="D41" s="147">
        <v>1</v>
      </c>
      <c r="E41" s="148">
        <v>2</v>
      </c>
      <c r="F41" s="149">
        <v>70</v>
      </c>
      <c r="G41" s="135">
        <f t="shared" ref="G41:G43" si="5">+F41*E41*D41</f>
        <v>140</v>
      </c>
      <c r="H41" s="150" t="s">
        <v>13</v>
      </c>
      <c r="I41" s="321">
        <f t="shared" ref="I41:I43" si="6">IF(H41="FACTURA",G41*0.87,IF(H41="RECIBO",G41/0.845,IF(H41="SIN IMPUESTO",G41*1,IF(H41="ALQUILER SIN RECIBO",G41/0.84,IF(H41="VIATICOS",G41/0.87,"")))))</f>
        <v>121.8</v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30.75" customHeight="1" x14ac:dyDescent="0.2">
      <c r="A42" s="165"/>
      <c r="B42" s="145" t="s">
        <v>186</v>
      </c>
      <c r="C42" s="146"/>
      <c r="D42" s="147">
        <v>1</v>
      </c>
      <c r="E42" s="148">
        <v>1</v>
      </c>
      <c r="F42" s="149"/>
      <c r="G42" s="135">
        <f t="shared" si="5"/>
        <v>0</v>
      </c>
      <c r="H42" s="150" t="s">
        <v>38</v>
      </c>
      <c r="I42" s="321">
        <f t="shared" si="6"/>
        <v>0</v>
      </c>
      <c r="J42" s="136">
        <v>480</v>
      </c>
      <c r="K42" s="224" t="str">
        <f t="shared" si="2"/>
        <v>888</v>
      </c>
      <c r="L42" s="225"/>
      <c r="M42" s="170"/>
      <c r="N42" s="225"/>
      <c r="O42" s="225"/>
      <c r="P42" s="170"/>
      <c r="Q42" s="234"/>
      <c r="R42" s="170"/>
      <c r="S42" s="170"/>
      <c r="T42" s="170"/>
      <c r="U42" s="170"/>
      <c r="V42" s="162"/>
    </row>
    <row r="43" spans="1:22" s="125" customFormat="1" ht="30.75" customHeight="1" x14ac:dyDescent="0.2">
      <c r="A43" s="165"/>
      <c r="B43" s="145" t="s">
        <v>184</v>
      </c>
      <c r="C43" s="146" t="s">
        <v>187</v>
      </c>
      <c r="D43" s="147">
        <v>1</v>
      </c>
      <c r="E43" s="148">
        <v>1</v>
      </c>
      <c r="F43" s="149">
        <v>50</v>
      </c>
      <c r="G43" s="135">
        <f t="shared" si="5"/>
        <v>50</v>
      </c>
      <c r="H43" s="150" t="s">
        <v>13</v>
      </c>
      <c r="I43" s="321">
        <f t="shared" si="6"/>
        <v>43.5</v>
      </c>
      <c r="J43" s="136"/>
      <c r="K43" s="224" t="str">
        <f t="shared" si="2"/>
        <v>888</v>
      </c>
      <c r="L43" s="225"/>
      <c r="M43" s="170"/>
      <c r="N43" s="225"/>
      <c r="O43" s="225"/>
      <c r="P43" s="170"/>
      <c r="Q43" s="234"/>
      <c r="R43" s="170"/>
      <c r="S43" s="170"/>
      <c r="T43" s="170"/>
      <c r="U43" s="170"/>
      <c r="V43" s="162"/>
    </row>
    <row r="44" spans="1:22" s="125" customFormat="1" ht="30.75" customHeight="1" x14ac:dyDescent="0.2">
      <c r="A44" s="165"/>
      <c r="B44" s="145" t="s">
        <v>188</v>
      </c>
      <c r="C44" s="146"/>
      <c r="D44" s="147">
        <v>1</v>
      </c>
      <c r="E44" s="148">
        <v>2</v>
      </c>
      <c r="F44" s="149">
        <v>40</v>
      </c>
      <c r="G44" s="135">
        <f t="shared" ref="G44" si="7">+F44*E44*D44</f>
        <v>80</v>
      </c>
      <c r="H44" s="150" t="s">
        <v>38</v>
      </c>
      <c r="I44" s="321">
        <f t="shared" ref="I44" si="8">IF(H44="FACTURA",G44*0.87,IF(H44="RECIBO",G44/0.845,IF(H44="SIN IMPUESTO",G44*1,IF(H44="ALQUILER SIN RECIBO",G44/0.84,IF(H44="VIATICOS",G44/0.87,"")))))</f>
        <v>94.674556213017752</v>
      </c>
      <c r="J44" s="136"/>
      <c r="K44" s="224" t="str">
        <f t="shared" si="2"/>
        <v>888</v>
      </c>
      <c r="L44" s="225"/>
      <c r="M44" s="170"/>
      <c r="N44" s="225"/>
      <c r="O44" s="225"/>
      <c r="P44" s="170"/>
      <c r="Q44" s="234"/>
      <c r="R44" s="170"/>
      <c r="S44" s="170"/>
      <c r="T44" s="170"/>
      <c r="U44" s="170"/>
      <c r="V44" s="162"/>
    </row>
    <row r="45" spans="1:22" s="125" customFormat="1" ht="30.75" customHeight="1" x14ac:dyDescent="0.2">
      <c r="A45" s="165"/>
      <c r="B45" s="145" t="s">
        <v>185</v>
      </c>
      <c r="C45" s="146"/>
      <c r="D45" s="147">
        <v>1</v>
      </c>
      <c r="E45" s="148">
        <v>2</v>
      </c>
      <c r="F45" s="149">
        <v>40</v>
      </c>
      <c r="G45" s="135">
        <f t="shared" ref="G45" si="9">+F45*E45*D45</f>
        <v>80</v>
      </c>
      <c r="H45" s="150" t="s">
        <v>38</v>
      </c>
      <c r="I45" s="321">
        <f t="shared" ref="I45" si="10">IF(H45="FACTURA",G45*0.87,IF(H45="RECIBO",G45/0.845,IF(H45="SIN IMPUESTO",G45*1,IF(H45="ALQUILER SIN RECIBO",G45/0.84,IF(H45="VIATICOS",G45/0.87,"")))))</f>
        <v>94.674556213017752</v>
      </c>
      <c r="J45" s="136"/>
      <c r="K45" s="224" t="str">
        <f t="shared" si="2"/>
        <v>888</v>
      </c>
      <c r="L45" s="225"/>
      <c r="M45" s="170"/>
      <c r="N45" s="225"/>
      <c r="O45" s="225"/>
      <c r="P45" s="170"/>
      <c r="Q45" s="234"/>
      <c r="R45" s="170"/>
      <c r="S45" s="170"/>
      <c r="T45" s="170"/>
      <c r="U45" s="170"/>
      <c r="V45" s="162"/>
    </row>
    <row r="46" spans="1:22" s="125" customFormat="1" ht="30.75" customHeight="1" x14ac:dyDescent="0.2">
      <c r="A46" s="165"/>
      <c r="B46" s="145" t="s">
        <v>189</v>
      </c>
      <c r="C46" s="146"/>
      <c r="D46" s="147">
        <v>1</v>
      </c>
      <c r="E46" s="148">
        <v>2</v>
      </c>
      <c r="F46" s="149">
        <v>15</v>
      </c>
      <c r="G46" s="135">
        <f t="shared" ref="G46:G47" si="11">+F46*E46*D46</f>
        <v>30</v>
      </c>
      <c r="H46" s="150" t="s">
        <v>38</v>
      </c>
      <c r="I46" s="322">
        <f t="shared" ref="I46:I47" si="12">IF(H46="FACTURA",G46*0.87,IF(H46="RECIBO",G46/0.845,IF(H46="SIN IMPUESTO",G46*1,IF(H46="ALQUILER SIN RECIBO",G46/0.84,IF(H46="VIATICOS",G46/0.87,"")))))</f>
        <v>35.502958579881657</v>
      </c>
      <c r="J46" s="136">
        <v>70</v>
      </c>
      <c r="K46" s="224" t="str">
        <f t="shared" si="2"/>
        <v>888</v>
      </c>
      <c r="L46" s="225"/>
      <c r="M46" s="170"/>
      <c r="N46" s="225"/>
      <c r="O46" s="225"/>
      <c r="P46" s="170"/>
      <c r="Q46" s="234"/>
      <c r="R46" s="170"/>
      <c r="S46" s="170"/>
      <c r="T46" s="170"/>
      <c r="U46" s="170"/>
      <c r="V46" s="162"/>
    </row>
    <row r="47" spans="1:22" s="125" customFormat="1" ht="30.75" customHeight="1" x14ac:dyDescent="0.2">
      <c r="A47" s="165"/>
      <c r="B47" s="145" t="s">
        <v>190</v>
      </c>
      <c r="C47" s="146"/>
      <c r="D47" s="147">
        <v>1</v>
      </c>
      <c r="E47" s="148">
        <v>2</v>
      </c>
      <c r="F47" s="149">
        <v>25</v>
      </c>
      <c r="G47" s="135">
        <f t="shared" si="11"/>
        <v>50</v>
      </c>
      <c r="H47" s="150" t="s">
        <v>38</v>
      </c>
      <c r="I47" s="322">
        <f t="shared" si="12"/>
        <v>59.171597633136095</v>
      </c>
      <c r="J47" s="136">
        <v>70</v>
      </c>
      <c r="K47" s="224" t="str">
        <f t="shared" si="2"/>
        <v>888</v>
      </c>
      <c r="L47" s="225"/>
      <c r="M47" s="170"/>
      <c r="N47" s="225"/>
      <c r="O47" s="225"/>
      <c r="P47" s="170"/>
      <c r="Q47" s="234"/>
      <c r="R47" s="170"/>
      <c r="S47" s="170"/>
      <c r="T47" s="170"/>
      <c r="U47" s="170"/>
      <c r="V47" s="162"/>
    </row>
    <row r="48" spans="1:22" s="125" customFormat="1" ht="20.25" customHeight="1" x14ac:dyDescent="0.2">
      <c r="A48" s="165"/>
      <c r="B48" s="343" t="s">
        <v>48</v>
      </c>
      <c r="C48" s="344"/>
      <c r="D48" s="344"/>
      <c r="E48" s="344"/>
      <c r="F48" s="344"/>
      <c r="G48" s="344"/>
      <c r="H48" s="345"/>
      <c r="I48" s="210">
        <f ca="1">SUM(I38:OFFSET(I48,-1,0))</f>
        <v>3341.9414201183431</v>
      </c>
      <c r="J48" s="210">
        <f ca="1">SUM(J38:OFFSET(J48,-1,0))</f>
        <v>5394</v>
      </c>
      <c r="K48" s="224"/>
      <c r="L48" s="225"/>
      <c r="M48" s="170"/>
      <c r="N48" s="239"/>
      <c r="O48" s="239"/>
      <c r="P48" s="170"/>
      <c r="Q48" s="240"/>
      <c r="R48" s="170"/>
      <c r="S48" s="170"/>
      <c r="T48" s="170"/>
      <c r="U48" s="170"/>
      <c r="V48" s="162"/>
    </row>
    <row r="49" spans="1:22" s="125" customFormat="1" ht="23.25" customHeight="1" x14ac:dyDescent="0.2">
      <c r="A49" s="165"/>
      <c r="B49" s="162"/>
      <c r="C49" s="162"/>
      <c r="D49" s="236"/>
      <c r="E49" s="236"/>
      <c r="F49" s="236"/>
      <c r="G49" s="236"/>
      <c r="H49" s="236"/>
      <c r="I49" s="237"/>
      <c r="J49" s="237"/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25" customFormat="1" ht="27.75" customHeight="1" x14ac:dyDescent="0.2">
      <c r="A50" s="165"/>
      <c r="B50" s="383" t="s">
        <v>165</v>
      </c>
      <c r="C50" s="383"/>
      <c r="D50" s="383"/>
      <c r="E50" s="383"/>
      <c r="F50" s="383"/>
      <c r="G50" s="383"/>
      <c r="H50" s="383"/>
      <c r="I50" s="383"/>
      <c r="J50" s="383"/>
      <c r="K50" s="224"/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30" customFormat="1" ht="30" customHeight="1" x14ac:dyDescent="0.25">
      <c r="A51" s="167">
        <v>4</v>
      </c>
      <c r="B51" s="183" t="s">
        <v>151</v>
      </c>
      <c r="C51" s="171"/>
      <c r="D51" s="171"/>
      <c r="E51" s="171"/>
      <c r="F51" s="171"/>
      <c r="G51" s="171"/>
      <c r="H51" s="173"/>
      <c r="I51" s="173"/>
      <c r="J51" s="174"/>
      <c r="K51" s="241"/>
      <c r="L51" s="242"/>
      <c r="M51" s="242"/>
      <c r="N51" s="242"/>
      <c r="O51" s="242"/>
      <c r="P51" s="242"/>
      <c r="Q51" s="240"/>
      <c r="R51" s="242"/>
      <c r="S51" s="242"/>
      <c r="T51" s="242"/>
      <c r="U51" s="242"/>
      <c r="V51" s="171"/>
    </row>
    <row r="52" spans="1:22" s="125" customFormat="1" ht="11.25" customHeight="1" x14ac:dyDescent="0.2">
      <c r="A52" s="165"/>
      <c r="B52" s="162"/>
      <c r="C52" s="162"/>
      <c r="D52" s="162"/>
      <c r="E52" s="162"/>
      <c r="F52" s="162"/>
      <c r="G52" s="175"/>
      <c r="H52" s="175"/>
      <c r="I52" s="175"/>
      <c r="J52" s="176"/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3" customHeight="1" x14ac:dyDescent="0.2">
      <c r="A53" s="165" t="s">
        <v>136</v>
      </c>
      <c r="B53" s="184" t="s">
        <v>128</v>
      </c>
      <c r="C53" s="346" t="s">
        <v>131</v>
      </c>
      <c r="D53" s="347"/>
      <c r="E53" s="238" t="s">
        <v>4</v>
      </c>
      <c r="F53" s="377" t="s">
        <v>6</v>
      </c>
      <c r="G53" s="377"/>
      <c r="H53" s="377"/>
      <c r="I53" s="218" t="s">
        <v>73</v>
      </c>
      <c r="J53" s="307" t="s">
        <v>47</v>
      </c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33.75" customHeight="1" x14ac:dyDescent="0.2">
      <c r="A54" s="165"/>
      <c r="B54" s="151"/>
      <c r="C54" s="348"/>
      <c r="D54" s="348"/>
      <c r="E54" s="148"/>
      <c r="F54" s="378"/>
      <c r="G54" s="378"/>
      <c r="H54" s="378"/>
      <c r="I54" s="235">
        <f>+F54*E54</f>
        <v>0</v>
      </c>
      <c r="J54" s="136"/>
      <c r="K54" s="224" t="str">
        <f>"888"</f>
        <v>888</v>
      </c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25" customFormat="1" ht="26.25" customHeight="1" x14ac:dyDescent="0.2">
      <c r="A55" s="165"/>
      <c r="B55" s="337" t="s">
        <v>5</v>
      </c>
      <c r="C55" s="338"/>
      <c r="D55" s="338"/>
      <c r="E55" s="339"/>
      <c r="F55" s="384">
        <f>SUM(F54:H54)</f>
        <v>0</v>
      </c>
      <c r="G55" s="384"/>
      <c r="H55" s="384"/>
      <c r="I55" s="243">
        <f ca="1">SUM(I54:OFFSET(I55,-1,0))</f>
        <v>0</v>
      </c>
      <c r="J55" s="210">
        <f ca="1">SUM(J54:OFFSET(J55,-1,0))</f>
        <v>0</v>
      </c>
      <c r="K55" s="224"/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30" customFormat="1" ht="26.25" customHeight="1" x14ac:dyDescent="0.25">
      <c r="A56" s="167">
        <v>5</v>
      </c>
      <c r="B56" s="183" t="s">
        <v>170</v>
      </c>
      <c r="C56" s="171"/>
      <c r="D56" s="171"/>
      <c r="E56" s="171"/>
      <c r="F56" s="171"/>
      <c r="G56" s="171"/>
      <c r="H56" s="173"/>
      <c r="I56" s="173"/>
      <c r="J56" s="174"/>
      <c r="K56" s="241"/>
      <c r="L56" s="242"/>
      <c r="M56" s="242"/>
      <c r="N56" s="242"/>
      <c r="O56" s="242"/>
      <c r="P56" s="242"/>
      <c r="Q56" s="240"/>
      <c r="R56" s="242"/>
      <c r="S56" s="242"/>
      <c r="T56" s="242"/>
      <c r="U56" s="242"/>
      <c r="V56" s="171"/>
    </row>
    <row r="57" spans="1:22" s="125" customFormat="1" ht="9" customHeight="1" x14ac:dyDescent="0.2">
      <c r="A57" s="165"/>
      <c r="B57" s="162"/>
      <c r="C57" s="162"/>
      <c r="D57" s="162"/>
      <c r="E57" s="162"/>
      <c r="F57" s="162"/>
      <c r="G57" s="175"/>
      <c r="H57" s="175"/>
      <c r="I57" s="175"/>
      <c r="J57" s="176"/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30.75" customHeight="1" x14ac:dyDescent="0.2">
      <c r="A58" s="165" t="s">
        <v>137</v>
      </c>
      <c r="B58" s="184" t="s">
        <v>129</v>
      </c>
      <c r="C58" s="346" t="s">
        <v>67</v>
      </c>
      <c r="D58" s="347"/>
      <c r="E58" s="238" t="s">
        <v>2</v>
      </c>
      <c r="F58" s="377" t="s">
        <v>6</v>
      </c>
      <c r="G58" s="377"/>
      <c r="H58" s="377"/>
      <c r="I58" s="218" t="s">
        <v>73</v>
      </c>
      <c r="J58" s="304" t="s">
        <v>47</v>
      </c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30" customHeight="1" x14ac:dyDescent="0.2">
      <c r="A59" s="165"/>
      <c r="B59" s="151"/>
      <c r="C59" s="342"/>
      <c r="D59" s="342"/>
      <c r="E59" s="152"/>
      <c r="F59" s="375"/>
      <c r="G59" s="375"/>
      <c r="H59" s="375"/>
      <c r="I59" s="235">
        <f>+F59*E59</f>
        <v>0</v>
      </c>
      <c r="J59" s="136"/>
      <c r="K59" s="224" t="str">
        <f>"888"</f>
        <v>888</v>
      </c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25" customFormat="1" ht="24" customHeight="1" x14ac:dyDescent="0.2">
      <c r="A60" s="165"/>
      <c r="B60" s="337" t="s">
        <v>5</v>
      </c>
      <c r="C60" s="338"/>
      <c r="D60" s="339"/>
      <c r="E60" s="244">
        <f>SUM(E59:E59)</f>
        <v>0</v>
      </c>
      <c r="F60" s="376">
        <f>SUM(F59:H59)</f>
        <v>0</v>
      </c>
      <c r="G60" s="376"/>
      <c r="H60" s="376"/>
      <c r="I60" s="243">
        <f ca="1">SUM(I59:OFFSET(I60,-1,0))</f>
        <v>0</v>
      </c>
      <c r="J60" s="210">
        <f ca="1">SUM(J59:OFFSET(J60,-1,0))</f>
        <v>0</v>
      </c>
      <c r="K60" s="224"/>
      <c r="L60" s="170"/>
      <c r="M60" s="170"/>
      <c r="N60" s="170"/>
      <c r="O60" s="170"/>
      <c r="P60" s="170"/>
      <c r="Q60" s="240"/>
      <c r="R60" s="170"/>
      <c r="S60" s="170"/>
      <c r="T60" s="170"/>
      <c r="U60" s="170"/>
      <c r="V60" s="162"/>
    </row>
    <row r="61" spans="1:22" s="130" customFormat="1" ht="26.25" customHeight="1" x14ac:dyDescent="0.25">
      <c r="A61" s="167">
        <v>6</v>
      </c>
      <c r="B61" s="183" t="s">
        <v>132</v>
      </c>
      <c r="C61" s="171"/>
      <c r="D61" s="171"/>
      <c r="E61" s="171"/>
      <c r="F61" s="171"/>
      <c r="G61" s="171"/>
      <c r="H61" s="173"/>
      <c r="I61" s="173"/>
      <c r="J61" s="174"/>
      <c r="K61" s="241"/>
      <c r="L61" s="242"/>
      <c r="M61" s="242"/>
      <c r="N61" s="242"/>
      <c r="O61" s="242"/>
      <c r="P61" s="242"/>
      <c r="Q61" s="240"/>
      <c r="R61" s="242"/>
      <c r="S61" s="242"/>
      <c r="T61" s="242"/>
      <c r="U61" s="242"/>
      <c r="V61" s="171"/>
    </row>
    <row r="62" spans="1:22" s="125" customFormat="1" ht="10.5" customHeight="1" x14ac:dyDescent="0.2">
      <c r="A62" s="165"/>
      <c r="B62" s="162"/>
      <c r="C62" s="162"/>
      <c r="D62" s="162"/>
      <c r="E62" s="162"/>
      <c r="F62" s="162"/>
      <c r="G62" s="175"/>
      <c r="H62" s="175"/>
      <c r="I62" s="175"/>
      <c r="J62" s="176"/>
      <c r="K62" s="224"/>
      <c r="L62" s="170"/>
      <c r="M62" s="170"/>
      <c r="N62" s="170"/>
      <c r="O62" s="170"/>
      <c r="P62" s="170"/>
      <c r="Q62" s="240"/>
      <c r="R62" s="170"/>
      <c r="S62" s="170"/>
      <c r="T62" s="170"/>
      <c r="U62" s="170"/>
      <c r="V62" s="162"/>
    </row>
    <row r="63" spans="1:22" s="125" customFormat="1" ht="26.25" customHeight="1" x14ac:dyDescent="0.2">
      <c r="A63" s="165" t="s">
        <v>138</v>
      </c>
      <c r="B63" s="184" t="s">
        <v>129</v>
      </c>
      <c r="C63" s="346" t="s">
        <v>67</v>
      </c>
      <c r="D63" s="347"/>
      <c r="E63" s="238" t="s">
        <v>2</v>
      </c>
      <c r="F63" s="377" t="s">
        <v>6</v>
      </c>
      <c r="G63" s="377"/>
      <c r="H63" s="377"/>
      <c r="I63" s="172" t="s">
        <v>73</v>
      </c>
      <c r="J63" s="308" t="s">
        <v>47</v>
      </c>
      <c r="K63" s="224"/>
      <c r="L63" s="170"/>
      <c r="M63" s="170"/>
      <c r="N63" s="170"/>
      <c r="O63" s="170"/>
      <c r="P63" s="170"/>
      <c r="Q63" s="240"/>
      <c r="R63" s="170"/>
      <c r="S63" s="170"/>
      <c r="T63" s="170"/>
      <c r="U63" s="170"/>
      <c r="V63" s="162"/>
    </row>
    <row r="64" spans="1:22" s="125" customFormat="1" ht="26.25" customHeight="1" x14ac:dyDescent="0.2">
      <c r="A64" s="165"/>
      <c r="B64" s="151"/>
      <c r="C64" s="340"/>
      <c r="D64" s="341"/>
      <c r="E64" s="152"/>
      <c r="F64" s="375"/>
      <c r="G64" s="375"/>
      <c r="H64" s="375"/>
      <c r="I64" s="235">
        <f>+F64*E64</f>
        <v>0</v>
      </c>
      <c r="J64" s="136"/>
      <c r="K64" s="224" t="str">
        <f>"888"</f>
        <v>888</v>
      </c>
      <c r="L64" s="170"/>
      <c r="M64" s="170"/>
      <c r="N64" s="170"/>
      <c r="O64" s="170"/>
      <c r="P64" s="170"/>
      <c r="Q64" s="240"/>
      <c r="R64" s="170"/>
      <c r="S64" s="170"/>
      <c r="T64" s="170"/>
      <c r="U64" s="170"/>
      <c r="V64" s="162"/>
    </row>
    <row r="65" spans="1:22" s="125" customFormat="1" ht="26.25" customHeight="1" x14ac:dyDescent="0.2">
      <c r="A65" s="165"/>
      <c r="B65" s="337" t="s">
        <v>5</v>
      </c>
      <c r="C65" s="338"/>
      <c r="D65" s="339"/>
      <c r="E65" s="244">
        <f>SUM(E64:E64)</f>
        <v>0</v>
      </c>
      <c r="F65" s="376">
        <f>SUM(F64:H64)</f>
        <v>0</v>
      </c>
      <c r="G65" s="376"/>
      <c r="H65" s="376"/>
      <c r="I65" s="243">
        <f ca="1">SUM(I64:OFFSET(I65,-1,0))</f>
        <v>0</v>
      </c>
      <c r="J65" s="210">
        <f ca="1">SUM(J64:OFFSET(J65,-1,0))</f>
        <v>0</v>
      </c>
      <c r="K65" s="224"/>
      <c r="L65" s="170"/>
      <c r="M65" s="170"/>
      <c r="N65" s="170"/>
      <c r="O65" s="170"/>
      <c r="P65" s="170"/>
      <c r="Q65" s="240"/>
      <c r="R65" s="170"/>
      <c r="S65" s="170"/>
      <c r="T65" s="170"/>
      <c r="U65" s="170"/>
      <c r="V65" s="162"/>
    </row>
    <row r="66" spans="1:22" s="130" customFormat="1" ht="34.5" customHeight="1" x14ac:dyDescent="0.25">
      <c r="A66" s="167">
        <v>7</v>
      </c>
      <c r="B66" s="354" t="s">
        <v>51</v>
      </c>
      <c r="C66" s="355"/>
      <c r="D66" s="355"/>
      <c r="E66" s="355"/>
      <c r="F66" s="355"/>
      <c r="G66" s="355"/>
      <c r="H66" s="355"/>
      <c r="I66" s="171"/>
      <c r="J66" s="245"/>
      <c r="K66" s="212"/>
      <c r="L66" s="242"/>
      <c r="M66" s="242"/>
      <c r="N66" s="242"/>
      <c r="O66" s="242"/>
      <c r="P66" s="242"/>
      <c r="Q66" s="240"/>
      <c r="R66" s="242"/>
      <c r="S66" s="242"/>
      <c r="T66" s="242"/>
      <c r="U66" s="242"/>
      <c r="V66" s="171"/>
    </row>
    <row r="67" spans="1:22" s="125" customFormat="1" ht="9" customHeight="1" thickBot="1" x14ac:dyDescent="0.25">
      <c r="A67" s="165"/>
      <c r="B67" s="162"/>
      <c r="C67" s="162"/>
      <c r="D67" s="162"/>
      <c r="E67" s="162"/>
      <c r="F67" s="162"/>
      <c r="G67" s="170"/>
      <c r="H67" s="170"/>
      <c r="I67" s="170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79.5" customHeight="1" thickBot="1" x14ac:dyDescent="0.25">
      <c r="A68" s="165">
        <v>7.1</v>
      </c>
      <c r="B68" s="388" t="s">
        <v>54</v>
      </c>
      <c r="C68" s="389"/>
      <c r="D68" s="248" t="s">
        <v>32</v>
      </c>
      <c r="E68" s="249" t="s">
        <v>30</v>
      </c>
      <c r="F68" s="248" t="s">
        <v>33</v>
      </c>
      <c r="G68" s="250" t="s">
        <v>36</v>
      </c>
      <c r="H68" s="251"/>
      <c r="I68" s="251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40.5" customHeight="1" thickBot="1" x14ac:dyDescent="0.25">
      <c r="A69" s="165"/>
      <c r="B69" s="252"/>
      <c r="C69" s="252"/>
      <c r="D69" s="253">
        <f ca="1">I48+I31+I25+I65</f>
        <v>3341.9414201183431</v>
      </c>
      <c r="E69" s="254">
        <v>0.17</v>
      </c>
      <c r="F69" s="253">
        <f ca="1">+E69*D69</f>
        <v>568.13004142011835</v>
      </c>
      <c r="G69" s="255" t="e">
        <f>+#REF!+#REF!+#REF!</f>
        <v>#REF!</v>
      </c>
      <c r="H69" s="256"/>
      <c r="I69" s="257"/>
      <c r="J69" s="162"/>
      <c r="K69" s="246"/>
      <c r="L69" s="162"/>
      <c r="M69" s="162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25" customFormat="1" ht="15" x14ac:dyDescent="0.2">
      <c r="A70" s="165"/>
      <c r="B70" s="162"/>
      <c r="C70" s="162"/>
      <c r="D70" s="162"/>
      <c r="E70" s="162"/>
      <c r="F70" s="162"/>
      <c r="G70" s="170"/>
      <c r="H70" s="170"/>
      <c r="I70" s="170"/>
      <c r="J70" s="162"/>
      <c r="K70" s="246"/>
      <c r="L70" s="162"/>
      <c r="M70" s="162"/>
      <c r="N70" s="162"/>
      <c r="O70" s="162"/>
      <c r="P70" s="162"/>
      <c r="Q70" s="247"/>
      <c r="R70" s="162"/>
      <c r="S70" s="196"/>
      <c r="T70" s="162"/>
      <c r="U70" s="162"/>
      <c r="V70" s="162"/>
    </row>
    <row r="71" spans="1:22" s="125" customFormat="1" thickBot="1" x14ac:dyDescent="0.25">
      <c r="A71" s="165"/>
      <c r="B71" s="162"/>
      <c r="C71" s="162"/>
      <c r="D71" s="162"/>
      <c r="E71" s="162"/>
      <c r="F71" s="162"/>
      <c r="G71" s="170"/>
      <c r="H71" s="170"/>
      <c r="I71" s="170"/>
      <c r="J71" s="162"/>
      <c r="K71" s="246"/>
      <c r="L71" s="162"/>
      <c r="M71" s="162"/>
      <c r="N71" s="162"/>
      <c r="O71" s="162"/>
      <c r="P71" s="162"/>
      <c r="Q71" s="247"/>
      <c r="R71" s="162"/>
      <c r="S71" s="196"/>
      <c r="T71" s="162"/>
      <c r="U71" s="162"/>
      <c r="V71" s="162"/>
    </row>
    <row r="72" spans="1:22" s="125" customFormat="1" ht="75.75" customHeight="1" thickBot="1" x14ac:dyDescent="0.25">
      <c r="A72" s="165">
        <v>7.2</v>
      </c>
      <c r="B72" s="386" t="s">
        <v>18</v>
      </c>
      <c r="C72" s="387"/>
      <c r="D72" s="248" t="s">
        <v>8</v>
      </c>
      <c r="E72" s="249" t="s">
        <v>29</v>
      </c>
      <c r="F72" s="248" t="s">
        <v>24</v>
      </c>
      <c r="G72" s="250" t="s">
        <v>12</v>
      </c>
      <c r="H72" s="251"/>
      <c r="I72" s="251"/>
      <c r="J72" s="258"/>
      <c r="K72" s="246"/>
      <c r="L72" s="162"/>
      <c r="M72" s="162"/>
      <c r="N72" s="162"/>
      <c r="O72" s="162"/>
      <c r="P72" s="162"/>
      <c r="Q72" s="247"/>
      <c r="R72" s="162"/>
      <c r="S72" s="196"/>
      <c r="T72" s="162"/>
      <c r="U72" s="162"/>
      <c r="V72" s="162"/>
    </row>
    <row r="73" spans="1:22" s="125" customFormat="1" ht="25.5" customHeight="1" thickBot="1" x14ac:dyDescent="0.25">
      <c r="A73" s="162"/>
      <c r="B73" s="385"/>
      <c r="C73" s="385"/>
      <c r="D73" s="259">
        <f>+C18</f>
        <v>30</v>
      </c>
      <c r="E73" s="260">
        <f>Hoja1!F14</f>
        <v>5.4487179487179495E-4</v>
      </c>
      <c r="F73" s="261">
        <f ca="1">+E73*D73*(D69+F69)</f>
        <v>63.914629659763314</v>
      </c>
      <c r="G73" s="262" t="e">
        <f>+#REF!</f>
        <v>#REF!</v>
      </c>
      <c r="H73" s="263"/>
      <c r="I73" s="239"/>
      <c r="J73" s="162"/>
      <c r="K73" s="246"/>
      <c r="L73" s="162"/>
      <c r="M73" s="162"/>
      <c r="N73" s="162"/>
      <c r="O73" s="162"/>
      <c r="P73" s="162"/>
      <c r="Q73" s="247"/>
      <c r="R73" s="162"/>
      <c r="S73" s="196"/>
      <c r="T73" s="162"/>
      <c r="U73" s="162"/>
      <c r="V73" s="162"/>
    </row>
    <row r="74" spans="1:22" s="125" customFormat="1" ht="32.25" customHeight="1" thickBot="1" x14ac:dyDescent="0.25">
      <c r="A74" s="162"/>
      <c r="B74" s="162"/>
      <c r="C74" s="162"/>
      <c r="D74" s="162"/>
      <c r="E74" s="162"/>
      <c r="F74" s="162"/>
      <c r="G74" s="162"/>
      <c r="H74" s="170"/>
      <c r="I74" s="264"/>
      <c r="J74" s="162"/>
      <c r="K74" s="246"/>
      <c r="L74" s="162"/>
      <c r="M74" s="162"/>
      <c r="N74" s="162"/>
      <c r="O74" s="162"/>
      <c r="P74" s="162"/>
      <c r="Q74" s="247"/>
      <c r="R74" s="162"/>
      <c r="S74" s="196"/>
      <c r="T74" s="162"/>
      <c r="U74" s="162"/>
      <c r="V74" s="162"/>
    </row>
    <row r="75" spans="1:22" s="125" customFormat="1" ht="21" thickBot="1" x14ac:dyDescent="0.25">
      <c r="A75" s="162"/>
      <c r="B75" s="265" t="s">
        <v>160</v>
      </c>
      <c r="C75" s="266">
        <f ca="1">IF(H78&lt;5000,0.16,IF(H78&lt;50000,0.15,IF(H78&gt;50000,0.14)))</f>
        <v>0.16</v>
      </c>
      <c r="D75" s="267"/>
      <c r="E75" s="267"/>
      <c r="F75" s="268"/>
      <c r="G75" s="153"/>
      <c r="H75" s="154">
        <v>0.15</v>
      </c>
      <c r="I75" s="335" t="s">
        <v>155</v>
      </c>
      <c r="J75" s="336"/>
      <c r="K75" s="268"/>
      <c r="L75" s="285"/>
      <c r="M75" s="286"/>
      <c r="N75" s="162"/>
      <c r="O75" s="162"/>
      <c r="P75" s="162"/>
      <c r="Q75" s="247"/>
      <c r="R75" s="162"/>
      <c r="S75" s="196"/>
      <c r="T75" s="162"/>
      <c r="U75" s="162"/>
      <c r="V75" s="162"/>
    </row>
    <row r="76" spans="1:22" s="155" customFormat="1" ht="24" customHeight="1" thickBot="1" x14ac:dyDescent="0.3">
      <c r="A76" s="269"/>
      <c r="B76" s="270"/>
      <c r="C76" s="271"/>
      <c r="D76" s="272"/>
      <c r="E76" s="272"/>
      <c r="F76" s="229"/>
      <c r="G76" s="144"/>
      <c r="H76" s="229"/>
      <c r="I76" s="229"/>
      <c r="J76" s="269"/>
      <c r="K76" s="279"/>
      <c r="L76" s="269"/>
      <c r="M76" s="269"/>
      <c r="N76" s="269"/>
      <c r="O76" s="269"/>
      <c r="P76" s="269"/>
      <c r="Q76" s="280"/>
      <c r="R76" s="269"/>
      <c r="S76" s="281"/>
      <c r="T76" s="269"/>
      <c r="U76" s="269"/>
      <c r="V76" s="269"/>
    </row>
    <row r="77" spans="1:22" s="125" customFormat="1" ht="22.5" customHeight="1" x14ac:dyDescent="0.25">
      <c r="A77" s="162"/>
      <c r="B77" s="273"/>
      <c r="C77" s="273"/>
      <c r="D77" s="273"/>
      <c r="E77" s="162"/>
      <c r="F77" s="162"/>
      <c r="H77" s="328" t="s">
        <v>34</v>
      </c>
      <c r="I77" s="329"/>
      <c r="J77" s="328" t="s">
        <v>167</v>
      </c>
      <c r="K77" s="329"/>
      <c r="L77" s="273"/>
      <c r="M77" s="282"/>
      <c r="N77" s="282"/>
      <c r="O77" s="282"/>
      <c r="P77" s="282"/>
      <c r="Q77" s="247"/>
      <c r="R77" s="162"/>
      <c r="S77" s="196"/>
      <c r="T77" s="162"/>
      <c r="U77" s="162"/>
      <c r="V77" s="162"/>
    </row>
    <row r="78" spans="1:22" s="125" customFormat="1" ht="27.75" customHeight="1" x14ac:dyDescent="0.2">
      <c r="A78" s="162"/>
      <c r="B78" s="274"/>
      <c r="C78" s="370" t="s">
        <v>15</v>
      </c>
      <c r="D78" s="371"/>
      <c r="E78" s="371"/>
      <c r="F78" s="371"/>
      <c r="G78" s="300"/>
      <c r="H78" s="358">
        <f ca="1">+F73+F69+I48+I31+I60+I55+I65+I25</f>
        <v>3973.986091198225</v>
      </c>
      <c r="I78" s="359"/>
      <c r="J78" s="330">
        <f ca="1">IF(I18="EXTERNO",J65+J60+J55+J48+J31+J25,IF(I18="INTERNO",H78))</f>
        <v>5394</v>
      </c>
      <c r="K78" s="330"/>
      <c r="L78" s="283"/>
      <c r="M78" s="284"/>
      <c r="N78" s="284"/>
      <c r="O78" s="284"/>
      <c r="P78" s="284"/>
      <c r="Q78" s="247"/>
      <c r="R78" s="162"/>
      <c r="S78" s="196"/>
      <c r="T78" s="162"/>
      <c r="U78" s="162"/>
      <c r="V78" s="162"/>
    </row>
    <row r="79" spans="1:22" s="125" customFormat="1" ht="26.25" customHeight="1" x14ac:dyDescent="0.2">
      <c r="A79" s="165">
        <v>7.3</v>
      </c>
      <c r="B79" s="274"/>
      <c r="C79" s="368" t="s">
        <v>162</v>
      </c>
      <c r="D79" s="369"/>
      <c r="E79" s="369"/>
      <c r="F79" s="369"/>
      <c r="G79" s="301"/>
      <c r="H79" s="358">
        <f ca="1">IF(I18="EXTERNO",IF(OR(C75="",C75=0),H78*C75,H78*C75),IF(I18="INTERNO",H78))</f>
        <v>635.83777459171597</v>
      </c>
      <c r="I79" s="359"/>
      <c r="J79" s="330">
        <f ca="1">IF(I18="EXTERNO",J78*H75,IF(I18="INTERNO",J78))</f>
        <v>809.1</v>
      </c>
      <c r="K79" s="330"/>
      <c r="L79" s="283"/>
      <c r="M79" s="284"/>
      <c r="N79" s="284"/>
      <c r="O79" s="284"/>
      <c r="P79" s="284"/>
      <c r="Q79" s="247"/>
      <c r="R79" s="162"/>
      <c r="S79" s="196"/>
      <c r="T79" s="162"/>
      <c r="U79" s="162"/>
      <c r="V79" s="162"/>
    </row>
    <row r="80" spans="1:22" s="125" customFormat="1" ht="27.75" customHeight="1" x14ac:dyDescent="0.2">
      <c r="A80" s="162"/>
      <c r="B80" s="274"/>
      <c r="C80" s="368" t="s">
        <v>164</v>
      </c>
      <c r="D80" s="369"/>
      <c r="E80" s="369"/>
      <c r="F80" s="369"/>
      <c r="G80" s="301"/>
      <c r="H80" s="358">
        <f ca="1">IF(I18="EXTERNO",H79+H78,IF(I18="INTERNO",H78))</f>
        <v>4609.823865789941</v>
      </c>
      <c r="I80" s="359"/>
      <c r="J80" s="331"/>
      <c r="K80" s="332"/>
      <c r="L80" s="283"/>
      <c r="M80" s="284"/>
      <c r="N80" s="284"/>
      <c r="O80" s="284"/>
      <c r="P80" s="284"/>
      <c r="Q80" s="247"/>
      <c r="R80" s="162"/>
      <c r="S80" s="196"/>
      <c r="T80" s="162"/>
      <c r="U80" s="162"/>
      <c r="V80" s="303"/>
    </row>
    <row r="81" spans="1:22" s="125" customFormat="1" ht="27.75" customHeight="1" x14ac:dyDescent="0.25">
      <c r="A81" s="162"/>
      <c r="B81" s="273"/>
      <c r="C81" s="372" t="s">
        <v>163</v>
      </c>
      <c r="D81" s="373"/>
      <c r="E81" s="373"/>
      <c r="F81" s="373"/>
      <c r="G81" s="302"/>
      <c r="H81" s="358">
        <f ca="1">IF(I18="EXTERNO",H80/0.84,IF(I18="INTERNO",H78))</f>
        <v>5487.8855545118349</v>
      </c>
      <c r="I81" s="359"/>
      <c r="J81" s="330">
        <f ca="1">IF(I18="EXTERNO",J78+J79,IF(I18="INTERNO",J78))</f>
        <v>6203.1</v>
      </c>
      <c r="K81" s="330"/>
      <c r="L81" s="287"/>
      <c r="M81" s="288"/>
      <c r="N81" s="288"/>
      <c r="O81" s="288"/>
      <c r="P81" s="288"/>
      <c r="Q81" s="289"/>
      <c r="R81" s="290"/>
      <c r="S81" s="196"/>
      <c r="T81" s="162"/>
      <c r="U81" s="162"/>
      <c r="V81" s="258"/>
    </row>
    <row r="82" spans="1:22" s="125" customFormat="1" ht="19.5" customHeight="1" x14ac:dyDescent="0.2">
      <c r="A82" s="162"/>
      <c r="B82" s="162"/>
      <c r="C82" s="162"/>
      <c r="D82" s="162"/>
      <c r="E82" s="162"/>
      <c r="F82" s="162"/>
      <c r="G82" s="162"/>
      <c r="H82" s="360" t="str">
        <f>IF(I18="EXTERNO","COSTO TOTAL PARA ENVIAR CLIENTE",IF(I18="INTERNO","COSTO SOLO PARA  AREAS DE PRODUCION INTERNA !!!!!"))</f>
        <v>COSTO TOTAL PARA ENVIAR CLIENTE</v>
      </c>
      <c r="I82" s="361"/>
      <c r="J82" s="162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9.5" customHeight="1" x14ac:dyDescent="0.2">
      <c r="A83" s="162"/>
      <c r="B83" s="275"/>
      <c r="C83" s="275"/>
      <c r="D83" s="162"/>
      <c r="E83" s="275"/>
      <c r="F83" s="275"/>
      <c r="G83" s="275"/>
      <c r="H83" s="362"/>
      <c r="I83" s="363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9.5" customHeight="1" thickBot="1" x14ac:dyDescent="0.25">
      <c r="A84" s="162"/>
      <c r="B84" s="275"/>
      <c r="C84" s="275"/>
      <c r="D84" s="275"/>
      <c r="E84" s="275"/>
      <c r="F84" s="275"/>
      <c r="G84" s="275"/>
      <c r="H84" s="364"/>
      <c r="I84" s="36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A85" s="165"/>
      <c r="B85" s="366"/>
      <c r="C85" s="367"/>
      <c r="D85" s="367"/>
      <c r="E85" s="367"/>
      <c r="F85" s="367"/>
      <c r="G85" s="367"/>
      <c r="H85" s="367"/>
      <c r="I85" s="162"/>
      <c r="J85" s="275"/>
      <c r="K85" s="246"/>
      <c r="L85" s="162"/>
      <c r="M85" s="162"/>
      <c r="N85" s="162"/>
      <c r="O85" s="162"/>
      <c r="P85" s="162"/>
      <c r="Q85" s="195"/>
      <c r="R85" s="162"/>
      <c r="S85" s="196"/>
      <c r="T85" s="162"/>
      <c r="U85" s="162"/>
      <c r="V85" s="162"/>
    </row>
    <row r="86" spans="1:22" s="125" customFormat="1" ht="66" customHeight="1" x14ac:dyDescent="0.2">
      <c r="A86" s="165"/>
      <c r="B86" s="356"/>
      <c r="C86" s="357"/>
      <c r="D86" s="297"/>
      <c r="E86" s="297"/>
      <c r="F86" s="297"/>
      <c r="G86" s="297"/>
      <c r="H86" s="297"/>
      <c r="I86" s="275"/>
      <c r="J86" s="278"/>
      <c r="K86" s="246"/>
      <c r="L86" s="162"/>
      <c r="M86" s="162"/>
      <c r="N86" s="162"/>
      <c r="O86" s="162"/>
      <c r="P86" s="162"/>
      <c r="Q86" s="195"/>
      <c r="R86" s="162"/>
      <c r="S86" s="196"/>
      <c r="T86" s="162"/>
      <c r="U86" s="162"/>
      <c r="V86" s="162"/>
    </row>
    <row r="87" spans="1:22" s="125" customFormat="1" ht="20.25" x14ac:dyDescent="0.2">
      <c r="A87" s="165"/>
      <c r="B87" s="252"/>
      <c r="C87" s="252"/>
      <c r="D87" s="298"/>
      <c r="E87" s="298"/>
      <c r="F87" s="298"/>
      <c r="G87" s="298"/>
      <c r="H87" s="299"/>
      <c r="I87" s="275"/>
      <c r="J87" s="275"/>
      <c r="K87" s="246"/>
      <c r="L87" s="162"/>
      <c r="M87" s="162"/>
      <c r="N87" s="162"/>
      <c r="O87" s="162"/>
      <c r="P87" s="162"/>
      <c r="Q87" s="195"/>
      <c r="R87" s="162"/>
      <c r="S87" s="196"/>
      <c r="T87" s="162"/>
      <c r="U87" s="162"/>
      <c r="V87" s="162"/>
    </row>
    <row r="88" spans="1:22" s="125" customFormat="1" ht="15" x14ac:dyDescent="0.2">
      <c r="A88" s="162"/>
      <c r="B88" s="275"/>
      <c r="C88" s="275"/>
      <c r="D88" s="275"/>
      <c r="E88" s="275"/>
      <c r="F88" s="275"/>
      <c r="G88" s="275"/>
      <c r="H88" s="275"/>
      <c r="I88" s="275"/>
      <c r="J88" s="278"/>
      <c r="K88" s="291"/>
      <c r="L88" s="162"/>
      <c r="M88" s="162"/>
      <c r="N88" s="162"/>
      <c r="O88" s="162"/>
      <c r="P88" s="162"/>
      <c r="Q88" s="195"/>
      <c r="R88" s="162"/>
      <c r="S88" s="196"/>
      <c r="T88" s="162"/>
      <c r="U88" s="162"/>
      <c r="V88" s="162"/>
    </row>
    <row r="89" spans="1:22" s="125" customFormat="1" ht="15" x14ac:dyDescent="0.2">
      <c r="A89" s="162"/>
      <c r="B89" s="275"/>
      <c r="C89" s="275"/>
      <c r="D89" s="275"/>
      <c r="E89" s="258"/>
      <c r="F89" s="275"/>
      <c r="G89" s="275"/>
      <c r="H89" s="275"/>
      <c r="I89" s="275"/>
      <c r="J89" s="275"/>
      <c r="K89" s="246"/>
      <c r="L89" s="162"/>
      <c r="M89" s="162"/>
      <c r="N89" s="162"/>
      <c r="O89" s="162"/>
      <c r="P89" s="162"/>
      <c r="Q89" s="195"/>
      <c r="R89" s="162"/>
      <c r="S89" s="196"/>
      <c r="T89" s="162"/>
      <c r="U89" s="162"/>
      <c r="V89" s="162"/>
    </row>
    <row r="90" spans="1:22" s="125" customFormat="1" ht="15" x14ac:dyDescent="0.2">
      <c r="A90" s="162"/>
      <c r="B90" s="275"/>
      <c r="C90" s="275"/>
      <c r="D90" s="275"/>
      <c r="E90" s="278"/>
      <c r="F90" s="275"/>
      <c r="G90" s="275"/>
      <c r="H90" s="275"/>
      <c r="I90" s="275"/>
      <c r="J90" s="275"/>
      <c r="K90" s="246"/>
      <c r="L90" s="162"/>
      <c r="M90" s="162"/>
      <c r="N90" s="162"/>
      <c r="O90" s="162"/>
      <c r="P90" s="162"/>
      <c r="Q90" s="195"/>
      <c r="R90" s="162"/>
      <c r="S90" s="196"/>
      <c r="T90" s="162"/>
      <c r="U90" s="162"/>
      <c r="V90" s="162"/>
    </row>
    <row r="91" spans="1:22" s="125" customFormat="1" ht="15" x14ac:dyDescent="0.2">
      <c r="B91" s="156"/>
      <c r="C91" s="156"/>
      <c r="D91" s="156"/>
      <c r="E91" s="156"/>
      <c r="F91" s="156"/>
      <c r="G91" s="156"/>
      <c r="H91" s="157"/>
      <c r="I91" s="156"/>
      <c r="J91" s="156"/>
      <c r="K91" s="159"/>
      <c r="Q91" s="126"/>
      <c r="S91" s="127"/>
    </row>
    <row r="92" spans="1:22" s="125" customFormat="1" ht="15" x14ac:dyDescent="0.2">
      <c r="B92" s="156"/>
      <c r="C92" s="156"/>
      <c r="D92" s="156"/>
      <c r="E92" s="157"/>
      <c r="F92" s="156"/>
      <c r="G92" s="156"/>
      <c r="H92" s="156"/>
      <c r="I92" s="156"/>
      <c r="J92" s="157"/>
      <c r="K92" s="159"/>
      <c r="Q92" s="126"/>
      <c r="S92" s="127"/>
    </row>
    <row r="93" spans="1:22" s="125" customFormat="1" ht="15" x14ac:dyDescent="0.2">
      <c r="B93" s="156"/>
      <c r="C93" s="156"/>
      <c r="D93" s="156"/>
      <c r="E93" s="156"/>
      <c r="F93" s="156"/>
      <c r="G93" s="156"/>
      <c r="H93" s="156"/>
      <c r="I93" s="156"/>
      <c r="J93" s="156"/>
      <c r="K93" s="159"/>
      <c r="Q93" s="126"/>
      <c r="S93" s="127"/>
    </row>
    <row r="94" spans="1:22" s="125" customFormat="1" ht="15" x14ac:dyDescent="0.2">
      <c r="B94" s="156"/>
      <c r="C94" s="156"/>
      <c r="D94" s="156"/>
      <c r="E94" s="156"/>
      <c r="F94" s="156"/>
      <c r="G94" s="156"/>
      <c r="H94" s="156"/>
      <c r="I94" s="156"/>
      <c r="J94" s="156"/>
      <c r="K94" s="159"/>
      <c r="Q94" s="126"/>
      <c r="S94" s="127"/>
    </row>
    <row r="95" spans="1:22" s="125" customFormat="1" ht="15" x14ac:dyDescent="0.2">
      <c r="B95" s="156"/>
      <c r="C95" s="156"/>
      <c r="D95" s="156"/>
      <c r="E95" s="156"/>
      <c r="F95" s="156"/>
      <c r="G95" s="156"/>
      <c r="H95" s="156"/>
      <c r="I95" s="156"/>
      <c r="J95" s="156"/>
      <c r="K95" s="159"/>
      <c r="Q95" s="126"/>
      <c r="S95" s="127"/>
    </row>
  </sheetData>
  <sheetProtection algorithmName="SHA-512" hashValue="/hhZuovJcX5ru/AZTWUKVo5DJxE5a8gNVrxI6kSDeZ4L/+pZ+/m7aRng777Ood7phC5qSJzxvRWHMztr1WEBlw==" saltValue="H4KPB2pgPHA6CzIL6K/9Sg==" spinCount="100000" sheet="1" objects="1" scenarios="1" selectLockedCells="1"/>
  <protectedRanges>
    <protectedRange sqref="C85:H85 C66:H66" name="Rango3_1_1"/>
    <protectedRange sqref="I12 I16 H14 C16 C18 J23:J25 C19:D19 B65:C65 J64:J65 E54:E55 B54:C55 J54:J55 B59:C60 F59 J59:J60 F64 B64:D64 H30 C30:F30 J30 H38:H47 J38:J47 C38:F47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73:C73"/>
    <mergeCell ref="B72:C72"/>
    <mergeCell ref="B68:C68"/>
    <mergeCell ref="D36:I36"/>
    <mergeCell ref="C58:D58"/>
    <mergeCell ref="K22:V22"/>
    <mergeCell ref="F64:H64"/>
    <mergeCell ref="F65:H65"/>
    <mergeCell ref="F58:H58"/>
    <mergeCell ref="F59:H59"/>
    <mergeCell ref="F60:H60"/>
    <mergeCell ref="F63:H63"/>
    <mergeCell ref="F53:H53"/>
    <mergeCell ref="F54:H54"/>
    <mergeCell ref="B26:I26"/>
    <mergeCell ref="E28:I28"/>
    <mergeCell ref="B25:C25"/>
    <mergeCell ref="B31:H31"/>
    <mergeCell ref="B50:J50"/>
    <mergeCell ref="F55:H55"/>
    <mergeCell ref="H77:I77"/>
    <mergeCell ref="H78:I78"/>
    <mergeCell ref="C78:F78"/>
    <mergeCell ref="C81:F81"/>
    <mergeCell ref="H79:I79"/>
    <mergeCell ref="C79:F79"/>
    <mergeCell ref="B86:C86"/>
    <mergeCell ref="H80:I80"/>
    <mergeCell ref="H81:I81"/>
    <mergeCell ref="H82:I84"/>
    <mergeCell ref="B85:H85"/>
    <mergeCell ref="C80:F80"/>
    <mergeCell ref="D2:E2"/>
    <mergeCell ref="I75:J75"/>
    <mergeCell ref="B65:D65"/>
    <mergeCell ref="C64:D64"/>
    <mergeCell ref="C59:D59"/>
    <mergeCell ref="B48:H48"/>
    <mergeCell ref="C53:D53"/>
    <mergeCell ref="B55:E55"/>
    <mergeCell ref="C63:D63"/>
    <mergeCell ref="C54:D54"/>
    <mergeCell ref="B60:D60"/>
    <mergeCell ref="C16:D16"/>
    <mergeCell ref="F16:H16"/>
    <mergeCell ref="F18:H18"/>
    <mergeCell ref="I18:J18"/>
    <mergeCell ref="B66:H66"/>
    <mergeCell ref="J77:K77"/>
    <mergeCell ref="J78:K78"/>
    <mergeCell ref="J79:K79"/>
    <mergeCell ref="J80:K80"/>
    <mergeCell ref="J81:K81"/>
  </mergeCells>
  <conditionalFormatting sqref="H87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J49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75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5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1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8">
        <f ca="1">TODAY()</f>
        <v>43507</v>
      </c>
      <c r="E9" s="408"/>
      <c r="F9" s="408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9" t="s">
        <v>55</v>
      </c>
      <c r="B12" s="409"/>
      <c r="C12" s="409"/>
      <c r="D12" s="409"/>
      <c r="E12" s="409"/>
    </row>
    <row r="13" spans="1:7" s="98" customFormat="1" x14ac:dyDescent="0.2">
      <c r="A13" s="409" t="str">
        <f>IF('Estado de costos'!I18="INTERNO","GRUPO REGIONAL SRL",IF('Estado de costos'!I18="EXTERNO",'Estado de costos'!C12))</f>
        <v xml:space="preserve">UNILEVER </v>
      </c>
      <c r="B13" s="409"/>
      <c r="C13" s="409"/>
      <c r="D13" s="409"/>
      <c r="E13" s="409"/>
    </row>
    <row r="14" spans="1:7" s="98" customFormat="1" x14ac:dyDescent="0.2">
      <c r="A14" s="409" t="s">
        <v>56</v>
      </c>
      <c r="B14" s="409"/>
      <c r="C14" s="409"/>
      <c r="D14" s="409"/>
      <c r="E14" s="409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OMO PIEL SENSIBLE ENDOMARKETING </v>
      </c>
      <c r="C16" s="94"/>
      <c r="D16" s="95"/>
      <c r="E16" s="95"/>
    </row>
    <row r="17" spans="1:7" s="98" customFormat="1" x14ac:dyDescent="0.2"/>
    <row r="18" spans="1:7" ht="15.75" x14ac:dyDescent="0.25">
      <c r="A18" s="410"/>
      <c r="B18" s="410"/>
      <c r="C18" s="410"/>
      <c r="D18" s="410"/>
      <c r="E18" s="410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1" t="s">
        <v>64</v>
      </c>
      <c r="B20" s="411"/>
      <c r="C20" s="411"/>
      <c r="D20" s="411"/>
      <c r="E20" s="411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costos'!H75*100</f>
        <v>15</v>
      </c>
      <c r="D22" s="309">
        <f ca="1">'Estado de costos'!D2</f>
        <v>6203.1</v>
      </c>
      <c r="E22" s="310">
        <f ca="1">IF('Estado de costos'!I18="EXTERNO",E34+E35,IF('Estado de costos'!I18="INTERNO",'Estado de costos'!K9,))</f>
        <v>6203.1</v>
      </c>
      <c r="F22" s="311">
        <f ca="1">GESTEP(E22,D22)</f>
        <v>1</v>
      </c>
    </row>
    <row r="23" spans="1:7" ht="15.75" x14ac:dyDescent="0.25">
      <c r="A23" s="407" t="s">
        <v>57</v>
      </c>
      <c r="B23" s="407"/>
      <c r="C23" s="407"/>
      <c r="D23" s="407"/>
      <c r="E23" s="407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8" t="s">
        <v>179</v>
      </c>
      <c r="B27" s="118">
        <v>1</v>
      </c>
      <c r="C27" s="119">
        <v>280</v>
      </c>
      <c r="D27" s="120">
        <v>6.5</v>
      </c>
      <c r="E27" s="120">
        <v>1820</v>
      </c>
    </row>
    <row r="28" spans="1:7" x14ac:dyDescent="0.25">
      <c r="A28" s="118" t="s">
        <v>180</v>
      </c>
      <c r="B28" s="118">
        <v>1</v>
      </c>
      <c r="C28" s="119">
        <v>280</v>
      </c>
      <c r="D28" s="120">
        <v>9.3000000000000007</v>
      </c>
      <c r="E28" s="120">
        <v>2604</v>
      </c>
    </row>
    <row r="29" spans="1:7" x14ac:dyDescent="0.25">
      <c r="A29" s="118" t="s">
        <v>181</v>
      </c>
      <c r="B29" s="118">
        <v>1</v>
      </c>
      <c r="C29" s="119">
        <v>1</v>
      </c>
      <c r="D29" s="120">
        <v>350</v>
      </c>
      <c r="E29" s="120">
        <v>350</v>
      </c>
    </row>
    <row r="30" spans="1:7" x14ac:dyDescent="0.25">
      <c r="A30" s="118" t="s">
        <v>186</v>
      </c>
      <c r="B30" s="118">
        <v>1</v>
      </c>
      <c r="C30" s="119">
        <v>1</v>
      </c>
      <c r="D30" s="120">
        <v>480</v>
      </c>
      <c r="E30" s="120">
        <v>480</v>
      </c>
    </row>
    <row r="31" spans="1:7" x14ac:dyDescent="0.25">
      <c r="A31" s="118" t="s">
        <v>189</v>
      </c>
      <c r="B31" s="118">
        <v>1</v>
      </c>
      <c r="C31" s="119">
        <v>2</v>
      </c>
      <c r="D31" s="120">
        <v>35</v>
      </c>
      <c r="E31" s="120">
        <v>70</v>
      </c>
    </row>
    <row r="32" spans="1:7" x14ac:dyDescent="0.25">
      <c r="A32" s="118" t="s">
        <v>190</v>
      </c>
      <c r="B32" s="118">
        <v>1</v>
      </c>
      <c r="C32" s="119">
        <v>2</v>
      </c>
      <c r="D32" s="120">
        <v>35</v>
      </c>
      <c r="E32" s="120">
        <v>70</v>
      </c>
    </row>
    <row r="33" spans="1:5" x14ac:dyDescent="0.25">
      <c r="A33" s="118"/>
      <c r="B33" s="118"/>
      <c r="C33" s="119"/>
      <c r="D33" s="120"/>
      <c r="E33" s="120"/>
    </row>
    <row r="34" spans="1:5" ht="15.75" thickBot="1" x14ac:dyDescent="0.3">
      <c r="D34" s="20" t="s">
        <v>60</v>
      </c>
      <c r="E34" s="114">
        <f ca="1">IF('Estado de costos'!I18="EXTERNO",SUM(E26:OFFSET(E34,-1,0)),IF('Estado de costos'!I18="INTERNO",'Estado de costos'!K9,))</f>
        <v>5394</v>
      </c>
    </row>
    <row r="35" spans="1:5" ht="15.75" thickBot="1" x14ac:dyDescent="0.3">
      <c r="D35" s="21" t="str">
        <f>"F E E  "&amp; C22&amp;"%"</f>
        <v>F E E  15%</v>
      </c>
      <c r="E35" s="114">
        <f ca="1">'Estado de costos'!J79</f>
        <v>809.1</v>
      </c>
    </row>
    <row r="36" spans="1:5" ht="15.75" thickBot="1" x14ac:dyDescent="0.3">
      <c r="D36" s="22" t="s">
        <v>61</v>
      </c>
      <c r="E36" s="114">
        <f ca="1">IF('Estado de costos'!I18="EXTERNO",E34+E35,IF('Estado de costos'!I18="INTERNO",'Estado de costos'!K9,))</f>
        <v>6203.1</v>
      </c>
    </row>
    <row r="37" spans="1:5" x14ac:dyDescent="0.25">
      <c r="E37" s="23"/>
    </row>
    <row r="38" spans="1:5" ht="28.5" x14ac:dyDescent="0.25">
      <c r="A38" s="112" t="str">
        <f>IF('Estado de costos'!I18="INTERNO","ESTE PRECIO COTIZADO ES SOLO AREAS INTERNAS  PARA GRUPO REGIONAL SRL ",IF('Estado de costos'!I18="EXTERNO","",))</f>
        <v/>
      </c>
      <c r="B38" s="99"/>
      <c r="C38" s="99"/>
      <c r="D38" s="99"/>
      <c r="E38" s="99"/>
    </row>
    <row r="39" spans="1:5" ht="28.5" x14ac:dyDescent="0.25">
      <c r="A39" s="99"/>
      <c r="B39" s="99"/>
    </row>
    <row r="40" spans="1:5" ht="28.5" x14ac:dyDescent="0.25">
      <c r="A40" s="99"/>
      <c r="B40" s="99"/>
    </row>
    <row r="41" spans="1:5" ht="18.75" x14ac:dyDescent="0.3">
      <c r="A41" s="97" t="s">
        <v>62</v>
      </c>
      <c r="B41" s="97"/>
    </row>
    <row r="42" spans="1:5" x14ac:dyDescent="0.25">
      <c r="A42" s="24"/>
      <c r="B42" s="24"/>
    </row>
    <row r="43" spans="1:5" ht="15.75" x14ac:dyDescent="0.25">
      <c r="A43" s="101" t="s">
        <v>63</v>
      </c>
      <c r="B43" s="101"/>
    </row>
    <row r="44" spans="1:5" ht="15.75" x14ac:dyDescent="0.25">
      <c r="A44" s="102"/>
      <c r="B44" s="102"/>
    </row>
    <row r="45" spans="1:5" ht="15.75" x14ac:dyDescent="0.25">
      <c r="A45" s="101"/>
      <c r="B45" s="101"/>
    </row>
    <row r="46" spans="1:5" ht="15.75" x14ac:dyDescent="0.25">
      <c r="A46" s="98"/>
      <c r="B46" s="101"/>
    </row>
    <row r="47" spans="1:5" ht="15.75" x14ac:dyDescent="0.25">
      <c r="A47" s="98"/>
      <c r="B47" s="103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  <c r="C56" s="294"/>
      <c r="D56" s="294"/>
    </row>
    <row r="57" spans="1:4" ht="15.75" x14ac:dyDescent="0.25">
      <c r="A57" s="98"/>
      <c r="B57" s="98"/>
      <c r="C57" s="294"/>
      <c r="D57" s="294"/>
    </row>
    <row r="58" spans="1:4" ht="15.75" x14ac:dyDescent="0.25">
      <c r="A58" s="98"/>
      <c r="B58" s="98"/>
      <c r="C58" s="294"/>
      <c r="D58" s="294"/>
    </row>
    <row r="59" spans="1:4" ht="15.75" x14ac:dyDescent="0.25">
      <c r="A59" s="98"/>
      <c r="B59" s="98"/>
      <c r="C59" s="294"/>
      <c r="D59" s="294"/>
    </row>
    <row r="60" spans="1:4" ht="15.75" x14ac:dyDescent="0.25">
      <c r="A60" s="98"/>
      <c r="B60" s="98"/>
    </row>
    <row r="61" spans="1:4" ht="15.75" x14ac:dyDescent="0.25">
      <c r="A61" s="98"/>
      <c r="B61" s="98"/>
    </row>
    <row r="62" spans="1:4" ht="15.75" x14ac:dyDescent="0.25">
      <c r="A62" s="100"/>
      <c r="B62" s="100"/>
    </row>
    <row r="63" spans="1:4" ht="15.75" x14ac:dyDescent="0.25">
      <c r="A63" s="100"/>
      <c r="B63" s="100"/>
    </row>
    <row r="64" spans="1:4" ht="15.75" x14ac:dyDescent="0.25">
      <c r="A64" s="100"/>
      <c r="B64" s="100"/>
    </row>
    <row r="65" spans="1:3" ht="15.75" x14ac:dyDescent="0.25">
      <c r="A65" s="100"/>
      <c r="B65" s="100"/>
    </row>
    <row r="66" spans="1:3" ht="15.75" x14ac:dyDescent="0.25">
      <c r="A66" s="100"/>
      <c r="B66" s="100"/>
    </row>
    <row r="67" spans="1:3" ht="15.75" x14ac:dyDescent="0.25">
      <c r="C67" s="98"/>
    </row>
    <row r="68" spans="1:3" ht="15.75" x14ac:dyDescent="0.25">
      <c r="C68" s="98"/>
    </row>
    <row r="69" spans="1:3" ht="15.75" x14ac:dyDescent="0.25">
      <c r="C69" s="98"/>
    </row>
    <row r="70" spans="1:3" ht="15.75" x14ac:dyDescent="0.25">
      <c r="C70" s="98"/>
    </row>
    <row r="71" spans="1:3" ht="15.75" x14ac:dyDescent="0.25">
      <c r="C71" s="98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317" t="s">
        <v>174</v>
      </c>
    </row>
    <row r="76" spans="1:3" ht="15.75" x14ac:dyDescent="0.25">
      <c r="C76" s="318" t="s">
        <v>176</v>
      </c>
    </row>
    <row r="77" spans="1:3" ht="15.75" x14ac:dyDescent="0.25">
      <c r="C77" s="317" t="str">
        <f>IF(C76="Francisco Canelas","Gerente Comercial y Operaciones",IF(C76="Paola Bolivar"," Jefe de Eventos ATL",IF(C76="Diego Rojas","Ejecutivo de Cuentas ATL")))</f>
        <v>Ejecutivo de Cuentas ATL</v>
      </c>
    </row>
    <row r="78" spans="1:3" ht="15.75" x14ac:dyDescent="0.25">
      <c r="C78" s="319" t="str">
        <f>IF(C76="Francisco Canelas","francisco@gruporegional.com",IF(C76="Paola Bolivar","paolabolivar@gruporegional.com",IF(C76="Diego Rojas","diegorojas@gruporegional.com")))</f>
        <v>diegorojas@gruporegional.com</v>
      </c>
    </row>
    <row r="79" spans="1:3" ht="15.75" x14ac:dyDescent="0.25">
      <c r="C79" s="319" t="s">
        <v>175</v>
      </c>
    </row>
    <row r="80" spans="1:3" ht="15.75" x14ac:dyDescent="0.25">
      <c r="C80" s="100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98"/>
    </row>
    <row r="90" spans="4:4" ht="15.75" x14ac:dyDescent="0.25">
      <c r="D90" s="98"/>
    </row>
    <row r="91" spans="4:4" ht="15.75" x14ac:dyDescent="0.25">
      <c r="D91" s="98"/>
    </row>
    <row r="92" spans="4:4" ht="15.75" x14ac:dyDescent="0.25">
      <c r="D92" s="98"/>
    </row>
    <row r="93" spans="4:4" ht="15.75" x14ac:dyDescent="0.25">
      <c r="D93" s="100"/>
    </row>
    <row r="94" spans="4:4" ht="15.75" x14ac:dyDescent="0.25">
      <c r="D94" s="100"/>
    </row>
    <row r="95" spans="4:4" ht="15.75" x14ac:dyDescent="0.25">
      <c r="D95" s="100"/>
    </row>
    <row r="96" spans="4:4" ht="15.75" x14ac:dyDescent="0.25">
      <c r="D96" s="100"/>
    </row>
    <row r="97" spans="4:4" ht="15.75" x14ac:dyDescent="0.25">
      <c r="D97" s="100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100"/>
    </row>
    <row r="178" spans="5:5" ht="15.75" x14ac:dyDescent="0.25">
      <c r="E178" s="100"/>
    </row>
    <row r="179" spans="5:5" ht="15.75" x14ac:dyDescent="0.25">
      <c r="E179" s="100"/>
    </row>
    <row r="180" spans="5:5" ht="15.75" x14ac:dyDescent="0.25">
      <c r="E180" s="100"/>
    </row>
    <row r="181" spans="5:5" ht="15.75" x14ac:dyDescent="0.25">
      <c r="E181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6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7" t="s">
        <v>143</v>
      </c>
      <c r="C8" s="418"/>
      <c r="D8" s="418"/>
      <c r="E8" s="418"/>
      <c r="F8" s="418"/>
      <c r="G8" s="418"/>
      <c r="H8" s="418"/>
      <c r="I8" s="418"/>
      <c r="J8" s="418"/>
      <c r="K8" s="418"/>
    </row>
    <row r="9" spans="1:11" s="8" customFormat="1" ht="27.75" x14ac:dyDescent="0.2">
      <c r="B9" s="418" t="s">
        <v>53</v>
      </c>
      <c r="C9" s="418"/>
      <c r="D9" s="418"/>
      <c r="E9" s="418"/>
      <c r="F9" s="418"/>
      <c r="G9" s="418"/>
      <c r="H9" s="418"/>
      <c r="I9" s="418"/>
      <c r="J9" s="418"/>
      <c r="K9" s="418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5" t="s">
        <v>144</v>
      </c>
      <c r="C11" s="415"/>
      <c r="D11" s="419" t="str">
        <f>+'Estado de costos'!C12</f>
        <v xml:space="preserve">UNILEVER </v>
      </c>
      <c r="E11" s="419"/>
      <c r="F11" s="419"/>
      <c r="G11" s="28">
        <v>1.2</v>
      </c>
      <c r="H11" s="29" t="s">
        <v>52</v>
      </c>
      <c r="I11" s="30"/>
      <c r="J11" s="430">
        <f>+'Estado de costos'!I12</f>
        <v>0</v>
      </c>
      <c r="K11" s="430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0" t="s">
        <v>124</v>
      </c>
      <c r="C13" s="420"/>
      <c r="D13" s="421">
        <f>+'Estado de costos'!C14</f>
        <v>0</v>
      </c>
      <c r="E13" s="422"/>
      <c r="F13" s="422"/>
      <c r="G13" s="14">
        <v>1.4</v>
      </c>
      <c r="H13" s="55" t="s">
        <v>125</v>
      </c>
      <c r="I13" s="431" t="str">
        <f>+'Estado de costos'!H14</f>
        <v xml:space="preserve">OMO PIEL SENSIBLE ENDOMARKETING </v>
      </c>
      <c r="J13" s="431"/>
      <c r="K13" s="431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5" t="s">
        <v>126</v>
      </c>
      <c r="C15" s="415"/>
      <c r="D15" s="415"/>
      <c r="E15" s="416">
        <f>+'Estado de costos'!C16</f>
        <v>43508</v>
      </c>
      <c r="F15" s="416"/>
      <c r="G15" s="14">
        <v>1.6</v>
      </c>
      <c r="H15" s="436" t="s">
        <v>127</v>
      </c>
      <c r="I15" s="436"/>
      <c r="J15" s="416">
        <f>+'Estado de costos'!I16</f>
        <v>43511</v>
      </c>
      <c r="K15" s="416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3" t="s">
        <v>140</v>
      </c>
      <c r="C17" s="423"/>
      <c r="D17" s="423"/>
      <c r="E17" s="423"/>
      <c r="F17" s="423"/>
      <c r="G17" s="423"/>
      <c r="H17" s="423"/>
      <c r="I17" s="423"/>
      <c r="J17" s="423"/>
      <c r="K17" s="423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4" t="s">
        <v>139</v>
      </c>
      <c r="C19" s="424"/>
      <c r="D19" s="424"/>
      <c r="E19" s="424"/>
      <c r="F19" s="424"/>
      <c r="G19" s="425" t="s">
        <v>141</v>
      </c>
      <c r="H19" s="426"/>
      <c r="I19" s="426"/>
      <c r="J19" s="426"/>
      <c r="K19" s="426"/>
    </row>
    <row r="20" spans="1:19" s="10" customFormat="1" ht="65.25" customHeight="1" x14ac:dyDescent="0.25">
      <c r="A20" s="36"/>
      <c r="B20" s="427" t="s">
        <v>145</v>
      </c>
      <c r="C20" s="428"/>
      <c r="D20" s="429"/>
      <c r="E20" s="427" t="s">
        <v>65</v>
      </c>
      <c r="F20" s="429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7" t="s">
        <v>145</v>
      </c>
      <c r="N20" s="428"/>
      <c r="O20" s="429"/>
      <c r="P20" s="427" t="s">
        <v>65</v>
      </c>
      <c r="Q20" s="429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12" t="s">
        <v>44</v>
      </c>
      <c r="C21" s="413"/>
      <c r="D21" s="41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12">
        <f>+'Estado de costos'!B30:B30</f>
        <v>0</v>
      </c>
      <c r="C22" s="413"/>
      <c r="D22" s="414"/>
      <c r="E22" s="412">
        <f>+'Estado de costos'!C30</f>
        <v>0</v>
      </c>
      <c r="F22" s="41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12" t="e">
        <f>+'Estado de costos'!#REF!</f>
        <v>#REF!</v>
      </c>
      <c r="C23" s="413"/>
      <c r="D23" s="414"/>
      <c r="E23" s="412" t="e">
        <f>+'Estado de costos'!#REF!</f>
        <v>#REF!</v>
      </c>
      <c r="F23" s="41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12" t="e">
        <f>+'Estado de costos'!#REF!</f>
        <v>#REF!</v>
      </c>
      <c r="C24" s="413"/>
      <c r="D24" s="414"/>
      <c r="E24" s="412" t="e">
        <f>+'Estado de costos'!#REF!</f>
        <v>#REF!</v>
      </c>
      <c r="F24" s="41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7" t="s">
        <v>145</v>
      </c>
      <c r="N24" s="428"/>
      <c r="O24" s="429"/>
      <c r="P24" s="427" t="s">
        <v>65</v>
      </c>
      <c r="Q24" s="429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12" t="e">
        <f>+'Estado de costos'!#REF!</f>
        <v>#REF!</v>
      </c>
      <c r="C25" s="413"/>
      <c r="D25" s="414"/>
      <c r="E25" s="412" t="e">
        <f>+'Estado de costos'!#REF!</f>
        <v>#REF!</v>
      </c>
      <c r="F25" s="41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12" t="e">
        <f>+'Estado de costos'!#REF!</f>
        <v>#REF!</v>
      </c>
      <c r="C26" s="413"/>
      <c r="D26" s="414"/>
      <c r="E26" s="412" t="e">
        <f>+'Estado de costos'!#REF!</f>
        <v>#REF!</v>
      </c>
      <c r="F26" s="41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12" t="e">
        <f>+'Estado de costos'!#REF!</f>
        <v>#REF!</v>
      </c>
      <c r="C27" s="413"/>
      <c r="D27" s="414"/>
      <c r="E27" s="412" t="e">
        <f>+'Estado de costos'!#REF!</f>
        <v>#REF!</v>
      </c>
      <c r="F27" s="41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12" t="e">
        <f>+'Estado de costos'!#REF!</f>
        <v>#REF!</v>
      </c>
      <c r="C28" s="413"/>
      <c r="D28" s="414"/>
      <c r="E28" s="412" t="e">
        <f>+'Estado de costos'!#REF!</f>
        <v>#REF!</v>
      </c>
      <c r="F28" s="41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12" t="e">
        <f>+'Estado de costos'!#REF!</f>
        <v>#REF!</v>
      </c>
      <c r="C29" s="413"/>
      <c r="D29" s="414"/>
      <c r="E29" s="412" t="e">
        <f>+'Estado de costos'!#REF!</f>
        <v>#REF!</v>
      </c>
      <c r="F29" s="41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12" t="e">
        <f>+'Estado de costos'!#REF!</f>
        <v>#REF!</v>
      </c>
      <c r="C30" s="413"/>
      <c r="D30" s="414"/>
      <c r="E30" s="412" t="e">
        <f>+'Estado de costos'!#REF!</f>
        <v>#REF!</v>
      </c>
      <c r="F30" s="41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5" t="s">
        <v>50</v>
      </c>
      <c r="C31" s="426"/>
      <c r="D31" s="426"/>
      <c r="E31" s="426"/>
      <c r="F31" s="432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4" t="s">
        <v>142</v>
      </c>
      <c r="C36" s="424"/>
      <c r="D36" s="424"/>
      <c r="E36" s="424"/>
      <c r="F36" s="424"/>
      <c r="G36" s="424" t="s">
        <v>46</v>
      </c>
      <c r="H36" s="424"/>
      <c r="I36" s="424"/>
      <c r="J36" s="424"/>
      <c r="K36" s="424"/>
    </row>
    <row r="37" spans="1:11" s="8" customFormat="1" ht="50.25" customHeight="1" x14ac:dyDescent="0.2">
      <c r="A37" s="14"/>
      <c r="B37" s="433" t="s">
        <v>7</v>
      </c>
      <c r="C37" s="434"/>
      <c r="D37" s="435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5" t="e">
        <f>+'Estado de costos'!#REF!</f>
        <v>#REF!</v>
      </c>
      <c r="C38" s="426"/>
      <c r="D38" s="432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5" t="e">
        <f>+'Estado de costos'!#REF!</f>
        <v>#REF!</v>
      </c>
      <c r="C39" s="426"/>
      <c r="D39" s="432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5" t="e">
        <f>+'Estado de costos'!#REF!</f>
        <v>#REF!</v>
      </c>
      <c r="C40" s="426"/>
      <c r="D40" s="432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5" t="e">
        <f>+'Estado de costos'!#REF!</f>
        <v>#REF!</v>
      </c>
      <c r="C41" s="426"/>
      <c r="D41" s="432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5" t="e">
        <f>+'Estado de costos'!#REF!</f>
        <v>#REF!</v>
      </c>
      <c r="C42" s="426"/>
      <c r="D42" s="432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5" t="str">
        <f>+'Estado de costos'!B38:B38</f>
        <v>ELABORACION DE BOLSAS ECOLOGICAS DE 20*20 CM</v>
      </c>
      <c r="C43" s="426"/>
      <c r="D43" s="432"/>
      <c r="E43" s="48">
        <f>+'Estado de costos'!C38</f>
        <v>0</v>
      </c>
      <c r="F43" s="49">
        <f>+'Estado de costos'!D38</f>
        <v>1</v>
      </c>
      <c r="G43" s="50">
        <f>+'Estado de costos'!E38</f>
        <v>280</v>
      </c>
      <c r="H43" s="51">
        <f>+'Estado de costos'!F38</f>
        <v>4</v>
      </c>
      <c r="I43" s="52">
        <f t="shared" si="1"/>
        <v>1120</v>
      </c>
      <c r="J43" s="53" t="str">
        <f>+'Estado de costos'!H38</f>
        <v>FACTURA</v>
      </c>
      <c r="K43" s="54">
        <f>+'Estado de costos'!I38</f>
        <v>974.4</v>
      </c>
    </row>
    <row r="44" spans="1:11" s="8" customFormat="1" ht="30.75" customHeight="1" x14ac:dyDescent="0.2">
      <c r="A44" s="14"/>
      <c r="B44" s="425" t="e">
        <f>+'Estado de costos'!#REF!</f>
        <v>#REF!</v>
      </c>
      <c r="C44" s="426"/>
      <c r="D44" s="432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5" t="e">
        <f>+'Estado de costos'!#REF!</f>
        <v>#REF!</v>
      </c>
      <c r="C45" s="426"/>
      <c r="D45" s="432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5" t="e">
        <f>+'Estado de costos'!#REF!</f>
        <v>#REF!</v>
      </c>
      <c r="C46" s="426"/>
      <c r="D46" s="432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5" t="e">
        <f>+'Estado de costos'!#REF!</f>
        <v>#REF!</v>
      </c>
      <c r="C47" s="426"/>
      <c r="D47" s="432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5" t="e">
        <f>+'Estado de costos'!#REF!</f>
        <v>#REF!</v>
      </c>
      <c r="C48" s="426"/>
      <c r="D48" s="432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5" t="e">
        <f>+'Estado de costos'!#REF!</f>
        <v>#REF!</v>
      </c>
      <c r="C49" s="426"/>
      <c r="D49" s="432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5" t="e">
        <f>+'Estado de costos'!#REF!</f>
        <v>#REF!</v>
      </c>
      <c r="C50" s="426"/>
      <c r="D50" s="432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5" t="e">
        <f>+'Estado de costos'!#REF!</f>
        <v>#REF!</v>
      </c>
      <c r="C51" s="426"/>
      <c r="D51" s="432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5" t="e">
        <f>+'Estado de costos'!#REF!</f>
        <v>#REF!</v>
      </c>
      <c r="C52" s="426"/>
      <c r="D52" s="432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5" t="e">
        <f>+'Estado de costos'!#REF!</f>
        <v>#REF!</v>
      </c>
      <c r="C53" s="426"/>
      <c r="D53" s="432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5" t="e">
        <f>+'Estado de costos'!#REF!</f>
        <v>#REF!</v>
      </c>
      <c r="C54" s="426"/>
      <c r="D54" s="432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5" t="e">
        <f>+'Estado de costos'!#REF!</f>
        <v>#REF!</v>
      </c>
      <c r="C55" s="426"/>
      <c r="D55" s="432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5" t="e">
        <f>+'Estado de costos'!#REF!</f>
        <v>#REF!</v>
      </c>
      <c r="C56" s="426"/>
      <c r="D56" s="432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5" t="e">
        <f>+'Estado de costos'!#REF!</f>
        <v>#REF!</v>
      </c>
      <c r="C57" s="426"/>
      <c r="D57" s="432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5" t="e">
        <f>+'Estado de costos'!#REF!</f>
        <v>#REF!</v>
      </c>
      <c r="C58" s="426"/>
      <c r="D58" s="432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5" t="e">
        <f>+'Estado de costos'!#REF!</f>
        <v>#REF!</v>
      </c>
      <c r="C59" s="426"/>
      <c r="D59" s="432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5" t="e">
        <f>+'Estado de costos'!#REF!</f>
        <v>#REF!</v>
      </c>
      <c r="C60" s="426"/>
      <c r="D60" s="432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5" t="e">
        <f>+'Estado de costos'!#REF!</f>
        <v>#REF!</v>
      </c>
      <c r="C61" s="426"/>
      <c r="D61" s="432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5" t="e">
        <f>+'Estado de costos'!#REF!</f>
        <v>#REF!</v>
      </c>
      <c r="C62" s="426"/>
      <c r="D62" s="432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5" t="e">
        <f>+'Estado de costos'!#REF!</f>
        <v>#REF!</v>
      </c>
      <c r="C63" s="426"/>
      <c r="D63" s="432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5" t="e">
        <f>+'Estado de costos'!#REF!</f>
        <v>#REF!</v>
      </c>
      <c r="C64" s="426"/>
      <c r="D64" s="432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5" t="e">
        <f>+'Estado de costos'!#REF!</f>
        <v>#REF!</v>
      </c>
      <c r="C65" s="426"/>
      <c r="D65" s="432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5" t="e">
        <f>+'Estado de costos'!#REF!</f>
        <v>#REF!</v>
      </c>
      <c r="C66" s="426"/>
      <c r="D66" s="432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5" t="e">
        <f>+'Estado de costos'!#REF!</f>
        <v>#REF!</v>
      </c>
      <c r="C67" s="426"/>
      <c r="D67" s="432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5" t="e">
        <f>+'Estado de costos'!#REF!</f>
        <v>#REF!</v>
      </c>
      <c r="C68" s="426"/>
      <c r="D68" s="432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5" t="e">
        <f>+'Estado de costos'!#REF!</f>
        <v>#REF!</v>
      </c>
      <c r="C69" s="426"/>
      <c r="D69" s="432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5" t="e">
        <f>+'Estado de costos'!#REF!</f>
        <v>#REF!</v>
      </c>
      <c r="C70" s="426"/>
      <c r="D70" s="432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5" t="e">
        <f>+'Estado de costos'!#REF!</f>
        <v>#REF!</v>
      </c>
      <c r="C71" s="426"/>
      <c r="D71" s="432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5" t="e">
        <f>+'Estado de costos'!#REF!</f>
        <v>#REF!</v>
      </c>
      <c r="C72" s="426"/>
      <c r="D72" s="432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5" t="e">
        <f>+'Estado de costos'!#REF!</f>
        <v>#REF!</v>
      </c>
      <c r="C73" s="426"/>
      <c r="D73" s="432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5" t="e">
        <f>+'Estado de costos'!#REF!</f>
        <v>#REF!</v>
      </c>
      <c r="C74" s="426"/>
      <c r="D74" s="432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5" t="e">
        <f>+'Estado de costos'!#REF!</f>
        <v>#REF!</v>
      </c>
      <c r="C75" s="426"/>
      <c r="D75" s="432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5" t="e">
        <f>+'Estado de costos'!#REF!</f>
        <v>#REF!</v>
      </c>
      <c r="C76" s="426"/>
      <c r="D76" s="432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5" t="e">
        <f>+'Estado de costos'!#REF!</f>
        <v>#REF!</v>
      </c>
      <c r="C77" s="426"/>
      <c r="D77" s="432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5" t="e">
        <f>+'Estado de costos'!#REF!</f>
        <v>#REF!</v>
      </c>
      <c r="C78" s="426"/>
      <c r="D78" s="432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5" t="e">
        <f>+'Estado de costos'!#REF!</f>
        <v>#REF!</v>
      </c>
      <c r="C79" s="426"/>
      <c r="D79" s="432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5" t="e">
        <f>+'Estado de costos'!#REF!</f>
        <v>#REF!</v>
      </c>
      <c r="C80" s="426"/>
      <c r="D80" s="432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5" t="e">
        <f>+'Estado de costos'!#REF!</f>
        <v>#REF!</v>
      </c>
      <c r="C81" s="426"/>
      <c r="D81" s="432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5" t="e">
        <f>+'Estado de costos'!#REF!</f>
        <v>#REF!</v>
      </c>
      <c r="C82" s="426"/>
      <c r="D82" s="432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5" t="e">
        <f>+'Estado de costos'!#REF!</f>
        <v>#REF!</v>
      </c>
      <c r="C83" s="426"/>
      <c r="D83" s="432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5" t="e">
        <f>+'Estado de costos'!#REF!</f>
        <v>#REF!</v>
      </c>
      <c r="C84" s="426"/>
      <c r="D84" s="432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5" t="e">
        <f>+'Estado de costos'!#REF!</f>
        <v>#REF!</v>
      </c>
      <c r="C85" s="426"/>
      <c r="D85" s="432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5" t="e">
        <f>+'Estado de costos'!#REF!</f>
        <v>#REF!</v>
      </c>
      <c r="C86" s="426"/>
      <c r="D86" s="432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5" t="e">
        <f>+'Estado de costos'!#REF!</f>
        <v>#REF!</v>
      </c>
      <c r="C87" s="426"/>
      <c r="D87" s="432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5" t="e">
        <f>+'Estado de costos'!#REF!</f>
        <v>#REF!</v>
      </c>
      <c r="C88" s="426"/>
      <c r="D88" s="432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5" t="e">
        <f>+'Estado de costos'!#REF!</f>
        <v>#REF!</v>
      </c>
      <c r="C89" s="426"/>
      <c r="D89" s="432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5" t="e">
        <f>+'Estado de costos'!#REF!</f>
        <v>#REF!</v>
      </c>
      <c r="C90" s="426"/>
      <c r="D90" s="432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5" t="e">
        <f>+'Estado de costos'!#REF!</f>
        <v>#REF!</v>
      </c>
      <c r="C91" s="426"/>
      <c r="D91" s="432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3" t="s">
        <v>48</v>
      </c>
      <c r="C92" s="434"/>
      <c r="D92" s="434"/>
      <c r="E92" s="435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280</v>
      </c>
      <c r="D5" s="120">
        <v>6.5</v>
      </c>
      <c r="E5" s="120">
        <v>1820</v>
      </c>
      <c r="F5" s="7" t="s">
        <v>182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180</v>
      </c>
      <c r="B6" s="118">
        <v>1</v>
      </c>
      <c r="C6" s="119">
        <v>280</v>
      </c>
      <c r="D6" s="120">
        <v>9.3000000000000007</v>
      </c>
      <c r="E6" s="120">
        <v>2604</v>
      </c>
      <c r="F6" s="7" t="s">
        <v>182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181</v>
      </c>
      <c r="B7" s="118">
        <v>1</v>
      </c>
      <c r="C7" s="119">
        <v>1</v>
      </c>
      <c r="D7" s="120">
        <v>350</v>
      </c>
      <c r="E7" s="120">
        <v>350</v>
      </c>
      <c r="F7" s="7" t="s">
        <v>182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186</v>
      </c>
      <c r="B8" s="118">
        <v>1</v>
      </c>
      <c r="C8" s="119">
        <v>1</v>
      </c>
      <c r="D8" s="120">
        <v>480</v>
      </c>
      <c r="E8" s="120">
        <v>480</v>
      </c>
      <c r="F8" s="7" t="s">
        <v>182</v>
      </c>
      <c r="G8">
        <v>1</v>
      </c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189</v>
      </c>
      <c r="B9" s="118">
        <v>1</v>
      </c>
      <c r="C9" s="119">
        <v>2</v>
      </c>
      <c r="D9" s="120">
        <v>35</v>
      </c>
      <c r="E9" s="120">
        <v>70</v>
      </c>
      <c r="F9" s="7" t="s">
        <v>182</v>
      </c>
      <c r="G9">
        <v>1</v>
      </c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190</v>
      </c>
      <c r="B10" s="118">
        <v>1</v>
      </c>
      <c r="C10" s="119">
        <v>2</v>
      </c>
      <c r="D10" s="120">
        <v>35</v>
      </c>
      <c r="E10" s="120">
        <v>70</v>
      </c>
      <c r="F10" s="7" t="s">
        <v>182</v>
      </c>
      <c r="G10">
        <v>1</v>
      </c>
      <c r="J10" s="105" t="str">
        <f>'Estado de costos'!B38</f>
        <v>ELABORACION DE BOLSAS ECOLOGICAS DE 20*20 CM</v>
      </c>
      <c r="K10" s="105">
        <f>IF('Estado de costos'!D38=0,"",'Estado de costos'!D38)</f>
        <v>1</v>
      </c>
      <c r="L10">
        <f>'Estado de costos'!E38</f>
        <v>280</v>
      </c>
      <c r="M10" s="7">
        <f t="shared" si="0"/>
        <v>6.5</v>
      </c>
      <c r="N10" s="7">
        <f>'Estado de costos'!J38</f>
        <v>1820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CUPCAPKES </v>
      </c>
      <c r="K11" s="105">
        <f>IF('Estado de costos'!D39=0,"",'Estado de costos'!D39)</f>
        <v>1</v>
      </c>
      <c r="L11">
        <f>'Estado de costos'!E39</f>
        <v>280</v>
      </c>
      <c r="M11" s="7">
        <f t="shared" si="0"/>
        <v>9.3000000000000007</v>
      </c>
      <c r="N11" s="7">
        <f>'Estado de costos'!J39</f>
        <v>2604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 xml:space="preserve">SOPORTE LOGISTICO CBBA </v>
      </c>
      <c r="K12" s="105">
        <f>IF('Estado de costos'!D40=0,"",'Estado de costos'!D40)</f>
        <v>1</v>
      </c>
      <c r="L12">
        <f>'Estado de costos'!E40</f>
        <v>1</v>
      </c>
      <c r="M12" s="7">
        <f t="shared" si="0"/>
        <v>350</v>
      </c>
      <c r="N12" s="7">
        <f>'Estado de costos'!J40</f>
        <v>350</v>
      </c>
      <c r="O12" s="7" t="str">
        <f>'Estado de costos'!K40</f>
        <v>888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 xml:space="preserve">ENVIO DE BOLSAS A LP Y SC </v>
      </c>
      <c r="K13" s="105">
        <f>IF('Estado de costos'!D41=0,"",'Estado de costos'!D41)</f>
        <v>1</v>
      </c>
      <c r="L13">
        <f>'Estado de costos'!E41</f>
        <v>2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 xml:space="preserve">TRANSPORTE Y LOGISTICA DE ENTREGA EN OFICINAS DE CBBA, LP Y SCZ </v>
      </c>
      <c r="K14" s="105">
        <f>IF('Estado de costos'!D42=0,"",'Estado de costos'!D42)</f>
        <v>1</v>
      </c>
      <c r="L14">
        <f>'Estado de costos'!E42</f>
        <v>1</v>
      </c>
      <c r="M14" s="7">
        <f t="shared" si="0"/>
        <v>480</v>
      </c>
      <c r="N14" s="7">
        <f>'Estado de costos'!J42</f>
        <v>480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 xml:space="preserve">TRANSPORTE DE MATERIAL OFICINAS CBBA </v>
      </c>
      <c r="K15" s="105">
        <f>IF('Estado de costos'!D43=0,"",'Estado de costos'!D43)</f>
        <v>1</v>
      </c>
      <c r="L15">
        <f>'Estado de costos'!E43</f>
        <v>1</v>
      </c>
      <c r="M15" s="7">
        <f t="shared" si="0"/>
        <v>0</v>
      </c>
      <c r="N15" s="7">
        <f>'Estado de costos'!J43</f>
        <v>0</v>
      </c>
      <c r="O15" s="7" t="str">
        <f>'Estado de costos'!K43</f>
        <v>888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 xml:space="preserve">TRANSPORTE DE MATERIAL OFICINA SCZ </v>
      </c>
      <c r="K16" s="105">
        <f>IF('Estado de costos'!D44=0,"",'Estado de costos'!D44)</f>
        <v>1</v>
      </c>
      <c r="L16">
        <f>'Estado de costos'!E44</f>
        <v>2</v>
      </c>
      <c r="M16" s="7">
        <f t="shared" si="0"/>
        <v>0</v>
      </c>
      <c r="N16" s="7">
        <f>'Estado de costos'!J44</f>
        <v>0</v>
      </c>
      <c r="O16" s="7" t="str">
        <f>'Estado de costos'!K44</f>
        <v>888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>TRANSPORTE DE MATERIAL OFICINAS LP</v>
      </c>
      <c r="K17" s="105">
        <f>IF('Estado de costos'!D45=0,"",'Estado de costos'!D45)</f>
        <v>1</v>
      </c>
      <c r="L17">
        <f>'Estado de costos'!E45</f>
        <v>2</v>
      </c>
      <c r="M17" s="7">
        <f t="shared" si="0"/>
        <v>0</v>
      </c>
      <c r="N17" s="7">
        <f>'Estado de costos'!J45</f>
        <v>0</v>
      </c>
      <c r="O17" s="7" t="str">
        <f>'Estado de costos'!K45</f>
        <v>888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 xml:space="preserve">TRANSPORTE A OFICINA RODRIGUES Y OFICINA INITIATIVE CIUDAD DE LA PAZ </v>
      </c>
      <c r="K18" s="105">
        <f>IF('Estado de costos'!D46=0,"",'Estado de costos'!D46)</f>
        <v>1</v>
      </c>
      <c r="L18">
        <f>'Estado de costos'!E46</f>
        <v>2</v>
      </c>
      <c r="M18" s="7">
        <f t="shared" si="0"/>
        <v>35</v>
      </c>
      <c r="N18" s="7">
        <f>'Estado de costos'!J46</f>
        <v>70</v>
      </c>
      <c r="O18" s="7" t="str">
        <f>'Estado de costos'!K46</f>
        <v>888</v>
      </c>
      <c r="P18">
        <f t="shared" si="1"/>
        <v>1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 xml:space="preserve">TRANSPORTE A OFICINA SO BRITIESY OFICINA RAZA CIUDAD DE SANTA CRUZ  </v>
      </c>
      <c r="K19" s="105">
        <f>IF('Estado de costos'!D47=0,"",'Estado de costos'!D47)</f>
        <v>1</v>
      </c>
      <c r="L19">
        <f>'Estado de costos'!E47</f>
        <v>2</v>
      </c>
      <c r="M19" s="7">
        <f t="shared" si="0"/>
        <v>35</v>
      </c>
      <c r="N19" s="7">
        <f>'Estado de costos'!J47</f>
        <v>70</v>
      </c>
      <c r="O19" s="7" t="str">
        <f>'Estado de costos'!K47</f>
        <v>888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 t="str">
        <f>'Estado de costos'!B48</f>
        <v>TOTALES</v>
      </c>
      <c r="K20" s="105" t="str">
        <f>IF('Estado de costos'!D48=0,"",'Estado de costos'!D48)</f>
        <v/>
      </c>
      <c r="L20">
        <f>'Estado de costos'!E48</f>
        <v>0</v>
      </c>
      <c r="M20" s="7">
        <f t="shared" ca="1" si="0"/>
        <v>0</v>
      </c>
      <c r="N20" s="7">
        <f ca="1">'Estado de costos'!J48</f>
        <v>5394</v>
      </c>
      <c r="O20" s="7">
        <f>'Estado de costos'!K48</f>
        <v>0</v>
      </c>
      <c r="P20">
        <f t="shared" ca="1" si="1"/>
        <v>1</v>
      </c>
    </row>
    <row r="21" spans="1:25" x14ac:dyDescent="0.25">
      <c r="A21" s="118"/>
      <c r="B21" s="118"/>
      <c r="C21" s="119"/>
      <c r="D21" s="120"/>
      <c r="E21" s="120"/>
      <c r="F21" s="7"/>
      <c r="J21" s="105">
        <f>'Estado de costos'!B49</f>
        <v>0</v>
      </c>
      <c r="K21" s="105" t="str">
        <f>IF('Estado de costos'!D49=0,"",'Estado de costos'!D49)</f>
        <v/>
      </c>
      <c r="L21">
        <f>'Estado de costos'!E49</f>
        <v>0</v>
      </c>
      <c r="M21" s="7">
        <f t="shared" si="0"/>
        <v>0</v>
      </c>
      <c r="N21" s="7">
        <f>'Estado de costos'!J49</f>
        <v>0</v>
      </c>
      <c r="O21" s="7">
        <f>'Estado de costos'!K49</f>
        <v>0</v>
      </c>
      <c r="P21">
        <f t="shared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SERVICIOS / PRODUCTOS PROPIOS DE GRUPO REGIONAL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 xml:space="preserve">PRODUCTO PROPIO  DE TALLER 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>
        <f>'Estado de costos'!B52</f>
        <v>0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 t="str">
        <f>'Estado de costos'!B53</f>
        <v>PRODUCTOS TERMINADOS DE TALLER</v>
      </c>
      <c r="K25" s="105" t="str">
        <f>IF('Estado de costos'!D53=0,"",'Estado de costos'!D53)</f>
        <v/>
      </c>
      <c r="L25" t="str">
        <f>'Estado de costos'!E53</f>
        <v xml:space="preserve">CANTIDAD </v>
      </c>
      <c r="M25" s="7">
        <f t="shared" si="0"/>
        <v>0</v>
      </c>
      <c r="N25" s="7" t="str">
        <f>'Estado de costos'!J53</f>
        <v>PRECIO COTIZADO SIN F.E.E.</v>
      </c>
      <c r="O25" s="7">
        <f>'Estado de costos'!K53</f>
        <v>0</v>
      </c>
      <c r="P25">
        <f t="shared" si="1"/>
        <v>1</v>
      </c>
    </row>
    <row r="26" spans="1:25" x14ac:dyDescent="0.25">
      <c r="A26" s="119"/>
      <c r="B26" s="119"/>
      <c r="C26" s="119"/>
      <c r="D26" s="119"/>
      <c r="E26" s="119"/>
      <c r="F26" s="121"/>
      <c r="J26" s="105">
        <f>'Estado de costos'!B54</f>
        <v>0</v>
      </c>
      <c r="K26" s="105" t="str">
        <f>IF('Estado de costos'!D54=0,"",'Estado de costos'!D54)</f>
        <v/>
      </c>
      <c r="L26">
        <f>'Estado de costos'!E54</f>
        <v>0</v>
      </c>
      <c r="M26" s="7">
        <f t="shared" si="0"/>
        <v>0</v>
      </c>
      <c r="N26" s="7">
        <f>'Estado de costos'!J54</f>
        <v>0</v>
      </c>
      <c r="O26" s="7" t="str">
        <f>'Estado de costos'!K54</f>
        <v>888</v>
      </c>
      <c r="P26">
        <f t="shared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>TOTAL</v>
      </c>
      <c r="K27" s="105" t="str">
        <f>IF('Estado de costos'!D55=0,"",'Estado de costos'!D55)</f>
        <v/>
      </c>
      <c r="L27">
        <f>'Estado de costos'!E55</f>
        <v>0</v>
      </c>
      <c r="M27" s="7">
        <f t="shared" ca="1" si="0"/>
        <v>0</v>
      </c>
      <c r="N27" s="7">
        <f ca="1">'Estado de costos'!J55</f>
        <v>0</v>
      </c>
      <c r="O27" s="7">
        <f>'Estado de costos'!K55</f>
        <v>0</v>
      </c>
      <c r="P27">
        <f t="shared" ca="1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SERVICIO DE OPERACION DE ACTIVACIONES PROPIOS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>
        <f>'Estado de costos'!B57</f>
        <v>0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 t="str">
        <f>'Estado de costos'!B58</f>
        <v>DETALLE DEL SERVICIO</v>
      </c>
      <c r="K30" s="105" t="str">
        <f>IF('Estado de costos'!D58=0,"",'Estado de costos'!D58)</f>
        <v/>
      </c>
      <c r="L30" t="str">
        <f>'Estado de costos'!E58</f>
        <v>CANTIDAD</v>
      </c>
      <c r="M30" s="7">
        <f t="shared" si="0"/>
        <v>0</v>
      </c>
      <c r="N30" s="7" t="str">
        <f>'Estado de costos'!J58</f>
        <v>PRECIO COTIZADO SIN F.E.E.</v>
      </c>
      <c r="O30" s="7">
        <f>'Estado de costos'!K58</f>
        <v>0</v>
      </c>
      <c r="P30">
        <f t="shared" si="1"/>
        <v>1</v>
      </c>
    </row>
    <row r="31" spans="1:25" x14ac:dyDescent="0.25">
      <c r="A31" s="119"/>
      <c r="B31" s="119"/>
      <c r="C31" s="119"/>
      <c r="D31" s="119"/>
      <c r="E31" s="119"/>
      <c r="F31" s="121"/>
      <c r="J31" s="105">
        <f>'Estado de costos'!B59</f>
        <v>0</v>
      </c>
      <c r="K31" s="105" t="str">
        <f>IF('Estado de costos'!D59=0,"",'Estado de costos'!D59)</f>
        <v/>
      </c>
      <c r="L31">
        <f>'Estado de costos'!E59</f>
        <v>0</v>
      </c>
      <c r="M31" s="7">
        <f t="shared" si="0"/>
        <v>0</v>
      </c>
      <c r="N31" s="7">
        <f>'Estado de costos'!J59</f>
        <v>0</v>
      </c>
      <c r="O31" s="7" t="str">
        <f>'Estado de costos'!K59</f>
        <v>888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TOTAL</v>
      </c>
      <c r="K32" s="105" t="str">
        <f>IF('Estado de costos'!D60=0,"",'Estado de costos'!D60)</f>
        <v/>
      </c>
      <c r="L32">
        <f>'Estado de costos'!E60</f>
        <v>0</v>
      </c>
      <c r="M32" s="7">
        <f t="shared" ca="1" si="0"/>
        <v>0</v>
      </c>
      <c r="N32" s="7">
        <f ca="1">'Estado de costos'!J60</f>
        <v>0</v>
      </c>
      <c r="O32" s="7">
        <f>'Estado de costos'!K60</f>
        <v>0</v>
      </c>
      <c r="P32">
        <f t="shared" ca="1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 xml:space="preserve">EQUIPOS PROPIOS 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DETALLE DEL SERVICIO</v>
      </c>
      <c r="K35" s="105" t="str">
        <f>IF('Estado de costos'!D63=0,"",'Estado de costos'!D63)</f>
        <v/>
      </c>
      <c r="L35" t="str">
        <f>'Estado de costos'!E63</f>
        <v>CANTIDAD</v>
      </c>
      <c r="M35" s="7">
        <f t="shared" si="0"/>
        <v>0</v>
      </c>
      <c r="N35" s="7" t="str">
        <f>'Estado de costos'!J63</f>
        <v>PRECIO COTIZADO SIN F.E.E.</v>
      </c>
      <c r="O35" s="7">
        <f>'Estado de costos'!K63</f>
        <v>0</v>
      </c>
      <c r="P35">
        <f t="shared" si="1"/>
        <v>1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 t="str">
        <f>'Estado de costos'!K64</f>
        <v>888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 t="str">
        <f>'Estado de costos'!B65</f>
        <v>TOTAL</v>
      </c>
      <c r="K37" s="105" t="str">
        <f>IF('Estado de costos'!D65=0,"",'Estado de costos'!D65)</f>
        <v/>
      </c>
      <c r="L37">
        <f>'Estado de costos'!E65</f>
        <v>0</v>
      </c>
      <c r="M37" s="7">
        <f t="shared" ca="1" si="0"/>
        <v>0</v>
      </c>
      <c r="N37" s="7">
        <f ca="1">'Estado de costos'!J65</f>
        <v>0</v>
      </c>
      <c r="O37" s="7">
        <f>'Estado de costos'!K65</f>
        <v>0</v>
      </c>
      <c r="P37">
        <f t="shared" ca="1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COSTOS INDIRECTOS DEL PROYECTO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 t="str">
        <f>'Estado de costos'!B68</f>
        <v>COSTOS INDIRECTOS DE OPERACIONES</v>
      </c>
      <c r="K40" s="105" t="str">
        <f>IF('Estado de costos'!D68=0,"",'Estado de costos'!D68)</f>
        <v>COSTO  ACUMULADO  PROGRAMADO</v>
      </c>
      <c r="L40" t="str">
        <f>'Estado de costos'!E68</f>
        <v>TASA DE APLICACIÓN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>
        <f ca="1">IF('Estado de costos'!D69=0,"",'Estado de costos'!D69)</f>
        <v>3341.9414201183431</v>
      </c>
      <c r="L41">
        <f>'Estado de costos'!E69</f>
        <v>0.17</v>
      </c>
      <c r="M41" s="7">
        <f t="shared" ca="1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 t="str">
        <f>'Estado de costos'!B72</f>
        <v>COSTO FINANCIERO</v>
      </c>
      <c r="K44" s="105" t="str">
        <f>IF('Estado de costos'!D72=0,"",'Estado de costos'!D72)</f>
        <v>TIEMPO PROGRAMADO</v>
      </c>
      <c r="L44" t="str">
        <f>'Estado de costos'!E72</f>
        <v>TASA FINANCIERA</v>
      </c>
      <c r="M44" s="7">
        <f t="shared" si="0"/>
        <v>0</v>
      </c>
      <c r="N44" s="7">
        <f>'Estado de costos'!J72</f>
        <v>0</v>
      </c>
      <c r="O44" s="7">
        <f>'Estado de costos'!K72</f>
        <v>0</v>
      </c>
      <c r="P44">
        <f t="shared" si="1"/>
        <v>0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>
        <f>IF('Estado de costos'!D73=0,"",'Estado de costos'!D73)</f>
        <v>30</v>
      </c>
      <c r="L45">
        <f>'Estado de costos'!E73</f>
        <v>5.4487179487179495E-4</v>
      </c>
      <c r="M45" s="7">
        <f t="shared" si="0"/>
        <v>0</v>
      </c>
      <c r="N45" s="7">
        <f>'Estado de costos'!J73</f>
        <v>0</v>
      </c>
      <c r="O45" s="7">
        <f>'Estado de costos'!K73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 t="str">
        <f>'Estado de costos'!B75</f>
        <v>F.E.E. PROGRAMADO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 t="str">
        <f>'Estado de costos'!J77</f>
        <v>TOTAL F.E.E. VARIABLE</v>
      </c>
      <c r="O49" s="7">
        <f>'Estado de costos'!K77</f>
        <v>0</v>
      </c>
      <c r="P49">
        <f t="shared" si="1"/>
        <v>1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ca="1" si="0"/>
        <v>0</v>
      </c>
      <c r="N50" s="7">
        <f ca="1">'Estado de costos'!J78</f>
        <v>5394</v>
      </c>
      <c r="O50" s="7">
        <f>'Estado de costos'!K78</f>
        <v>0</v>
      </c>
      <c r="P50">
        <f t="shared" ca="1" si="1"/>
        <v>1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ca="1" si="0"/>
        <v>0</v>
      </c>
      <c r="N51" s="7">
        <f ca="1">'Estado de costos'!J79</f>
        <v>809.1</v>
      </c>
      <c r="O51" s="7">
        <f>'Estado de costos'!K79</f>
        <v>0</v>
      </c>
      <c r="P51">
        <f t="shared" ca="1" si="1"/>
        <v>1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ca="1" si="0"/>
        <v>0</v>
      </c>
      <c r="N53" s="7">
        <f ca="1">'Estado de costos'!J81</f>
        <v>6203.1</v>
      </c>
      <c r="O53" s="7">
        <f>'Estado de costos'!K81</f>
        <v>0</v>
      </c>
      <c r="P53">
        <f t="shared" ca="1" si="1"/>
        <v>1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2019-02-11T20:53:47Z</dcterms:modified>
</cp:coreProperties>
</file>