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AIDISA BIC\cotizaciones BIC cbba enero y feb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O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P46" i="32" s="1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P58" i="32" s="1"/>
  <c r="O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P127" i="32"/>
  <c r="J128" i="32"/>
  <c r="K128" i="32"/>
  <c r="L128" i="32"/>
  <c r="M128" i="32"/>
  <c r="N128" i="32"/>
  <c r="O128" i="32"/>
  <c r="P128" i="32"/>
  <c r="J129" i="32"/>
  <c r="K129" i="32"/>
  <c r="L129" i="32"/>
  <c r="N129" i="32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O131" i="32"/>
  <c r="P131" i="32"/>
  <c r="J132" i="32"/>
  <c r="K132" i="32"/>
  <c r="L132" i="32"/>
  <c r="M132" i="32"/>
  <c r="N132" i="32"/>
  <c r="O132" i="32"/>
  <c r="P132" i="32"/>
  <c r="J133" i="32"/>
  <c r="K133" i="32"/>
  <c r="L133" i="32"/>
  <c r="N133" i="32"/>
  <c r="M133" i="32" s="1"/>
  <c r="O133" i="32"/>
  <c r="J134" i="32"/>
  <c r="K134" i="32"/>
  <c r="M134" i="32" s="1"/>
  <c r="L134" i="32"/>
  <c r="N134" i="32"/>
  <c r="P134" i="32" s="1"/>
  <c r="O134" i="32"/>
  <c r="J135" i="32"/>
  <c r="K135" i="32"/>
  <c r="L135" i="32"/>
  <c r="N135" i="32"/>
  <c r="M135" i="32" s="1"/>
  <c r="O135" i="32"/>
  <c r="J136" i="32"/>
  <c r="K136" i="32"/>
  <c r="M136" i="32" s="1"/>
  <c r="L136" i="32"/>
  <c r="N136" i="32"/>
  <c r="O136" i="32"/>
  <c r="P136" i="32"/>
  <c r="J137" i="32"/>
  <c r="K137" i="32"/>
  <c r="L137" i="32"/>
  <c r="N137" i="32"/>
  <c r="P137" i="32" s="1"/>
  <c r="O137" i="32"/>
  <c r="J138" i="32"/>
  <c r="K138" i="32"/>
  <c r="M138" i="32" s="1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M140" i="32" s="1"/>
  <c r="L140" i="32"/>
  <c r="N140" i="32"/>
  <c r="O140" i="32"/>
  <c r="P140" i="32"/>
  <c r="J141" i="32"/>
  <c r="K141" i="32"/>
  <c r="L141" i="32"/>
  <c r="N141" i="32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P143" i="32"/>
  <c r="J144" i="32"/>
  <c r="K144" i="32"/>
  <c r="L144" i="32"/>
  <c r="M144" i="32"/>
  <c r="N144" i="32"/>
  <c r="O144" i="32"/>
  <c r="P144" i="32"/>
  <c r="J145" i="32"/>
  <c r="K145" i="32"/>
  <c r="L145" i="32"/>
  <c r="N145" i="32"/>
  <c r="O145" i="32"/>
  <c r="P145" i="32"/>
  <c r="J146" i="32"/>
  <c r="K146" i="32"/>
  <c r="L146" i="32"/>
  <c r="M146" i="32"/>
  <c r="N146" i="32"/>
  <c r="P146" i="32" s="1"/>
  <c r="O146" i="32"/>
  <c r="J147" i="32"/>
  <c r="K147" i="32"/>
  <c r="L147" i="32"/>
  <c r="N147" i="32"/>
  <c r="O147" i="32"/>
  <c r="P147" i="32"/>
  <c r="J148" i="32"/>
  <c r="K148" i="32"/>
  <c r="L148" i="32"/>
  <c r="M148" i="32"/>
  <c r="N148" i="32"/>
  <c r="O148" i="32"/>
  <c r="P148" i="32"/>
  <c r="J149" i="32"/>
  <c r="K149" i="32"/>
  <c r="L149" i="32"/>
  <c r="N149" i="32"/>
  <c r="M149" i="32" s="1"/>
  <c r="O149" i="32"/>
  <c r="J150" i="32"/>
  <c r="K150" i="32"/>
  <c r="M150" i="32" s="1"/>
  <c r="L150" i="32"/>
  <c r="N150" i="32"/>
  <c r="P150" i="32" s="1"/>
  <c r="O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M154" i="32" s="1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M156" i="32" s="1"/>
  <c r="L156" i="32"/>
  <c r="N156" i="32"/>
  <c r="O156" i="32"/>
  <c r="P156" i="32"/>
  <c r="J157" i="32"/>
  <c r="K157" i="32"/>
  <c r="L157" i="32"/>
  <c r="N157" i="32"/>
  <c r="O157" i="32"/>
  <c r="P157" i="32"/>
  <c r="J158" i="32"/>
  <c r="K158" i="32"/>
  <c r="L158" i="32"/>
  <c r="M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/>
  <c r="N160" i="32"/>
  <c r="O160" i="32"/>
  <c r="P160" i="32"/>
  <c r="J161" i="32"/>
  <c r="K161" i="32"/>
  <c r="L161" i="32"/>
  <c r="N161" i="32"/>
  <c r="O161" i="32"/>
  <c r="P161" i="32"/>
  <c r="J162" i="32"/>
  <c r="K162" i="32"/>
  <c r="L162" i="32"/>
  <c r="M162" i="32"/>
  <c r="N162" i="32"/>
  <c r="P162" i="32" s="1"/>
  <c r="O162" i="32"/>
  <c r="J163" i="32"/>
  <c r="K163" i="32"/>
  <c r="L163" i="32"/>
  <c r="N163" i="32"/>
  <c r="O163" i="32"/>
  <c r="P163" i="32"/>
  <c r="J164" i="32"/>
  <c r="K164" i="32"/>
  <c r="L164" i="32"/>
  <c r="M164" i="32" s="1"/>
  <c r="N164" i="32"/>
  <c r="O164" i="32"/>
  <c r="P164" i="32"/>
  <c r="J165" i="32"/>
  <c r="K165" i="32"/>
  <c r="L165" i="32"/>
  <c r="M165" i="32"/>
  <c r="N165" i="32"/>
  <c r="P165" i="32" s="1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M168" i="32" s="1"/>
  <c r="L168" i="32"/>
  <c r="N168" i="32"/>
  <c r="O168" i="32"/>
  <c r="P168" i="32"/>
  <c r="J169" i="32"/>
  <c r="K169" i="32"/>
  <c r="L169" i="32"/>
  <c r="N169" i="32"/>
  <c r="M169" i="32" s="1"/>
  <c r="O169" i="32"/>
  <c r="P169" i="32"/>
  <c r="J170" i="32"/>
  <c r="K170" i="32"/>
  <c r="L170" i="32"/>
  <c r="M170" i="32"/>
  <c r="N170" i="32"/>
  <c r="P170" i="32" s="1"/>
  <c r="O170" i="32"/>
  <c r="J171" i="32"/>
  <c r="K171" i="32"/>
  <c r="L171" i="32"/>
  <c r="N171" i="32"/>
  <c r="P171" i="32" s="1"/>
  <c r="O171" i="32"/>
  <c r="J172" i="32"/>
  <c r="K172" i="32"/>
  <c r="L172" i="32"/>
  <c r="N172" i="32"/>
  <c r="M172" i="32" s="1"/>
  <c r="O172" i="32"/>
  <c r="P172" i="32"/>
  <c r="J173" i="32"/>
  <c r="K173" i="32"/>
  <c r="L173" i="32"/>
  <c r="M173" i="32" s="1"/>
  <c r="N173" i="32"/>
  <c r="O173" i="32"/>
  <c r="P173" i="32"/>
  <c r="J174" i="32"/>
  <c r="K174" i="32"/>
  <c r="L174" i="32"/>
  <c r="M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M176" i="32" s="1"/>
  <c r="O176" i="32"/>
  <c r="P176" i="32"/>
  <c r="J177" i="32"/>
  <c r="K177" i="32"/>
  <c r="L177" i="32"/>
  <c r="M177" i="32" s="1"/>
  <c r="N177" i="32"/>
  <c r="O177" i="32"/>
  <c r="P177" i="32"/>
  <c r="J178" i="32"/>
  <c r="K178" i="32"/>
  <c r="L178" i="32"/>
  <c r="M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M180" i="32" s="1"/>
  <c r="O180" i="32"/>
  <c r="P180" i="32"/>
  <c r="J181" i="32"/>
  <c r="K181" i="32"/>
  <c r="L181" i="32"/>
  <c r="M181" i="32" s="1"/>
  <c r="N181" i="32"/>
  <c r="O181" i="32"/>
  <c r="P181" i="32"/>
  <c r="J182" i="32"/>
  <c r="K182" i="32"/>
  <c r="L182" i="32"/>
  <c r="M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M184" i="32" s="1"/>
  <c r="O184" i="32"/>
  <c r="P184" i="32"/>
  <c r="J185" i="32"/>
  <c r="K185" i="32"/>
  <c r="L185" i="32"/>
  <c r="M185" i="32" s="1"/>
  <c r="N185" i="32"/>
  <c r="O185" i="32"/>
  <c r="P185" i="32"/>
  <c r="J186" i="32"/>
  <c r="K186" i="32"/>
  <c r="L186" i="32"/>
  <c r="M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M188" i="32" s="1"/>
  <c r="O188" i="32"/>
  <c r="P188" i="32"/>
  <c r="J189" i="32"/>
  <c r="K189" i="32"/>
  <c r="L189" i="32"/>
  <c r="M189" i="32" s="1"/>
  <c r="N189" i="32"/>
  <c r="O189" i="32"/>
  <c r="P189" i="32"/>
  <c r="J190" i="32"/>
  <c r="K190" i="32"/>
  <c r="L190" i="32"/>
  <c r="M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M192" i="32" s="1"/>
  <c r="O192" i="32"/>
  <c r="P192" i="32"/>
  <c r="J193" i="32"/>
  <c r="K193" i="32"/>
  <c r="L193" i="32"/>
  <c r="M193" i="32" s="1"/>
  <c r="N193" i="32"/>
  <c r="O193" i="32"/>
  <c r="P193" i="32"/>
  <c r="J194" i="32"/>
  <c r="K194" i="32"/>
  <c r="L194" i="32"/>
  <c r="M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M196" i="32" s="1"/>
  <c r="O196" i="32"/>
  <c r="P196" i="32"/>
  <c r="J197" i="32"/>
  <c r="K197" i="32"/>
  <c r="L197" i="32"/>
  <c r="M197" i="32" s="1"/>
  <c r="N197" i="32"/>
  <c r="O197" i="32"/>
  <c r="P197" i="32"/>
  <c r="J198" i="32"/>
  <c r="K198" i="32"/>
  <c r="L198" i="32"/>
  <c r="M198" i="32"/>
  <c r="N198" i="32"/>
  <c r="P198" i="32" s="1"/>
  <c r="O198" i="32"/>
  <c r="J199" i="32"/>
  <c r="K199" i="32"/>
  <c r="L199" i="32"/>
  <c r="N199" i="32"/>
  <c r="P199" i="32" s="1"/>
  <c r="O199" i="32"/>
  <c r="J200" i="32"/>
  <c r="K200" i="32"/>
  <c r="L200" i="32"/>
  <c r="N200" i="32"/>
  <c r="M200" i="32" s="1"/>
  <c r="O200" i="32"/>
  <c r="P200" i="32"/>
  <c r="J201" i="32"/>
  <c r="K201" i="32"/>
  <c r="L201" i="32"/>
  <c r="M201" i="32" s="1"/>
  <c r="N201" i="32"/>
  <c r="O201" i="32"/>
  <c r="P201" i="32"/>
  <c r="J202" i="32"/>
  <c r="K202" i="32"/>
  <c r="L202" i="32"/>
  <c r="M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M204" i="32" s="1"/>
  <c r="O204" i="32"/>
  <c r="P204" i="32"/>
  <c r="J205" i="32"/>
  <c r="K205" i="32"/>
  <c r="L205" i="32"/>
  <c r="M205" i="32" s="1"/>
  <c r="N205" i="32"/>
  <c r="O205" i="32"/>
  <c r="P205" i="32"/>
  <c r="J206" i="32"/>
  <c r="K206" i="32"/>
  <c r="L206" i="32"/>
  <c r="M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M208" i="32" s="1"/>
  <c r="O208" i="32"/>
  <c r="P208" i="32"/>
  <c r="J209" i="32"/>
  <c r="K209" i="32"/>
  <c r="L209" i="32"/>
  <c r="M209" i="32" s="1"/>
  <c r="N209" i="32"/>
  <c r="O209" i="32"/>
  <c r="P209" i="32"/>
  <c r="J210" i="32"/>
  <c r="K210" i="32"/>
  <c r="L210" i="32"/>
  <c r="M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M212" i="32" s="1"/>
  <c r="O212" i="32"/>
  <c r="P212" i="32"/>
  <c r="J213" i="32"/>
  <c r="K213" i="32"/>
  <c r="L213" i="32"/>
  <c r="M213" i="32" s="1"/>
  <c r="N213" i="32"/>
  <c r="O213" i="32"/>
  <c r="P213" i="32"/>
  <c r="J214" i="32"/>
  <c r="K214" i="32"/>
  <c r="L214" i="32"/>
  <c r="M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M216" i="32" s="1"/>
  <c r="N216" i="32"/>
  <c r="O216" i="32"/>
  <c r="P216" i="32"/>
  <c r="J217" i="32"/>
  <c r="K217" i="32"/>
  <c r="L217" i="32"/>
  <c r="M217" i="32" s="1"/>
  <c r="N217" i="32"/>
  <c r="O217" i="32"/>
  <c r="P217" i="32"/>
  <c r="J218" i="32"/>
  <c r="K218" i="32"/>
  <c r="L218" i="32"/>
  <c r="M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M220" i="32" s="1"/>
  <c r="N220" i="32"/>
  <c r="O220" i="32"/>
  <c r="P220" i="32"/>
  <c r="J221" i="32"/>
  <c r="K221" i="32"/>
  <c r="L221" i="32"/>
  <c r="M221" i="32" s="1"/>
  <c r="N221" i="32"/>
  <c r="O221" i="32"/>
  <c r="P221" i="32"/>
  <c r="J222" i="32"/>
  <c r="K222" i="32"/>
  <c r="L222" i="32"/>
  <c r="M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M224" i="32" s="1"/>
  <c r="N224" i="32"/>
  <c r="O224" i="32"/>
  <c r="P224" i="32"/>
  <c r="J225" i="32"/>
  <c r="K225" i="32"/>
  <c r="L225" i="32"/>
  <c r="M225" i="32" s="1"/>
  <c r="N225" i="32"/>
  <c r="O225" i="32"/>
  <c r="P225" i="32"/>
  <c r="J226" i="32"/>
  <c r="K226" i="32"/>
  <c r="L226" i="32"/>
  <c r="M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M228" i="32" s="1"/>
  <c r="N228" i="32"/>
  <c r="O228" i="32"/>
  <c r="P228" i="32"/>
  <c r="J229" i="32"/>
  <c r="K229" i="32"/>
  <c r="L229" i="32"/>
  <c r="M229" i="32" s="1"/>
  <c r="N229" i="32"/>
  <c r="O229" i="32"/>
  <c r="P229" i="32"/>
  <c r="J230" i="32"/>
  <c r="K230" i="32"/>
  <c r="L230" i="32"/>
  <c r="M230" i="32"/>
  <c r="N230" i="32"/>
  <c r="P230" i="32" s="1"/>
  <c r="O230" i="32"/>
  <c r="J231" i="32"/>
  <c r="K231" i="32"/>
  <c r="L231" i="32"/>
  <c r="N231" i="32"/>
  <c r="P231" i="32" s="1"/>
  <c r="O231" i="32"/>
  <c r="J232" i="32"/>
  <c r="K232" i="32"/>
  <c r="L232" i="32"/>
  <c r="M232" i="32" s="1"/>
  <c r="N232" i="32"/>
  <c r="O232" i="32"/>
  <c r="P232" i="32"/>
  <c r="J233" i="32"/>
  <c r="K233" i="32"/>
  <c r="L233" i="32"/>
  <c r="M233" i="32" s="1"/>
  <c r="N233" i="32"/>
  <c r="O233" i="32"/>
  <c r="P233" i="32"/>
  <c r="J234" i="32"/>
  <c r="K234" i="32"/>
  <c r="L234" i="32"/>
  <c r="M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M236" i="32" s="1"/>
  <c r="N236" i="32"/>
  <c r="O236" i="32"/>
  <c r="P236" i="32"/>
  <c r="J237" i="32"/>
  <c r="K237" i="32"/>
  <c r="L237" i="32"/>
  <c r="M237" i="32" s="1"/>
  <c r="N237" i="32"/>
  <c r="O237" i="32"/>
  <c r="P237" i="32"/>
  <c r="J238" i="32"/>
  <c r="K238" i="32"/>
  <c r="L238" i="32"/>
  <c r="M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M240" i="32" s="1"/>
  <c r="N240" i="32"/>
  <c r="O240" i="32"/>
  <c r="P240" i="32"/>
  <c r="J241" i="32"/>
  <c r="K241" i="32"/>
  <c r="L241" i="32"/>
  <c r="M241" i="32" s="1"/>
  <c r="N241" i="32"/>
  <c r="O241" i="32"/>
  <c r="P241" i="32"/>
  <c r="J242" i="32"/>
  <c r="K242" i="32"/>
  <c r="L242" i="32"/>
  <c r="M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M244" i="32" s="1"/>
  <c r="N244" i="32"/>
  <c r="O244" i="32"/>
  <c r="P244" i="32"/>
  <c r="J245" i="32"/>
  <c r="K245" i="32"/>
  <c r="L245" i="32"/>
  <c r="M245" i="32" s="1"/>
  <c r="N245" i="32"/>
  <c r="O245" i="32"/>
  <c r="P245" i="32"/>
  <c r="J246" i="32"/>
  <c r="K246" i="32"/>
  <c r="L246" i="32"/>
  <c r="M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M248" i="32" s="1"/>
  <c r="N248" i="32"/>
  <c r="O248" i="32"/>
  <c r="P248" i="32"/>
  <c r="J249" i="32"/>
  <c r="K249" i="32"/>
  <c r="L249" i="32"/>
  <c r="M249" i="32" s="1"/>
  <c r="N249" i="32"/>
  <c r="O249" i="32"/>
  <c r="P249" i="32"/>
  <c r="J250" i="32"/>
  <c r="K250" i="32"/>
  <c r="L250" i="32"/>
  <c r="M250" i="32"/>
  <c r="N250" i="32"/>
  <c r="P250" i="32" s="1"/>
  <c r="O250" i="32"/>
  <c r="J251" i="32"/>
  <c r="K251" i="32"/>
  <c r="L251" i="32"/>
  <c r="N251" i="32"/>
  <c r="P251" i="32" s="1"/>
  <c r="O251" i="32"/>
  <c r="J252" i="32"/>
  <c r="K252" i="32"/>
  <c r="L252" i="32"/>
  <c r="M252" i="32" s="1"/>
  <c r="N252" i="32"/>
  <c r="O252" i="32"/>
  <c r="P252" i="32"/>
  <c r="J253" i="32"/>
  <c r="K253" i="32"/>
  <c r="L253" i="32"/>
  <c r="M253" i="32" s="1"/>
  <c r="N253" i="32"/>
  <c r="O253" i="32"/>
  <c r="P253" i="32"/>
  <c r="J254" i="32"/>
  <c r="K254" i="32"/>
  <c r="L254" i="32"/>
  <c r="M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M256" i="32" s="1"/>
  <c r="N256" i="32"/>
  <c r="O256" i="32"/>
  <c r="P256" i="32"/>
  <c r="J257" i="32"/>
  <c r="K257" i="32"/>
  <c r="L257" i="32"/>
  <c r="M257" i="32" s="1"/>
  <c r="N257" i="32"/>
  <c r="O257" i="32"/>
  <c r="P257" i="32"/>
  <c r="J258" i="32"/>
  <c r="K258" i="32"/>
  <c r="L258" i="32"/>
  <c r="M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M260" i="32" s="1"/>
  <c r="N260" i="32"/>
  <c r="O260" i="32"/>
  <c r="P260" i="32"/>
  <c r="J261" i="32"/>
  <c r="K261" i="32"/>
  <c r="L261" i="32"/>
  <c r="M261" i="32" s="1"/>
  <c r="N261" i="32"/>
  <c r="O261" i="32"/>
  <c r="P261" i="32"/>
  <c r="J262" i="32"/>
  <c r="K262" i="32"/>
  <c r="L262" i="32"/>
  <c r="M262" i="32"/>
  <c r="N262" i="32"/>
  <c r="P262" i="32" s="1"/>
  <c r="O262" i="32"/>
  <c r="J263" i="32"/>
  <c r="K263" i="32"/>
  <c r="L263" i="32"/>
  <c r="N263" i="32"/>
  <c r="P263" i="32" s="1"/>
  <c r="O263" i="32"/>
  <c r="J264" i="32"/>
  <c r="K264" i="32"/>
  <c r="L264" i="32"/>
  <c r="M264" i="32" s="1"/>
  <c r="N264" i="32"/>
  <c r="O264" i="32"/>
  <c r="P264" i="32"/>
  <c r="J265" i="32"/>
  <c r="K265" i="32"/>
  <c r="L265" i="32"/>
  <c r="M265" i="32" s="1"/>
  <c r="N265" i="32"/>
  <c r="O265" i="32"/>
  <c r="P265" i="32"/>
  <c r="J266" i="32"/>
  <c r="K266" i="32"/>
  <c r="L266" i="32"/>
  <c r="M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M268" i="32" s="1"/>
  <c r="N268" i="32"/>
  <c r="O268" i="32"/>
  <c r="P268" i="32"/>
  <c r="J269" i="32"/>
  <c r="K269" i="32"/>
  <c r="L269" i="32"/>
  <c r="M269" i="32" s="1"/>
  <c r="N269" i="32"/>
  <c r="O269" i="32"/>
  <c r="P269" i="32"/>
  <c r="J270" i="32"/>
  <c r="K270" i="32"/>
  <c r="L270" i="32"/>
  <c r="M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M272" i="32" s="1"/>
  <c r="N272" i="32"/>
  <c r="O272" i="32"/>
  <c r="P272" i="32"/>
  <c r="J273" i="32"/>
  <c r="K273" i="32"/>
  <c r="L273" i="32"/>
  <c r="M273" i="32" s="1"/>
  <c r="N273" i="32"/>
  <c r="O273" i="32"/>
  <c r="P273" i="32"/>
  <c r="J274" i="32"/>
  <c r="K274" i="32"/>
  <c r="L274" i="32"/>
  <c r="M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M276" i="32" s="1"/>
  <c r="N276" i="32"/>
  <c r="O276" i="32"/>
  <c r="P276" i="32"/>
  <c r="J277" i="32"/>
  <c r="K277" i="32"/>
  <c r="L277" i="32"/>
  <c r="M277" i="32" s="1"/>
  <c r="N277" i="32"/>
  <c r="O277" i="32"/>
  <c r="P277" i="32"/>
  <c r="J278" i="32"/>
  <c r="K278" i="32"/>
  <c r="L278" i="32"/>
  <c r="M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M280" i="32" s="1"/>
  <c r="N280" i="32"/>
  <c r="O280" i="32"/>
  <c r="P280" i="32"/>
  <c r="J281" i="32"/>
  <c r="K281" i="32"/>
  <c r="L281" i="32"/>
  <c r="M281" i="32" s="1"/>
  <c r="N281" i="32"/>
  <c r="O281" i="32"/>
  <c r="P281" i="32"/>
  <c r="J282" i="32"/>
  <c r="K282" i="32"/>
  <c r="L282" i="32"/>
  <c r="M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M284" i="32" s="1"/>
  <c r="N284" i="32"/>
  <c r="O284" i="32"/>
  <c r="P284" i="32"/>
  <c r="J285" i="32"/>
  <c r="K285" i="32"/>
  <c r="L285" i="32"/>
  <c r="M285" i="32" s="1"/>
  <c r="N285" i="32"/>
  <c r="O285" i="32"/>
  <c r="P285" i="32"/>
  <c r="J286" i="32"/>
  <c r="K286" i="32"/>
  <c r="L286" i="32"/>
  <c r="M286" i="32"/>
  <c r="N286" i="32"/>
  <c r="P286" i="32" s="1"/>
  <c r="O286" i="32"/>
  <c r="J287" i="32"/>
  <c r="K287" i="32"/>
  <c r="L287" i="32"/>
  <c r="N287" i="32"/>
  <c r="P287" i="32" s="1"/>
  <c r="O287" i="32"/>
  <c r="J288" i="32"/>
  <c r="K288" i="32"/>
  <c r="L288" i="32"/>
  <c r="M288" i="32" s="1"/>
  <c r="N288" i="32"/>
  <c r="O288" i="32"/>
  <c r="P288" i="32"/>
  <c r="J289" i="32"/>
  <c r="K289" i="32"/>
  <c r="L289" i="32"/>
  <c r="M289" i="32" s="1"/>
  <c r="N289" i="32"/>
  <c r="O289" i="32"/>
  <c r="P289" i="32"/>
  <c r="J290" i="32"/>
  <c r="K290" i="32"/>
  <c r="L290" i="32"/>
  <c r="M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M292" i="32" s="1"/>
  <c r="N292" i="32"/>
  <c r="O292" i="32"/>
  <c r="P292" i="32"/>
  <c r="J293" i="32"/>
  <c r="K293" i="32"/>
  <c r="L293" i="32"/>
  <c r="M293" i="32" s="1"/>
  <c r="N293" i="32"/>
  <c r="O293" i="32"/>
  <c r="P293" i="32"/>
  <c r="J294" i="32"/>
  <c r="K294" i="32"/>
  <c r="L294" i="32"/>
  <c r="M294" i="32"/>
  <c r="N294" i="32"/>
  <c r="P294" i="32" s="1"/>
  <c r="O294" i="32"/>
  <c r="J295" i="32"/>
  <c r="K295" i="32"/>
  <c r="L295" i="32"/>
  <c r="N295" i="32"/>
  <c r="P295" i="32" s="1"/>
  <c r="O295" i="32"/>
  <c r="J296" i="32"/>
  <c r="K296" i="32"/>
  <c r="L296" i="32"/>
  <c r="M296" i="32" s="1"/>
  <c r="N296" i="32"/>
  <c r="O296" i="32"/>
  <c r="P296" i="32"/>
  <c r="J297" i="32"/>
  <c r="K297" i="32"/>
  <c r="L297" i="32"/>
  <c r="M297" i="32" s="1"/>
  <c r="N297" i="32"/>
  <c r="O297" i="32"/>
  <c r="P297" i="32"/>
  <c r="J298" i="32"/>
  <c r="K298" i="32"/>
  <c r="L298" i="32"/>
  <c r="M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M300" i="32" s="1"/>
  <c r="N300" i="32"/>
  <c r="O300" i="32"/>
  <c r="P300" i="32"/>
  <c r="M299" i="32" l="1"/>
  <c r="M295" i="32"/>
  <c r="M291" i="32"/>
  <c r="M287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71" i="32"/>
  <c r="M166" i="32"/>
  <c r="M163" i="32"/>
  <c r="M161" i="32"/>
  <c r="M147" i="32"/>
  <c r="M145" i="32"/>
  <c r="M131" i="32"/>
  <c r="M129" i="32"/>
  <c r="P123" i="32"/>
  <c r="M123" i="32"/>
  <c r="P107" i="32"/>
  <c r="M107" i="32"/>
  <c r="P91" i="32"/>
  <c r="M91" i="32"/>
  <c r="M159" i="32"/>
  <c r="M157" i="32"/>
  <c r="P151" i="32"/>
  <c r="P149" i="32"/>
  <c r="M143" i="32"/>
  <c r="M141" i="32"/>
  <c r="P135" i="32"/>
  <c r="P133" i="32"/>
  <c r="M127" i="32"/>
  <c r="M125" i="32"/>
  <c r="P111" i="32"/>
  <c r="M111" i="32"/>
  <c r="M109" i="32"/>
  <c r="P95" i="32"/>
  <c r="M95" i="32"/>
  <c r="M93" i="32"/>
  <c r="M167" i="32"/>
  <c r="M155" i="32"/>
  <c r="M153" i="32"/>
  <c r="M139" i="32"/>
  <c r="M137" i="32"/>
  <c r="P115" i="32"/>
  <c r="M115" i="32"/>
  <c r="M113" i="32"/>
  <c r="P99" i="32"/>
  <c r="M99" i="32"/>
  <c r="M97" i="32"/>
  <c r="P119" i="32"/>
  <c r="M119" i="32"/>
  <c r="P103" i="32"/>
  <c r="M103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27" i="32"/>
  <c r="M23" i="32"/>
  <c r="M19" i="32"/>
  <c r="M15" i="32"/>
  <c r="M11" i="32"/>
  <c r="M7" i="32"/>
  <c r="G39" i="8"/>
  <c r="I39" i="8"/>
  <c r="K39" i="8"/>
  <c r="G40" i="8"/>
  <c r="I40" i="8"/>
  <c r="K40" i="8"/>
  <c r="G41" i="8"/>
  <c r="I41" i="8"/>
  <c r="K41" i="8"/>
  <c r="C73" i="34" l="1"/>
  <c r="C72" i="34"/>
  <c r="C22" i="34" l="1"/>
  <c r="D30" i="34" s="1"/>
  <c r="A26" i="34" l="1"/>
  <c r="A33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P3" i="32" l="1"/>
  <c r="M3" i="32"/>
  <c r="M14" i="32"/>
  <c r="P14" i="32"/>
  <c r="P21" i="32"/>
  <c r="M21" i="32"/>
  <c r="M26" i="32"/>
  <c r="P26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29" i="34" s="1"/>
  <c r="C69" i="8"/>
  <c r="H73" i="8" s="1"/>
  <c r="H74" i="8" s="1"/>
  <c r="H75" i="8" s="1"/>
  <c r="J73" i="8"/>
  <c r="N45" i="32" s="1"/>
  <c r="P45" i="32" l="1"/>
  <c r="M45" i="32"/>
  <c r="K8" i="8"/>
  <c r="E30" i="34"/>
  <c r="J75" i="8"/>
  <c r="N47" i="32" s="1"/>
  <c r="D2" i="8"/>
  <c r="D22" i="34" s="1"/>
  <c r="C2" i="8"/>
  <c r="P47" i="32" l="1"/>
  <c r="M47" i="32"/>
  <c r="E3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<sst xmlns="http://schemas.openxmlformats.org/spreadsheetml/2006/main" count="303" uniqueCount="182">
  <si>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</si>
  <si>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</si>
  <si>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</si>
  <si>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</si>
  <si>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</si>
  <si>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</si>
  <si>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</si>
  <si>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</si>
  <si>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</si>
  <si>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</si>
  <si>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</si>
  <si>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</si>
  <si>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</si>
  <si>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</si>
  <si>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</si>
  <si>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</si>
  <si>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</si>
  <si>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</si>
  <si>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</si>
  <si>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</si>
  <si>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</si>
  <si>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</si>
  <si>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</si>
  <si>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</si>
  <si>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</si>
  <si>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</si>
  <si>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</si>
  <si>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</si>
  <si>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</si>
  <si>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</si>
  <si>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</si>
  <si>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</si>
  <si>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</si>
  <si>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</si>
  <si>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</si>
  <si>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</si>
  <si>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</si>
  <si>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</si>
  <si>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</si>
  <si>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</si>
  <si>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</si>
  <si>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</si>
  <si>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</si>
  <si>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</si>
  <si>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</si>
  <si>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</si>
  <si>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</si>
  <si>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</si>
  <si>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</si>
  <si>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</si>
  <si>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</si>
  <si>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</si>
  <si>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</si>
  <si>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</si>
  <si>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</si>
  <si>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</si>
  <si>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</si>
  <si>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</si>
  <si>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</si>
  <si>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</si>
  <si>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</si>
  <si>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</si>
  <si>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</si>
  <si>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</si>
  <si>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</si>
  <si>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</si>
  <si>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</si>
  <si>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</si>
  <si>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</si>
  <si>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</si>
  <si>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</si>
  <si>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</si>
  <si>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</si>
  <si>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</si>
  <si>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</si>
  <si>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</si>
  <si>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</si>
  <si>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</si>
  <si>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</si>
  <si>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</si>
  <si>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</si>
  <si>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</si>
  <si>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</si>
  <si>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</si>
  <si>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</si>
  <si>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</si>
  <si>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</si>
  <si>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</si>
  <si>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</si>
  <si>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</si>
  <si>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</si>
  <si>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</si>
  <si>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</si>
  <si>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</si>
  <si>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</si>
  <si>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</si>
  <si>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</si>
  <si>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</si>
  <si>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</si>
  <si>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</si>
  <si>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</si>
  <si>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</si>
  <si>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</si>
  <si>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</si>
  <si>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</si>
  <si>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</si>
  <si>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</si>
  <si>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</si>
  <si>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</si>
  <si>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</si>
  <si>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</si>
  <si>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</si>
  <si>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</si>
  <si>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</si>
  <si>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</si>
  <si>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</si>
  <si>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</si>
  <si>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</si>
  <si>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</si>
  <si>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</si>
  <si>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</si>
  <si>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</si>
  <si>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</si>
  <si>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</si>
  <si>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</si>
  <si>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</si>
  <si>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</si>
  <si>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</si>
  <si>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</si>
  <si>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</si>
  <si>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</si>
  <si>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</si>
  <si>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</si>
  <si>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</si>
  <si>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</si>
  <si>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</si>
  <si>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</si>
  <si>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</si>
  <si>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</si>
  <si>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</si>
  <si>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</si>
  <si>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</si>
  <si>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</si>
  <si>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</si>
  <si>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</si>
  <si>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</si>
  <si>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</si>
  <si>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</si>
  <si>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</si>
  <si>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</si>
  <si>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</si>
  <si>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</si>
  <si>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</si>
  <si>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</si>
  <si>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</si>
  <si>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</si>
  <si>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</si>
  <si>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</si>
  <si>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</si>
  <si>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</si>
  <si>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</si>
  <si>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</si>
  <si>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</si>
  <si>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</si>
  <si>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</si>
  <si>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</si>
  <si>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</si>
  <si>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</si>
  <si>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</si>
  <si>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</si>
  <si>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</si>
  <si>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</si>
  <si>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</si>
  <si>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</si>
  <si>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</si>
  <si>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</si>
  <si>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</si>
  <si>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AIDISA </t>
  </si>
  <si>
    <t>IMPULSO BIC SUPERMERCADO HIPER SACABA TRANSPORTE</t>
  </si>
  <si>
    <t xml:space="preserve">TRANSPORTE Y PERSONAL PARA MOVER MATERIAL A DISTINTAS SALAS </t>
  </si>
  <si>
    <t xml:space="preserve">GASOLINA 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</si>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</sst>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5" activePane="bottomLeft" state="frozen"/>
      <selection activeCell="A21" sqref="A21"/>
      <selection pane="bottomLeft" activeCell="W69" sqref="W69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+H75</f>
        <v>199.35397500000002</v>
      </c>
      <c r="D2" s="386">
        <f ca="1">+J72+J73</f>
        <v>275.72000000000003</v>
      </c>
      <c r="E2" s="387"/>
      <c r="F2" s="277">
        <f ca="1">+D2-C2</f>
        <v>76.366025000000008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H72</f>
        <v>144.35977500000001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43498</v>
      </c>
      <c r="D16" s="338"/>
      <c r="E16" s="165">
        <v>1.6</v>
      </c>
      <c r="F16" s="397" t="s">
        <v>127</v>
      </c>
      <c r="G16" s="398"/>
      <c r="H16" s="399"/>
      <c r="I16" s="338">
        <v>43500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2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104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2</v>
      </c>
      <c r="F25" s="208">
        <f>SUM(F23:F24)</f>
        <v>2</v>
      </c>
      <c r="G25" s="209"/>
      <c r="H25" s="210">
        <f>SUM(H23:H24)</f>
        <v>266</v>
      </c>
      <c r="I25" s="210">
        <f>SUM(I23:I24)</f>
        <v>104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17.399999999999999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244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1</v>
      </c>
      <c r="F39" s="149">
        <v>20</v>
      </c>
      <c r="G39" s="135">
        <f t="shared" ref="G39:G41" si="3">+F39*E39*D39</f>
        <v>20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17.399999999999999</v>
      </c>
      <c r="J39" s="136"/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/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61" t="s">
        <v>48</v>
      </c>
      <c r="C42" s="363"/>
      <c r="D42" s="363"/>
      <c r="E42" s="363"/>
      <c r="F42" s="363"/>
      <c r="G42" s="363"/>
      <c r="H42" s="362"/>
      <c r="I42" s="210">
        <f ca="1">SUM(I38:OFFSET(I42,-1,0))</f>
        <v>17.399999999999999</v>
      </c>
      <c r="J42" s="210">
        <f ca="1">SUM(J38:OFFSET(J42,-1,0))</f>
        <v>244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64" t="s">
        <v>165</v>
      </c>
      <c r="C44" s="364"/>
      <c r="D44" s="364"/>
      <c r="E44" s="364"/>
      <c r="F44" s="364"/>
      <c r="G44" s="364"/>
      <c r="H44" s="364"/>
      <c r="I44" s="364"/>
      <c r="J44" s="364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53" t="s">
        <v>131</v>
      </c>
      <c r="D47" s="354"/>
      <c r="E47" s="238" t="s">
        <v>4</v>
      </c>
      <c r="F47" s="358" t="s">
        <v>6</v>
      </c>
      <c r="G47" s="358"/>
      <c r="H47" s="358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96"/>
      <c r="D48" s="396"/>
      <c r="E48" s="148"/>
      <c r="F48" s="359"/>
      <c r="G48" s="359"/>
      <c r="H48" s="359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90" t="s">
        <v>5</v>
      </c>
      <c r="C49" s="391"/>
      <c r="D49" s="391"/>
      <c r="E49" s="392"/>
      <c r="F49" s="365">
        <f>SUM(F48:H48)</f>
        <v>0</v>
      </c>
      <c r="G49" s="365"/>
      <c r="H49" s="365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53" t="s">
        <v>67</v>
      </c>
      <c r="D52" s="354"/>
      <c r="E52" s="238" t="s">
        <v>2</v>
      </c>
      <c r="F52" s="358" t="s">
        <v>6</v>
      </c>
      <c r="G52" s="358"/>
      <c r="H52" s="358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95"/>
      <c r="D53" s="395"/>
      <c r="E53" s="152"/>
      <c r="F53" s="356"/>
      <c r="G53" s="356"/>
      <c r="H53" s="356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90" t="s">
        <v>5</v>
      </c>
      <c r="C54" s="391"/>
      <c r="D54" s="392"/>
      <c r="E54" s="244">
        <f>SUM(E53:E53)</f>
        <v>0</v>
      </c>
      <c r="F54" s="357">
        <f>SUM(F53:H53)</f>
        <v>0</v>
      </c>
      <c r="G54" s="357"/>
      <c r="H54" s="357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53" t="s">
        <v>67</v>
      </c>
      <c r="D57" s="354"/>
      <c r="E57" s="238" t="s">
        <v>2</v>
      </c>
      <c r="F57" s="358" t="s">
        <v>6</v>
      </c>
      <c r="G57" s="358"/>
      <c r="H57" s="358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93"/>
      <c r="D58" s="394"/>
      <c r="E58" s="152"/>
      <c r="F58" s="356"/>
      <c r="G58" s="356"/>
      <c r="H58" s="356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90" t="s">
        <v>5</v>
      </c>
      <c r="C59" s="391"/>
      <c r="D59" s="392"/>
      <c r="E59" s="244">
        <f>SUM(E58:E58)</f>
        <v>0</v>
      </c>
      <c r="F59" s="357">
        <f>SUM(F58:H58)</f>
        <v>0</v>
      </c>
      <c r="G59" s="357"/>
      <c r="H59" s="357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400" t="s">
        <v>51</v>
      </c>
      <c r="C60" s="401"/>
      <c r="D60" s="401"/>
      <c r="E60" s="401"/>
      <c r="F60" s="401"/>
      <c r="G60" s="401"/>
      <c r="H60" s="401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50" t="s">
        <v>54</v>
      </c>
      <c r="C62" s="351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121.4</v>
      </c>
      <c r="E63" s="254">
        <v>0.17</v>
      </c>
      <c r="F63" s="253">
        <f ca="1">+E63*D63</f>
        <v>20.638000000000002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48" t="s">
        <v>18</v>
      </c>
      <c r="C66" s="349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47"/>
      <c r="C67" s="347"/>
      <c r="D67" s="259">
        <f>+C18</f>
        <v>30</v>
      </c>
      <c r="E67" s="260">
        <f>Hoja1!F14</f>
        <v>5.4487179487179495E-4</v>
      </c>
      <c r="F67" s="261">
        <f ca="1">+E67*D67*(D63+F63)</f>
        <v>2.3217750000000001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0.13</v>
      </c>
      <c r="I69" s="388" t="s">
        <v>155</v>
      </c>
      <c r="J69" s="389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66" t="s">
        <v>34</v>
      </c>
      <c r="I71" s="367"/>
      <c r="J71" s="366" t="s">
        <v>167</v>
      </c>
      <c r="K71" s="36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0" t="s">
        <v>15</v>
      </c>
      <c r="D72" s="371"/>
      <c r="E72" s="371"/>
      <c r="F72" s="371"/>
      <c r="G72" s="300"/>
      <c r="H72" s="368">
        <f ca="1">+F67+F63+I42+I31+I54+I49+I59+I25</f>
        <v>144.35977500000001</v>
      </c>
      <c r="I72" s="369"/>
      <c r="J72" s="402">
        <f ca="1">IF(I18="EXTERNO",J59+J54+J49+J42+J31+J25,IF(I18="INTERNO",H72))</f>
        <v>244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74" t="s">
        <v>162</v>
      </c>
      <c r="D73" s="375"/>
      <c r="E73" s="375"/>
      <c r="F73" s="375"/>
      <c r="G73" s="301"/>
      <c r="H73" s="368">
        <f ca="1">IF(I18="EXTERNO",IF(OR(C69="",C69=0),H72*C69,H72*C69),IF(I18="INTERNO",H72))</f>
        <v>23.097564000000002</v>
      </c>
      <c r="I73" s="369"/>
      <c r="J73" s="402">
        <f ca="1">IF(I18="EXTERNO",J72*H69,IF(I18="INTERNO",J72))</f>
        <v>31.720000000000002</v>
      </c>
      <c r="K73" s="402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4" t="s">
        <v>164</v>
      </c>
      <c r="D74" s="375"/>
      <c r="E74" s="375"/>
      <c r="F74" s="375"/>
      <c r="G74" s="301"/>
      <c r="H74" s="368">
        <f ca="1">IF(I18="EXTERNO",H73+H72,IF(I18="INTERNO",H72))</f>
        <v>167.45733900000002</v>
      </c>
      <c r="I74" s="369"/>
      <c r="J74" s="403"/>
      <c r="K74" s="404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2" t="s">
        <v>163</v>
      </c>
      <c r="D75" s="373"/>
      <c r="E75" s="373"/>
      <c r="F75" s="373"/>
      <c r="G75" s="302"/>
      <c r="H75" s="368">
        <f ca="1">IF(I18="EXTERNO",H74/0.84,IF(I18="INTERNO",H72))</f>
        <v>199.35397500000002</v>
      </c>
      <c r="I75" s="369"/>
      <c r="J75" s="402">
        <f ca="1">IF(I18="EXTERNO",J72+J73,IF(I18="INTERNO",J72))</f>
        <v>275.72000000000003</v>
      </c>
      <c r="K75" s="402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78" t="str">
        <f>IF(I18="EXTERNO","COSTO TOTAL PARA ENVIAR CLIENTE",IF(I18="INTERNO","COSTO SOLO PARA  AREAS DE PRODUCION INTERNA !!!!!"))</f>
        <v>COSTO TOTAL PARA ENVIAR CLIENTE</v>
      </c>
      <c r="I76" s="37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80"/>
      <c r="I77" s="38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82"/>
      <c r="I78" s="38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84"/>
      <c r="C79" s="385"/>
      <c r="D79" s="385"/>
      <c r="E79" s="385"/>
      <c r="F79" s="385"/>
      <c r="G79" s="385"/>
      <c r="H79" s="38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76"/>
      <c r="C80" s="377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J71:K71"/>
    <mergeCell ref="J72:K72"/>
    <mergeCell ref="J73:K73"/>
    <mergeCell ref="J74:K74"/>
    <mergeCell ref="J75:K75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B80:C80"/>
    <mergeCell ref="H74:I74"/>
    <mergeCell ref="H75:I75"/>
    <mergeCell ref="H76:I78"/>
    <mergeCell ref="B79:H79"/>
    <mergeCell ref="C74:F74"/>
    <mergeCell ref="H71:I71"/>
    <mergeCell ref="H72:I72"/>
    <mergeCell ref="C72:F72"/>
    <mergeCell ref="C75:F75"/>
    <mergeCell ref="H73:I73"/>
    <mergeCell ref="C73:F73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B67:C67"/>
    <mergeCell ref="B66:C66"/>
    <mergeCell ref="B62:C62"/>
    <mergeCell ref="D36:I36"/>
    <mergeCell ref="C52:D52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43500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AIDISA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IMPULSO BIC SUPERMERCADO HIPER SACABA TRANSPORTE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13</v>
      </c>
      <c r="D22" s="309">
        <f ca="1">'Estado de costos'!D2</f>
        <v>275.72000000000003</v>
      </c>
      <c r="E22" s="310">
        <f ca="1">IF('Estado de costos'!I18="EXTERNO",E29+E30,IF('Estado de costos'!I18="INTERNO",'Estado de costos'!K9,))</f>
        <v>275.72000000000003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2</v>
      </c>
      <c r="C26" s="117">
        <f>'Estado de costos'!F25</f>
        <v>2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244</v>
      </c>
      <c r="E27" s="120">
        <v>244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244</v>
      </c>
    </row>
    <row r="30" spans="1:7" ht="15.75" thickBot="1" x14ac:dyDescent="0.3">
      <c r="D30" s="21" t="str">
        <f>"F E E  "&amp; C22&amp;"%"</f>
        <v>F E E  13%</v>
      </c>
      <c r="E30" s="114">
        <f ca="1">'Estado de costos'!J73</f>
        <v>31.720000000000002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275.72000000000003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AIDISA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>IMPULSO BIC SUPERMERCADO HIPER SACABA TRANSPORTE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43498</v>
      </c>
      <c r="F15" s="413"/>
      <c r="G15" s="14">
        <v>1.6</v>
      </c>
      <c r="H15" s="414" t="s">
        <v>127</v>
      </c>
      <c r="I15" s="414"/>
      <c r="J15" s="413">
        <f>+'Estado de costos'!I16</f>
        <v>43500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TRANSPORTE Y PERSONAL PARA MOVER MATERIAL A DISTINTAS SALAS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244</v>
      </c>
      <c r="E5" s="120">
        <v>244</v>
      </c>
      <c r="F5" s="7" t="s">
        <v>181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TRANSPORTE Y PERSONAL PARA MOVER MATERIAL A DISTINTAS SALAS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244</v>
      </c>
      <c r="N10" s="7">
        <f>'Estado de costos'!J38</f>
        <v>244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GASOLINA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0</v>
      </c>
      <c r="N11" s="7">
        <f>'Estado de costos'!J39</f>
        <v>0</v>
      </c>
      <c r="O11" s="7" t="str">
        <f>'Estado de costos'!K39</f>
        <v>888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244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121.4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244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31.720000000000002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275.72000000000003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2019-02-04T20:51:54Z</dcterms:modified>
</cp:coreProperties>
</file>