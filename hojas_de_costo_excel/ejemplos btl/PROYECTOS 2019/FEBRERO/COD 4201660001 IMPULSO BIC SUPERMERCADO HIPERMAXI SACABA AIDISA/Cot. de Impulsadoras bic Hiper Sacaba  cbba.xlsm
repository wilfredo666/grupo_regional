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imena\Desktop\"/>
    </mc:Choice>
  </mc:AlternateContent>
  <bookViews>
    <workbookView xWindow="0" yWindow="0" windowWidth="20490" windowHeight="7755" tabRatio="795" activeTab="2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5" i="40" l="1"/>
  <c r="B44" i="40"/>
  <c r="C204" i="40" l="1"/>
  <c r="C206" i="40" s="1"/>
  <c r="C205" i="40" l="1"/>
  <c r="I250" i="8"/>
  <c r="L190" i="8" l="1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04" i="8" l="1"/>
  <c r="L227" i="8"/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C169" i="8" l="1"/>
  <c r="C153" i="8"/>
  <c r="C137" i="8"/>
  <c r="C121" i="8"/>
  <c r="C105" i="8"/>
  <c r="C89" i="8"/>
  <c r="C73" i="8"/>
  <c r="C57" i="8"/>
  <c r="C41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9" i="8"/>
  <c r="G251" i="8"/>
  <c r="H251" i="8"/>
  <c r="D169" i="8"/>
  <c r="E169" i="8"/>
  <c r="E167" i="40" l="1"/>
  <c r="D167" i="40" s="1"/>
  <c r="E168" i="40"/>
  <c r="D168" i="40" s="1"/>
  <c r="I251" i="8"/>
  <c r="G22" i="8"/>
  <c r="E15" i="30" l="1"/>
  <c r="E15" i="38" s="1"/>
  <c r="E15" i="35" l="1"/>
  <c r="E15" i="36"/>
  <c r="E15" i="37"/>
  <c r="C273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8" i="8" s="1"/>
  <c r="H88" i="8" s="1"/>
  <c r="G103" i="33"/>
  <c r="G105" i="33" s="1"/>
  <c r="G87" i="8" s="1"/>
  <c r="H87" i="8" s="1"/>
  <c r="O83" i="33"/>
  <c r="O85" i="33" s="1"/>
  <c r="G86" i="8" s="1"/>
  <c r="H86" i="8" s="1"/>
  <c r="G83" i="33"/>
  <c r="G85" i="33" s="1"/>
  <c r="G85" i="8" s="1"/>
  <c r="H85" i="8" s="1"/>
  <c r="O65" i="33"/>
  <c r="O67" i="33" s="1"/>
  <c r="G84" i="8" s="1"/>
  <c r="H84" i="8" s="1"/>
  <c r="G65" i="33"/>
  <c r="G67" i="33" s="1"/>
  <c r="G83" i="8" s="1"/>
  <c r="H83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2" i="8" s="1"/>
  <c r="H72" i="8" s="1"/>
  <c r="G103" i="32"/>
  <c r="G105" i="32" s="1"/>
  <c r="G71" i="8" s="1"/>
  <c r="H71" i="8" s="1"/>
  <c r="O83" i="32"/>
  <c r="O85" i="32" s="1"/>
  <c r="G70" i="8" s="1"/>
  <c r="H70" i="8" s="1"/>
  <c r="G83" i="32"/>
  <c r="G85" i="32" s="1"/>
  <c r="G69" i="8" s="1"/>
  <c r="H69" i="8" s="1"/>
  <c r="O65" i="32"/>
  <c r="O67" i="32" s="1"/>
  <c r="G68" i="8" s="1"/>
  <c r="H68" i="8" s="1"/>
  <c r="G65" i="32"/>
  <c r="G67" i="32" s="1"/>
  <c r="G67" i="8" s="1"/>
  <c r="H67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8" i="8" s="1"/>
  <c r="G105" i="38"/>
  <c r="G167" i="8" s="1"/>
  <c r="M92" i="38"/>
  <c r="E92" i="38"/>
  <c r="N85" i="38"/>
  <c r="F85" i="38"/>
  <c r="O85" i="38"/>
  <c r="G166" i="8" s="1"/>
  <c r="G85" i="38"/>
  <c r="G165" i="8" s="1"/>
  <c r="M74" i="38"/>
  <c r="E74" i="38"/>
  <c r="N67" i="38"/>
  <c r="F67" i="38"/>
  <c r="O67" i="38"/>
  <c r="G164" i="8" s="1"/>
  <c r="G67" i="38"/>
  <c r="G163" i="8" s="1"/>
  <c r="M112" i="37"/>
  <c r="E112" i="37"/>
  <c r="N105" i="37"/>
  <c r="F105" i="37"/>
  <c r="O105" i="37"/>
  <c r="G152" i="8" s="1"/>
  <c r="H152" i="8" s="1"/>
  <c r="G105" i="37"/>
  <c r="G151" i="8" s="1"/>
  <c r="H151" i="8" s="1"/>
  <c r="M92" i="37"/>
  <c r="E92" i="37"/>
  <c r="N85" i="37"/>
  <c r="F85" i="37"/>
  <c r="O85" i="37"/>
  <c r="G150" i="8" s="1"/>
  <c r="H150" i="8" s="1"/>
  <c r="G85" i="37"/>
  <c r="G149" i="8" s="1"/>
  <c r="H149" i="8" s="1"/>
  <c r="M74" i="37"/>
  <c r="E74" i="37"/>
  <c r="N67" i="37"/>
  <c r="F67" i="37"/>
  <c r="O67" i="37"/>
  <c r="G148" i="8" s="1"/>
  <c r="H148" i="8" s="1"/>
  <c r="G67" i="37"/>
  <c r="G147" i="8" s="1"/>
  <c r="H147" i="8" s="1"/>
  <c r="M112" i="36"/>
  <c r="E112" i="36"/>
  <c r="N105" i="36"/>
  <c r="F105" i="36"/>
  <c r="O105" i="36"/>
  <c r="G136" i="8" s="1"/>
  <c r="H136" i="8" s="1"/>
  <c r="G105" i="36"/>
  <c r="G135" i="8" s="1"/>
  <c r="H135" i="8" s="1"/>
  <c r="M92" i="36"/>
  <c r="E92" i="36"/>
  <c r="N85" i="36"/>
  <c r="G85" i="36"/>
  <c r="G133" i="8" s="1"/>
  <c r="H133" i="8" s="1"/>
  <c r="F85" i="36"/>
  <c r="O85" i="36"/>
  <c r="G134" i="8" s="1"/>
  <c r="H134" i="8" s="1"/>
  <c r="M74" i="36"/>
  <c r="E74" i="36"/>
  <c r="N67" i="36"/>
  <c r="F67" i="36"/>
  <c r="O67" i="36"/>
  <c r="G132" i="8" s="1"/>
  <c r="H132" i="8" s="1"/>
  <c r="G67" i="36"/>
  <c r="G131" i="8" s="1"/>
  <c r="H131" i="8" s="1"/>
  <c r="M112" i="35"/>
  <c r="E112" i="35"/>
  <c r="N105" i="35"/>
  <c r="F105" i="35"/>
  <c r="O105" i="35"/>
  <c r="G120" i="8" s="1"/>
  <c r="H120" i="8" s="1"/>
  <c r="G105" i="35"/>
  <c r="G119" i="8" s="1"/>
  <c r="H119" i="8" s="1"/>
  <c r="M92" i="35"/>
  <c r="E92" i="35"/>
  <c r="N85" i="35"/>
  <c r="F85" i="35"/>
  <c r="O85" i="35"/>
  <c r="G118" i="8" s="1"/>
  <c r="H118" i="8" s="1"/>
  <c r="G85" i="35"/>
  <c r="G117" i="8" s="1"/>
  <c r="H117" i="8" s="1"/>
  <c r="M74" i="35"/>
  <c r="E74" i="35"/>
  <c r="N67" i="35"/>
  <c r="F67" i="35"/>
  <c r="O67" i="35"/>
  <c r="G116" i="8" s="1"/>
  <c r="H116" i="8" s="1"/>
  <c r="G67" i="35"/>
  <c r="G115" i="8" s="1"/>
  <c r="H115" i="8" s="1"/>
  <c r="M112" i="34"/>
  <c r="E112" i="34"/>
  <c r="N105" i="34"/>
  <c r="F105" i="34"/>
  <c r="O105" i="34"/>
  <c r="G104" i="8" s="1"/>
  <c r="G105" i="34"/>
  <c r="G103" i="8" s="1"/>
  <c r="M92" i="34"/>
  <c r="E92" i="34"/>
  <c r="N85" i="34"/>
  <c r="F85" i="34"/>
  <c r="O85" i="34"/>
  <c r="G102" i="8" s="1"/>
  <c r="G85" i="34"/>
  <c r="G101" i="8" s="1"/>
  <c r="M74" i="34"/>
  <c r="E74" i="34"/>
  <c r="N67" i="34"/>
  <c r="F67" i="34"/>
  <c r="O67" i="34"/>
  <c r="G100" i="8" s="1"/>
  <c r="G67" i="34"/>
  <c r="G99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6" i="8" s="1"/>
  <c r="H56" i="8" s="1"/>
  <c r="G103" i="31"/>
  <c r="G105" i="31" s="1"/>
  <c r="G55" i="8" s="1"/>
  <c r="H55" i="8" s="1"/>
  <c r="O83" i="31"/>
  <c r="O85" i="31" s="1"/>
  <c r="G54" i="8" s="1"/>
  <c r="H54" i="8" s="1"/>
  <c r="G83" i="31"/>
  <c r="G85" i="31" s="1"/>
  <c r="G53" i="8" s="1"/>
  <c r="H53" i="8" s="1"/>
  <c r="O65" i="31"/>
  <c r="O67" i="31" s="1"/>
  <c r="G52" i="8" s="1"/>
  <c r="H52" i="8" s="1"/>
  <c r="G65" i="31"/>
  <c r="G67" i="31" s="1"/>
  <c r="G51" i="8" s="1"/>
  <c r="H51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7" i="8"/>
  <c r="C178" i="8"/>
  <c r="C179" i="8"/>
  <c r="C180" i="8"/>
  <c r="C181" i="8"/>
  <c r="C182" i="8"/>
  <c r="C183" i="8"/>
  <c r="B176" i="8"/>
  <c r="B177" i="8"/>
  <c r="B178" i="8"/>
  <c r="B179" i="8"/>
  <c r="B180" i="8"/>
  <c r="B181" i="8"/>
  <c r="B182" i="8"/>
  <c r="B183" i="8"/>
  <c r="O104" i="30"/>
  <c r="O106" i="30" s="1"/>
  <c r="G40" i="8" s="1"/>
  <c r="H40" i="8" s="1"/>
  <c r="G104" i="30"/>
  <c r="G106" i="30" s="1"/>
  <c r="G39" i="8" s="1"/>
  <c r="H39" i="8" s="1"/>
  <c r="O85" i="30"/>
  <c r="O87" i="30" s="1"/>
  <c r="G38" i="8" s="1"/>
  <c r="H38" i="8" s="1"/>
  <c r="G85" i="30"/>
  <c r="G87" i="30" s="1"/>
  <c r="G37" i="8" s="1"/>
  <c r="H37" i="8" s="1"/>
  <c r="O65" i="30"/>
  <c r="O67" i="30" s="1"/>
  <c r="G36" i="8" s="1"/>
  <c r="H36" i="8" s="1"/>
  <c r="G65" i="30"/>
  <c r="G67" i="30" s="1"/>
  <c r="G35" i="8" s="1"/>
  <c r="H35" i="8" s="1"/>
  <c r="O46" i="30"/>
  <c r="O101" i="30"/>
  <c r="D31" i="40" s="1"/>
  <c r="G101" i="30"/>
  <c r="D30" i="40" s="1"/>
  <c r="O82" i="30"/>
  <c r="D29" i="40" s="1"/>
  <c r="G82" i="30"/>
  <c r="D28" i="40" s="1"/>
  <c r="O62" i="30"/>
  <c r="D27" i="40" s="1"/>
  <c r="G62" i="30"/>
  <c r="D26" i="40" s="1"/>
  <c r="O43" i="30"/>
  <c r="D25" i="40" s="1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6" i="8" l="1"/>
  <c r="H165" i="8"/>
  <c r="H163" i="8"/>
  <c r="H167" i="8"/>
  <c r="H164" i="8"/>
  <c r="H168" i="8"/>
  <c r="H101" i="8"/>
  <c r="H99" i="8"/>
  <c r="H102" i="8"/>
  <c r="H100" i="8"/>
  <c r="H103" i="8"/>
  <c r="H104" i="8"/>
  <c r="E180" i="8" l="1"/>
  <c r="E182" i="8"/>
  <c r="E183" i="8"/>
  <c r="E178" i="8"/>
  <c r="E179" i="8"/>
  <c r="E181" i="8"/>
  <c r="C259" i="8"/>
  <c r="H244" i="8"/>
  <c r="G244" i="8"/>
  <c r="F244" i="8"/>
  <c r="I243" i="8"/>
  <c r="I242" i="8"/>
  <c r="I236" i="8"/>
  <c r="I235" i="8"/>
  <c r="H237" i="8"/>
  <c r="F237" i="8"/>
  <c r="G237" i="8"/>
  <c r="E163" i="40" l="1"/>
  <c r="D163" i="40" s="1"/>
  <c r="E165" i="40"/>
  <c r="D165" i="40" s="1"/>
  <c r="E166" i="40"/>
  <c r="D166" i="40" s="1"/>
  <c r="E164" i="40"/>
  <c r="D164" i="40" s="1"/>
  <c r="I244" i="8"/>
  <c r="I237" i="8"/>
  <c r="G21" i="8" l="1"/>
  <c r="D12" i="11"/>
  <c r="D23" i="8" l="1"/>
  <c r="E23" i="8"/>
  <c r="H22" i="8"/>
  <c r="G23" i="8" l="1"/>
  <c r="H21" i="8"/>
  <c r="H23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E23" i="43"/>
  <c r="G23" i="43" s="1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C128" i="40" l="1"/>
  <c r="C173" i="8" l="1"/>
  <c r="C174" i="8"/>
  <c r="C175" i="8"/>
  <c r="C176" i="8"/>
  <c r="C172" i="8"/>
  <c r="C184" i="8" l="1"/>
  <c r="I190" i="8" l="1"/>
  <c r="B173" i="8"/>
  <c r="B174" i="8"/>
  <c r="B175" i="8"/>
  <c r="B172" i="8"/>
  <c r="D134" i="40" l="1"/>
  <c r="B184" i="8"/>
  <c r="F28" i="30" l="1"/>
  <c r="E35" i="30"/>
  <c r="I223" i="8" l="1"/>
  <c r="I219" i="8"/>
  <c r="I215" i="8"/>
  <c r="I226" i="8"/>
  <c r="I222" i="8"/>
  <c r="I218" i="8"/>
  <c r="I214" i="8"/>
  <c r="I225" i="8"/>
  <c r="I221" i="8"/>
  <c r="I217" i="8"/>
  <c r="D153" i="40" s="1"/>
  <c r="I213" i="8"/>
  <c r="I224" i="8"/>
  <c r="I220" i="8"/>
  <c r="I216" i="8"/>
  <c r="I212" i="8"/>
  <c r="D151" i="40"/>
  <c r="D158" i="40"/>
  <c r="D154" i="40"/>
  <c r="D159" i="40"/>
  <c r="D157" i="40"/>
  <c r="D155" i="40"/>
  <c r="D150" i="40"/>
  <c r="D161" i="40" l="1"/>
  <c r="E161" i="40" s="1"/>
  <c r="D160" i="40"/>
  <c r="D162" i="40"/>
  <c r="E162" i="40" s="1"/>
  <c r="D149" i="40"/>
  <c r="E149" i="40" s="1"/>
  <c r="D156" i="40"/>
  <c r="E156" i="40" s="1"/>
  <c r="D152" i="40"/>
  <c r="E152" i="40" s="1"/>
  <c r="I227" i="8"/>
  <c r="D148" i="40"/>
  <c r="E157" i="40"/>
  <c r="E150" i="40"/>
  <c r="E158" i="40"/>
  <c r="E155" i="40"/>
  <c r="E154" i="40"/>
  <c r="E160" i="40"/>
  <c r="E159" i="40"/>
  <c r="E151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4" i="30" l="1"/>
  <c r="D23" i="40" s="1"/>
  <c r="A26" i="31" l="1"/>
  <c r="E41" i="8" l="1"/>
  <c r="D57" i="8"/>
  <c r="E57" i="8"/>
  <c r="D89" i="8"/>
  <c r="E89" i="8"/>
  <c r="D105" i="8"/>
  <c r="E105" i="8"/>
  <c r="D121" i="8"/>
  <c r="E121" i="8"/>
  <c r="D137" i="8"/>
  <c r="E137" i="8"/>
  <c r="D153" i="8"/>
  <c r="E153" i="8"/>
  <c r="D41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61" i="8" s="1"/>
  <c r="O26" i="38"/>
  <c r="O28" i="38" s="1"/>
  <c r="G160" i="8" s="1"/>
  <c r="G26" i="38"/>
  <c r="O8" i="38"/>
  <c r="G8" i="38"/>
  <c r="G10" i="38" s="1"/>
  <c r="G157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4" i="8" s="1"/>
  <c r="G26" i="37"/>
  <c r="O8" i="37"/>
  <c r="G8" i="37"/>
  <c r="G10" i="37" s="1"/>
  <c r="G141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7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4" i="8" s="1"/>
  <c r="H114" i="8" s="1"/>
  <c r="O26" i="35"/>
  <c r="O28" i="35" s="1"/>
  <c r="G112" i="8" s="1"/>
  <c r="G26" i="35"/>
  <c r="G28" i="35" s="1"/>
  <c r="G111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9" i="8" s="1"/>
  <c r="H79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6" i="8" s="1"/>
  <c r="H66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3" i="30"/>
  <c r="D24" i="40" s="1"/>
  <c r="K24" i="30"/>
  <c r="I26" i="30" s="1"/>
  <c r="C24" i="30"/>
  <c r="A26" i="30" s="1"/>
  <c r="G24" i="30"/>
  <c r="D22" i="40" s="1"/>
  <c r="K5" i="30"/>
  <c r="I8" i="30" s="1"/>
  <c r="O5" i="30"/>
  <c r="D21" i="40" s="1"/>
  <c r="D128" i="40" s="1"/>
  <c r="C5" i="30"/>
  <c r="A8" i="30" s="1"/>
  <c r="G5" i="30"/>
  <c r="D20" i="40" s="1"/>
  <c r="H160" i="8" l="1"/>
  <c r="H157" i="8"/>
  <c r="H161" i="8"/>
  <c r="G50" i="8"/>
  <c r="H50" i="8" s="1"/>
  <c r="G47" i="8"/>
  <c r="H47" i="8" s="1"/>
  <c r="O10" i="32"/>
  <c r="G62" i="8" s="1"/>
  <c r="G28" i="30"/>
  <c r="G31" i="8" s="1"/>
  <c r="H31" i="8" s="1"/>
  <c r="O10" i="38"/>
  <c r="G158" i="8" s="1"/>
  <c r="O48" i="38"/>
  <c r="G162" i="8" s="1"/>
  <c r="G28" i="38"/>
  <c r="G159" i="8" s="1"/>
  <c r="O10" i="37"/>
  <c r="G142" i="8" s="1"/>
  <c r="H144" i="8"/>
  <c r="O48" i="37"/>
  <c r="G146" i="8" s="1"/>
  <c r="H146" i="8" s="1"/>
  <c r="H141" i="8"/>
  <c r="G28" i="37"/>
  <c r="G143" i="8" s="1"/>
  <c r="G48" i="37"/>
  <c r="O10" i="36"/>
  <c r="G126" i="8" s="1"/>
  <c r="O28" i="36"/>
  <c r="G128" i="8" s="1"/>
  <c r="O48" i="36"/>
  <c r="G130" i="8" s="1"/>
  <c r="H130" i="8" s="1"/>
  <c r="G10" i="36"/>
  <c r="G125" i="8" s="1"/>
  <c r="H127" i="8"/>
  <c r="G48" i="36"/>
  <c r="G129" i="8" s="1"/>
  <c r="G10" i="35"/>
  <c r="H111" i="8"/>
  <c r="G48" i="35"/>
  <c r="G113" i="8" s="1"/>
  <c r="O10" i="35"/>
  <c r="H112" i="8"/>
  <c r="G10" i="34"/>
  <c r="G93" i="8" s="1"/>
  <c r="G28" i="34"/>
  <c r="G95" i="8" s="1"/>
  <c r="O10" i="34"/>
  <c r="G94" i="8" s="1"/>
  <c r="O28" i="34"/>
  <c r="G96" i="8" s="1"/>
  <c r="O48" i="34"/>
  <c r="G98" i="8" s="1"/>
  <c r="G48" i="34"/>
  <c r="G97" i="8" s="1"/>
  <c r="O10" i="33"/>
  <c r="G78" i="8" s="1"/>
  <c r="H78" i="8" s="1"/>
  <c r="O28" i="33"/>
  <c r="G80" i="8" s="1"/>
  <c r="H80" i="8" s="1"/>
  <c r="O48" i="33"/>
  <c r="G82" i="8" s="1"/>
  <c r="H82" i="8" s="1"/>
  <c r="G10" i="33"/>
  <c r="G77" i="8" s="1"/>
  <c r="G48" i="33"/>
  <c r="G81" i="8" s="1"/>
  <c r="H81" i="8" s="1"/>
  <c r="O28" i="32"/>
  <c r="G64" i="8" s="1"/>
  <c r="G28" i="32"/>
  <c r="G63" i="8" s="1"/>
  <c r="G48" i="32"/>
  <c r="G65" i="8" s="1"/>
  <c r="H65" i="8" s="1"/>
  <c r="O10" i="31"/>
  <c r="O28" i="31"/>
  <c r="G48" i="31"/>
  <c r="G10" i="31"/>
  <c r="G48" i="30"/>
  <c r="G33" i="8" s="1"/>
  <c r="H33" i="8" s="1"/>
  <c r="O48" i="30"/>
  <c r="G34" i="8" s="1"/>
  <c r="H34" i="8" s="1"/>
  <c r="O28" i="30"/>
  <c r="G32" i="8" s="1"/>
  <c r="H32" i="8" s="1"/>
  <c r="O10" i="30"/>
  <c r="G30" i="8" s="1"/>
  <c r="H30" i="8" s="1"/>
  <c r="G29" i="8"/>
  <c r="G169" i="8" l="1"/>
  <c r="H158" i="8"/>
  <c r="H159" i="8"/>
  <c r="H162" i="8"/>
  <c r="G46" i="8"/>
  <c r="H46" i="8" s="1"/>
  <c r="G49" i="8"/>
  <c r="H49" i="8" s="1"/>
  <c r="G45" i="8"/>
  <c r="H45" i="8" s="1"/>
  <c r="G48" i="8"/>
  <c r="H48" i="8" s="1"/>
  <c r="H98" i="8"/>
  <c r="G145" i="8"/>
  <c r="H145" i="8" s="1"/>
  <c r="G110" i="8"/>
  <c r="H110" i="8" s="1"/>
  <c r="G109" i="8"/>
  <c r="H109" i="8" s="1"/>
  <c r="H62" i="8"/>
  <c r="H29" i="8"/>
  <c r="H64" i="8"/>
  <c r="H143" i="8"/>
  <c r="H142" i="8"/>
  <c r="H129" i="8"/>
  <c r="H125" i="8"/>
  <c r="H128" i="8"/>
  <c r="H126" i="8"/>
  <c r="H113" i="8"/>
  <c r="H97" i="8"/>
  <c r="H93" i="8"/>
  <c r="H96" i="8"/>
  <c r="H94" i="8"/>
  <c r="H95" i="8"/>
  <c r="H77" i="8"/>
  <c r="H63" i="8"/>
  <c r="H169" i="8" l="1"/>
  <c r="E177" i="8"/>
  <c r="H89" i="8"/>
  <c r="H153" i="8"/>
  <c r="H137" i="8"/>
  <c r="H121" i="8"/>
  <c r="H105" i="8"/>
  <c r="G153" i="8"/>
  <c r="G137" i="8"/>
  <c r="G121" i="8"/>
  <c r="G105" i="8"/>
  <c r="G89" i="8"/>
  <c r="F10" i="30"/>
  <c r="E174" i="8" l="1"/>
  <c r="E173" i="8"/>
  <c r="G41" i="8"/>
  <c r="H41" i="8" l="1"/>
  <c r="F21" i="11" l="1"/>
  <c r="E21" i="11"/>
  <c r="I197" i="8" l="1"/>
  <c r="D141" i="40" s="1"/>
  <c r="E141" i="40" s="1"/>
  <c r="I193" i="8"/>
  <c r="D137" i="40" s="1"/>
  <c r="E137" i="40" s="1"/>
  <c r="I199" i="8"/>
  <c r="D143" i="40" s="1"/>
  <c r="E143" i="40" s="1"/>
  <c r="I196" i="8"/>
  <c r="D140" i="40" s="1"/>
  <c r="E140" i="40" s="1"/>
  <c r="I202" i="8"/>
  <c r="I203" i="8"/>
  <c r="I195" i="8"/>
  <c r="I201" i="8"/>
  <c r="I198" i="8"/>
  <c r="I194" i="8"/>
  <c r="I200" i="8"/>
  <c r="D147" i="40"/>
  <c r="E147" i="40" s="1"/>
  <c r="D138" i="40" l="1"/>
  <c r="E138" i="40" s="1"/>
  <c r="D139" i="40"/>
  <c r="E139" i="40" s="1"/>
  <c r="D146" i="40"/>
  <c r="E146" i="40" s="1"/>
  <c r="D142" i="40"/>
  <c r="E142" i="40" s="1"/>
  <c r="D145" i="40"/>
  <c r="E145" i="40" s="1"/>
  <c r="D144" i="40"/>
  <c r="E144" i="40" s="1"/>
  <c r="F139" i="11"/>
  <c r="I191" i="8" l="1"/>
  <c r="I192" i="8"/>
  <c r="D136" i="40" s="1"/>
  <c r="D135" i="40" l="1"/>
  <c r="E135" i="40" s="1"/>
  <c r="E134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9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4" i="8" l="1"/>
  <c r="E148" i="40" l="1"/>
  <c r="E169" i="40" s="1"/>
  <c r="I229" i="8"/>
  <c r="E73" i="8" l="1"/>
  <c r="G4" i="32"/>
  <c r="D73" i="8"/>
  <c r="G8" i="32"/>
  <c r="G10" i="32" l="1"/>
  <c r="G61" i="8" s="1"/>
  <c r="H61" i="8" l="1"/>
  <c r="H73" i="8" l="1"/>
  <c r="E172" i="8"/>
  <c r="G73" i="8"/>
  <c r="E175" i="8" l="1"/>
  <c r="H57" i="8"/>
  <c r="E176" i="8"/>
  <c r="E184" i="8" l="1"/>
  <c r="C256" i="8" s="1"/>
  <c r="F164" i="8" l="1"/>
  <c r="F166" i="8"/>
  <c r="F163" i="8"/>
  <c r="F165" i="8"/>
  <c r="F168" i="8"/>
  <c r="F167" i="8"/>
  <c r="F160" i="8"/>
  <c r="F157" i="8"/>
  <c r="F161" i="8"/>
  <c r="F159" i="8"/>
  <c r="F158" i="8"/>
  <c r="F162" i="8"/>
  <c r="F147" i="8"/>
  <c r="F151" i="8"/>
  <c r="F148" i="8"/>
  <c r="F152" i="8"/>
  <c r="F149" i="8"/>
  <c r="F146" i="8"/>
  <c r="F150" i="8"/>
  <c r="F133" i="8"/>
  <c r="F131" i="8"/>
  <c r="F132" i="8"/>
  <c r="F130" i="8"/>
  <c r="F134" i="8"/>
  <c r="F135" i="8"/>
  <c r="F136" i="8"/>
  <c r="F115" i="8"/>
  <c r="F119" i="8"/>
  <c r="F117" i="8"/>
  <c r="F116" i="8"/>
  <c r="F114" i="8"/>
  <c r="F118" i="8"/>
  <c r="F120" i="8"/>
  <c r="L256" i="8"/>
  <c r="F101" i="8"/>
  <c r="F102" i="8"/>
  <c r="F103" i="8"/>
  <c r="F99" i="8"/>
  <c r="F100" i="8"/>
  <c r="F104" i="8"/>
  <c r="F98" i="8"/>
  <c r="F143" i="8"/>
  <c r="F85" i="8"/>
  <c r="F86" i="8"/>
  <c r="F82" i="8"/>
  <c r="F87" i="8"/>
  <c r="F83" i="8"/>
  <c r="F88" i="8"/>
  <c r="F84" i="8"/>
  <c r="F65" i="8"/>
  <c r="F62" i="8"/>
  <c r="F53" i="8"/>
  <c r="F64" i="8"/>
  <c r="F31" i="8"/>
  <c r="F35" i="8"/>
  <c r="F54" i="8"/>
  <c r="F40" i="8"/>
  <c r="F34" i="8"/>
  <c r="F30" i="8"/>
  <c r="F126" i="8"/>
  <c r="F49" i="8"/>
  <c r="F63" i="8"/>
  <c r="F128" i="8"/>
  <c r="F29" i="8"/>
  <c r="F111" i="8"/>
  <c r="F141" i="8"/>
  <c r="F33" i="8"/>
  <c r="F77" i="8"/>
  <c r="F69" i="8"/>
  <c r="F66" i="8"/>
  <c r="F70" i="8"/>
  <c r="F71" i="8"/>
  <c r="F68" i="8"/>
  <c r="F72" i="8"/>
  <c r="F67" i="8"/>
  <c r="F127" i="8"/>
  <c r="F47" i="8"/>
  <c r="F45" i="8"/>
  <c r="F61" i="8"/>
  <c r="F96" i="8"/>
  <c r="F48" i="8"/>
  <c r="F95" i="8"/>
  <c r="F32" i="8"/>
  <c r="F36" i="8"/>
  <c r="F145" i="8"/>
  <c r="F39" i="8"/>
  <c r="F129" i="8"/>
  <c r="F112" i="8"/>
  <c r="F93" i="8"/>
  <c r="F81" i="8"/>
  <c r="F78" i="8"/>
  <c r="F144" i="8"/>
  <c r="F38" i="8"/>
  <c r="F79" i="8"/>
  <c r="F110" i="8"/>
  <c r="F56" i="8"/>
  <c r="F109" i="8"/>
  <c r="F80" i="8"/>
  <c r="F97" i="8"/>
  <c r="F113" i="8"/>
  <c r="F37" i="8"/>
  <c r="F94" i="8"/>
  <c r="F46" i="8"/>
  <c r="F125" i="8"/>
  <c r="F142" i="8"/>
  <c r="D256" i="8" l="1"/>
  <c r="G197" i="43" s="1"/>
  <c r="G198" i="43" s="1"/>
  <c r="G199" i="43" s="1"/>
  <c r="F169" i="8"/>
  <c r="F153" i="8"/>
  <c r="F137" i="8"/>
  <c r="F121" i="8"/>
  <c r="F105" i="8"/>
  <c r="F89" i="8"/>
  <c r="F73" i="8"/>
  <c r="F41" i="8"/>
  <c r="E256" i="8" l="1"/>
  <c r="O70" i="38" s="1"/>
  <c r="G13" i="33" l="1"/>
  <c r="O90" i="30"/>
  <c r="G51" i="30"/>
  <c r="G88" i="31"/>
  <c r="O31" i="30"/>
  <c r="O13" i="31"/>
  <c r="M13" i="31" s="1"/>
  <c r="O13" i="32"/>
  <c r="G88" i="32"/>
  <c r="O109" i="30"/>
  <c r="G51" i="31"/>
  <c r="O13" i="33"/>
  <c r="O70" i="30"/>
  <c r="G90" i="30"/>
  <c r="G31" i="31"/>
  <c r="O88" i="31"/>
  <c r="O88" i="32"/>
  <c r="G70" i="32"/>
  <c r="G31" i="33"/>
  <c r="O13" i="30"/>
  <c r="G31" i="30"/>
  <c r="G70" i="30"/>
  <c r="O108" i="31"/>
  <c r="G88" i="33"/>
  <c r="O51" i="33"/>
  <c r="G88" i="34"/>
  <c r="G70" i="33"/>
  <c r="O70" i="32"/>
  <c r="O31" i="33"/>
  <c r="G31" i="32"/>
  <c r="G108" i="33"/>
  <c r="O51" i="36"/>
  <c r="G51" i="33"/>
  <c r="O88" i="34"/>
  <c r="G31" i="34"/>
  <c r="O70" i="33"/>
  <c r="O70" i="34"/>
  <c r="O13" i="35"/>
  <c r="O51" i="35"/>
  <c r="O31" i="32"/>
  <c r="G51" i="34"/>
  <c r="O31" i="34"/>
  <c r="G31" i="35"/>
  <c r="G70" i="36"/>
  <c r="O70" i="36"/>
  <c r="G70" i="35"/>
  <c r="O51" i="37"/>
  <c r="O70" i="35"/>
  <c r="G13" i="37"/>
  <c r="G108" i="37"/>
  <c r="G88" i="38"/>
  <c r="G31" i="38"/>
  <c r="E259" i="8"/>
  <c r="O89" i="33" s="1"/>
  <c r="O31" i="38"/>
  <c r="O88" i="38"/>
  <c r="G51" i="38"/>
  <c r="G70" i="37"/>
  <c r="O13" i="37"/>
  <c r="O70" i="37"/>
  <c r="O31" i="36"/>
  <c r="G31" i="36"/>
  <c r="O13" i="36"/>
  <c r="O31" i="35"/>
  <c r="G108" i="38"/>
  <c r="O51" i="38"/>
  <c r="G13" i="38"/>
  <c r="G31" i="37"/>
  <c r="G88" i="37"/>
  <c r="O31" i="37"/>
  <c r="G13" i="36"/>
  <c r="G88" i="36"/>
  <c r="G51" i="36"/>
  <c r="G13" i="35"/>
  <c r="G51" i="35"/>
  <c r="G88" i="35"/>
  <c r="G108" i="34"/>
  <c r="O51" i="34"/>
  <c r="G13" i="34"/>
  <c r="O108" i="32"/>
  <c r="G51" i="32"/>
  <c r="G108" i="32"/>
  <c r="O88" i="33"/>
  <c r="O51" i="32"/>
  <c r="G13" i="32"/>
  <c r="O31" i="31"/>
  <c r="O51" i="30"/>
  <c r="G109" i="30"/>
  <c r="G13" i="31"/>
  <c r="G13" i="30"/>
  <c r="O108" i="38"/>
  <c r="G70" i="38"/>
  <c r="O13" i="38"/>
  <c r="O108" i="37"/>
  <c r="O88" i="37"/>
  <c r="G51" i="37"/>
  <c r="O108" i="36"/>
  <c r="G108" i="36"/>
  <c r="O88" i="36"/>
  <c r="O108" i="35"/>
  <c r="G108" i="35"/>
  <c r="O88" i="35"/>
  <c r="O108" i="34"/>
  <c r="G70" i="34"/>
  <c r="O13" i="34"/>
  <c r="O108" i="33"/>
  <c r="F50" i="8"/>
  <c r="O71" i="35" l="1"/>
  <c r="G52" i="37"/>
  <c r="G14" i="36"/>
  <c r="G15" i="36" s="1"/>
  <c r="G16" i="36" s="1"/>
  <c r="G20" i="36" s="1"/>
  <c r="O52" i="31"/>
  <c r="O52" i="35"/>
  <c r="O32" i="38"/>
  <c r="O109" i="36"/>
  <c r="G89" i="38"/>
  <c r="O32" i="34"/>
  <c r="G32" i="38"/>
  <c r="G109" i="36"/>
  <c r="G71" i="35"/>
  <c r="G89" i="34"/>
  <c r="O89" i="36"/>
  <c r="O89" i="38"/>
  <c r="O52" i="37"/>
  <c r="G32" i="34"/>
  <c r="G52" i="33"/>
  <c r="C269" i="8"/>
  <c r="O32" i="32"/>
  <c r="G52" i="31"/>
  <c r="O52" i="36"/>
  <c r="G14" i="32"/>
  <c r="G71" i="36"/>
  <c r="O14" i="37"/>
  <c r="G89" i="35"/>
  <c r="O71" i="36"/>
  <c r="O14" i="33"/>
  <c r="G32" i="31"/>
  <c r="O14" i="30"/>
  <c r="G52" i="35"/>
  <c r="O89" i="31"/>
  <c r="G71" i="34"/>
  <c r="O52" i="33"/>
  <c r="G89" i="33"/>
  <c r="O71" i="34"/>
  <c r="O14" i="32"/>
  <c r="G110" i="30"/>
  <c r="O52" i="30"/>
  <c r="G14" i="34"/>
  <c r="O109" i="31"/>
  <c r="G89" i="32"/>
  <c r="O71" i="30"/>
  <c r="G89" i="36"/>
  <c r="O32" i="30"/>
  <c r="G32" i="35"/>
  <c r="O89" i="34"/>
  <c r="G52" i="34"/>
  <c r="O32" i="35"/>
  <c r="G71" i="32"/>
  <c r="G14" i="31"/>
  <c r="G109" i="38"/>
  <c r="O109" i="38"/>
  <c r="G71" i="38"/>
  <c r="G32" i="33"/>
  <c r="G89" i="37"/>
  <c r="O71" i="38"/>
  <c r="O32" i="33"/>
  <c r="G109" i="32"/>
  <c r="O110" i="30"/>
  <c r="G32" i="36"/>
  <c r="O32" i="36"/>
  <c r="G14" i="30"/>
  <c r="G32" i="32"/>
  <c r="G71" i="37"/>
  <c r="O71" i="37"/>
  <c r="G32" i="30"/>
  <c r="G109" i="33"/>
  <c r="G52" i="38"/>
  <c r="G14" i="33"/>
  <c r="O109" i="33"/>
  <c r="G52" i="32"/>
  <c r="G52" i="30"/>
  <c r="G71" i="33"/>
  <c r="O109" i="34"/>
  <c r="G32" i="37"/>
  <c r="O89" i="37"/>
  <c r="G52" i="36"/>
  <c r="O32" i="37"/>
  <c r="O52" i="34"/>
  <c r="O32" i="31"/>
  <c r="O91" i="30"/>
  <c r="O14" i="38"/>
  <c r="O14" i="35"/>
  <c r="G109" i="37"/>
  <c r="O89" i="35"/>
  <c r="O52" i="32"/>
  <c r="O109" i="35"/>
  <c r="G14" i="38"/>
  <c r="G15" i="38" s="1"/>
  <c r="G16" i="38" s="1"/>
  <c r="G20" i="38" s="1"/>
  <c r="O14" i="31"/>
  <c r="O52" i="38"/>
  <c r="O89" i="32"/>
  <c r="G109" i="35"/>
  <c r="O71" i="32"/>
  <c r="O109" i="32"/>
  <c r="G109" i="34"/>
  <c r="G14" i="37"/>
  <c r="G15" i="37" s="1"/>
  <c r="G16" i="37" s="1"/>
  <c r="G20" i="37" s="1"/>
  <c r="G71" i="30"/>
  <c r="O14" i="36"/>
  <c r="G89" i="31"/>
  <c r="O71" i="33"/>
  <c r="O109" i="37"/>
  <c r="O14" i="34"/>
  <c r="G14" i="35"/>
  <c r="G15" i="35" s="1"/>
  <c r="G16" i="35" s="1"/>
  <c r="G20" i="35" s="1"/>
  <c r="G17" i="35" s="1"/>
  <c r="G91" i="30"/>
  <c r="E110" i="38"/>
  <c r="M72" i="30"/>
  <c r="M33" i="38"/>
  <c r="E53" i="38"/>
  <c r="M110" i="36"/>
  <c r="M72" i="36"/>
  <c r="M33" i="36"/>
  <c r="M90" i="36"/>
  <c r="M53" i="36"/>
  <c r="E72" i="36"/>
  <c r="E90" i="36"/>
  <c r="E110" i="36"/>
  <c r="M15" i="36"/>
  <c r="E53" i="36"/>
  <c r="E33" i="36"/>
  <c r="M110" i="37"/>
  <c r="E72" i="37"/>
  <c r="M15" i="37"/>
  <c r="E90" i="35"/>
  <c r="M15" i="35"/>
  <c r="M53" i="35"/>
  <c r="M90" i="35"/>
  <c r="E33" i="35"/>
  <c r="E53" i="35"/>
  <c r="E110" i="35"/>
  <c r="M72" i="35"/>
  <c r="E72" i="35"/>
  <c r="M33" i="35"/>
  <c r="M110" i="35"/>
  <c r="O51" i="31"/>
  <c r="O90" i="36" l="1"/>
  <c r="O110" i="36"/>
  <c r="G72" i="36"/>
  <c r="G73" i="36" s="1"/>
  <c r="G77" i="36" s="1"/>
  <c r="G74" i="36" s="1"/>
  <c r="O72" i="35"/>
  <c r="O73" i="35" s="1"/>
  <c r="O77" i="35" s="1"/>
  <c r="O74" i="35" s="1"/>
  <c r="G72" i="35"/>
  <c r="G73" i="35" s="1"/>
  <c r="G77" i="35" s="1"/>
  <c r="G74" i="35" s="1"/>
  <c r="G110" i="36"/>
  <c r="G111" i="36" s="1"/>
  <c r="G115" i="36" s="1"/>
  <c r="O33" i="38"/>
  <c r="O34" i="38" s="1"/>
  <c r="O38" i="38" s="1"/>
  <c r="O35" i="38" s="1"/>
  <c r="O53" i="35"/>
  <c r="O54" i="35" s="1"/>
  <c r="O58" i="35" s="1"/>
  <c r="E85" i="40" s="1"/>
  <c r="F85" i="40" s="1"/>
  <c r="G110" i="35"/>
  <c r="G111" i="35" s="1"/>
  <c r="G115" i="35" s="1"/>
  <c r="G72" i="37"/>
  <c r="G73" i="37" s="1"/>
  <c r="G77" i="37" s="1"/>
  <c r="G74" i="37" s="1"/>
  <c r="O15" i="37"/>
  <c r="O16" i="37" s="1"/>
  <c r="O20" i="37" s="1"/>
  <c r="E105" i="40" s="1"/>
  <c r="F105" i="40" s="1"/>
  <c r="O90" i="35"/>
  <c r="O91" i="35" s="1"/>
  <c r="O95" i="35" s="1"/>
  <c r="G53" i="36"/>
  <c r="G54" i="36" s="1"/>
  <c r="G58" i="36" s="1"/>
  <c r="G55" i="36" s="1"/>
  <c r="O33" i="35"/>
  <c r="O34" i="35" s="1"/>
  <c r="O38" i="35" s="1"/>
  <c r="O35" i="35" s="1"/>
  <c r="G33" i="36"/>
  <c r="G34" i="36" s="1"/>
  <c r="G38" i="36" s="1"/>
  <c r="E94" i="40" s="1"/>
  <c r="F94" i="40" s="1"/>
  <c r="G53" i="38"/>
  <c r="G54" i="38" s="1"/>
  <c r="G58" i="38" s="1"/>
  <c r="G55" i="38" s="1"/>
  <c r="O72" i="36"/>
  <c r="O73" i="36" s="1"/>
  <c r="O77" i="36" s="1"/>
  <c r="E99" i="40" s="1"/>
  <c r="F99" i="40" s="1"/>
  <c r="G110" i="38"/>
  <c r="G111" i="38" s="1"/>
  <c r="G115" i="38" s="1"/>
  <c r="O110" i="35"/>
  <c r="O111" i="35" s="1"/>
  <c r="O115" i="35" s="1"/>
  <c r="O15" i="36"/>
  <c r="O16" i="36" s="1"/>
  <c r="O20" i="36" s="1"/>
  <c r="O17" i="36" s="1"/>
  <c r="O72" i="30"/>
  <c r="O73" i="30" s="1"/>
  <c r="O77" i="30" s="1"/>
  <c r="E27" i="40" s="1"/>
  <c r="F27" i="40" s="1"/>
  <c r="O53" i="36"/>
  <c r="O54" i="36" s="1"/>
  <c r="O58" i="36" s="1"/>
  <c r="E97" i="40" s="1"/>
  <c r="F97" i="40" s="1"/>
  <c r="O110" i="37"/>
  <c r="O111" i="37" s="1"/>
  <c r="O115" i="37" s="1"/>
  <c r="C270" i="8"/>
  <c r="C271" i="8" s="1"/>
  <c r="C272" i="8" s="1"/>
  <c r="C2" i="8" s="1"/>
  <c r="C262" i="8"/>
  <c r="E170" i="40" s="1"/>
  <c r="E172" i="40" s="1"/>
  <c r="I270" i="8" s="1"/>
  <c r="G53" i="35"/>
  <c r="G54" i="35" s="1"/>
  <c r="G58" i="35" s="1"/>
  <c r="G55" i="35" s="1"/>
  <c r="O15" i="35"/>
  <c r="G33" i="35"/>
  <c r="G90" i="35"/>
  <c r="G91" i="35" s="1"/>
  <c r="G95" i="35" s="1"/>
  <c r="G90" i="36"/>
  <c r="G91" i="36" s="1"/>
  <c r="G95" i="36" s="1"/>
  <c r="O33" i="36"/>
  <c r="O34" i="36" s="1"/>
  <c r="O38" i="36" s="1"/>
  <c r="E95" i="40" s="1"/>
  <c r="F95" i="40" s="1"/>
  <c r="E80" i="40"/>
  <c r="F80" i="40" s="1"/>
  <c r="E104" i="40"/>
  <c r="F104" i="40" s="1"/>
  <c r="G17" i="36"/>
  <c r="E92" i="40"/>
  <c r="F92" i="40" s="1"/>
  <c r="E116" i="40"/>
  <c r="F116" i="40" s="1"/>
  <c r="O91" i="36"/>
  <c r="O95" i="36" s="1"/>
  <c r="O111" i="36"/>
  <c r="O115" i="36" s="1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33" i="38"/>
  <c r="G33" i="38" s="1"/>
  <c r="G34" i="38" s="1"/>
  <c r="G38" i="38" s="1"/>
  <c r="M72" i="38"/>
  <c r="O72" i="38" s="1"/>
  <c r="O73" i="38" s="1"/>
  <c r="O77" i="38" s="1"/>
  <c r="G17" i="37"/>
  <c r="M53" i="37"/>
  <c r="O53" i="37" s="1"/>
  <c r="O54" i="37" s="1"/>
  <c r="O58" i="37" s="1"/>
  <c r="M90" i="38"/>
  <c r="O90" i="38" s="1"/>
  <c r="E90" i="38"/>
  <c r="G90" i="38" s="1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M15" i="30"/>
  <c r="O15" i="30" s="1"/>
  <c r="O16" i="30" s="1"/>
  <c r="O20" i="30" s="1"/>
  <c r="E15" i="31"/>
  <c r="M72" i="31" s="1"/>
  <c r="M33" i="30"/>
  <c r="O33" i="30" s="1"/>
  <c r="O34" i="30" s="1"/>
  <c r="O38" i="30" s="1"/>
  <c r="E33" i="37"/>
  <c r="G33" i="37" s="1"/>
  <c r="G34" i="37" s="1"/>
  <c r="G38" i="37" s="1"/>
  <c r="M90" i="37"/>
  <c r="O90" i="37" s="1"/>
  <c r="E110" i="37"/>
  <c r="G110" i="37" s="1"/>
  <c r="G15" i="30"/>
  <c r="G16" i="30" s="1"/>
  <c r="G20" i="30" s="1"/>
  <c r="E15" i="34"/>
  <c r="E53" i="34" s="1"/>
  <c r="G53" i="34" s="1"/>
  <c r="G54" i="34" s="1"/>
  <c r="G58" i="34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E15" i="32"/>
  <c r="E110" i="32" s="1"/>
  <c r="G110" i="32" s="1"/>
  <c r="E92" i="30"/>
  <c r="G92" i="30" s="1"/>
  <c r="G93" i="30" s="1"/>
  <c r="G97" i="30" s="1"/>
  <c r="M53" i="30"/>
  <c r="O53" i="30" s="1"/>
  <c r="O54" i="30" s="1"/>
  <c r="O58" i="30" s="1"/>
  <c r="G17" i="38"/>
  <c r="F51" i="8"/>
  <c r="F55" i="8"/>
  <c r="E98" i="40" l="1"/>
  <c r="F98" i="40" s="1"/>
  <c r="E86" i="40"/>
  <c r="F86" i="40" s="1"/>
  <c r="E87" i="40"/>
  <c r="F87" i="40" s="1"/>
  <c r="O17" i="37"/>
  <c r="O55" i="35"/>
  <c r="O55" i="36"/>
  <c r="E96" i="40"/>
  <c r="F96" i="40" s="1"/>
  <c r="E119" i="40"/>
  <c r="F119" i="40" s="1"/>
  <c r="O74" i="30"/>
  <c r="E110" i="40"/>
  <c r="F110" i="40" s="1"/>
  <c r="E84" i="40"/>
  <c r="F84" i="40" s="1"/>
  <c r="E93" i="40"/>
  <c r="F93" i="40" s="1"/>
  <c r="E120" i="40"/>
  <c r="F120" i="40" s="1"/>
  <c r="E83" i="40"/>
  <c r="F83" i="40" s="1"/>
  <c r="G35" i="36"/>
  <c r="O74" i="36"/>
  <c r="E171" i="40"/>
  <c r="O35" i="36"/>
  <c r="E28" i="40"/>
  <c r="F28" i="40" s="1"/>
  <c r="E106" i="40"/>
  <c r="F106" i="40" s="1"/>
  <c r="E60" i="40"/>
  <c r="F60" i="40" s="1"/>
  <c r="E118" i="40"/>
  <c r="E72" i="40"/>
  <c r="F72" i="40" s="1"/>
  <c r="E23" i="40"/>
  <c r="F23" i="40" s="1"/>
  <c r="E121" i="40"/>
  <c r="F121" i="40" s="1"/>
  <c r="E25" i="40"/>
  <c r="F25" i="40" s="1"/>
  <c r="E21" i="40"/>
  <c r="F21" i="40" s="1"/>
  <c r="E123" i="40"/>
  <c r="F123" i="40" s="1"/>
  <c r="O112" i="36"/>
  <c r="E103" i="40"/>
  <c r="F103" i="40" s="1"/>
  <c r="G112" i="36"/>
  <c r="E102" i="40"/>
  <c r="F102" i="40" s="1"/>
  <c r="E26" i="40"/>
  <c r="F26" i="40" s="1"/>
  <c r="E20" i="40"/>
  <c r="F20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G74" i="38"/>
  <c r="G35" i="38"/>
  <c r="F118" i="40"/>
  <c r="E72" i="31"/>
  <c r="O35" i="37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M110" i="31"/>
  <c r="O110" i="31" s="1"/>
  <c r="M90" i="31"/>
  <c r="O90" i="31" s="1"/>
  <c r="O91" i="31" s="1"/>
  <c r="O95" i="31" s="1"/>
  <c r="G55" i="30"/>
  <c r="G35" i="30"/>
  <c r="M33" i="34"/>
  <c r="O33" i="34" s="1"/>
  <c r="O34" i="34" s="1"/>
  <c r="O38" i="34" s="1"/>
  <c r="G17" i="30"/>
  <c r="M90" i="34"/>
  <c r="O90" i="34" s="1"/>
  <c r="O35" i="3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G55" i="33"/>
  <c r="G55" i="34"/>
  <c r="G70" i="31"/>
  <c r="G71" i="31"/>
  <c r="G108" i="31"/>
  <c r="G109" i="31"/>
  <c r="G57" i="8"/>
  <c r="E32" i="40" l="1"/>
  <c r="F32" i="40" s="1"/>
  <c r="E41" i="40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G17" i="31"/>
  <c r="F52" i="8" s="1"/>
  <c r="O17" i="34"/>
  <c r="G35" i="34"/>
  <c r="O35" i="32"/>
  <c r="G17" i="34"/>
  <c r="G35" i="31"/>
  <c r="O74" i="34"/>
  <c r="O55" i="34"/>
  <c r="G110" i="31"/>
  <c r="G111" i="31" s="1"/>
  <c r="G115" i="31" s="1"/>
  <c r="G72" i="31"/>
  <c r="G73" i="31" s="1"/>
  <c r="G77" i="31" s="1"/>
  <c r="O92" i="31"/>
  <c r="F44" i="40" l="1"/>
  <c r="H85" i="43"/>
  <c r="H36" i="43" s="1"/>
  <c r="E53" i="40"/>
  <c r="E38" i="40"/>
  <c r="E42" i="40"/>
  <c r="G92" i="34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7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M70" i="31"/>
  <c r="F38" i="40"/>
  <c r="G34" i="35"/>
  <c r="G38" i="35" s="1"/>
  <c r="O16" i="35"/>
  <c r="O20" i="35" s="1"/>
  <c r="E81" i="40" l="1"/>
  <c r="E39" i="40"/>
  <c r="F39" i="40" s="1"/>
  <c r="E82" i="40"/>
  <c r="F82" i="40" s="1"/>
  <c r="G92" i="31"/>
  <c r="E40" i="40"/>
  <c r="F40" i="40" s="1"/>
  <c r="O74" i="31"/>
  <c r="O17" i="35"/>
  <c r="G35" i="35"/>
  <c r="F81" i="40" l="1"/>
  <c r="F128" i="40" s="1"/>
  <c r="I269" i="8" s="1"/>
  <c r="I272" i="8" s="1"/>
  <c r="E2" i="8" s="1"/>
  <c r="H2" i="8" s="1"/>
</calcChain>
</file>

<file path=xl/comments1.xml><?xml version="1.0" encoding="utf-8"?>
<comments xmlns="http://schemas.openxmlformats.org/spreadsheetml/2006/main">
  <authors>
    <author>roberto apaza gutierrez</author>
    <author>GRUPOREGIONAL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=</t>
        </r>
      </text>
    </comment>
    <comment ref="C9" authorId="1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H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C15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C1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H1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9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9" authorId="1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1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B234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4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1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41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8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8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2" authorId="1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<sst xmlns="http://schemas.openxmlformats.org/spreadsheetml/2006/main" count="3694" uniqueCount="1581">
  <si>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</si>
  <si>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</si>
  <si>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</si>
  <si>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</si>
  <si>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</si>
  <si>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</si>
  <si>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</si>
  <si>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</si>
  <si>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</si>
  <si>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</si>
  <si>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</si>
  <si>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</si>
  <si>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</si>
  <si>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</si>
  <si>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</si>
  <si>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</si>
  <si>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</si>
  <si>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</si>
  <si>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</si>
  <si>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</si>
  <si>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</si>
  <si>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</si>
  <si>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</si>
  <si>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</si>
  <si>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</si>
  <si>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</si>
  <si>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</si>
  <si>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</si>
  <si>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</si>
  <si>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</si>
  <si>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</si>
  <si>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</si>
  <si>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</si>
  <si>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</si>
  <si>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</si>
  <si>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</si>
  <si>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</si>
  <si>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</si>
  <si>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</si>
  <si>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</si>
  <si>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</si>
  <si>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</si>
  <si>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</si>
  <si>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</si>
  <si>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</si>
  <si>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</si>
  <si>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</si>
  <si>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</si>
  <si>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</si>
  <si>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</si>
  <si>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</si>
  <si>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</si>
  <si>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</si>
  <si>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</si>
  <si>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</si>
  <si>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</si>
  <si>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</si>
  <si>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</si>
  <si>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</si>
  <si>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</si>
  <si>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</si>
  <si>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</si>
  <si>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</si>
  <si>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</si>
  <si>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</si>
  <si>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</si>
  <si>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</si>
  <si>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</si>
  <si>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</si>
  <si>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</si>
  <si>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</si>
  <si>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</si>
  <si>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</si>
  <si>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</si>
  <si>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</si>
  <si>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</si>
  <si>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</si>
  <si>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</si>
  <si>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</si>
  <si>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</si>
  <si>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</si>
  <si>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</si>
  <si>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</si>
  <si>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</si>
  <si>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</si>
  <si>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</si>
  <si>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</si>
  <si>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</si>
  <si>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</si>
  <si>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</si>
  <si>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</si>
  <si>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</si>
  <si>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</si>
  <si>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</si>
  <si>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</si>
  <si>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</si>
  <si>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</si>
  <si>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</si>
  <si>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</si>
  <si>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</si>
  <si>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</si>
  <si>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</si>
  <si>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</si>
  <si>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</si>
  <si>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</si>
  <si>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</si>
  <si>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</si>
  <si>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</si>
  <si>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</si>
  <si>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</si>
  <si>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</si>
  <si>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</si>
  <si>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</si>
  <si>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</si>
  <si>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</si>
  <si>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</si>
  <si>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</si>
  <si>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</si>
  <si>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</si>
  <si>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</si>
  <si>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</si>
  <si>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</si>
  <si>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</si>
  <si>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</si>
  <si>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</si>
  <si>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</si>
  <si>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</si>
  <si>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</si>
  <si>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</si>
  <si>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</si>
  <si>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</si>
  <si>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</si>
  <si>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</si>
  <si>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</si>
  <si>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</si>
  <si>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</si>
  <si>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</si>
  <si>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</si>
  <si>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</si>
  <si>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</si>
  <si>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</si>
  <si>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</si>
  <si>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</si>
  <si>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</si>
  <si>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</si>
  <si>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</si>
  <si>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</si>
  <si>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</si>
  <si>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</si>
  <si>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</si>
  <si>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</si>
  <si>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</si>
  <si>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</si>
  <si>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</si>
  <si>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</si>
  <si>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</si>
  <si>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</si>
  <si>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</si>
  <si>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</si>
  <si>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</si>
  <si>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</si>
  <si>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</si>
  <si>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</si>
  <si>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</si>
  <si>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</si>
  <si>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</si>
  <si>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</si>
  <si>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</si>
  <si>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</si>
  <si>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</si>
  <si>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</si>
  <si>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</si>
  <si>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</si>
  <si>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</si>
  <si>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</si>
  <si>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</si>
  <si>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</si>
  <si>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</si>
  <si>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</si>
  <si>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</si>
  <si>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</si>
  <si>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</si>
  <si>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</si>
  <si>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</si>
  <si>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</si>
  <si>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</si>
  <si>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</si>
  <si>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</si>
  <si>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</si>
  <si>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</si>
  <si>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</si>
  <si>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</si>
  <si>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</si>
  <si>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</si>
  <si>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</si>
  <si>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</si>
  <si>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</si>
  <si>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</si>
  <si>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</si>
  <si>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</si>
  <si>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</si>
  <si>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</si>
  <si>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</si>
  <si>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</si>
  <si>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</si>
  <si>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</si>
  <si>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</si>
  <si>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</si>
  <si>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</si>
  <si>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</si>
  <si>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</si>
  <si>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</si>
  <si>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</si>
  <si>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</si>
  <si>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</si>
  <si>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</si>
  <si>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</si>
  <si>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</si>
  <si>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</si>
  <si>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</si>
  <si>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</si>
  <si>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</si>
  <si>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</si>
  <si>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</si>
  <si>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</si>
  <si>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</si>
  <si>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</si>
  <si>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</si>
  <si>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</si>
  <si>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</si>
  <si>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</si>
  <si>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</si>
  <si>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</si>
  <si>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</si>
  <si>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</si>
  <si>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</si>
  <si>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</si>
  <si>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</si>
  <si>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</si>
  <si>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</si>
  <si>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</si>
  <si>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</si>
  <si>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</si>
  <si>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</si>
  <si>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</si>
  <si>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</si>
  <si>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</si>
  <si>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</si>
  <si>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</si>
  <si>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</si>
  <si>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</si>
  <si>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</si>
  <si>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</si>
  <si>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</si>
  <si>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</si>
  <si>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</si>
  <si>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</si>
  <si>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</si>
  <si>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</si>
  <si>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</si>
  <si>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</si>
  <si>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</si>
  <si>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</si>
  <si>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</si>
  <si>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</si>
  <si>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</si>
  <si>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</si>
  <si>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</si>
  <si>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</si>
  <si>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</si>
  <si>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</si>
  <si>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</si>
  <si>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</si>
  <si>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</si>
  <si>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</si>
  <si>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</si>
  <si>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</si>
  <si>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</si>
  <si>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</si>
  <si>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</si>
  <si>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</si>
  <si>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</si>
  <si>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</si>
  <si>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</si>
  <si>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</si>
  <si>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</si>
  <si>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</si>
  <si>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</si>
  <si>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</si>
  <si>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</si>
  <si>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</si>
  <si>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</si>
  <si>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</si>
  <si>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</si>
  <si>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</si>
  <si>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</si>
  <si>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</si>
  <si>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</si>
  <si>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</si>
  <si>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</si>
  <si>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</si>
  <si>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</si>
  <si>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</si>
  <si>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</si>
  <si>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</si>
  <si>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</si>
  <si>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</si>
  <si>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</si>
  <si>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</si>
  <si>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</si>
  <si>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</si>
  <si>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</si>
  <si>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</si>
  <si>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</si>
  <si>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</si>
  <si>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</si>
  <si>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</si>
  <si>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</si>
  <si>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</si>
  <si>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</si>
  <si>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</si>
  <si>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</si>
  <si>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</si>
  <si>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</si>
  <si>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</si>
  <si>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</si>
  <si>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</si>
  <si>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</si>
  <si>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</si>
  <si>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</si>
  <si>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</si>
  <si>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</si>
  <si>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</si>
  <si>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</si>
  <si>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</si>
  <si>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</si>
  <si>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</si>
  <si>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</si>
  <si>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</si>
  <si>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</si>
  <si>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</si>
  <si>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</si>
  <si>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</si>
  <si>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</si>
  <si>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</si>
  <si>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</si>
  <si>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</si>
  <si>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</si>
  <si>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</si>
  <si>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</si>
  <si>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</si>
  <si>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</si>
  <si>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</si>
  <si>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</si>
  <si>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</si>
  <si>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</si>
  <si>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</si>
  <si>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</si>
  <si>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</si>
  <si>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</si>
  <si>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</si>
  <si>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</si>
  <si>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</si>
  <si>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</si>
  <si>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</si>
  <si>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</si>
  <si>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</si>
  <si>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</si>
  <si>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</si>
  <si>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</si>
  <si>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</si>
  <si>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</si>
  <si>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</si>
  <si>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</si>
  <si>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</si>
  <si>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</si>
  <si>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</si>
  <si>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</si>
  <si>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</si>
  <si>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</si>
  <si>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</si>
  <si>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</si>
  <si>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</si>
  <si>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</si>
  <si>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</si>
  <si>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</si>
  <si>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</si>
  <si>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</si>
  <si>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</si>
  <si>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</si>
  <si>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</si>
  <si>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</si>
  <si>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</si>
  <si>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</si>
  <si>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</si>
  <si>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</si>
  <si>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</si>
  <si>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</si>
  <si>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</si>
  <si>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</si>
  <si>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</si>
  <si>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</si>
  <si>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</si>
  <si>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</si>
  <si>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</si>
  <si>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</si>
  <si>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</si>
  <si>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</si>
  <si>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</si>
  <si>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</si>
  <si>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</si>
  <si>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</si>
  <si>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</si>
  <si>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</si>
  <si>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</si>
  <si>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</si>
  <si>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</si>
  <si>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</si>
  <si>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</si>
  <si>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</si>
  <si>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</si>
  <si>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</si>
  <si>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</si>
  <si>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</si>
  <si>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</si>
  <si>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</si>
  <si>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</si>
  <si>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</si>
  <si>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</si>
  <si>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</si>
  <si>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</si>
  <si>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</si>
  <si>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</si>
  <si>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</si>
  <si>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</si>
  <si>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</si>
  <si>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</si>
  <si>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</si>
  <si>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</si>
  <si>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</si>
  <si>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</si>
  <si>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</si>
  <si>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</si>
  <si>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</si>
  <si>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</si>
  <si>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</si>
  <si>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</si>
  <si>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</si>
  <si>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</si>
  <si>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</si>
  <si>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</si>
  <si>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</si>
  <si>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</si>
  <si>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</si>
  <si>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</si>
  <si>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</si>
  <si>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</si>
  <si>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</si>
  <si>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</si>
  <si>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</si>
  <si>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</si>
  <si>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</si>
  <si>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</si>
  <si>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</si>
  <si>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</si>
  <si>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</si>
  <si>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</si>
  <si>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</si>
  <si>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</si>
  <si>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</si>
  <si>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</si>
  <si>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</si>
  <si>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</si>
  <si>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</si>
  <si>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</si>
  <si>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</si>
  <si>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</si>
  <si>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</si>
  <si>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</si>
  <si>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</si>
  <si>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</si>
  <si>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</si>
  <si>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</si>
  <si>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</si>
  <si>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</si>
  <si>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</si>
  <si>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</si>
  <si>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</si>
  <si>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</si>
  <si>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</si>
  <si>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</si>
  <si>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</si>
  <si>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</si>
  <si>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</si>
  <si>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</si>
  <si>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</si>
  <si>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</si>
  <si>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</si>
  <si>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</si>
  <si>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</si>
  <si>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</si>
  <si>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</si>
  <si>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</si>
  <si>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</si>
  <si>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</si>
  <si>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</si>
  <si>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</si>
  <si>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</si>
  <si>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</si>
  <si>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</si>
  <si>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</si>
  <si>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</si>
  <si>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</si>
  <si>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</si>
  <si>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</si>
  <si>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</si>
  <si>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</si>
  <si>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</si>
  <si>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</si>
  <si>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</si>
  <si>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</si>
  <si>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</si>
  <si>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</si>
  <si>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</si>
  <si>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</si>
  <si>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</si>
  <si>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</si>
  <si>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</si>
  <si>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</si>
  <si>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</si>
  <si>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</si>
  <si>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</si>
  <si>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</si>
  <si>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</si>
  <si>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</si>
  <si>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</si>
  <si>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</si>
  <si>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</si>
  <si>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</si>
  <si>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</si>
  <si>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</si>
  <si>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</si>
  <si>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</si>
  <si>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</si>
  <si>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</si>
  <si>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</si>
  <si>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</si>
  <si>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</si>
  <si>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</si>
  <si>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</si>
  <si>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</si>
  <si>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</si>
  <si>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</si>
  <si>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</si>
  <si>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</si>
  <si>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</si>
  <si>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</si>
  <si>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</si>
  <si>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</si>
  <si>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</si>
  <si>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</si>
  <si>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</si>
  <si>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</si>
  <si>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</si>
  <si>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</si>
  <si>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</si>
  <si>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</si>
  <si>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</si>
  <si>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</si>
  <si>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</si>
  <si>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</si>
  <si>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</si>
  <si>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</si>
  <si>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</si>
  <si>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</si>
  <si>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</si>
  <si>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</si>
  <si>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</si>
  <si>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</si>
  <si>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</si>
  <si>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</si>
  <si>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</si>
  <si>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</si>
  <si>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</si>
  <si>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</si>
  <si>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</si>
  <si>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</si>
  <si>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</si>
  <si>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</si>
  <si>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</si>
  <si>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</si>
  <si>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</si>
  <si>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</si>
  <si>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</si>
  <si>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</si>
  <si>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</si>
  <si>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</si>
  <si>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</si>
  <si>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</si>
  <si>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</si>
  <si>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</si>
  <si>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</si>
  <si>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</si>
  <si>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</si>
  <si>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</si>
  <si>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</si>
  <si>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</si>
  <si>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</si>
  <si>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</si>
  <si>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</si>
  <si>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</si>
  <si>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</si>
  <si>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</si>
  <si>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</si>
  <si>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</si>
  <si>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</si>
  <si>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</si>
  <si>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</si>
  <si>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</si>
  <si>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</si>
  <si>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</si>
  <si>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</si>
  <si>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</si>
  <si>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</si>
  <si>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</si>
  <si>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</si>
  <si>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</si>
  <si>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</si>
  <si>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</si>
  <si>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</si>
  <si>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</si>
  <si>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</si>
  <si>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</si>
  <si>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</si>
  <si>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</si>
  <si>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</si>
  <si>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</si>
  <si>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</si>
  <si>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</si>
  <si>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</si>
  <si>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</si>
  <si>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</si>
  <si>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</si>
  <si>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</si>
  <si>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</si>
  <si>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</si>
  <si>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</si>
  <si>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</si>
  <si>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</si>
  <si>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</si>
  <si>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</si>
  <si>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</si>
  <si>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</si>
  <si>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</si>
  <si>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</si>
  <si>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</si>
  <si>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</si>
  <si>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</si>
  <si>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</si>
  <si>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</si>
  <si>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</si>
  <si>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</si>
  <si>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</si>
  <si>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</si>
  <si>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</si>
  <si>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</si>
  <si>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</si>
  <si>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</si>
  <si>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</si>
  <si>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</si>
  <si>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</si>
  <si>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</si>
  <si>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</si>
  <si>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</si>
  <si>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</si>
  <si>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</si>
  <si>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</si>
  <si>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</si>
  <si>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</si>
  <si>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</si>
  <si>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</si>
  <si>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</si>
  <si>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</si>
  <si>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</si>
  <si>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</si>
  <si>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</si>
  <si>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</si>
  <si>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</si>
  <si>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</si>
  <si>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</si>
  <si>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</si>
  <si>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</si>
  <si>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</si>
  <si>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</si>
  <si>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</si>
  <si>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</si>
  <si>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</si>
  <si>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</si>
  <si>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</si>
  <si>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</si>
  <si>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</si>
  <si>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</si>
  <si>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</si>
  <si>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</si>
  <si>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</si>
  <si>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</si>
  <si>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</si>
  <si>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</si>
  <si>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</si>
  <si>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</si>
  <si>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</si>
  <si>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</si>
  <si>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</si>
  <si>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</si>
  <si>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</si>
  <si>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</si>
  <si>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</si>
  <si>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</si>
  <si>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</si>
  <si>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</si>
  <si>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</si>
  <si>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</si>
  <si>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</si>
  <si>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</si>
  <si>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</si>
  <si>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</si>
  <si>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</si>
  <si>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</si>
  <si>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</si>
  <si>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</si>
  <si>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</si>
  <si>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</si>
  <si>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</si>
  <si>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</si>
  <si>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</si>
  <si>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</si>
  <si>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</si>
  <si>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</si>
  <si>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</si>
  <si>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</si>
  <si>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</si>
  <si>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</si>
  <si>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</si>
  <si>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</si>
  <si>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</si>
  <si>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</si>
  <si>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</si>
  <si>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</si>
  <si>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</si>
  <si>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</si>
  <si>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</si>
  <si>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</si>
  <si>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</si>
  <si>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</si>
  <si>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</si>
  <si>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</si>
  <si>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</si>
  <si>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</si>
  <si>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</si>
  <si>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</si>
  <si>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</si>
  <si>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</si>
  <si>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</si>
  <si>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</si>
  <si>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</si>
  <si>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</si>
  <si>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</si>
  <si>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</si>
  <si>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</si>
  <si>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</si>
  <si>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</si>
  <si>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</si>
  <si>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</si>
  <si>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</si>
  <si>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</si>
  <si>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</si>
  <si>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</si>
  <si>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</si>
  <si>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</si>
  <si>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</si>
  <si>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</si>
  <si>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</si>
  <si>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</si>
  <si>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</si>
  <si>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</si>
  <si>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</si>
  <si>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</si>
  <si>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</si>
  <si>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</si>
  <si>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</si>
  <si>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</si>
  <si>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</si>
  <si>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</si>
  <si>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</si>
  <si>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</si>
  <si>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</si>
  <si>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</si>
  <si>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</si>
  <si>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</si>
  <si>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</si>
  <si>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</si>
  <si>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</si>
  <si>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</si>
  <si>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</si>
  <si>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</si>
  <si>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</si>
  <si>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</si>
  <si>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</si>
  <si>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</si>
  <si>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</si>
  <si>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</si>
  <si>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</si>
  <si>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</si>
  <si>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</si>
  <si>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</si>
  <si>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</si>
  <si>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</si>
  <si>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</si>
  <si>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</si>
  <si>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</si>
  <si>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</si>
  <si>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</si>
  <si>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</si>
  <si>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</si>
  <si>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</si>
  <si>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</si>
  <si>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</si>
  <si>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</si>
  <si>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</si>
  <si>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</si>
  <si>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</si>
  <si>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</si>
  <si>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</si>
  <si>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</si>
  <si>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</si>
  <si>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</si>
  <si>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</si>
  <si>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</si>
  <si>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</si>
  <si>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</si>
  <si>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</si>
  <si>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</si>
  <si>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</si>
  <si>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</si>
  <si>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</si>
  <si>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</si>
  <si>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</si>
  <si>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</si>
  <si>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</si>
  <si>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</si>
  <si>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</si>
  <si>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</si>
  <si>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</si>
  <si>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</si>
  <si>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</si>
  <si>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</si>
  <si>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</si>
  <si>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</si>
  <si>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</si>
  <si>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</si>
  <si>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</si>
  <si>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</si>
  <si>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</si>
  <si>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</si>
  <si>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</si>
  <si>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</si>
  <si>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</si>
  <si>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</si>
  <si>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</si>
  <si>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</si>
  <si>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</si>
  <si>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</si>
  <si>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</si>
  <si>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</si>
  <si>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</si>
  <si>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</si>
  <si>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</si>
  <si>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</si>
  <si>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</si>
  <si>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</si>
  <si>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</si>
  <si>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</si>
  <si>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</si>
  <si>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</si>
  <si>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</si>
  <si>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</si>
  <si>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</si>
  <si>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</si>
  <si>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</si>
  <si>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</si>
  <si>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</si>
  <si>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</si>
  <si>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</si>
  <si>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</si>
  <si>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</si>
  <si>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</si>
  <si>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</si>
  <si>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</si>
  <si>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</si>
  <si>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</si>
  <si>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</si>
  <si>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</si>
  <si>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</si>
  <si>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</si>
  <si>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</si>
  <si>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</si>
  <si>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</si>
  <si>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</si>
  <si>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</si>
  <si>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</si>
  <si>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</si>
  <si>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</si>
  <si>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</si>
  <si>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</si>
  <si>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</si>
  <si>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</si>
  <si>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</si>
  <si>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</si>
  <si>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</si>
  <si>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</si>
  <si>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</si>
  <si>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</si>
  <si>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</si>
  <si>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</si>
  <si>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</si>
  <si>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</si>
  <si>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</si>
  <si>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</si>
  <si>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</si>
  <si>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</si>
  <si>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</si>
  <si>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</si>
  <si>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</si>
  <si>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</si>
  <si>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</si>
  <si>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</si>
  <si>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</si>
  <si>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</si>
  <si>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</si>
  <si>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</si>
  <si>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</si>
  <si>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</si>
  <si>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</si>
  <si>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</si>
  <si>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</si>
  <si>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</si>
  <si>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</si>
  <si>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</si>
  <si>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</si>
  <si>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</si>
  <si>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</si>
  <si>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</si>
  <si>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</si>
  <si>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</si>
  <si>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</si>
  <si>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</si>
  <si>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</si>
  <si>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</si>
  <si>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</si>
  <si>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</si>
  <si>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</si>
  <si>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</si>
  <si>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</si>
  <si>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</si>
  <si>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</si>
  <si>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</si>
  <si>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</si>
  <si>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</si>
  <si>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</si>
  <si>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</si>
  <si>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</si>
  <si>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</si>
  <si>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</si>
  <si>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</si>
  <si>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</si>
  <si>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</si>
  <si>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</si>
  <si>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</si>
  <si>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</si>
  <si>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</si>
  <si>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</si>
  <si>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</si>
  <si>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</si>
  <si>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</si>
  <si>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</si>
  <si>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</si>
  <si>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</si>
  <si>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</si>
  <si>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</si>
  <si>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</si>
  <si>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</si>
  <si>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</si>
  <si>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</si>
  <si>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</si>
  <si>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</si>
  <si>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</si>
  <si>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</si>
  <si>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</si>
  <si>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</si>
  <si>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</si>
  <si>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</si>
  <si>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</si>
  <si>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</si>
  <si>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</si>
  <si>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</si>
  <si>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</si>
  <si>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</si>
  <si>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</si>
  <si>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</si>
  <si>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</si>
  <si>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</si>
  <si>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</si>
  <si>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</si>
  <si>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</si>
  <si>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</si>
  <si>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</si>
  <si>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</si>
  <si>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</si>
  <si>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</si>
  <si>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</si>
  <si>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</si>
  <si>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</si>
  <si>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</si>
  <si>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</si>
  <si>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</si>
  <si>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</si>
  <si>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</si>
  <si>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</si>
  <si>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</si>
  <si>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</si>
  <si>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</si>
  <si>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</si>
  <si>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</si>
  <si>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</si>
  <si>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</si>
  <si>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</si>
  <si>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</si>
  <si>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</si>
  <si>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</si>
  <si>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</si>
  <si>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</si>
  <si>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</si>
  <si>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</si>
  <si>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</si>
  <si>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</si>
  <si>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</si>
  <si>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</si>
  <si>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</si>
  <si>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</si>
  <si>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</si>
  <si>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</si>
  <si>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</si>
  <si>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</si>
  <si>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</si>
  <si>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</si>
  <si>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</si>
  <si>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</si>
  <si>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</si>
  <si>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</si>
  <si>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</si>
  <si>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</si>
  <si>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</si>
  <si>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</si>
  <si>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</si>
  <si>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</si>
  <si>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</si>
  <si>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</si>
  <si>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</si>
  <si>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</si>
  <si>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</si>
  <si>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</si>
  <si>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</si>
  <si>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</si>
  <si>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</si>
  <si>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</si>
  <si>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</si>
  <si>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</si>
  <si>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</si>
  <si>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</si>
  <si>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</si>
  <si>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</si>
  <si>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</si>
  <si>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</si>
  <si>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</si>
  <si>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</si>
  <si>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</si>
  <si>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</si>
  <si>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</si>
  <si>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</si>
  <si>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</si>
  <si>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</si>
  <si>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</si>
  <si>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</si>
  <si>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</si>
  <si>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</si>
  <si>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</si>
  <si>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</si>
  <si>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</si>
  <si>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</si>
  <si>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</si>
  <si>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</si>
  <si>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</si>
  <si>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</si>
  <si>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</si>
  <si>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</si>
  <si>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</si>
  <si>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</si>
  <si>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</si>
  <si>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</si>
  <si>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</si>
  <si>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</si>
  <si>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</si>
  <si>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</si>
  <si>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</si>
  <si>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</si>
  <si>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</si>
  <si>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</si>
  <si>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</si>
  <si>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</si>
  <si>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</si>
  <si>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</si>
  <si>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</si>
  <si>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</si>
  <si>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</si>
  <si>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</si>
  <si>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</si>
  <si>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</si>
  <si>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</si>
  <si>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</si>
  <si>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</si>
  <si>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</si>
  <si>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</si>
  <si>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</si>
  <si>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</si>
  <si>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</si>
  <si>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</si>
  <si>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</si>
  <si>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</si>
  <si>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</si>
  <si>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</si>
  <si>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</si>
  <si>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</si>
  <si>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</si>
  <si>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</si>
  <si>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</si>
  <si>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</si>
  <si>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</si>
  <si>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</si>
  <si>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</si>
  <si>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</si>
  <si>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</si>
  <si>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</si>
  <si>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</si>
  <si>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</si>
  <si>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</si>
  <si>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</si>
  <si>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</si>
  <si>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</si>
  <si>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</si>
  <si>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</si>
  <si>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</si>
  <si>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</si>
  <si>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</si>
  <si>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</si>
  <si>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</si>
  <si>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</si>
  <si>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</si>
  <si>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</si>
  <si>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</si>
  <si>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</si>
  <si>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</si>
  <si>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</si>
  <si>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</si>
  <si>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</si>
  <si>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</si>
  <si>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</si>
  <si>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</si>
  <si>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</si>
  <si>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</si>
  <si>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</si>
  <si>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</si>
  <si>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</si>
  <si>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</si>
  <si>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</si>
  <si>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</si>
  <si>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</si>
  <si>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</si>
  <si>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</si>
  <si>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</si>
  <si>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</si>
  <si>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</si>
  <si>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</si>
  <si>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</si>
  <si>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</si>
  <si>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</si>
  <si>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</si>
  <si>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</si>
  <si>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</si>
  <si>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</si>
  <si>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</si>
  <si>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</si>
  <si>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</si>
  <si>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</si>
  <si>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</si>
  <si>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</si>
  <si>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</si>
  <si>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</si>
  <si>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</si>
  <si>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</si>
  <si>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</si>
  <si>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</si>
  <si>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</si>
  <si>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</si>
  <si>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</si>
  <si>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</si>
  <si>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</si>
  <si>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</si>
  <si>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</si>
  <si>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</si>
  <si>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</si>
  <si>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</si>
  <si>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</si>
  <si>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</si>
  <si>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</si>
  <si>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</si>
  <si>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</si>
  <si>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</si>
  <si>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</si>
  <si>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</si>
  <si>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</si>
  <si>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</si>
  <si>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</si>
  <si>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</si>
  <si>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</si>
  <si>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</si>
  <si>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</si>
  <si>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</si>
  <si>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</si>
  <si>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</si>
  <si>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</si>
  <si>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</si>
  <si>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</si>
  <si>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</si>
  <si>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</si>
  <si>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</si>
  <si>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</si>
  <si>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</si>
  <si>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</si>
  <si>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</si>
  <si>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</si>
  <si>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</si>
  <si>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</si>
  <si>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</si>
  <si>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</si>
  <si>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</si>
  <si>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</si>
  <si>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</si>
  <si>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</si>
  <si>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</si>
  <si>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</si>
  <si>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</si>
  <si>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</si>
  <si>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</si>
  <si>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</si>
  <si>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</si>
  <si>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</si>
  <si>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</si>
  <si>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</si>
  <si>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</si>
  <si>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</si>
  <si>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</si>
  <si>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</si>
  <si>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</si>
  <si>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</si>
  <si>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</si>
  <si>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</si>
  <si>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</si>
  <si>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</si>
  <si>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</si>
  <si>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</si>
  <si>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</si>
  <si>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</si>
  <si>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</si>
  <si>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</si>
  <si>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</si>
  <si>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</si>
  <si>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</si>
  <si>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</si>
  <si>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</si>
  <si>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</si>
  <si>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</si>
  <si>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</si>
  <si>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</si>
  <si>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</si>
  <si>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</si>
  <si>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</si>
  <si>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</si>
  <si>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</si>
  <si>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</si>
  <si>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</si>
  <si>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</si>
  <si>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</si>
  <si>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</si>
  <si>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</si>
  <si>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</si>
  <si>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</si>
  <si>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</si>
  <si>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</si>
  <si>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</si>
  <si>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</si>
  <si>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</si>
  <si>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</si>
  <si>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</si>
  <si>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</si>
  <si>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</si>
  <si>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</si>
  <si>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</si>
  <si>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</si>
  <si>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</si>
  <si>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</si>
  <si>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</si>
  <si>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</si>
  <si>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</si>
  <si>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</si>
  <si>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</si>
  <si>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</si>
  <si>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</si>
  <si>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</si>
  <si>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</si>
  <si>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</si>
  <si>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</si>
  <si>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</si>
  <si>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</si>
  <si>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</si>
  <si>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</si>
  <si>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</si>
  <si>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</si>
  <si>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</si>
  <si>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</si>
  <si>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</si>
  <si>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</si>
  <si>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</si>
  <si>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</si>
  <si>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</si>
  <si>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</si>
  <si>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</si>
  <si>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</si>
  <si>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</si>
  <si>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</si>
  <si>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</si>
  <si>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</si>
  <si>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</si>
  <si>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</si>
  <si>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</si>
  <si>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</si>
  <si>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</si>
  <si>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</si>
  <si>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</si>
  <si>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</si>
  <si>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</si>
  <si>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</si>
  <si>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</si>
  <si>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</si>
  <si>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</si>
  <si>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</si>
  <si>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</si>
  <si>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</si>
  <si>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</si>
  <si>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</si>
  <si>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</si>
  <si>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</si>
  <si>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</si>
  <si>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</si>
  <si>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</si>
  <si>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</si>
  <si>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</si>
  <si>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</si>
  <si>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</si>
  <si>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</si>
  <si>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</si>
  <si>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</si>
  <si>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</si>
  <si>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</si>
  <si>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</si>
  <si>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</si>
  <si>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</si>
  <si>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</si>
  <si>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</si>
  <si>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</si>
  <si>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</si>
  <si>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</si>
  <si>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</si>
  <si>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</si>
  <si>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</si>
  <si>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</si>
  <si>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</si>
  <si>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</si>
  <si>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</si>
  <si>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</si>
  <si>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</si>
  <si>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</si>
  <si>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</si>
  <si>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</si>
  <si>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</si>
  <si>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</si>
  <si>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</si>
  <si>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</si>
  <si>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</si>
  <si>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</si>
  <si>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</si>
  <si>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</si>
  <si>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</si>
  <si>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</si>
  <si>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</si>
  <si>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</si>
  <si>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</si>
  <si>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</si>
  <si>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</si>
  <si>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</si>
  <si>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</si>
  <si>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</si>
  <si>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</si>
  <si>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</si>
  <si>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</si>
  <si>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</si>
  <si>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</si>
  <si>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 nuestra mayor consideracion: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</si>
  <si>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</si>
  <si>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</si>
  <si>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</si>
  <si>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</si>
  <si>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</si>
  <si>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</si>
  <si>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</si>
  <si>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</si>
  <si>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</si>
  <si>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</si>
  <si>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</si>
  <si>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Promotores con facilidad de palabra y poder de convencimiento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</si>
  <si>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</si>
  <si>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</si>
  <si>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</si>
  <si>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Seguimientos cualitativos.</t>
  </si>
  <si>
    <t>• Documentos de identificación (Credenciales).</t>
  </si>
  <si>
    <t>• Gastos Administrativos.</t>
  </si>
  <si>
    <t>• Impuestos de Ley.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</si>
  <si>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</si>
  <si>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</si>
  <si>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</si>
  <si>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</si>
  <si>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</si>
  <si>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</si>
  <si>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</si>
  <si>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</si>
  <si>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</si>
  <si>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</si>
  <si>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</si>
  <si>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</si>
  <si>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</si>
  <si>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</si>
  <si>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</si>
  <si>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</si>
  <si>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</si>
  <si>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</si>
  <si>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</si>
  <si>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</si>
  <si>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</si>
  <si>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</si>
  <si>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</si>
  <si>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</si>
  <si>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</si>
  <si>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Material de Oficina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</si>
  <si>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</si>
  <si>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</si>
  <si>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</si>
  <si>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</si>
  <si>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</si>
  <si>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</si>
  <si>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</si>
  <si>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</si>
  <si>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</si>
  <si>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</si>
  <si>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</si>
  <si>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</si>
  <si>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</si>
  <si>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</si>
  <si>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</si>
  <si>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CHAPARE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</si>
  <si>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</si>
  <si>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</si>
  <si>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</si>
  <si>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</si>
  <si>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</si>
  <si>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</si>
  <si>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</si>
  <si>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</si>
  <si>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</si>
  <si>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</si>
  <si>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</si>
  <si>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</si>
  <si>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</si>
  <si>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</si>
  <si>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</si>
  <si>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</si>
  <si>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</si>
  <si>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</si>
  <si>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</si>
  <si>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</si>
  <si>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</si>
  <si>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</si>
  <si>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</si>
  <si>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</si>
  <si>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</si>
  <si>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</si>
  <si>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</si>
  <si>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</si>
  <si>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</si>
  <si>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</si>
  <si>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</si>
  <si>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</si>
  <si>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</si>
  <si>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</si>
  <si>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</si>
  <si>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</si>
  <si>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ALMACEN DE GR SRL</t>
  </si>
  <si>
    <t xml:space="preserve">DETALLE DEL SERVICIO 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</si>
  <si>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</si>
  <si>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</si>
  <si>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</si>
  <si>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</si>
  <si>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</si>
  <si>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</si>
  <si>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</si>
  <si>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</si>
  <si>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DIFERENCIA</t>
  </si>
  <si>
    <t>CIUDAD:</t>
  </si>
  <si>
    <t>TOTAL ACT. MAS CARGAS IMPOSITIVA C/U</t>
  </si>
  <si>
    <t>TOTAL ACT. MAS CARGAS IMPOSITIVA GOBLAL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</si>
  <si>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</si>
  <si>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</si>
  <si>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</si>
  <si>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</si>
  <si>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</si>
  <si>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</si>
  <si>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</si>
  <si>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</si>
  <si>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</si>
  <si>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</si>
  <si>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</si>
  <si>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</si>
  <si>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TOTAL CLIENTE</t>
  </si>
  <si>
    <t>TOTAL/CLIENTE</t>
  </si>
  <si>
    <t>1.9</t>
  </si>
  <si>
    <t>ELABORADO  POR</t>
  </si>
  <si>
    <t>ALVARO VEGA</t>
  </si>
  <si>
    <t>1.10</t>
  </si>
  <si>
    <t xml:space="preserve">UBICACIÓN </t>
  </si>
  <si>
    <t>1.1</t>
  </si>
  <si>
    <t>1.2</t>
  </si>
  <si>
    <t>1.4</t>
  </si>
  <si>
    <t>1.3</t>
  </si>
  <si>
    <t>1.5</t>
  </si>
  <si>
    <t>1.6</t>
  </si>
  <si>
    <t>1.7</t>
  </si>
  <si>
    <t>COSTOS S/G PDF DEL PROYECTO</t>
  </si>
  <si>
    <t>COSTOS ESTIMADO S/G HOJA COSTO PROYECTO</t>
  </si>
  <si>
    <t>COCHABAMBA</t>
  </si>
  <si>
    <t>www.gruporegional.com</t>
  </si>
  <si>
    <t>Atentamente</t>
  </si>
  <si>
    <t>• Personal con experiencia</t>
  </si>
  <si>
    <t>• Ejecutivo de cuentas para control y monitoreo de actividad</t>
  </si>
  <si>
    <t>• Informes digitales cuantitativos y fotográficos.</t>
  </si>
  <si>
    <t>Le hacemos llegar la cotización y facturación detallada por la ejecución del servicio de Impulso en mercado tradicional y moderno</t>
  </si>
  <si>
    <t>Maira Crespo - AIDISA</t>
  </si>
  <si>
    <t>CBBA</t>
  </si>
  <si>
    <t xml:space="preserve">REF: COTIZACION IMPULSO - BIC IC NORTE </t>
  </si>
  <si>
    <t xml:space="preserve">pasajes supervision </t>
  </si>
  <si>
    <t xml:space="preserve">• Horario de trabajo 3 horas diarias </t>
  </si>
  <si>
    <t>IMPULSADORAS BIC HIPERMAXI SACABA</t>
  </si>
  <si>
    <t xml:space="preserve">IMPULSADORA SUPERMERCADO HIPERMAXI SACABA </t>
  </si>
  <si>
    <t>El costo total por el servicio es de 336,50 bs (trescientos treinta y seis bolivianos 50/100)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</si>
</sst>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\ _€_-;\-* #,##0\ _€_-;_-* &quot;-&quot;\ _€_-;_-@_-"/>
    <numFmt numFmtId="43" formatCode="_-* #,##0.00\ _€_-;\-* #,##0.00\ _€_-;_-* &quot;-&quot;??\ _€_-;_-@_-"/>
    <numFmt numFmtId="164" formatCode="0.0000000%"/>
    <numFmt numFmtId="165" formatCode="0.00000000%"/>
    <numFmt numFmtId="166" formatCode="#,##0.00_ ;[Red]\-#,##0.00\ "/>
    <numFmt numFmtId="167" formatCode="#,##0.0000"/>
    <numFmt numFmtId="168" formatCode="_-* #,##0.00\ _€_-;\-* #,##0.00\ _€_-;_-* &quot;-&quot;\ _€_-;_-@_-"/>
    <numFmt numFmtId="169" formatCode="_-* #,##0\ _€_-;\-* #,##0\ _€_-;_-* &quot;-&quot;??\ _€_-;_-@_-"/>
    <numFmt numFmtId="170" formatCode="_(* #,##0.00_);_(* \(#,##0.00\);_(* &quot;-&quot;??_);_(@_)"/>
    <numFmt numFmtId="171" formatCode="_(* #,##0_);_(* \(#,##0\);_(* &quot;-&quot;??_);_(@_)"/>
    <numFmt numFmtId="172" formatCode="[$-F800]dddd\,\ mmmm\ dd\,\ yyyy"/>
    <numFmt numFmtId="173" formatCode="0.00000%"/>
    <numFmt numFmtId="174" formatCode="#,##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1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5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/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0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43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85">
    <xf numFmtId="0" fontId="0" fillId="0" borderId="0" xfId="0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/>
    </xf>
    <xf numFmtId="165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0" fillId="0" borderId="0" xfId="0"/>
    <xf numFmtId="4" fontId="9" fillId="0" borderId="0" xfId="0" applyNumberFormat="1" applyFont="1"/>
    <xf numFmtId="171" fontId="8" fillId="0" borderId="0" xfId="0" applyNumberFormat="1" applyFont="1"/>
    <xf numFmtId="41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0" fontId="28" fillId="0" borderId="0" xfId="0" applyFont="1" applyFill="1"/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43" fontId="6" fillId="11" borderId="2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0" fontId="0" fillId="0" borderId="0" xfId="0" applyNumberFormat="1" applyFont="1"/>
    <xf numFmtId="0" fontId="17" fillId="10" borderId="0" xfId="0" applyFont="1" applyFill="1" applyAlignment="1">
      <alignment horizontal="center"/>
    </xf>
    <xf numFmtId="173" fontId="13" fillId="10" borderId="0" xfId="0" applyNumberFormat="1" applyFont="1" applyFill="1"/>
    <xf numFmtId="0" fontId="8" fillId="0" borderId="0" xfId="0" applyFont="1"/>
    <xf numFmtId="41" fontId="17" fillId="10" borderId="0" xfId="0" applyNumberFormat="1" applyFont="1" applyFill="1" applyAlignment="1"/>
    <xf numFmtId="0" fontId="30" fillId="10" borderId="0" xfId="0" applyFont="1" applyFill="1"/>
    <xf numFmtId="41" fontId="29" fillId="10" borderId="0" xfId="0" applyNumberFormat="1" applyFont="1" applyFill="1" applyAlignment="1">
      <alignment horizontal="center" vertical="center"/>
    </xf>
    <xf numFmtId="41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168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6" fillId="2" borderId="0" xfId="0" applyNumberFormat="1" applyFont="1" applyFill="1" applyBorder="1" applyAlignment="1">
      <alignment vertical="center" wrapText="1"/>
    </xf>
    <xf numFmtId="41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/>
    </xf>
    <xf numFmtId="43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43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6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4" xfId="0" applyFont="1" applyFill="1" applyBorder="1" applyAlignment="1">
      <alignment vertical="center"/>
    </xf>
    <xf numFmtId="0" fontId="6" fillId="16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43" fontId="6" fillId="16" borderId="2" xfId="0" applyNumberFormat="1" applyFont="1" applyFill="1" applyBorder="1" applyAlignment="1">
      <alignment horizontal="center" vertical="center"/>
    </xf>
    <xf numFmtId="43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37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6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0" xfId="0" applyNumberFormat="1" applyFont="1" applyFill="1" applyBorder="1" applyAlignment="1">
      <alignment horizontal="center" vertical="center"/>
    </xf>
    <xf numFmtId="4" fontId="6" fillId="16" borderId="50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0" xfId="0" applyFont="1" applyFill="1" applyBorder="1" applyAlignment="1">
      <alignment horizontal="center" vertical="center"/>
    </xf>
    <xf numFmtId="0" fontId="38" fillId="16" borderId="50" xfId="0" applyFont="1" applyFill="1" applyBorder="1" applyAlignment="1">
      <alignment horizontal="center" vertical="center"/>
    </xf>
    <xf numFmtId="9" fontId="38" fillId="11" borderId="50" xfId="1" applyFont="1" applyFill="1" applyBorder="1" applyAlignment="1">
      <alignment horizontal="center" vertical="center"/>
    </xf>
    <xf numFmtId="9" fontId="38" fillId="18" borderId="50" xfId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40" fillId="16" borderId="32" xfId="0" applyFont="1" applyFill="1" applyBorder="1" applyAlignment="1">
      <alignment horizontal="center"/>
    </xf>
    <xf numFmtId="0" fontId="40" fillId="16" borderId="35" xfId="0" applyFont="1" applyFill="1" applyBorder="1" applyAlignment="1">
      <alignment horizontal="center" vertical="center"/>
    </xf>
    <xf numFmtId="0" fontId="40" fillId="16" borderId="37" xfId="0" applyFont="1" applyFill="1" applyBorder="1" applyAlignment="1">
      <alignment horizontal="center" vertical="center"/>
    </xf>
    <xf numFmtId="4" fontId="42" fillId="3" borderId="50" xfId="0" applyNumberFormat="1" applyFont="1" applyFill="1" applyBorder="1" applyAlignment="1">
      <alignment horizontal="center" vertical="center"/>
    </xf>
    <xf numFmtId="0" fontId="40" fillId="16" borderId="27" xfId="0" applyFont="1" applyFill="1" applyBorder="1" applyAlignment="1">
      <alignment horizontal="center" vertical="center" wrapText="1"/>
    </xf>
    <xf numFmtId="0" fontId="40" fillId="16" borderId="28" xfId="0" applyFont="1" applyFill="1" applyBorder="1" applyAlignment="1">
      <alignment horizontal="center" vertical="center" wrapText="1"/>
    </xf>
    <xf numFmtId="0" fontId="6" fillId="16" borderId="16" xfId="0" applyFont="1" applyFill="1" applyBorder="1" applyAlignment="1">
      <alignment vertical="center" wrapText="1"/>
    </xf>
    <xf numFmtId="43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16" borderId="50" xfId="0" applyFont="1" applyFill="1" applyBorder="1" applyAlignment="1">
      <alignment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4" fontId="42" fillId="2" borderId="0" xfId="0" applyNumberFormat="1" applyFont="1" applyFill="1" applyBorder="1" applyAlignment="1">
      <alignment vertical="center" wrapText="1"/>
    </xf>
    <xf numFmtId="4" fontId="41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0" fontId="0" fillId="2" borderId="0" xfId="0" applyFont="1" applyFill="1"/>
    <xf numFmtId="0" fontId="6" fillId="11" borderId="0" xfId="0" applyFont="1" applyFill="1" applyAlignment="1">
      <alignment vertical="center"/>
    </xf>
    <xf numFmtId="0" fontId="48" fillId="1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14" fontId="49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69" fontId="28" fillId="0" borderId="2" xfId="0" applyNumberFormat="1" applyFont="1" applyBorder="1" applyAlignment="1">
      <alignment horizontal="center" vertical="center" wrapText="1"/>
    </xf>
    <xf numFmtId="41" fontId="28" fillId="0" borderId="2" xfId="0" applyNumberFormat="1" applyFont="1" applyFill="1" applyBorder="1" applyAlignment="1">
      <alignment horizontal="center" vertical="center" wrapText="1"/>
    </xf>
    <xf numFmtId="168" fontId="28" fillId="0" borderId="2" xfId="0" applyNumberFormat="1" applyFont="1" applyFill="1" applyBorder="1" applyAlignment="1">
      <alignment horizontal="center" vertical="center" wrapText="1"/>
    </xf>
    <xf numFmtId="168" fontId="28" fillId="5" borderId="2" xfId="0" applyNumberFormat="1" applyFont="1" applyFill="1" applyBorder="1" applyAlignment="1">
      <alignment horizontal="center" vertical="center" wrapText="1"/>
    </xf>
    <xf numFmtId="169" fontId="28" fillId="16" borderId="15" xfId="0" applyNumberFormat="1" applyFont="1" applyFill="1" applyBorder="1" applyAlignment="1">
      <alignment horizontal="center" vertical="center" wrapText="1"/>
    </xf>
    <xf numFmtId="41" fontId="6" fillId="16" borderId="2" xfId="0" applyNumberFormat="1" applyFont="1" applyFill="1" applyBorder="1" applyAlignment="1">
      <alignment horizontal="center" vertical="center" wrapText="1"/>
    </xf>
    <xf numFmtId="168" fontId="6" fillId="16" borderId="2" xfId="0" applyNumberFormat="1" applyFont="1" applyFill="1" applyBorder="1" applyAlignment="1">
      <alignment horizontal="center" vertical="center" wrapText="1"/>
    </xf>
    <xf numFmtId="168" fontId="6" fillId="14" borderId="2" xfId="0" applyNumberFormat="1" applyFont="1" applyFill="1" applyBorder="1" applyAlignment="1">
      <alignment horizontal="center" vertical="center" wrapText="1"/>
    </xf>
    <xf numFmtId="169" fontId="28" fillId="2" borderId="8" xfId="0" applyNumberFormat="1" applyFont="1" applyFill="1" applyBorder="1" applyAlignment="1">
      <alignment horizontal="center" vertical="center" wrapText="1"/>
    </xf>
    <xf numFmtId="41" fontId="6" fillId="2" borderId="8" xfId="0" applyNumberFormat="1" applyFont="1" applyFill="1" applyBorder="1" applyAlignment="1">
      <alignment horizontal="center" vertical="center" wrapText="1"/>
    </xf>
    <xf numFmtId="168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69" fontId="28" fillId="2" borderId="47" xfId="0" applyNumberFormat="1" applyFont="1" applyFill="1" applyBorder="1" applyAlignment="1">
      <alignment horizontal="center" vertical="center" wrapText="1"/>
    </xf>
    <xf numFmtId="41" fontId="6" fillId="2" borderId="47" xfId="0" applyNumberFormat="1" applyFont="1" applyFill="1" applyBorder="1" applyAlignment="1">
      <alignment horizontal="center" vertical="center" wrapText="1"/>
    </xf>
    <xf numFmtId="168" fontId="6" fillId="2" borderId="47" xfId="0" applyNumberFormat="1" applyFont="1" applyFill="1" applyBorder="1" applyAlignment="1">
      <alignment horizontal="center" vertical="center" wrapText="1"/>
    </xf>
    <xf numFmtId="0" fontId="6" fillId="16" borderId="50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vertical="center" wrapText="1"/>
    </xf>
    <xf numFmtId="0" fontId="6" fillId="14" borderId="50" xfId="0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69" fontId="28" fillId="0" borderId="14" xfId="0" applyNumberFormat="1" applyFont="1" applyBorder="1" applyAlignment="1">
      <alignment horizontal="center" vertical="center" wrapText="1"/>
    </xf>
    <xf numFmtId="41" fontId="28" fillId="0" borderId="14" xfId="0" applyNumberFormat="1" applyFont="1" applyFill="1" applyBorder="1" applyAlignment="1">
      <alignment horizontal="center" vertical="center" wrapText="1"/>
    </xf>
    <xf numFmtId="168" fontId="28" fillId="5" borderId="14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0" fontId="6" fillId="5" borderId="50" xfId="0" applyFont="1" applyFill="1" applyBorder="1" applyAlignment="1">
      <alignment horizontal="center" vertical="center" wrapText="1"/>
    </xf>
    <xf numFmtId="168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68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41" fontId="6" fillId="16" borderId="15" xfId="0" applyNumberFormat="1" applyFont="1" applyFill="1" applyBorder="1" applyAlignment="1">
      <alignment horizontal="center" vertical="center" wrapText="1"/>
    </xf>
    <xf numFmtId="168" fontId="6" fillId="16" borderId="15" xfId="0" applyNumberFormat="1" applyFont="1" applyFill="1" applyBorder="1" applyAlignment="1">
      <alignment horizontal="center" vertical="center" wrapText="1"/>
    </xf>
    <xf numFmtId="168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41" fontId="36" fillId="17" borderId="50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40" fillId="16" borderId="39" xfId="0" applyFont="1" applyFill="1" applyBorder="1" applyAlignment="1">
      <alignment horizontal="center" vertical="center"/>
    </xf>
    <xf numFmtId="0" fontId="42" fillId="2" borderId="0" xfId="0" applyNumberFormat="1" applyFont="1" applyFill="1" applyBorder="1" applyAlignment="1">
      <alignment vertical="center"/>
    </xf>
    <xf numFmtId="0" fontId="51" fillId="2" borderId="0" xfId="0" applyFont="1" applyFill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2" fillId="2" borderId="0" xfId="0" applyFont="1" applyFill="1" applyBorder="1" applyAlignment="1">
      <alignment vertical="center" wrapText="1"/>
    </xf>
    <xf numFmtId="14" fontId="42" fillId="2" borderId="0" xfId="0" applyNumberFormat="1" applyFont="1" applyFill="1" applyBorder="1" applyAlignment="1">
      <alignment horizontal="left" vertical="center"/>
    </xf>
    <xf numFmtId="0" fontId="42" fillId="2" borderId="0" xfId="0" applyFont="1" applyFill="1" applyAlignment="1">
      <alignment horizontal="center" vertical="center" wrapText="1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center"/>
    </xf>
    <xf numFmtId="0" fontId="52" fillId="2" borderId="0" xfId="0" applyFont="1" applyFill="1" applyBorder="1"/>
    <xf numFmtId="4" fontId="43" fillId="17" borderId="41" xfId="0" applyNumberFormat="1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41" fillId="16" borderId="42" xfId="0" applyFont="1" applyFill="1" applyBorder="1" applyAlignment="1">
      <alignment vertical="center"/>
    </xf>
    <xf numFmtId="0" fontId="41" fillId="16" borderId="43" xfId="0" applyFont="1" applyFill="1" applyBorder="1" applyAlignment="1">
      <alignment horizontal="center" vertical="center" wrapText="1"/>
    </xf>
    <xf numFmtId="0" fontId="41" fillId="16" borderId="43" xfId="0" applyFont="1" applyFill="1" applyBorder="1" applyAlignment="1">
      <alignment horizontal="center" vertical="center"/>
    </xf>
    <xf numFmtId="0" fontId="41" fillId="16" borderId="43" xfId="0" applyFont="1" applyFill="1" applyBorder="1" applyAlignment="1">
      <alignment vertical="center" wrapText="1"/>
    </xf>
    <xf numFmtId="0" fontId="41" fillId="16" borderId="2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/>
    <xf numFmtId="1" fontId="40" fillId="16" borderId="29" xfId="1" applyNumberFormat="1" applyFont="1" applyFill="1" applyBorder="1" applyAlignment="1">
      <alignment horizontal="center" vertical="center" wrapText="1"/>
    </xf>
    <xf numFmtId="173" fontId="40" fillId="16" borderId="29" xfId="1" applyNumberFormat="1" applyFont="1" applyFill="1" applyBorder="1" applyAlignment="1">
      <alignment horizontal="center" vertical="center" wrapText="1"/>
    </xf>
    <xf numFmtId="4" fontId="40" fillId="16" borderId="30" xfId="0" applyNumberFormat="1" applyFont="1" applyFill="1" applyBorder="1" applyAlignment="1">
      <alignment horizontal="center" vertical="center" wrapText="1"/>
    </xf>
    <xf numFmtId="4" fontId="40" fillId="16" borderId="29" xfId="0" applyNumberFormat="1" applyFont="1" applyFill="1" applyBorder="1" applyAlignment="1">
      <alignment horizontal="center" vertical="center" wrapText="1"/>
    </xf>
    <xf numFmtId="167" fontId="40" fillId="16" borderId="29" xfId="0" applyNumberFormat="1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52" fillId="2" borderId="0" xfId="0" applyFont="1" applyFill="1"/>
    <xf numFmtId="0" fontId="25" fillId="16" borderId="53" xfId="0" applyFont="1" applyFill="1" applyBorder="1" applyAlignment="1">
      <alignment horizontal="center"/>
    </xf>
    <xf numFmtId="4" fontId="25" fillId="16" borderId="53" xfId="0" applyNumberFormat="1" applyFont="1" applyFill="1" applyBorder="1" applyAlignment="1">
      <alignment horizontal="center"/>
    </xf>
    <xf numFmtId="0" fontId="13" fillId="2" borderId="53" xfId="0" applyFont="1" applyFill="1" applyBorder="1" applyAlignment="1">
      <alignment horizontal="left" vertical="center" wrapText="1"/>
    </xf>
    <xf numFmtId="1" fontId="13" fillId="2" borderId="53" xfId="0" applyNumberFormat="1" applyFont="1" applyFill="1" applyBorder="1" applyAlignment="1">
      <alignment horizontal="center" vertical="center"/>
    </xf>
    <xf numFmtId="4" fontId="13" fillId="2" borderId="53" xfId="4" applyNumberFormat="1" applyFont="1" applyFill="1" applyBorder="1" applyAlignment="1">
      <alignment horizontal="center" vertical="center"/>
    </xf>
    <xf numFmtId="1" fontId="26" fillId="2" borderId="53" xfId="4" applyNumberFormat="1" applyFont="1" applyFill="1" applyBorder="1" applyAlignment="1" applyProtection="1">
      <alignment horizontal="center" vertical="top"/>
    </xf>
    <xf numFmtId="4" fontId="26" fillId="2" borderId="53" xfId="4" applyNumberFormat="1" applyFont="1" applyFill="1" applyBorder="1" applyAlignment="1" applyProtection="1">
      <alignment horizontal="center" vertical="top"/>
    </xf>
    <xf numFmtId="0" fontId="8" fillId="2" borderId="53" xfId="0" applyFont="1" applyFill="1" applyBorder="1" applyAlignment="1">
      <alignment horizontal="left" wrapText="1"/>
    </xf>
    <xf numFmtId="4" fontId="8" fillId="2" borderId="53" xfId="0" applyNumberFormat="1" applyFont="1" applyFill="1" applyBorder="1" applyAlignment="1">
      <alignment horizontal="center"/>
    </xf>
    <xf numFmtId="4" fontId="8" fillId="2" borderId="53" xfId="4" applyNumberFormat="1" applyFont="1" applyFill="1" applyBorder="1" applyAlignment="1">
      <alignment horizontal="center"/>
    </xf>
    <xf numFmtId="1" fontId="8" fillId="2" borderId="53" xfId="0" applyNumberFormat="1" applyFont="1" applyFill="1" applyBorder="1" applyAlignment="1">
      <alignment horizontal="left" wrapText="1"/>
    </xf>
    <xf numFmtId="4" fontId="8" fillId="2" borderId="55" xfId="0" applyNumberFormat="1" applyFont="1" applyFill="1" applyBorder="1" applyAlignment="1">
      <alignment horizontal="center"/>
    </xf>
    <xf numFmtId="4" fontId="8" fillId="2" borderId="55" xfId="4" applyNumberFormat="1" applyFont="1" applyFill="1" applyBorder="1" applyAlignment="1">
      <alignment horizontal="center"/>
    </xf>
    <xf numFmtId="0" fontId="25" fillId="16" borderId="54" xfId="0" applyFont="1" applyFill="1" applyBorder="1" applyAlignment="1">
      <alignment horizontal="center"/>
    </xf>
    <xf numFmtId="4" fontId="25" fillId="16" borderId="54" xfId="4" applyNumberFormat="1" applyFont="1" applyFill="1" applyBorder="1" applyAlignment="1" applyProtection="1">
      <alignment horizontal="center" vertical="top"/>
    </xf>
    <xf numFmtId="0" fontId="21" fillId="16" borderId="54" xfId="0" applyFont="1" applyFill="1" applyBorder="1" applyAlignment="1">
      <alignment horizontal="center"/>
    </xf>
    <xf numFmtId="4" fontId="42" fillId="0" borderId="6" xfId="0" applyNumberFormat="1" applyFont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vertical="center" wrapText="1"/>
    </xf>
    <xf numFmtId="0" fontId="1" fillId="2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2" borderId="0" xfId="0" applyNumberFormat="1" applyFont="1" applyFill="1" applyBorder="1" applyAlignment="1">
      <alignment horizontal="right" vertical="center"/>
    </xf>
    <xf numFmtId="0" fontId="54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right" vertical="center" wrapText="1"/>
    </xf>
    <xf numFmtId="0" fontId="54" fillId="2" borderId="0" xfId="0" applyFont="1" applyFill="1" applyAlignment="1">
      <alignment horizontal="right" vertical="center"/>
    </xf>
    <xf numFmtId="0" fontId="0" fillId="2" borderId="0" xfId="0" applyFont="1" applyFill="1" applyBorder="1"/>
    <xf numFmtId="0" fontId="1" fillId="2" borderId="0" xfId="0" applyFont="1" applyFill="1" applyBorder="1" applyAlignment="1">
      <alignment horizontal="right" vertical="center"/>
    </xf>
    <xf numFmtId="0" fontId="1" fillId="2" borderId="0" xfId="0" applyFont="1" applyFill="1" applyBorder="1" applyAlignment="1">
      <alignment vertical="center"/>
    </xf>
    <xf numFmtId="1" fontId="10" fillId="0" borderId="0" xfId="0" applyNumberFormat="1" applyFont="1" applyFill="1" applyBorder="1" applyAlignment="1">
      <alignment horizontal="right" vertical="center"/>
    </xf>
    <xf numFmtId="0" fontId="41" fillId="2" borderId="0" xfId="0" applyFont="1" applyFill="1" applyAlignment="1">
      <alignment horizontal="right" vertical="center" indent="1"/>
    </xf>
    <xf numFmtId="0" fontId="45" fillId="2" borderId="0" xfId="0" applyFont="1" applyFill="1" applyAlignment="1">
      <alignment vertical="center"/>
    </xf>
    <xf numFmtId="0" fontId="40" fillId="16" borderId="39" xfId="0" applyFont="1" applyFill="1" applyBorder="1" applyAlignment="1">
      <alignment vertical="center"/>
    </xf>
    <xf numFmtId="0" fontId="40" fillId="16" borderId="39" xfId="0" applyFont="1" applyFill="1" applyBorder="1" applyAlignment="1">
      <alignment vertical="center" wrapText="1"/>
    </xf>
    <xf numFmtId="0" fontId="28" fillId="0" borderId="0" xfId="0" applyFont="1" applyBorder="1"/>
    <xf numFmtId="0" fontId="48" fillId="2" borderId="0" xfId="0" applyFont="1" applyFill="1" applyBorder="1" applyAlignment="1">
      <alignment horizontal="center" vertical="center"/>
    </xf>
    <xf numFmtId="0" fontId="20" fillId="16" borderId="3" xfId="6" applyNumberFormat="1" applyFont="1" applyFill="1" applyBorder="1" applyAlignment="1" applyProtection="1">
      <alignment horizontal="center" vertical="center" wrapText="1"/>
    </xf>
    <xf numFmtId="0" fontId="20" fillId="16" borderId="6" xfId="6" applyNumberFormat="1" applyFont="1" applyFill="1" applyBorder="1" applyAlignment="1" applyProtection="1">
      <alignment horizontal="center" vertical="center"/>
    </xf>
    <xf numFmtId="0" fontId="20" fillId="16" borderId="6" xfId="6" applyNumberFormat="1" applyFont="1" applyFill="1" applyBorder="1" applyAlignment="1" applyProtection="1">
      <alignment horizontal="center" vertical="center" wrapText="1"/>
    </xf>
    <xf numFmtId="170" fontId="5" fillId="16" borderId="5" xfId="4" applyFont="1" applyFill="1" applyBorder="1" applyAlignment="1" applyProtection="1">
      <alignment horizontal="center" vertical="top"/>
    </xf>
    <xf numFmtId="170" fontId="5" fillId="16" borderId="1" xfId="4" applyFont="1" applyFill="1" applyBorder="1" applyAlignment="1" applyProtection="1">
      <alignment horizontal="center" vertical="top"/>
    </xf>
    <xf numFmtId="43" fontId="23" fillId="16" borderId="2" xfId="0" applyNumberFormat="1" applyFont="1" applyFill="1" applyBorder="1" applyAlignment="1">
      <alignment horizontal="center" vertical="center"/>
    </xf>
    <xf numFmtId="170" fontId="5" fillId="16" borderId="6" xfId="4" applyFont="1" applyFill="1" applyBorder="1" applyAlignment="1" applyProtection="1">
      <alignment horizontal="center" vertical="top"/>
    </xf>
    <xf numFmtId="43" fontId="23" fillId="16" borderId="14" xfId="0" applyNumberFormat="1" applyFont="1" applyFill="1" applyBorder="1" applyAlignment="1">
      <alignment horizontal="center" vertical="center"/>
    </xf>
    <xf numFmtId="170" fontId="20" fillId="16" borderId="6" xfId="4" applyFont="1" applyFill="1" applyBorder="1" applyAlignment="1" applyProtection="1">
      <alignment horizontal="center" vertical="top"/>
    </xf>
    <xf numFmtId="0" fontId="20" fillId="20" borderId="6" xfId="6" applyNumberFormat="1" applyFont="1" applyFill="1" applyBorder="1" applyAlignment="1" applyProtection="1">
      <alignment horizontal="center" vertical="top"/>
    </xf>
    <xf numFmtId="0" fontId="5" fillId="20" borderId="10" xfId="6" applyFont="1" applyFill="1" applyBorder="1" applyAlignment="1" applyProtection="1">
      <alignment horizontal="center" vertical="top"/>
    </xf>
    <xf numFmtId="0" fontId="5" fillId="20" borderId="6" xfId="6" applyFont="1" applyFill="1" applyBorder="1" applyAlignment="1" applyProtection="1">
      <alignment horizontal="center" vertical="top"/>
    </xf>
    <xf numFmtId="0" fontId="5" fillId="0" borderId="20" xfId="6" applyFont="1" applyFill="1" applyBorder="1" applyAlignment="1" applyProtection="1">
      <alignment horizontal="center" vertical="top"/>
    </xf>
    <xf numFmtId="0" fontId="5" fillId="0" borderId="19" xfId="6" applyNumberFormat="1" applyFont="1" applyFill="1" applyBorder="1" applyAlignment="1" applyProtection="1">
      <alignment horizontal="center" vertical="top"/>
    </xf>
    <xf numFmtId="0" fontId="5" fillId="0" borderId="14" xfId="6" applyNumberFormat="1" applyFont="1" applyFill="1" applyBorder="1" applyAlignment="1" applyProtection="1">
      <alignment horizontal="center" vertical="top"/>
    </xf>
    <xf numFmtId="170" fontId="5" fillId="0" borderId="14" xfId="4" applyNumberFormat="1" applyFont="1" applyFill="1" applyBorder="1" applyAlignment="1" applyProtection="1">
      <alignment horizontal="center" vertical="top"/>
    </xf>
    <xf numFmtId="170" fontId="5" fillId="0" borderId="2" xfId="4" applyNumberFormat="1" applyFont="1" applyFill="1" applyBorder="1" applyAlignment="1" applyProtection="1">
      <alignment horizontal="center" vertical="top"/>
    </xf>
    <xf numFmtId="0" fontId="0" fillId="0" borderId="14" xfId="0" applyFill="1" applyBorder="1"/>
    <xf numFmtId="0" fontId="0" fillId="0" borderId="2" xfId="0" applyFill="1" applyBorder="1"/>
    <xf numFmtId="0" fontId="5" fillId="0" borderId="9" xfId="6" applyFont="1" applyFill="1" applyBorder="1" applyAlignment="1" applyProtection="1">
      <alignment horizontal="center" vertical="top"/>
    </xf>
    <xf numFmtId="0" fontId="5" fillId="0" borderId="18" xfId="6" applyNumberFormat="1" applyFont="1" applyFill="1" applyBorder="1" applyAlignment="1" applyProtection="1">
      <alignment horizontal="center" vertical="top"/>
    </xf>
    <xf numFmtId="170" fontId="5" fillId="0" borderId="15" xfId="4" applyNumberFormat="1" applyFont="1" applyFill="1" applyBorder="1" applyAlignment="1" applyProtection="1">
      <alignment horizontal="center" vertical="top"/>
    </xf>
    <xf numFmtId="0" fontId="0" fillId="0" borderId="15" xfId="0" applyFill="1" applyBorder="1"/>
    <xf numFmtId="0" fontId="5" fillId="0" borderId="21" xfId="6" applyFont="1" applyFill="1" applyBorder="1" applyAlignment="1" applyProtection="1">
      <alignment horizontal="center" vertical="top"/>
    </xf>
    <xf numFmtId="0" fontId="5" fillId="0" borderId="22" xfId="6" applyFont="1" applyFill="1" applyBorder="1" applyAlignment="1" applyProtection="1">
      <alignment horizontal="center" vertical="top"/>
    </xf>
    <xf numFmtId="0" fontId="20" fillId="0" borderId="20" xfId="6" applyNumberFormat="1" applyFont="1" applyFill="1" applyBorder="1" applyAlignment="1" applyProtection="1">
      <alignment horizontal="center" vertical="top"/>
    </xf>
    <xf numFmtId="0" fontId="20" fillId="0" borderId="21" xfId="6" applyNumberFormat="1" applyFont="1" applyFill="1" applyBorder="1" applyAlignment="1" applyProtection="1">
      <alignment horizontal="center" vertical="top"/>
    </xf>
    <xf numFmtId="0" fontId="20" fillId="0" borderId="22" xfId="6" applyNumberFormat="1" applyFont="1" applyFill="1" applyBorder="1" applyAlignment="1" applyProtection="1">
      <alignment horizontal="center" vertical="top"/>
    </xf>
    <xf numFmtId="0" fontId="22" fillId="0" borderId="19" xfId="5" applyFont="1" applyFill="1" applyBorder="1" applyAlignment="1">
      <alignment horizontal="center"/>
    </xf>
    <xf numFmtId="0" fontId="22" fillId="0" borderId="14" xfId="5" applyFont="1" applyFill="1" applyBorder="1" applyAlignment="1">
      <alignment horizontal="center"/>
    </xf>
    <xf numFmtId="0" fontId="22" fillId="0" borderId="14" xfId="5" applyFont="1" applyFill="1" applyBorder="1"/>
    <xf numFmtId="0" fontId="22" fillId="0" borderId="12" xfId="5" applyFont="1" applyFill="1" applyBorder="1"/>
    <xf numFmtId="0" fontId="5" fillId="0" borderId="17" xfId="6" applyNumberFormat="1" applyFont="1" applyFill="1" applyBorder="1" applyAlignment="1" applyProtection="1">
      <alignment horizontal="center" vertical="top"/>
    </xf>
    <xf numFmtId="0" fontId="5" fillId="0" borderId="13" xfId="6" applyNumberFormat="1" applyFont="1" applyFill="1" applyBorder="1" applyAlignment="1" applyProtection="1">
      <alignment horizontal="center" vertical="top"/>
    </xf>
    <xf numFmtId="0" fontId="0" fillId="0" borderId="0" xfId="0" applyFill="1"/>
    <xf numFmtId="0" fontId="5" fillId="0" borderId="23" xfId="6" applyFont="1" applyFill="1" applyBorder="1" applyAlignment="1" applyProtection="1">
      <alignment horizontal="center" vertical="top"/>
    </xf>
    <xf numFmtId="0" fontId="5" fillId="0" borderId="24" xfId="6" applyNumberFormat="1" applyFont="1" applyFill="1" applyBorder="1" applyAlignment="1" applyProtection="1">
      <alignment horizontal="center" vertical="top"/>
    </xf>
    <xf numFmtId="0" fontId="5" fillId="0" borderId="25" xfId="6" applyNumberFormat="1" applyFont="1" applyFill="1" applyBorder="1" applyAlignment="1" applyProtection="1">
      <alignment horizontal="center" vertical="top"/>
    </xf>
    <xf numFmtId="0" fontId="8" fillId="0" borderId="0" xfId="0" applyFont="1" applyAlignment="1">
      <alignment wrapText="1"/>
    </xf>
    <xf numFmtId="0" fontId="8" fillId="0" borderId="0" xfId="0" applyFont="1" applyAlignment="1">
      <alignment horizontal="center" vertical="center" wrapText="1"/>
    </xf>
    <xf numFmtId="0" fontId="23" fillId="2" borderId="53" xfId="0" applyFont="1" applyFill="1" applyBorder="1" applyAlignment="1">
      <alignment horizontal="left" vertical="center" wrapText="1"/>
    </xf>
    <xf numFmtId="174" fontId="13" fillId="2" borderId="53" xfId="4" applyNumberFormat="1" applyFont="1" applyFill="1" applyBorder="1" applyAlignment="1">
      <alignment horizontal="center" vertical="center"/>
    </xf>
    <xf numFmtId="174" fontId="26" fillId="2" borderId="53" xfId="4" applyNumberFormat="1" applyFont="1" applyFill="1" applyBorder="1" applyAlignment="1" applyProtection="1">
      <alignment horizontal="center" vertical="top"/>
    </xf>
    <xf numFmtId="4" fontId="56" fillId="16" borderId="53" xfId="0" applyNumberFormat="1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 vertical="center" wrapText="1"/>
    </xf>
    <xf numFmtId="0" fontId="1" fillId="19" borderId="5" xfId="0" applyFont="1" applyFill="1" applyBorder="1" applyAlignment="1">
      <alignment horizontal="center" vertical="center" wrapText="1"/>
    </xf>
    <xf numFmtId="0" fontId="34" fillId="12" borderId="0" xfId="0" applyFont="1" applyFill="1" applyAlignment="1">
      <alignment horizontal="center" vertical="center"/>
    </xf>
    <xf numFmtId="0" fontId="33" fillId="16" borderId="50" xfId="0" applyFont="1" applyFill="1" applyBorder="1" applyAlignment="1">
      <alignment horizontal="center" vertical="center" wrapText="1"/>
    </xf>
    <xf numFmtId="168" fontId="36" fillId="17" borderId="50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168" fontId="36" fillId="17" borderId="50" xfId="0" applyNumberFormat="1" applyFont="1" applyFill="1" applyBorder="1" applyAlignment="1">
      <alignment vertical="center" wrapText="1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47" fillId="17" borderId="40" xfId="0" applyFont="1" applyFill="1" applyBorder="1" applyAlignment="1">
      <alignment horizontal="center" vertical="center"/>
    </xf>
    <xf numFmtId="0" fontId="44" fillId="17" borderId="40" xfId="0" applyFont="1" applyFill="1" applyBorder="1" applyAlignment="1">
      <alignment horizontal="center" vertical="center" wrapText="1"/>
    </xf>
    <xf numFmtId="4" fontId="42" fillId="10" borderId="3" xfId="0" applyNumberFormat="1" applyFont="1" applyFill="1" applyBorder="1" applyAlignment="1">
      <alignment horizontal="center" vertical="center"/>
    </xf>
    <xf numFmtId="0" fontId="42" fillId="10" borderId="4" xfId="0" applyFont="1" applyFill="1" applyBorder="1" applyAlignment="1">
      <alignment horizontal="center" vertical="center"/>
    </xf>
    <xf numFmtId="0" fontId="42" fillId="10" borderId="5" xfId="0" applyFont="1" applyFill="1" applyBorder="1" applyAlignment="1">
      <alignment horizontal="center" vertic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42" fillId="2" borderId="0" xfId="0" applyFont="1" applyFill="1" applyBorder="1" applyAlignment="1">
      <alignment horizontal="left" vertical="center" wrapText="1"/>
    </xf>
    <xf numFmtId="0" fontId="52" fillId="2" borderId="0" xfId="0" applyFont="1" applyFill="1" applyAlignment="1">
      <alignment horizontal="left" vertical="center"/>
    </xf>
    <xf numFmtId="0" fontId="6" fillId="2" borderId="0" xfId="0" applyFont="1" applyFill="1" applyBorder="1" applyAlignment="1">
      <alignment horizontal="center" vertical="center"/>
    </xf>
    <xf numFmtId="0" fontId="48" fillId="16" borderId="15" xfId="0" applyFont="1" applyFill="1" applyBorder="1" applyAlignment="1">
      <alignment horizontal="center" vertical="center" wrapText="1"/>
    </xf>
    <xf numFmtId="0" fontId="48" fillId="16" borderId="14" xfId="0" applyFont="1" applyFill="1" applyBorder="1" applyAlignment="1">
      <alignment horizontal="center" vertical="center" wrapText="1"/>
    </xf>
    <xf numFmtId="0" fontId="48" fillId="16" borderId="50" xfId="0" applyFont="1" applyFill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4" fontId="42" fillId="19" borderId="3" xfId="0" applyNumberFormat="1" applyFont="1" applyFill="1" applyBorder="1" applyAlignment="1">
      <alignment horizontal="center" vertical="center"/>
    </xf>
    <xf numFmtId="0" fontId="42" fillId="19" borderId="5" xfId="0" applyFont="1" applyFill="1" applyBorder="1" applyAlignment="1">
      <alignment horizontal="center" vertical="center"/>
    </xf>
    <xf numFmtId="0" fontId="41" fillId="2" borderId="7" xfId="0" applyFont="1" applyFill="1" applyBorder="1" applyAlignment="1">
      <alignment horizontal="left" vertical="center" wrapText="1"/>
    </xf>
    <xf numFmtId="0" fontId="43" fillId="17" borderId="40" xfId="0" applyNumberFormat="1" applyFont="1" applyFill="1" applyBorder="1" applyAlignment="1">
      <alignment horizontal="center" vertical="center"/>
    </xf>
    <xf numFmtId="0" fontId="43" fillId="17" borderId="41" xfId="0" applyNumberFormat="1" applyFont="1" applyFill="1" applyBorder="1" applyAlignment="1">
      <alignment horizontal="center" vertical="center"/>
    </xf>
    <xf numFmtId="0" fontId="53" fillId="17" borderId="40" xfId="8" applyFont="1" applyFill="1" applyBorder="1" applyAlignment="1">
      <alignment horizontal="center" vertical="center"/>
    </xf>
    <xf numFmtId="0" fontId="53" fillId="17" borderId="41" xfId="8" applyFont="1" applyFill="1" applyBorder="1" applyAlignment="1">
      <alignment horizontal="center" vertical="center"/>
    </xf>
    <xf numFmtId="14" fontId="43" fillId="17" borderId="40" xfId="0" applyNumberFormat="1" applyFont="1" applyFill="1" applyBorder="1" applyAlignment="1">
      <alignment horizontal="center" vertical="center"/>
    </xf>
    <xf numFmtId="14" fontId="43" fillId="17" borderId="41" xfId="0" applyNumberFormat="1" applyFont="1" applyFill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 wrapText="1"/>
    </xf>
    <xf numFmtId="0" fontId="40" fillId="16" borderId="40" xfId="0" applyFont="1" applyFill="1" applyBorder="1" applyAlignment="1">
      <alignment horizontal="center" vertical="center" wrapText="1"/>
    </xf>
    <xf numFmtId="14" fontId="47" fillId="17" borderId="40" xfId="0" applyNumberFormat="1" applyFont="1" applyFill="1" applyBorder="1" applyAlignment="1">
      <alignment horizontal="center" vertical="center"/>
    </xf>
    <xf numFmtId="14" fontId="47" fillId="17" borderId="41" xfId="0" applyNumberFormat="1" applyFont="1" applyFill="1" applyBorder="1" applyAlignment="1">
      <alignment horizontal="center" vertical="center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40" fillId="16" borderId="33" xfId="0" applyFont="1" applyFill="1" applyBorder="1" applyAlignment="1">
      <alignment horizontal="center"/>
    </xf>
    <xf numFmtId="0" fontId="40" fillId="16" borderId="34" xfId="0" applyFont="1" applyFill="1" applyBorder="1" applyAlignment="1">
      <alignment horizontal="center"/>
    </xf>
    <xf numFmtId="4" fontId="40" fillId="16" borderId="2" xfId="0" applyNumberFormat="1" applyFont="1" applyFill="1" applyBorder="1" applyAlignment="1">
      <alignment horizontal="center" vertical="center"/>
    </xf>
    <xf numFmtId="4" fontId="40" fillId="16" borderId="36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40" fillId="16" borderId="50" xfId="0" applyFont="1" applyFill="1" applyBorder="1" applyAlignment="1">
      <alignment horizontal="center" vertical="center" wrapText="1"/>
    </xf>
    <xf numFmtId="41" fontId="50" fillId="17" borderId="50" xfId="0" applyNumberFormat="1" applyFont="1" applyFill="1" applyBorder="1" applyAlignment="1">
      <alignment horizontal="center" vertical="center" wrapText="1"/>
    </xf>
    <xf numFmtId="166" fontId="6" fillId="0" borderId="0" xfId="0" applyNumberFormat="1" applyFont="1" applyBorder="1" applyAlignment="1">
      <alignment horizontal="center" vertical="center"/>
    </xf>
    <xf numFmtId="4" fontId="40" fillId="16" borderId="2" xfId="1" applyNumberFormat="1" applyFont="1" applyFill="1" applyBorder="1" applyAlignment="1">
      <alignment horizontal="center" vertical="center"/>
    </xf>
    <xf numFmtId="4" fontId="40" fillId="16" borderId="36" xfId="1" applyNumberFormat="1" applyFont="1" applyFill="1" applyBorder="1" applyAlignment="1">
      <alignment horizontal="center" vertical="center"/>
    </xf>
    <xf numFmtId="0" fontId="38" fillId="0" borderId="50" xfId="0" applyFont="1" applyBorder="1" applyAlignment="1">
      <alignment horizontal="center" vertical="center"/>
    </xf>
    <xf numFmtId="0" fontId="42" fillId="3" borderId="51" xfId="0" applyFont="1" applyFill="1" applyBorder="1" applyAlignment="1">
      <alignment horizontal="center"/>
    </xf>
    <xf numFmtId="0" fontId="42" fillId="3" borderId="52" xfId="0" applyFont="1" applyFill="1" applyBorder="1" applyAlignment="1">
      <alignment horizontal="center"/>
    </xf>
    <xf numFmtId="0" fontId="42" fillId="16" borderId="11" xfId="0" applyFont="1" applyFill="1" applyBorder="1" applyAlignment="1">
      <alignment horizontal="center" vertical="center"/>
    </xf>
    <xf numFmtId="0" fontId="42" fillId="16" borderId="12" xfId="0" applyFont="1" applyFill="1" applyBorder="1" applyAlignment="1">
      <alignment horizontal="center" vertical="center"/>
    </xf>
    <xf numFmtId="0" fontId="42" fillId="16" borderId="8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/>
    </xf>
    <xf numFmtId="0" fontId="40" fillId="16" borderId="49" xfId="0" applyFont="1" applyFill="1" applyBorder="1" applyAlignment="1">
      <alignment horizontal="center" vertical="center"/>
    </xf>
    <xf numFmtId="0" fontId="40" fillId="16" borderId="48" xfId="0" applyFont="1" applyFill="1" applyBorder="1" applyAlignment="1">
      <alignment horizontal="center" vertical="center" wrapText="1"/>
    </xf>
    <xf numFmtId="0" fontId="40" fillId="16" borderId="49" xfId="0" applyFont="1" applyFill="1" applyBorder="1" applyAlignment="1">
      <alignment horizontal="center" vertical="center" wrapText="1"/>
    </xf>
    <xf numFmtId="0" fontId="6" fillId="0" borderId="50" xfId="0" applyFont="1" applyFill="1" applyBorder="1" applyAlignment="1">
      <alignment horizontal="center" vertical="center" wrapText="1"/>
    </xf>
    <xf numFmtId="41" fontId="36" fillId="17" borderId="50" xfId="0" applyNumberFormat="1" applyFont="1" applyFill="1" applyBorder="1" applyAlignment="1">
      <alignment vertical="center" wrapText="1"/>
    </xf>
    <xf numFmtId="0" fontId="45" fillId="2" borderId="0" xfId="0" applyFont="1" applyFill="1" applyAlignment="1">
      <alignment horizontal="center" vertical="center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 wrapText="1"/>
    </xf>
    <xf numFmtId="4" fontId="6" fillId="16" borderId="50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55" fillId="0" borderId="0" xfId="8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center" wrapText="1"/>
    </xf>
    <xf numFmtId="0" fontId="24" fillId="0" borderId="0" xfId="0" applyFont="1"/>
    <xf numFmtId="0" fontId="8" fillId="0" borderId="0" xfId="0" applyFont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172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 vertical="center"/>
    </xf>
    <xf numFmtId="0" fontId="24" fillId="0" borderId="0" xfId="0" applyFont="1" applyAlignment="1">
      <alignment horizontal="center" wrapText="1"/>
    </xf>
    <xf numFmtId="0" fontId="8" fillId="0" borderId="0" xfId="0" applyFont="1" applyFill="1" applyBorder="1"/>
    <xf numFmtId="0" fontId="20" fillId="20" borderId="3" xfId="6" applyNumberFormat="1" applyFont="1" applyFill="1" applyBorder="1" applyAlignment="1" applyProtection="1">
      <alignment horizontal="center" vertical="top"/>
    </xf>
    <xf numFmtId="0" fontId="20" fillId="20" borderId="4" xfId="6" applyNumberFormat="1" applyFont="1" applyFill="1" applyBorder="1" applyAlignment="1" applyProtection="1">
      <alignment horizontal="center" vertical="top"/>
    </xf>
    <xf numFmtId="0" fontId="20" fillId="20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5" fillId="20" borderId="3" xfId="6" applyFont="1" applyFill="1" applyBorder="1" applyAlignment="1" applyProtection="1">
      <alignment horizontal="center" vertical="top"/>
    </xf>
    <xf numFmtId="0" fontId="5" fillId="20" borderId="4" xfId="6" applyFont="1" applyFill="1" applyBorder="1" applyAlignment="1" applyProtection="1">
      <alignment horizontal="center" vertical="top"/>
    </xf>
    <xf numFmtId="0" fontId="5" fillId="20" borderId="5" xfId="6" applyFont="1" applyFill="1" applyBorder="1" applyAlignment="1" applyProtection="1">
      <alignment horizontal="center" vertical="top"/>
    </xf>
    <xf numFmtId="0" fontId="14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>
          <a:extLst>
            <a:ext uri="{FF2B5EF4-FFF2-40B4-BE49-F238E27FC236}">
              <a16:creationId xmlns=""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0</xdr:row>
          <xdr:rowOff>200025</xdr:rowOff>
        </xdr:from>
        <xdr:to>
          <xdr:col>8</xdr:col>
          <xdr:colOff>1247775</xdr:colOff>
          <xdr:row>2</xdr:row>
          <xdr:rowOff>190500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=""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261</xdr:row>
      <xdr:rowOff>136072</xdr:rowOff>
    </xdr:from>
    <xdr:to>
      <xdr:col>3</xdr:col>
      <xdr:colOff>408215</xdr:colOff>
      <xdr:row>261</xdr:row>
      <xdr:rowOff>272143</xdr:rowOff>
    </xdr:to>
    <xdr:sp macro="" textlink="">
      <xdr:nvSpPr>
        <xdr:cNvPr id="2" name="Flecha a la derecha con muesca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261</xdr:row>
      <xdr:rowOff>138794</xdr:rowOff>
    </xdr:from>
    <xdr:to>
      <xdr:col>3</xdr:col>
      <xdr:colOff>887187</xdr:colOff>
      <xdr:row>261</xdr:row>
      <xdr:rowOff>274865</xdr:rowOff>
    </xdr:to>
    <xdr:sp macro="" textlink="">
      <xdr:nvSpPr>
        <xdr:cNvPr id="5" name="Flecha a la derecha con muesca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261</xdr:row>
      <xdr:rowOff>155121</xdr:rowOff>
    </xdr:from>
    <xdr:to>
      <xdr:col>3</xdr:col>
      <xdr:colOff>1352551</xdr:colOff>
      <xdr:row>261</xdr:row>
      <xdr:rowOff>291192</xdr:rowOff>
    </xdr:to>
    <xdr:sp macro="" textlink="">
      <xdr:nvSpPr>
        <xdr:cNvPr id="6" name="Flecha a la derecha con muesca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152400</xdr:rowOff>
        </xdr:from>
        <xdr:to>
          <xdr:col>5</xdr:col>
          <xdr:colOff>371475</xdr:colOff>
          <xdr:row>3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ruporegional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O284"/>
  <sheetViews>
    <sheetView view="pageBreakPreview" zoomScale="70" zoomScaleNormal="70" zoomScaleSheetLayoutView="70" zoomScalePageLayoutView="85" workbookViewId="0">
      <pane ySplit="4" topLeftCell="A5" activePane="bottomLeft" state="frozen"/>
      <selection pane="bottomLeft" activeCell="E30" sqref="E30"/>
    </sheetView>
  </sheetViews>
  <sheetFormatPr baseColWidth="10" defaultRowHeight="15.75" x14ac:dyDescent="0.25"/>
  <cols>
    <col min="1" max="1" width="11.42578125" style="61"/>
    <col min="2" max="2" width="66.42578125" style="55" customWidth="1"/>
    <col min="3" max="3" width="29.42578125" style="55" customWidth="1"/>
    <col min="4" max="4" width="24.7109375" style="55" customWidth="1"/>
    <col min="5" max="5" width="24.140625" style="55" customWidth="1"/>
    <col min="6" max="6" width="22.5703125" style="277" hidden="1" customWidth="1"/>
    <col min="7" max="7" width="31.42578125" style="55" customWidth="1"/>
    <col min="8" max="8" width="25.5703125" style="55" customWidth="1"/>
    <col min="9" max="9" width="23.5703125" style="55" customWidth="1"/>
    <col min="10" max="11" width="22.5703125" style="55" customWidth="1"/>
    <col min="12" max="12" width="22.5703125" style="219" customWidth="1"/>
    <col min="13" max="14" width="22.5703125" style="55" customWidth="1"/>
    <col min="15" max="15" width="26.85546875" style="55" customWidth="1"/>
    <col min="16" max="16384" width="11.42578125" style="55"/>
  </cols>
  <sheetData>
    <row r="1" spans="1:15" ht="24.95" customHeight="1" thickBot="1" x14ac:dyDescent="0.3">
      <c r="A1" s="118"/>
      <c r="B1" s="218"/>
      <c r="C1" s="218"/>
      <c r="D1" s="218"/>
      <c r="E1" s="218"/>
      <c r="F1" s="218"/>
      <c r="G1" s="218"/>
      <c r="H1" s="218"/>
      <c r="I1" s="218"/>
      <c r="J1" s="218"/>
      <c r="K1" s="218"/>
      <c r="M1" s="220"/>
      <c r="N1" s="220"/>
      <c r="O1" s="220"/>
    </row>
    <row r="2" spans="1:15" ht="31.5" customHeight="1" thickBot="1" x14ac:dyDescent="0.3">
      <c r="A2" s="118"/>
      <c r="B2" s="408" t="s">
        <v>1533</v>
      </c>
      <c r="C2" s="410">
        <f>+C272</f>
        <v>336.48580389464786</v>
      </c>
      <c r="D2" s="411"/>
      <c r="E2" s="396">
        <f>+I272</f>
        <v>336.48580389464786</v>
      </c>
      <c r="F2" s="397"/>
      <c r="G2" s="398"/>
      <c r="H2" s="320">
        <f>E2-C2</f>
        <v>0</v>
      </c>
      <c r="I2" s="218"/>
      <c r="J2" s="218"/>
      <c r="K2" s="218"/>
      <c r="M2" s="220"/>
      <c r="N2" s="220"/>
      <c r="O2" s="220"/>
    </row>
    <row r="3" spans="1:15" ht="29.25" customHeight="1" thickBot="1" x14ac:dyDescent="0.3">
      <c r="A3" s="118"/>
      <c r="B3" s="409"/>
      <c r="C3" s="383" t="s">
        <v>1565</v>
      </c>
      <c r="D3" s="384"/>
      <c r="E3" s="391" t="s">
        <v>1564</v>
      </c>
      <c r="F3" s="392"/>
      <c r="G3" s="393"/>
      <c r="H3" s="117" t="s">
        <v>1534</v>
      </c>
      <c r="I3" s="218"/>
      <c r="J3" s="218"/>
      <c r="K3" s="218"/>
      <c r="M3" s="220"/>
      <c r="N3" s="220"/>
      <c r="O3" s="220"/>
    </row>
    <row r="4" spans="1:15" ht="24.95" customHeight="1" x14ac:dyDescent="0.25">
      <c r="A4" s="118"/>
      <c r="B4" s="218"/>
      <c r="C4" s="218"/>
      <c r="D4" s="218"/>
      <c r="E4" s="218"/>
      <c r="F4" s="218"/>
      <c r="G4" s="218"/>
      <c r="H4" s="218"/>
      <c r="I4" s="218"/>
      <c r="J4" s="218"/>
      <c r="K4" s="218"/>
      <c r="M4" s="220"/>
      <c r="N4" s="220"/>
      <c r="O4" s="220"/>
    </row>
    <row r="5" spans="1:15" ht="24.95" customHeight="1" x14ac:dyDescent="0.25">
      <c r="A5" s="119"/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</row>
    <row r="6" spans="1:15" ht="26.25" x14ac:dyDescent="0.25">
      <c r="A6" s="119"/>
      <c r="B6" s="447" t="s">
        <v>1544</v>
      </c>
      <c r="C6" s="447"/>
      <c r="D6" s="447"/>
      <c r="E6" s="447"/>
      <c r="F6" s="447"/>
      <c r="G6" s="447"/>
      <c r="H6" s="447"/>
      <c r="I6" s="447"/>
      <c r="J6" s="334"/>
      <c r="K6" s="334"/>
      <c r="L6" s="334"/>
      <c r="M6" s="220"/>
      <c r="N6" s="220"/>
      <c r="O6" s="220"/>
    </row>
    <row r="7" spans="1:15" ht="26.25" x14ac:dyDescent="0.25">
      <c r="A7" s="119"/>
      <c r="B7" s="447" t="s">
        <v>1391</v>
      </c>
      <c r="C7" s="447"/>
      <c r="D7" s="447"/>
      <c r="E7" s="447"/>
      <c r="F7" s="447"/>
      <c r="G7" s="447"/>
      <c r="H7" s="447"/>
      <c r="I7" s="447"/>
      <c r="J7" s="334"/>
      <c r="K7" s="334"/>
      <c r="L7" s="334"/>
      <c r="M7" s="220"/>
      <c r="N7" s="220"/>
      <c r="O7" s="220"/>
    </row>
    <row r="8" spans="1:15" ht="28.5" x14ac:dyDescent="0.25">
      <c r="A8" s="119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220"/>
      <c r="N8" s="220"/>
      <c r="O8" s="220"/>
    </row>
    <row r="9" spans="1:15" s="68" customFormat="1" ht="30" customHeight="1" x14ac:dyDescent="0.25">
      <c r="A9" s="323" t="s">
        <v>1557</v>
      </c>
      <c r="B9" s="278" t="s">
        <v>0</v>
      </c>
      <c r="C9" s="413" t="s">
        <v>1573</v>
      </c>
      <c r="D9" s="414"/>
      <c r="E9" s="325" t="s">
        <v>1558</v>
      </c>
      <c r="F9" s="279"/>
      <c r="G9" s="335" t="s">
        <v>1425</v>
      </c>
      <c r="H9" s="394"/>
      <c r="I9" s="394"/>
      <c r="J9" s="123"/>
      <c r="K9" s="337"/>
      <c r="L9" s="221"/>
      <c r="M9" s="123"/>
      <c r="O9" s="123"/>
    </row>
    <row r="10" spans="1:15" s="68" customFormat="1" ht="21" x14ac:dyDescent="0.35">
      <c r="A10" s="323"/>
      <c r="B10" s="280"/>
      <c r="C10" s="280"/>
      <c r="D10" s="280"/>
      <c r="E10" s="326"/>
      <c r="F10" s="280"/>
      <c r="G10" s="303"/>
      <c r="H10" s="303"/>
      <c r="I10" s="123"/>
      <c r="J10" s="123"/>
      <c r="K10" s="338"/>
      <c r="L10" s="222"/>
      <c r="M10" s="123"/>
      <c r="O10" s="123"/>
    </row>
    <row r="11" spans="1:15" s="68" customFormat="1" ht="45" customHeight="1" x14ac:dyDescent="0.25">
      <c r="A11" s="323" t="s">
        <v>1560</v>
      </c>
      <c r="B11" s="281" t="s">
        <v>1495</v>
      </c>
      <c r="C11" s="415"/>
      <c r="D11" s="416"/>
      <c r="E11" s="327" t="s">
        <v>1559</v>
      </c>
      <c r="F11" s="282"/>
      <c r="G11" s="335" t="s">
        <v>1497</v>
      </c>
      <c r="H11" s="395" t="s">
        <v>1578</v>
      </c>
      <c r="I11" s="395"/>
      <c r="J11" s="123"/>
      <c r="K11" s="337"/>
      <c r="L11" s="224"/>
      <c r="M11" s="123"/>
      <c r="O11" s="123"/>
    </row>
    <row r="12" spans="1:15" s="68" customFormat="1" ht="21" x14ac:dyDescent="0.35">
      <c r="A12" s="323"/>
      <c r="B12" s="280"/>
      <c r="C12" s="280"/>
      <c r="D12" s="280"/>
      <c r="E12" s="328"/>
      <c r="F12" s="280"/>
      <c r="G12" s="303"/>
      <c r="H12" s="303"/>
      <c r="I12" s="123"/>
      <c r="J12" s="123"/>
      <c r="K12" s="338"/>
      <c r="L12" s="222"/>
      <c r="M12" s="123"/>
      <c r="O12" s="123"/>
    </row>
    <row r="13" spans="1:15" s="68" customFormat="1" ht="37.5" customHeight="1" x14ac:dyDescent="0.25">
      <c r="A13" s="323" t="s">
        <v>1561</v>
      </c>
      <c r="B13" s="281" t="s">
        <v>1498</v>
      </c>
      <c r="C13" s="417">
        <v>43497</v>
      </c>
      <c r="D13" s="418"/>
      <c r="E13" s="323" t="s">
        <v>1562</v>
      </c>
      <c r="F13" s="283"/>
      <c r="G13" s="336" t="s">
        <v>1499</v>
      </c>
      <c r="H13" s="417">
        <v>43500</v>
      </c>
      <c r="I13" s="417"/>
      <c r="J13" s="123"/>
      <c r="K13" s="337"/>
      <c r="L13" s="225"/>
      <c r="M13" s="123"/>
      <c r="O13" s="123"/>
    </row>
    <row r="14" spans="1:15" s="70" customFormat="1" ht="19.5" customHeight="1" x14ac:dyDescent="0.35">
      <c r="A14" s="323"/>
      <c r="B14" s="284"/>
      <c r="C14" s="285" t="s">
        <v>1363</v>
      </c>
      <c r="D14" s="286"/>
      <c r="E14" s="329"/>
      <c r="F14" s="287"/>
      <c r="G14" s="303"/>
      <c r="H14" s="303"/>
      <c r="I14" s="123"/>
      <c r="J14" s="123"/>
      <c r="K14" s="135"/>
      <c r="L14" s="73"/>
      <c r="M14" s="123"/>
      <c r="O14" s="123"/>
    </row>
    <row r="15" spans="1:15" s="70" customFormat="1" ht="48" customHeight="1" x14ac:dyDescent="0.35">
      <c r="A15" s="323" t="s">
        <v>1563</v>
      </c>
      <c r="B15" s="281" t="s">
        <v>1530</v>
      </c>
      <c r="C15" s="288">
        <v>30</v>
      </c>
      <c r="D15" s="289"/>
      <c r="E15" s="330" t="s">
        <v>1528</v>
      </c>
      <c r="F15" s="287"/>
      <c r="G15" s="336" t="s">
        <v>1496</v>
      </c>
      <c r="H15" s="421" t="s">
        <v>1529</v>
      </c>
      <c r="I15" s="421"/>
      <c r="J15" s="123"/>
      <c r="L15" s="226"/>
      <c r="M15" s="123"/>
      <c r="N15" s="123"/>
      <c r="O15" s="123"/>
    </row>
    <row r="16" spans="1:15" s="68" customFormat="1" ht="15.75" customHeight="1" x14ac:dyDescent="0.25">
      <c r="A16" s="323"/>
      <c r="B16" s="223"/>
      <c r="C16" s="141"/>
      <c r="D16" s="141"/>
      <c r="E16" s="331"/>
      <c r="F16" s="141"/>
      <c r="G16" s="123"/>
      <c r="H16" s="123"/>
      <c r="I16" s="227"/>
      <c r="J16" s="123"/>
      <c r="K16" s="123"/>
      <c r="L16" s="71"/>
      <c r="M16" s="123"/>
      <c r="N16" s="123"/>
      <c r="O16" s="123"/>
    </row>
    <row r="17" spans="1:15" s="68" customFormat="1" ht="37.5" customHeight="1" x14ac:dyDescent="0.25">
      <c r="A17" s="324" t="s">
        <v>1552</v>
      </c>
      <c r="B17" s="321" t="s">
        <v>1553</v>
      </c>
      <c r="C17" s="288" t="s">
        <v>1554</v>
      </c>
      <c r="D17" s="322"/>
      <c r="E17" s="332" t="s">
        <v>1555</v>
      </c>
      <c r="F17" s="419" t="s">
        <v>1556</v>
      </c>
      <c r="G17" s="420"/>
      <c r="H17" s="421" t="s">
        <v>1566</v>
      </c>
      <c r="I17" s="422"/>
      <c r="J17" s="123"/>
      <c r="K17" s="123"/>
      <c r="L17" s="71"/>
      <c r="M17" s="123"/>
      <c r="N17" s="123"/>
      <c r="O17" s="123"/>
    </row>
    <row r="18" spans="1:15" s="68" customFormat="1" ht="37.5" customHeight="1" x14ac:dyDescent="0.25">
      <c r="A18" s="120"/>
      <c r="B18" s="223"/>
      <c r="C18" s="141"/>
      <c r="D18" s="141"/>
      <c r="E18" s="141"/>
      <c r="F18" s="141"/>
      <c r="G18" s="123"/>
      <c r="H18" s="123"/>
      <c r="I18" s="227"/>
      <c r="J18" s="123"/>
      <c r="K18" s="123"/>
      <c r="L18" s="71"/>
      <c r="M18" s="123"/>
      <c r="N18" s="123"/>
      <c r="O18" s="123"/>
    </row>
    <row r="19" spans="1:15" s="68" customFormat="1" ht="37.5" customHeight="1" x14ac:dyDescent="0.25">
      <c r="A19" s="333" t="s">
        <v>1500</v>
      </c>
      <c r="B19" s="217" t="s">
        <v>1501</v>
      </c>
      <c r="C19" s="129"/>
      <c r="D19" s="129"/>
      <c r="E19" s="129"/>
      <c r="F19" s="155"/>
      <c r="G19" s="155"/>
      <c r="H19" s="155"/>
      <c r="I19" s="227"/>
      <c r="J19" s="126"/>
      <c r="K19" s="126"/>
      <c r="L19" s="71"/>
      <c r="M19" s="123"/>
      <c r="N19" s="123"/>
      <c r="O19" s="123"/>
    </row>
    <row r="20" spans="1:15" s="68" customFormat="1" ht="37.5" customHeight="1" x14ac:dyDescent="0.25">
      <c r="A20" s="120"/>
      <c r="B20" s="290" t="s">
        <v>1503</v>
      </c>
      <c r="C20" s="292" t="s">
        <v>1505</v>
      </c>
      <c r="D20" s="293" t="s">
        <v>11</v>
      </c>
      <c r="E20" s="291" t="s">
        <v>1504</v>
      </c>
      <c r="F20" s="293"/>
      <c r="G20" s="294" t="s">
        <v>1506</v>
      </c>
      <c r="H20" s="180" t="s">
        <v>1507</v>
      </c>
      <c r="I20" s="227"/>
      <c r="K20" s="126"/>
      <c r="L20" s="71"/>
      <c r="M20" s="123"/>
      <c r="N20" s="123"/>
      <c r="O20" s="123"/>
    </row>
    <row r="21" spans="1:15" s="68" customFormat="1" ht="37.5" customHeight="1" x14ac:dyDescent="0.25">
      <c r="A21" s="120"/>
      <c r="B21" s="163" t="s">
        <v>1508</v>
      </c>
      <c r="C21" s="109" t="s">
        <v>33</v>
      </c>
      <c r="D21" s="108">
        <v>0</v>
      </c>
      <c r="E21" s="109">
        <v>1</v>
      </c>
      <c r="F21" s="111"/>
      <c r="G21" s="181">
        <f>IF(C21="HRS",Hoja2!C12,IF('HOJA D TRABAJO'!C21="DIAS",Hoja2!D12))</f>
        <v>26</v>
      </c>
      <c r="H21" s="182">
        <f>+G21*D21*E21</f>
        <v>0</v>
      </c>
      <c r="I21" s="227"/>
      <c r="K21" s="126"/>
      <c r="L21" s="71"/>
      <c r="M21" s="123"/>
      <c r="N21" s="123"/>
      <c r="O21" s="123"/>
    </row>
    <row r="22" spans="1:15" s="68" customFormat="1" ht="37.5" customHeight="1" x14ac:dyDescent="0.25">
      <c r="A22" s="120"/>
      <c r="B22" s="163" t="s">
        <v>1509</v>
      </c>
      <c r="C22" s="109" t="s">
        <v>33</v>
      </c>
      <c r="D22" s="108">
        <v>0</v>
      </c>
      <c r="E22" s="109">
        <v>1</v>
      </c>
      <c r="F22" s="111"/>
      <c r="G22" s="181">
        <f>IF(C22="HRS",Hoja2!C12,IF('HOJA D TRABAJO'!C22="DIAS",Hoja2!D12))</f>
        <v>26</v>
      </c>
      <c r="H22" s="182">
        <f>+G22*D22*E22</f>
        <v>0</v>
      </c>
      <c r="I22" s="227"/>
      <c r="K22" s="126"/>
      <c r="L22" s="71"/>
      <c r="M22" s="123"/>
      <c r="N22" s="123"/>
      <c r="O22" s="123"/>
    </row>
    <row r="23" spans="1:15" s="68" customFormat="1" ht="37.5" customHeight="1" x14ac:dyDescent="0.25">
      <c r="A23" s="120"/>
      <c r="B23" s="164" t="s">
        <v>10</v>
      </c>
      <c r="C23" s="165"/>
      <c r="D23" s="183">
        <f>SUM(D21:F22)</f>
        <v>2</v>
      </c>
      <c r="E23" s="165">
        <f>SUM(E21:E22)</f>
        <v>2</v>
      </c>
      <c r="F23" s="166"/>
      <c r="G23" s="162">
        <f>SUM(G21:G22)</f>
        <v>52</v>
      </c>
      <c r="H23" s="162">
        <f>SUM(H21:H22)</f>
        <v>0</v>
      </c>
      <c r="I23" s="227"/>
      <c r="K23" s="126"/>
      <c r="L23" s="71"/>
      <c r="M23" s="123"/>
      <c r="N23" s="123"/>
      <c r="O23" s="123"/>
    </row>
    <row r="24" spans="1:15" s="68" customFormat="1" ht="37.5" customHeight="1" x14ac:dyDescent="0.25">
      <c r="A24" s="120"/>
      <c r="B24" s="132"/>
      <c r="C24" s="155"/>
      <c r="D24" s="155"/>
      <c r="E24" s="155"/>
      <c r="F24" s="155"/>
      <c r="G24" s="155"/>
      <c r="H24" s="155"/>
      <c r="I24" s="227"/>
      <c r="J24" s="126"/>
      <c r="K24" s="126"/>
      <c r="L24" s="71"/>
      <c r="M24" s="123"/>
      <c r="N24" s="123"/>
      <c r="O24" s="123"/>
    </row>
    <row r="25" spans="1:15" s="68" customFormat="1" ht="37.5" customHeight="1" x14ac:dyDescent="0.25">
      <c r="A25" s="214">
        <v>3</v>
      </c>
      <c r="B25" s="401" t="s">
        <v>1417</v>
      </c>
      <c r="C25" s="401"/>
      <c r="D25" s="401"/>
      <c r="E25" s="401"/>
      <c r="F25" s="401"/>
      <c r="G25" s="401"/>
      <c r="H25" s="155"/>
      <c r="I25" s="228"/>
      <c r="J25" s="124"/>
      <c r="K25" s="126"/>
      <c r="L25" s="71"/>
      <c r="M25" s="123"/>
      <c r="N25" s="123"/>
      <c r="O25" s="123"/>
    </row>
    <row r="26" spans="1:15" s="68" customFormat="1" ht="37.5" customHeight="1" x14ac:dyDescent="0.25">
      <c r="A26" s="214" t="s">
        <v>1545</v>
      </c>
      <c r="B26" s="412" t="s">
        <v>1502</v>
      </c>
      <c r="C26" s="412"/>
      <c r="D26" s="412"/>
      <c r="E26" s="412"/>
      <c r="F26" s="412"/>
      <c r="G26" s="412"/>
      <c r="H26" s="155"/>
      <c r="I26" s="227"/>
      <c r="J26" s="126"/>
      <c r="K26" s="126"/>
      <c r="L26" s="71"/>
      <c r="M26" s="123"/>
      <c r="N26" s="123"/>
      <c r="O26" s="123"/>
    </row>
    <row r="27" spans="1:15" s="68" customFormat="1" ht="38.25" customHeight="1" x14ac:dyDescent="0.25">
      <c r="A27" s="120"/>
      <c r="B27" s="405" t="s">
        <v>1379</v>
      </c>
      <c r="C27" s="184" t="s">
        <v>1535</v>
      </c>
      <c r="D27" s="388" t="s">
        <v>1380</v>
      </c>
      <c r="E27" s="389"/>
      <c r="F27" s="229"/>
      <c r="G27" s="452" t="s">
        <v>1531</v>
      </c>
      <c r="H27" s="449"/>
      <c r="I27" s="131"/>
      <c r="J27" s="131"/>
      <c r="K27" s="131"/>
      <c r="L27" s="230"/>
      <c r="M27" s="123"/>
      <c r="N27" s="123"/>
      <c r="O27" s="123"/>
    </row>
    <row r="28" spans="1:15" s="68" customFormat="1" ht="53.25" customHeight="1" x14ac:dyDescent="0.25">
      <c r="A28" s="120"/>
      <c r="B28" s="406"/>
      <c r="C28" s="160" t="s">
        <v>1420</v>
      </c>
      <c r="D28" s="160" t="s">
        <v>1399</v>
      </c>
      <c r="E28" s="160" t="s">
        <v>1400</v>
      </c>
      <c r="F28" s="231"/>
      <c r="G28" s="176" t="s">
        <v>1536</v>
      </c>
      <c r="H28" s="176" t="s">
        <v>1537</v>
      </c>
      <c r="I28" s="131"/>
      <c r="J28" s="131"/>
      <c r="K28" s="131"/>
      <c r="L28" s="110"/>
      <c r="M28" s="123"/>
      <c r="N28" s="123"/>
      <c r="O28" s="123"/>
    </row>
    <row r="29" spans="1:15" s="68" customFormat="1" ht="38.25" customHeight="1" x14ac:dyDescent="0.25">
      <c r="A29" s="232">
        <v>1</v>
      </c>
      <c r="B29" s="233" t="s">
        <v>1579</v>
      </c>
      <c r="C29" s="234">
        <v>1</v>
      </c>
      <c r="D29" s="235">
        <v>2</v>
      </c>
      <c r="E29" s="236">
        <v>70</v>
      </c>
      <c r="F29" s="237">
        <f t="shared" ref="F29:F40" si="0">G29/$E$184</f>
        <v>0.5</v>
      </c>
      <c r="G29" s="176">
        <f>+'HOJA 1 AUX'!G10</f>
        <v>82.84023668639054</v>
      </c>
      <c r="H29" s="176">
        <f t="shared" ref="H29:H40" si="1">+(C29*D29)*G29</f>
        <v>165.68047337278108</v>
      </c>
      <c r="I29" s="131"/>
      <c r="J29" s="131"/>
      <c r="K29" s="131"/>
      <c r="L29" s="110"/>
      <c r="M29" s="123"/>
      <c r="N29" s="123"/>
      <c r="O29" s="123"/>
    </row>
    <row r="30" spans="1:15" s="68" customFormat="1" ht="38.25" customHeight="1" x14ac:dyDescent="0.25">
      <c r="A30" s="232">
        <v>2</v>
      </c>
      <c r="B30" s="233"/>
      <c r="C30" s="234"/>
      <c r="D30" s="235"/>
      <c r="E30" s="236"/>
      <c r="F30" s="237">
        <f t="shared" si="0"/>
        <v>0</v>
      </c>
      <c r="G30" s="176">
        <f>+'HOJA 1 AUX'!O10</f>
        <v>0</v>
      </c>
      <c r="H30" s="176">
        <f t="shared" si="1"/>
        <v>0</v>
      </c>
      <c r="I30" s="131"/>
      <c r="J30" s="131"/>
      <c r="K30" s="131"/>
      <c r="L30" s="110"/>
      <c r="M30" s="123"/>
      <c r="N30" s="123"/>
      <c r="O30" s="123"/>
    </row>
    <row r="31" spans="1:15" s="68" customFormat="1" ht="38.25" customHeight="1" x14ac:dyDescent="0.25">
      <c r="A31" s="232">
        <v>3</v>
      </c>
      <c r="B31" s="233"/>
      <c r="C31" s="234"/>
      <c r="D31" s="235"/>
      <c r="E31" s="236"/>
      <c r="F31" s="237">
        <f t="shared" si="0"/>
        <v>0</v>
      </c>
      <c r="G31" s="176">
        <f>+'HOJA 1 AUX'!G28</f>
        <v>0</v>
      </c>
      <c r="H31" s="176">
        <f t="shared" si="1"/>
        <v>0</v>
      </c>
      <c r="I31" s="131"/>
      <c r="J31" s="131"/>
      <c r="K31" s="131"/>
      <c r="L31" s="110"/>
      <c r="M31" s="123"/>
      <c r="N31" s="123"/>
      <c r="O31" s="123"/>
    </row>
    <row r="32" spans="1:15" s="68" customFormat="1" ht="38.25" customHeight="1" x14ac:dyDescent="0.25">
      <c r="A32" s="232">
        <v>4</v>
      </c>
      <c r="B32" s="233"/>
      <c r="C32" s="234"/>
      <c r="D32" s="235"/>
      <c r="E32" s="236"/>
      <c r="F32" s="237">
        <f t="shared" si="0"/>
        <v>0</v>
      </c>
      <c r="G32" s="176">
        <f>++'HOJA 1 AUX'!O28</f>
        <v>0</v>
      </c>
      <c r="H32" s="176">
        <f t="shared" si="1"/>
        <v>0</v>
      </c>
      <c r="I32" s="131"/>
      <c r="J32" s="131"/>
      <c r="K32" s="131"/>
      <c r="L32" s="110"/>
      <c r="M32" s="123"/>
      <c r="N32" s="123"/>
      <c r="O32" s="123"/>
    </row>
    <row r="33" spans="1:15" s="68" customFormat="1" ht="38.25" customHeight="1" x14ac:dyDescent="0.25">
      <c r="A33" s="232">
        <v>5</v>
      </c>
      <c r="B33" s="233"/>
      <c r="C33" s="234"/>
      <c r="D33" s="235"/>
      <c r="E33" s="236"/>
      <c r="F33" s="237">
        <f t="shared" si="0"/>
        <v>0</v>
      </c>
      <c r="G33" s="176">
        <f>++'HOJA 1 AUX'!G48</f>
        <v>0</v>
      </c>
      <c r="H33" s="176">
        <f t="shared" si="1"/>
        <v>0</v>
      </c>
      <c r="I33" s="131"/>
      <c r="J33" s="131"/>
      <c r="K33" s="131"/>
      <c r="L33" s="110"/>
      <c r="M33" s="123"/>
      <c r="N33" s="123"/>
      <c r="O33" s="123"/>
    </row>
    <row r="34" spans="1:15" s="68" customFormat="1" ht="38.25" customHeight="1" x14ac:dyDescent="0.25">
      <c r="A34" s="232">
        <v>6</v>
      </c>
      <c r="B34" s="233"/>
      <c r="C34" s="234"/>
      <c r="D34" s="235"/>
      <c r="E34" s="236"/>
      <c r="F34" s="237">
        <f t="shared" si="0"/>
        <v>0</v>
      </c>
      <c r="G34" s="176">
        <f>+'HOJA 1 AUX'!O48</f>
        <v>0</v>
      </c>
      <c r="H34" s="176">
        <f t="shared" si="1"/>
        <v>0</v>
      </c>
      <c r="I34" s="131"/>
      <c r="J34" s="131"/>
      <c r="K34" s="131"/>
      <c r="L34" s="110"/>
      <c r="M34" s="123"/>
      <c r="N34" s="123"/>
      <c r="O34" s="123"/>
    </row>
    <row r="35" spans="1:15" s="68" customFormat="1" ht="38.25" customHeight="1" x14ac:dyDescent="0.25">
      <c r="A35" s="232">
        <v>7</v>
      </c>
      <c r="B35" s="233"/>
      <c r="C35" s="234"/>
      <c r="D35" s="235"/>
      <c r="E35" s="236"/>
      <c r="F35" s="237">
        <f t="shared" si="0"/>
        <v>0</v>
      </c>
      <c r="G35" s="176">
        <f>+'HOJA 1 AUX'!G67</f>
        <v>0</v>
      </c>
      <c r="H35" s="176">
        <f t="shared" si="1"/>
        <v>0</v>
      </c>
      <c r="I35" s="131"/>
      <c r="J35" s="131"/>
      <c r="K35" s="131"/>
      <c r="L35" s="110"/>
      <c r="M35" s="123"/>
      <c r="N35" s="123"/>
      <c r="O35" s="123"/>
    </row>
    <row r="36" spans="1:15" s="68" customFormat="1" ht="38.25" customHeight="1" x14ac:dyDescent="0.25">
      <c r="A36" s="232">
        <v>8</v>
      </c>
      <c r="B36" s="233"/>
      <c r="C36" s="234"/>
      <c r="D36" s="235"/>
      <c r="E36" s="236"/>
      <c r="F36" s="237">
        <f t="shared" si="0"/>
        <v>0</v>
      </c>
      <c r="G36" s="176">
        <f>+'HOJA 1 AUX'!O67</f>
        <v>0</v>
      </c>
      <c r="H36" s="176">
        <f t="shared" si="1"/>
        <v>0</v>
      </c>
      <c r="I36" s="131"/>
      <c r="J36" s="131"/>
      <c r="K36" s="131"/>
      <c r="L36" s="110"/>
      <c r="M36" s="123"/>
      <c r="N36" s="123"/>
      <c r="O36" s="123"/>
    </row>
    <row r="37" spans="1:15" s="68" customFormat="1" ht="38.25" customHeight="1" x14ac:dyDescent="0.25">
      <c r="A37" s="232">
        <v>9</v>
      </c>
      <c r="B37" s="233"/>
      <c r="C37" s="234"/>
      <c r="D37" s="235"/>
      <c r="E37" s="236"/>
      <c r="F37" s="237">
        <f t="shared" si="0"/>
        <v>0</v>
      </c>
      <c r="G37" s="176">
        <f>+'HOJA 1 AUX'!G87</f>
        <v>0</v>
      </c>
      <c r="H37" s="176">
        <f t="shared" si="1"/>
        <v>0</v>
      </c>
      <c r="I37" s="131"/>
      <c r="J37" s="131"/>
      <c r="K37" s="131"/>
      <c r="L37" s="110"/>
      <c r="M37" s="123"/>
      <c r="N37" s="123"/>
      <c r="O37" s="123"/>
    </row>
    <row r="38" spans="1:15" s="68" customFormat="1" ht="38.25" customHeight="1" x14ac:dyDescent="0.25">
      <c r="A38" s="232">
        <v>10</v>
      </c>
      <c r="B38" s="233"/>
      <c r="C38" s="234"/>
      <c r="D38" s="235"/>
      <c r="E38" s="236"/>
      <c r="F38" s="237">
        <f t="shared" si="0"/>
        <v>0</v>
      </c>
      <c r="G38" s="176">
        <f>+'HOJA 1 AUX'!O87</f>
        <v>0</v>
      </c>
      <c r="H38" s="176">
        <f t="shared" si="1"/>
        <v>0</v>
      </c>
      <c r="I38" s="131"/>
      <c r="J38" s="131"/>
      <c r="K38" s="131"/>
      <c r="L38" s="110"/>
      <c r="M38" s="123"/>
      <c r="N38" s="123"/>
      <c r="O38" s="123"/>
    </row>
    <row r="39" spans="1:15" s="68" customFormat="1" ht="38.25" customHeight="1" x14ac:dyDescent="0.25">
      <c r="A39" s="232">
        <v>11</v>
      </c>
      <c r="B39" s="233"/>
      <c r="C39" s="234"/>
      <c r="D39" s="235"/>
      <c r="E39" s="236"/>
      <c r="F39" s="237">
        <f t="shared" si="0"/>
        <v>0</v>
      </c>
      <c r="G39" s="176">
        <f>+'HOJA 1 AUX'!G106</f>
        <v>0</v>
      </c>
      <c r="H39" s="176">
        <f t="shared" si="1"/>
        <v>0</v>
      </c>
      <c r="I39" s="131"/>
      <c r="J39" s="131"/>
      <c r="K39" s="131"/>
      <c r="L39" s="110"/>
      <c r="M39" s="123"/>
      <c r="N39" s="123"/>
      <c r="O39" s="123"/>
    </row>
    <row r="40" spans="1:15" s="68" customFormat="1" ht="38.25" customHeight="1" x14ac:dyDescent="0.25">
      <c r="A40" s="232">
        <v>12</v>
      </c>
      <c r="B40" s="233"/>
      <c r="C40" s="234"/>
      <c r="D40" s="235"/>
      <c r="E40" s="236"/>
      <c r="F40" s="237">
        <f t="shared" si="0"/>
        <v>0</v>
      </c>
      <c r="G40" s="176">
        <f>+'HOJA 1 AUX'!O106</f>
        <v>0</v>
      </c>
      <c r="H40" s="176">
        <f t="shared" si="1"/>
        <v>0</v>
      </c>
      <c r="I40" s="131"/>
      <c r="J40" s="131"/>
      <c r="K40" s="131"/>
      <c r="L40" s="110"/>
      <c r="M40" s="123"/>
      <c r="N40" s="123"/>
      <c r="O40" s="123"/>
    </row>
    <row r="41" spans="1:15" s="68" customFormat="1" ht="38.25" customHeight="1" x14ac:dyDescent="0.25">
      <c r="A41" s="120"/>
      <c r="B41" s="173" t="s">
        <v>1368</v>
      </c>
      <c r="C41" s="238">
        <f t="shared" ref="C41:G41" si="2">SUM(C29:C40)</f>
        <v>1</v>
      </c>
      <c r="D41" s="239">
        <f t="shared" si="2"/>
        <v>2</v>
      </c>
      <c r="E41" s="240">
        <f t="shared" si="2"/>
        <v>70</v>
      </c>
      <c r="F41" s="241">
        <f t="shared" si="2"/>
        <v>0.5</v>
      </c>
      <c r="G41" s="176">
        <f t="shared" si="2"/>
        <v>82.84023668639054</v>
      </c>
      <c r="H41" s="176">
        <f>SUM(H29:H40)</f>
        <v>165.68047337278108</v>
      </c>
      <c r="I41" s="131"/>
      <c r="J41" s="131"/>
      <c r="K41" s="131"/>
      <c r="L41" s="110"/>
      <c r="M41" s="123"/>
      <c r="N41" s="123"/>
      <c r="O41" s="123"/>
    </row>
    <row r="42" spans="1:15" s="123" customFormat="1" ht="15" customHeight="1" x14ac:dyDescent="0.25">
      <c r="A42" s="120"/>
      <c r="B42" s="129"/>
      <c r="C42" s="242"/>
      <c r="D42" s="243"/>
      <c r="E42" s="244"/>
      <c r="F42" s="244"/>
      <c r="G42" s="128"/>
      <c r="H42" s="128"/>
      <c r="I42" s="131"/>
      <c r="J42" s="131"/>
      <c r="K42" s="131"/>
      <c r="L42" s="131"/>
    </row>
    <row r="43" spans="1:15" s="68" customFormat="1" ht="38.25" customHeight="1" x14ac:dyDescent="0.25">
      <c r="A43" s="120"/>
      <c r="B43" s="405" t="s">
        <v>1379</v>
      </c>
      <c r="C43" s="245" t="s">
        <v>1535</v>
      </c>
      <c r="D43" s="388" t="s">
        <v>1487</v>
      </c>
      <c r="E43" s="389"/>
      <c r="F43" s="246"/>
      <c r="G43" s="451" t="s">
        <v>1531</v>
      </c>
      <c r="H43" s="451"/>
      <c r="I43" s="130"/>
      <c r="J43" s="122"/>
      <c r="K43" s="122"/>
      <c r="L43" s="67"/>
      <c r="M43" s="130"/>
      <c r="N43" s="130"/>
      <c r="O43" s="133"/>
    </row>
    <row r="44" spans="1:15" s="68" customFormat="1" ht="60.75" customHeight="1" x14ac:dyDescent="0.25">
      <c r="A44" s="123"/>
      <c r="B44" s="406"/>
      <c r="C44" s="160" t="s">
        <v>1420</v>
      </c>
      <c r="D44" s="160" t="s">
        <v>1401</v>
      </c>
      <c r="E44" s="160" t="s">
        <v>1400</v>
      </c>
      <c r="F44" s="231"/>
      <c r="G44" s="247" t="s">
        <v>1536</v>
      </c>
      <c r="H44" s="247" t="s">
        <v>1537</v>
      </c>
      <c r="I44" s="130"/>
      <c r="J44" s="122"/>
      <c r="K44" s="122"/>
      <c r="L44" s="67"/>
      <c r="M44" s="130"/>
      <c r="N44" s="130"/>
      <c r="O44" s="133"/>
    </row>
    <row r="45" spans="1:15" s="68" customFormat="1" ht="46.5" customHeight="1" x14ac:dyDescent="0.25">
      <c r="A45" s="232">
        <v>1</v>
      </c>
      <c r="B45" s="233"/>
      <c r="C45" s="234"/>
      <c r="D45" s="235"/>
      <c r="E45" s="236"/>
      <c r="F45" s="237">
        <f t="shared" ref="F45:F56" si="3">G45/$E$184</f>
        <v>0</v>
      </c>
      <c r="G45" s="176">
        <f>+'HOJA 2 AUX'!G10</f>
        <v>0</v>
      </c>
      <c r="H45" s="176">
        <f t="shared" ref="H45:H56" si="4">+(C45*D45)*G45</f>
        <v>0</v>
      </c>
      <c r="I45" s="130"/>
      <c r="J45" s="122"/>
      <c r="K45" s="122"/>
      <c r="L45" s="67"/>
      <c r="M45" s="130"/>
      <c r="N45" s="130"/>
      <c r="O45" s="133"/>
    </row>
    <row r="46" spans="1:15" s="68" customFormat="1" ht="38.25" customHeight="1" x14ac:dyDescent="0.25">
      <c r="A46" s="232">
        <v>2</v>
      </c>
      <c r="B46" s="233"/>
      <c r="C46" s="234"/>
      <c r="D46" s="235"/>
      <c r="E46" s="236"/>
      <c r="F46" s="237">
        <f t="shared" si="3"/>
        <v>0</v>
      </c>
      <c r="G46" s="176">
        <f>+'HOJA 2 AUX'!O10</f>
        <v>0</v>
      </c>
      <c r="H46" s="176">
        <f t="shared" si="4"/>
        <v>0</v>
      </c>
      <c r="I46" s="130"/>
      <c r="J46" s="122"/>
      <c r="K46" s="122"/>
      <c r="L46" s="67"/>
      <c r="M46" s="130"/>
      <c r="N46" s="130"/>
      <c r="O46" s="133"/>
    </row>
    <row r="47" spans="1:15" s="68" customFormat="1" ht="38.25" customHeight="1" x14ac:dyDescent="0.25">
      <c r="A47" s="232">
        <v>3</v>
      </c>
      <c r="B47" s="233"/>
      <c r="C47" s="234"/>
      <c r="D47" s="235"/>
      <c r="E47" s="236"/>
      <c r="F47" s="237">
        <f t="shared" si="3"/>
        <v>0</v>
      </c>
      <c r="G47" s="176">
        <f>+'HOJA 2 AUX'!G28</f>
        <v>0</v>
      </c>
      <c r="H47" s="176">
        <f t="shared" si="4"/>
        <v>0</v>
      </c>
      <c r="I47" s="130"/>
      <c r="J47" s="122"/>
      <c r="K47" s="122"/>
      <c r="L47" s="67"/>
      <c r="M47" s="130"/>
      <c r="N47" s="130"/>
      <c r="O47" s="133"/>
    </row>
    <row r="48" spans="1:15" s="68" customFormat="1" ht="38.25" customHeight="1" x14ac:dyDescent="0.25">
      <c r="A48" s="232">
        <v>4</v>
      </c>
      <c r="B48" s="233"/>
      <c r="C48" s="234"/>
      <c r="D48" s="235"/>
      <c r="E48" s="236"/>
      <c r="F48" s="237">
        <f t="shared" si="3"/>
        <v>0</v>
      </c>
      <c r="G48" s="176">
        <f>+'HOJA 2 AUX'!O28</f>
        <v>0</v>
      </c>
      <c r="H48" s="176">
        <f t="shared" si="4"/>
        <v>0</v>
      </c>
      <c r="I48" s="130"/>
      <c r="J48" s="122"/>
      <c r="K48" s="122"/>
      <c r="L48" s="67"/>
      <c r="M48" s="130"/>
      <c r="N48" s="130"/>
      <c r="O48" s="133"/>
    </row>
    <row r="49" spans="1:15" s="68" customFormat="1" ht="38.25" customHeight="1" x14ac:dyDescent="0.25">
      <c r="A49" s="232">
        <v>5</v>
      </c>
      <c r="B49" s="233"/>
      <c r="C49" s="234"/>
      <c r="D49" s="235"/>
      <c r="E49" s="236"/>
      <c r="F49" s="237">
        <f t="shared" si="3"/>
        <v>0</v>
      </c>
      <c r="G49" s="176">
        <f>+'HOJA 2 AUX'!G48</f>
        <v>0</v>
      </c>
      <c r="H49" s="176">
        <f t="shared" si="4"/>
        <v>0</v>
      </c>
      <c r="I49" s="130"/>
      <c r="J49" s="122"/>
      <c r="K49" s="122"/>
      <c r="L49" s="67"/>
      <c r="M49" s="130"/>
      <c r="N49" s="130"/>
      <c r="O49" s="133"/>
    </row>
    <row r="50" spans="1:15" s="68" customFormat="1" ht="38.25" customHeight="1" x14ac:dyDescent="0.25">
      <c r="A50" s="232">
        <v>6</v>
      </c>
      <c r="B50" s="233"/>
      <c r="C50" s="234"/>
      <c r="D50" s="235"/>
      <c r="E50" s="236"/>
      <c r="F50" s="237">
        <f t="shared" si="3"/>
        <v>0</v>
      </c>
      <c r="G50" s="176">
        <f>+'HOJA 2 AUX'!O48</f>
        <v>0</v>
      </c>
      <c r="H50" s="176">
        <f t="shared" si="4"/>
        <v>0</v>
      </c>
      <c r="I50" s="130"/>
      <c r="J50" s="122"/>
      <c r="K50" s="122"/>
      <c r="L50" s="67"/>
      <c r="M50" s="130"/>
      <c r="N50" s="130"/>
      <c r="O50" s="133"/>
    </row>
    <row r="51" spans="1:15" s="68" customFormat="1" ht="38.25" customHeight="1" x14ac:dyDescent="0.25">
      <c r="A51" s="232">
        <v>7</v>
      </c>
      <c r="B51" s="233"/>
      <c r="C51" s="234"/>
      <c r="D51" s="235"/>
      <c r="E51" s="236"/>
      <c r="F51" s="237">
        <f t="shared" si="3"/>
        <v>0</v>
      </c>
      <c r="G51" s="176">
        <f>+'HOJA 2 AUX'!G67</f>
        <v>0</v>
      </c>
      <c r="H51" s="176">
        <f t="shared" si="4"/>
        <v>0</v>
      </c>
      <c r="I51" s="130"/>
      <c r="J51" s="122"/>
      <c r="K51" s="122"/>
      <c r="L51" s="67"/>
      <c r="M51" s="130"/>
      <c r="N51" s="130"/>
      <c r="O51" s="133"/>
    </row>
    <row r="52" spans="1:15" s="68" customFormat="1" ht="38.25" customHeight="1" x14ac:dyDescent="0.25">
      <c r="A52" s="232">
        <v>8</v>
      </c>
      <c r="B52" s="233"/>
      <c r="C52" s="234"/>
      <c r="D52" s="235"/>
      <c r="E52" s="236"/>
      <c r="F52" s="237">
        <f t="shared" si="3"/>
        <v>0</v>
      </c>
      <c r="G52" s="176">
        <f>+'HOJA 2 AUX'!O67</f>
        <v>0</v>
      </c>
      <c r="H52" s="176">
        <f t="shared" si="4"/>
        <v>0</v>
      </c>
      <c r="I52" s="130"/>
      <c r="J52" s="122"/>
      <c r="K52" s="122"/>
      <c r="L52" s="67"/>
      <c r="M52" s="130"/>
      <c r="N52" s="130"/>
      <c r="O52" s="133"/>
    </row>
    <row r="53" spans="1:15" s="68" customFormat="1" ht="38.25" customHeight="1" x14ac:dyDescent="0.25">
      <c r="A53" s="232">
        <v>9</v>
      </c>
      <c r="B53" s="233"/>
      <c r="C53" s="234"/>
      <c r="D53" s="235"/>
      <c r="E53" s="236"/>
      <c r="F53" s="237">
        <f t="shared" si="3"/>
        <v>0</v>
      </c>
      <c r="G53" s="176">
        <f>+'HOJA 2 AUX'!G85</f>
        <v>0</v>
      </c>
      <c r="H53" s="176">
        <f t="shared" si="4"/>
        <v>0</v>
      </c>
      <c r="I53" s="130"/>
      <c r="J53" s="122"/>
      <c r="K53" s="122"/>
      <c r="L53" s="67"/>
      <c r="M53" s="130"/>
      <c r="N53" s="130"/>
      <c r="O53" s="133"/>
    </row>
    <row r="54" spans="1:15" s="68" customFormat="1" ht="38.25" customHeight="1" x14ac:dyDescent="0.25">
      <c r="A54" s="232">
        <v>10</v>
      </c>
      <c r="B54" s="233"/>
      <c r="C54" s="234"/>
      <c r="D54" s="235"/>
      <c r="E54" s="236"/>
      <c r="F54" s="237">
        <f t="shared" si="3"/>
        <v>0</v>
      </c>
      <c r="G54" s="176">
        <f>+'HOJA 2 AUX'!O85</f>
        <v>0</v>
      </c>
      <c r="H54" s="176">
        <f t="shared" si="4"/>
        <v>0</v>
      </c>
      <c r="I54" s="130"/>
      <c r="J54" s="122"/>
      <c r="K54" s="122"/>
      <c r="L54" s="67"/>
      <c r="M54" s="130"/>
      <c r="N54" s="130"/>
      <c r="O54" s="133"/>
    </row>
    <row r="55" spans="1:15" s="68" customFormat="1" ht="38.25" customHeight="1" x14ac:dyDescent="0.25">
      <c r="A55" s="232">
        <v>11</v>
      </c>
      <c r="B55" s="233"/>
      <c r="C55" s="234"/>
      <c r="D55" s="235"/>
      <c r="E55" s="236"/>
      <c r="F55" s="237">
        <f t="shared" si="3"/>
        <v>0</v>
      </c>
      <c r="G55" s="176">
        <f>+'HOJA 2 AUX'!G105</f>
        <v>0</v>
      </c>
      <c r="H55" s="176">
        <f t="shared" si="4"/>
        <v>0</v>
      </c>
      <c r="I55" s="130"/>
      <c r="J55" s="122"/>
      <c r="K55" s="122"/>
      <c r="L55" s="67"/>
      <c r="M55" s="130"/>
      <c r="N55" s="130"/>
      <c r="O55" s="133"/>
    </row>
    <row r="56" spans="1:15" s="68" customFormat="1" ht="38.25" customHeight="1" x14ac:dyDescent="0.25">
      <c r="A56" s="232">
        <v>12</v>
      </c>
      <c r="B56" s="233"/>
      <c r="C56" s="234"/>
      <c r="D56" s="235"/>
      <c r="E56" s="236"/>
      <c r="F56" s="237">
        <f t="shared" si="3"/>
        <v>0</v>
      </c>
      <c r="G56" s="176">
        <f>+'HOJA 2 AUX'!O105</f>
        <v>0</v>
      </c>
      <c r="H56" s="176">
        <f t="shared" si="4"/>
        <v>0</v>
      </c>
      <c r="I56" s="130"/>
      <c r="J56" s="122"/>
      <c r="K56" s="122"/>
      <c r="L56" s="67"/>
      <c r="M56" s="130"/>
      <c r="N56" s="130"/>
      <c r="O56" s="133"/>
    </row>
    <row r="57" spans="1:15" s="68" customFormat="1" ht="38.25" customHeight="1" x14ac:dyDescent="0.25">
      <c r="A57" s="123"/>
      <c r="B57" s="173" t="s">
        <v>1368</v>
      </c>
      <c r="C57" s="239">
        <f t="shared" ref="C57:G57" si="5">SUM(C45:C56)</f>
        <v>0</v>
      </c>
      <c r="D57" s="239">
        <f t="shared" si="5"/>
        <v>0</v>
      </c>
      <c r="E57" s="240">
        <f t="shared" si="5"/>
        <v>0</v>
      </c>
      <c r="F57" s="241">
        <f t="shared" si="5"/>
        <v>0</v>
      </c>
      <c r="G57" s="176">
        <f t="shared" si="5"/>
        <v>0</v>
      </c>
      <c r="H57" s="176">
        <f>SUM(H45:H56)</f>
        <v>0</v>
      </c>
      <c r="I57" s="130"/>
      <c r="J57" s="122"/>
      <c r="K57" s="122"/>
      <c r="L57" s="67"/>
      <c r="M57" s="130"/>
      <c r="N57" s="130"/>
      <c r="O57" s="133"/>
    </row>
    <row r="58" spans="1:15" s="123" customFormat="1" ht="15" customHeight="1" x14ac:dyDescent="0.25">
      <c r="A58" s="120"/>
      <c r="B58" s="129"/>
      <c r="C58" s="248"/>
      <c r="D58" s="249"/>
      <c r="E58" s="250"/>
      <c r="F58" s="250"/>
      <c r="G58" s="128"/>
      <c r="H58" s="128"/>
      <c r="I58" s="131"/>
      <c r="J58" s="131"/>
      <c r="K58" s="131"/>
      <c r="L58" s="131"/>
    </row>
    <row r="59" spans="1:15" s="68" customFormat="1" ht="38.25" customHeight="1" x14ac:dyDescent="0.25">
      <c r="A59" s="123"/>
      <c r="B59" s="407" t="s">
        <v>1379</v>
      </c>
      <c r="C59" s="251" t="s">
        <v>1535</v>
      </c>
      <c r="D59" s="445" t="s">
        <v>1381</v>
      </c>
      <c r="E59" s="445"/>
      <c r="F59" s="252"/>
      <c r="G59" s="450" t="s">
        <v>1531</v>
      </c>
      <c r="H59" s="450"/>
      <c r="I59" s="130"/>
      <c r="J59" s="122"/>
      <c r="K59" s="122"/>
      <c r="L59" s="67"/>
      <c r="M59" s="130"/>
      <c r="N59" s="130"/>
      <c r="O59" s="133"/>
    </row>
    <row r="60" spans="1:15" s="68" customFormat="1" ht="51.75" customHeight="1" x14ac:dyDescent="0.25">
      <c r="A60" s="123"/>
      <c r="B60" s="407"/>
      <c r="C60" s="251" t="s">
        <v>1420</v>
      </c>
      <c r="D60" s="251" t="s">
        <v>1399</v>
      </c>
      <c r="E60" s="251" t="s">
        <v>1400</v>
      </c>
      <c r="F60" s="253"/>
      <c r="G60" s="254" t="s">
        <v>1536</v>
      </c>
      <c r="H60" s="254" t="s">
        <v>1537</v>
      </c>
      <c r="I60" s="130"/>
      <c r="J60" s="122"/>
      <c r="K60" s="122"/>
      <c r="L60" s="67"/>
      <c r="M60" s="130"/>
      <c r="N60" s="130"/>
      <c r="O60" s="133"/>
    </row>
    <row r="61" spans="1:15" s="68" customFormat="1" ht="38.25" customHeight="1" x14ac:dyDescent="0.25">
      <c r="A61" s="232">
        <v>1</v>
      </c>
      <c r="B61" s="255"/>
      <c r="C61" s="256"/>
      <c r="D61" s="257"/>
      <c r="E61" s="236"/>
      <c r="F61" s="258">
        <f t="shared" ref="F61:F72" si="6">+G61/$E$184</f>
        <v>0</v>
      </c>
      <c r="G61" s="247">
        <f>'HOJA 3 AUX'!G10</f>
        <v>0</v>
      </c>
      <c r="H61" s="247">
        <f t="shared" ref="H61:H72" si="7">+(C61*D61)*G61</f>
        <v>0</v>
      </c>
      <c r="I61" s="130"/>
      <c r="J61" s="122"/>
      <c r="K61" s="122"/>
      <c r="L61" s="67"/>
      <c r="M61" s="130"/>
      <c r="N61" s="130"/>
      <c r="O61" s="133"/>
    </row>
    <row r="62" spans="1:15" s="68" customFormat="1" ht="38.25" customHeight="1" x14ac:dyDescent="0.25">
      <c r="A62" s="232">
        <v>2</v>
      </c>
      <c r="B62" s="255"/>
      <c r="C62" s="256"/>
      <c r="D62" s="257"/>
      <c r="E62" s="236"/>
      <c r="F62" s="237">
        <f t="shared" si="6"/>
        <v>0</v>
      </c>
      <c r="G62" s="176">
        <f>'HOJA 3 AUX'!O10</f>
        <v>0</v>
      </c>
      <c r="H62" s="176">
        <f t="shared" si="7"/>
        <v>0</v>
      </c>
      <c r="I62" s="130"/>
      <c r="J62" s="122"/>
      <c r="K62" s="122"/>
      <c r="L62" s="67"/>
      <c r="M62" s="130"/>
      <c r="N62" s="130"/>
      <c r="O62" s="133"/>
    </row>
    <row r="63" spans="1:15" s="68" customFormat="1" ht="38.25" customHeight="1" x14ac:dyDescent="0.25">
      <c r="A63" s="232">
        <v>3</v>
      </c>
      <c r="B63" s="255"/>
      <c r="C63" s="256"/>
      <c r="D63" s="257"/>
      <c r="E63" s="236"/>
      <c r="F63" s="237">
        <f t="shared" si="6"/>
        <v>0</v>
      </c>
      <c r="G63" s="176">
        <f>+'HOJA 3 AUX'!G28</f>
        <v>0</v>
      </c>
      <c r="H63" s="176">
        <f t="shared" si="7"/>
        <v>0</v>
      </c>
      <c r="I63" s="130"/>
      <c r="J63" s="122"/>
      <c r="K63" s="122"/>
      <c r="L63" s="67"/>
      <c r="M63" s="130"/>
      <c r="N63" s="130"/>
      <c r="O63" s="133"/>
    </row>
    <row r="64" spans="1:15" s="68" customFormat="1" ht="38.25" customHeight="1" x14ac:dyDescent="0.25">
      <c r="A64" s="232">
        <v>4</v>
      </c>
      <c r="B64" s="255"/>
      <c r="C64" s="256"/>
      <c r="D64" s="257"/>
      <c r="E64" s="236"/>
      <c r="F64" s="237">
        <f t="shared" si="6"/>
        <v>0</v>
      </c>
      <c r="G64" s="176">
        <f>'HOJA 3 AUX'!O28</f>
        <v>0</v>
      </c>
      <c r="H64" s="176">
        <f t="shared" si="7"/>
        <v>0</v>
      </c>
      <c r="I64" s="130"/>
      <c r="J64" s="122"/>
      <c r="K64" s="122"/>
      <c r="L64" s="67"/>
      <c r="M64" s="130"/>
      <c r="N64" s="130"/>
      <c r="O64" s="133"/>
    </row>
    <row r="65" spans="1:15" s="68" customFormat="1" ht="38.25" customHeight="1" x14ac:dyDescent="0.25">
      <c r="A65" s="232">
        <v>5</v>
      </c>
      <c r="B65" s="255"/>
      <c r="C65" s="256"/>
      <c r="D65" s="257"/>
      <c r="E65" s="236"/>
      <c r="F65" s="237">
        <f t="shared" si="6"/>
        <v>0</v>
      </c>
      <c r="G65" s="176">
        <f>'HOJA 3 AUX'!G48</f>
        <v>0</v>
      </c>
      <c r="H65" s="176">
        <f t="shared" si="7"/>
        <v>0</v>
      </c>
      <c r="I65" s="130"/>
      <c r="J65" s="122"/>
      <c r="K65" s="122"/>
      <c r="L65" s="67"/>
      <c r="M65" s="130"/>
      <c r="N65" s="130"/>
      <c r="O65" s="133"/>
    </row>
    <row r="66" spans="1:15" s="68" customFormat="1" ht="38.25" customHeight="1" x14ac:dyDescent="0.25">
      <c r="A66" s="232">
        <v>6</v>
      </c>
      <c r="B66" s="255"/>
      <c r="C66" s="256"/>
      <c r="D66" s="257"/>
      <c r="E66" s="236"/>
      <c r="F66" s="237">
        <f t="shared" si="6"/>
        <v>0</v>
      </c>
      <c r="G66" s="176">
        <f>'HOJA 3 AUX'!O48</f>
        <v>0</v>
      </c>
      <c r="H66" s="176">
        <f t="shared" si="7"/>
        <v>0</v>
      </c>
      <c r="I66" s="130"/>
      <c r="J66" s="122"/>
      <c r="K66" s="122"/>
      <c r="L66" s="67"/>
      <c r="M66" s="130"/>
      <c r="N66" s="130"/>
      <c r="O66" s="133"/>
    </row>
    <row r="67" spans="1:15" s="68" customFormat="1" ht="38.25" customHeight="1" x14ac:dyDescent="0.25">
      <c r="A67" s="232">
        <v>7</v>
      </c>
      <c r="B67" s="255"/>
      <c r="C67" s="256"/>
      <c r="D67" s="257"/>
      <c r="E67" s="236"/>
      <c r="F67" s="237">
        <f t="shared" si="6"/>
        <v>0</v>
      </c>
      <c r="G67" s="176">
        <f>+'HOJA 3 AUX'!G67</f>
        <v>0</v>
      </c>
      <c r="H67" s="176">
        <f t="shared" si="7"/>
        <v>0</v>
      </c>
      <c r="I67" s="130"/>
      <c r="J67" s="122"/>
      <c r="K67" s="122"/>
      <c r="L67" s="67"/>
      <c r="M67" s="130"/>
      <c r="N67" s="130"/>
      <c r="O67" s="133"/>
    </row>
    <row r="68" spans="1:15" s="68" customFormat="1" ht="38.25" customHeight="1" x14ac:dyDescent="0.25">
      <c r="A68" s="232">
        <v>8</v>
      </c>
      <c r="B68" s="255"/>
      <c r="C68" s="256"/>
      <c r="D68" s="257"/>
      <c r="E68" s="236"/>
      <c r="F68" s="237">
        <f t="shared" si="6"/>
        <v>0</v>
      </c>
      <c r="G68" s="176">
        <f>'HOJA 3 AUX'!O67</f>
        <v>0</v>
      </c>
      <c r="H68" s="176">
        <f t="shared" si="7"/>
        <v>0</v>
      </c>
      <c r="I68" s="130"/>
      <c r="J68" s="122"/>
      <c r="K68" s="122"/>
      <c r="L68" s="67"/>
      <c r="M68" s="130"/>
      <c r="N68" s="130"/>
      <c r="O68" s="133"/>
    </row>
    <row r="69" spans="1:15" s="68" customFormat="1" ht="38.25" customHeight="1" x14ac:dyDescent="0.25">
      <c r="A69" s="232">
        <v>9</v>
      </c>
      <c r="B69" s="255"/>
      <c r="C69" s="256"/>
      <c r="D69" s="257"/>
      <c r="E69" s="236"/>
      <c r="F69" s="237">
        <f t="shared" si="6"/>
        <v>0</v>
      </c>
      <c r="G69" s="176">
        <f>+'HOJA 3 AUX'!G85</f>
        <v>0</v>
      </c>
      <c r="H69" s="176">
        <f t="shared" si="7"/>
        <v>0</v>
      </c>
      <c r="I69" s="130"/>
      <c r="J69" s="122"/>
      <c r="K69" s="122"/>
      <c r="L69" s="67"/>
      <c r="M69" s="130"/>
      <c r="N69" s="130"/>
      <c r="O69" s="133"/>
    </row>
    <row r="70" spans="1:15" s="68" customFormat="1" ht="38.25" customHeight="1" x14ac:dyDescent="0.25">
      <c r="A70" s="232">
        <v>10</v>
      </c>
      <c r="B70" s="255"/>
      <c r="C70" s="256"/>
      <c r="D70" s="257"/>
      <c r="E70" s="236"/>
      <c r="F70" s="237">
        <f t="shared" si="6"/>
        <v>0</v>
      </c>
      <c r="G70" s="176">
        <f>'HOJA 3 AUX'!O85</f>
        <v>0</v>
      </c>
      <c r="H70" s="176">
        <f t="shared" si="7"/>
        <v>0</v>
      </c>
      <c r="I70" s="130"/>
      <c r="J70" s="122"/>
      <c r="K70" s="122"/>
      <c r="L70" s="67"/>
      <c r="M70" s="130"/>
      <c r="N70" s="130"/>
      <c r="O70" s="133"/>
    </row>
    <row r="71" spans="1:15" s="68" customFormat="1" ht="38.25" customHeight="1" x14ac:dyDescent="0.25">
      <c r="A71" s="232">
        <v>11</v>
      </c>
      <c r="B71" s="255"/>
      <c r="C71" s="256"/>
      <c r="D71" s="257"/>
      <c r="E71" s="236"/>
      <c r="F71" s="237">
        <f t="shared" si="6"/>
        <v>0</v>
      </c>
      <c r="G71" s="176">
        <f>+'HOJA 3 AUX'!G105</f>
        <v>0</v>
      </c>
      <c r="H71" s="176">
        <f t="shared" si="7"/>
        <v>0</v>
      </c>
      <c r="I71" s="130"/>
      <c r="J71" s="122"/>
      <c r="K71" s="122"/>
      <c r="L71" s="67"/>
      <c r="M71" s="130"/>
      <c r="N71" s="130"/>
      <c r="O71" s="133"/>
    </row>
    <row r="72" spans="1:15" s="68" customFormat="1" ht="38.25" customHeight="1" x14ac:dyDescent="0.25">
      <c r="A72" s="232">
        <v>12</v>
      </c>
      <c r="B72" s="255"/>
      <c r="C72" s="256"/>
      <c r="D72" s="257"/>
      <c r="E72" s="236"/>
      <c r="F72" s="237">
        <f t="shared" si="6"/>
        <v>0</v>
      </c>
      <c r="G72" s="176">
        <f>'HOJA 3 AUX'!O105</f>
        <v>0</v>
      </c>
      <c r="H72" s="176">
        <f t="shared" si="7"/>
        <v>0</v>
      </c>
      <c r="I72" s="130"/>
      <c r="J72" s="122"/>
      <c r="K72" s="122"/>
      <c r="L72" s="67"/>
      <c r="M72" s="130"/>
      <c r="N72" s="130"/>
      <c r="O72" s="133"/>
    </row>
    <row r="73" spans="1:15" s="68" customFormat="1" ht="38.25" customHeight="1" x14ac:dyDescent="0.25">
      <c r="A73" s="123"/>
      <c r="B73" s="173" t="s">
        <v>1368</v>
      </c>
      <c r="C73" s="239">
        <f t="shared" ref="C73:G73" si="8">SUM(C61:C72)</f>
        <v>0</v>
      </c>
      <c r="D73" s="239">
        <f t="shared" si="8"/>
        <v>0</v>
      </c>
      <c r="E73" s="240">
        <f t="shared" si="8"/>
        <v>0</v>
      </c>
      <c r="F73" s="259">
        <f t="shared" si="8"/>
        <v>0</v>
      </c>
      <c r="G73" s="176">
        <f t="shared" si="8"/>
        <v>0</v>
      </c>
      <c r="H73" s="176">
        <f>SUM(H61:H72)</f>
        <v>0</v>
      </c>
      <c r="I73" s="130"/>
      <c r="J73" s="122"/>
      <c r="K73" s="122"/>
      <c r="L73" s="67"/>
      <c r="M73" s="130"/>
      <c r="N73" s="130"/>
      <c r="O73" s="133"/>
    </row>
    <row r="74" spans="1:15" s="123" customFormat="1" ht="15" customHeight="1" x14ac:dyDescent="0.25">
      <c r="A74" s="120"/>
      <c r="B74" s="129"/>
      <c r="C74" s="242"/>
      <c r="D74" s="243"/>
      <c r="E74" s="244"/>
      <c r="F74" s="244"/>
      <c r="G74" s="128"/>
      <c r="H74" s="128"/>
      <c r="I74" s="131"/>
      <c r="J74" s="131"/>
      <c r="K74" s="131"/>
      <c r="L74" s="131"/>
    </row>
    <row r="75" spans="1:15" s="68" customFormat="1" ht="38.25" customHeight="1" x14ac:dyDescent="0.25">
      <c r="A75" s="123"/>
      <c r="B75" s="405" t="s">
        <v>1379</v>
      </c>
      <c r="C75" s="245" t="s">
        <v>1535</v>
      </c>
      <c r="D75" s="388" t="s">
        <v>1383</v>
      </c>
      <c r="E75" s="453"/>
      <c r="F75" s="77"/>
      <c r="G75" s="448" t="s">
        <v>1531</v>
      </c>
      <c r="H75" s="452"/>
      <c r="I75" s="130"/>
      <c r="J75" s="122"/>
      <c r="K75" s="122"/>
      <c r="L75" s="67"/>
      <c r="M75" s="130"/>
      <c r="N75" s="130"/>
      <c r="O75" s="133"/>
    </row>
    <row r="76" spans="1:15" s="68" customFormat="1" ht="49.5" customHeight="1" x14ac:dyDescent="0.25">
      <c r="A76" s="123"/>
      <c r="B76" s="406"/>
      <c r="C76" s="160" t="s">
        <v>1420</v>
      </c>
      <c r="D76" s="160" t="s">
        <v>1399</v>
      </c>
      <c r="E76" s="160" t="s">
        <v>1400</v>
      </c>
      <c r="F76" s="260"/>
      <c r="G76" s="176" t="s">
        <v>1536</v>
      </c>
      <c r="H76" s="176" t="s">
        <v>1537</v>
      </c>
      <c r="I76" s="130"/>
      <c r="J76" s="122"/>
      <c r="K76" s="122"/>
      <c r="L76" s="67"/>
      <c r="M76" s="130"/>
      <c r="N76" s="130"/>
      <c r="O76" s="133"/>
    </row>
    <row r="77" spans="1:15" s="68" customFormat="1" ht="38.25" customHeight="1" x14ac:dyDescent="0.25">
      <c r="A77" s="232">
        <v>1</v>
      </c>
      <c r="B77" s="233"/>
      <c r="C77" s="234"/>
      <c r="D77" s="235"/>
      <c r="E77" s="236"/>
      <c r="F77" s="237">
        <f t="shared" ref="F77:F88" si="9">+G77/$E$184</f>
        <v>0</v>
      </c>
      <c r="G77" s="176">
        <f>'HOJA 4 AUX'!G10</f>
        <v>0</v>
      </c>
      <c r="H77" s="176">
        <f t="shared" ref="H77:H88" si="10">(C77*D77)*G77</f>
        <v>0</v>
      </c>
      <c r="I77" s="130"/>
      <c r="J77" s="122"/>
      <c r="K77" s="122"/>
      <c r="L77" s="67"/>
      <c r="M77" s="130"/>
      <c r="N77" s="130"/>
      <c r="O77" s="133"/>
    </row>
    <row r="78" spans="1:15" s="68" customFormat="1" ht="38.25" customHeight="1" x14ac:dyDescent="0.25">
      <c r="A78" s="232">
        <v>2</v>
      </c>
      <c r="B78" s="233"/>
      <c r="C78" s="234"/>
      <c r="D78" s="235"/>
      <c r="E78" s="236"/>
      <c r="F78" s="237">
        <f t="shared" si="9"/>
        <v>0</v>
      </c>
      <c r="G78" s="176">
        <f>'HOJA 4 AUX'!O10</f>
        <v>0</v>
      </c>
      <c r="H78" s="176">
        <f t="shared" si="10"/>
        <v>0</v>
      </c>
      <c r="I78" s="130"/>
      <c r="J78" s="122"/>
      <c r="K78" s="122"/>
      <c r="L78" s="67"/>
      <c r="M78" s="130"/>
      <c r="N78" s="130"/>
      <c r="O78" s="133"/>
    </row>
    <row r="79" spans="1:15" s="68" customFormat="1" ht="38.25" customHeight="1" x14ac:dyDescent="0.25">
      <c r="A79" s="232">
        <v>3</v>
      </c>
      <c r="B79" s="233"/>
      <c r="C79" s="234"/>
      <c r="D79" s="235"/>
      <c r="E79" s="236"/>
      <c r="F79" s="237">
        <f t="shared" si="9"/>
        <v>0</v>
      </c>
      <c r="G79" s="176">
        <f>'HOJA 4 AUX'!G28</f>
        <v>0</v>
      </c>
      <c r="H79" s="176">
        <f t="shared" si="10"/>
        <v>0</v>
      </c>
      <c r="I79" s="131"/>
      <c r="J79" s="122"/>
      <c r="K79" s="122"/>
      <c r="L79" s="67"/>
      <c r="M79" s="130"/>
      <c r="N79" s="130"/>
      <c r="O79" s="133"/>
    </row>
    <row r="80" spans="1:15" s="68" customFormat="1" ht="38.25" customHeight="1" x14ac:dyDescent="0.25">
      <c r="A80" s="232">
        <v>4</v>
      </c>
      <c r="B80" s="233"/>
      <c r="C80" s="234"/>
      <c r="D80" s="235"/>
      <c r="E80" s="236"/>
      <c r="F80" s="237">
        <f t="shared" si="9"/>
        <v>0</v>
      </c>
      <c r="G80" s="176">
        <f>'HOJA 4 AUX'!O28</f>
        <v>0</v>
      </c>
      <c r="H80" s="176">
        <f t="shared" si="10"/>
        <v>0</v>
      </c>
      <c r="I80" s="131"/>
      <c r="J80" s="122"/>
      <c r="K80" s="122"/>
      <c r="L80" s="67"/>
      <c r="M80" s="130"/>
      <c r="N80" s="130"/>
      <c r="O80" s="133"/>
    </row>
    <row r="81" spans="1:15" s="68" customFormat="1" ht="38.25" customHeight="1" x14ac:dyDescent="0.25">
      <c r="A81" s="232">
        <v>5</v>
      </c>
      <c r="B81" s="233"/>
      <c r="C81" s="234"/>
      <c r="D81" s="235"/>
      <c r="E81" s="236"/>
      <c r="F81" s="237">
        <f t="shared" si="9"/>
        <v>0</v>
      </c>
      <c r="G81" s="176">
        <f>'HOJA 4 AUX'!G48</f>
        <v>0</v>
      </c>
      <c r="H81" s="176">
        <f t="shared" si="10"/>
        <v>0</v>
      </c>
      <c r="I81" s="131"/>
      <c r="J81" s="122"/>
      <c r="K81" s="122"/>
      <c r="L81" s="67"/>
      <c r="M81" s="130"/>
      <c r="N81" s="130"/>
      <c r="O81" s="133"/>
    </row>
    <row r="82" spans="1:15" s="68" customFormat="1" ht="38.25" customHeight="1" x14ac:dyDescent="0.25">
      <c r="A82" s="232">
        <v>6</v>
      </c>
      <c r="B82" s="233"/>
      <c r="C82" s="234"/>
      <c r="D82" s="235"/>
      <c r="E82" s="236"/>
      <c r="F82" s="237">
        <f t="shared" si="9"/>
        <v>0</v>
      </c>
      <c r="G82" s="176">
        <f>'HOJA 4 AUX'!O48</f>
        <v>0</v>
      </c>
      <c r="H82" s="176">
        <f t="shared" si="10"/>
        <v>0</v>
      </c>
      <c r="I82" s="131"/>
      <c r="J82" s="122"/>
      <c r="K82" s="122"/>
      <c r="L82" s="67"/>
      <c r="M82" s="130"/>
      <c r="N82" s="130"/>
      <c r="O82" s="133"/>
    </row>
    <row r="83" spans="1:15" s="68" customFormat="1" ht="38.25" customHeight="1" x14ac:dyDescent="0.25">
      <c r="A83" s="232">
        <v>7</v>
      </c>
      <c r="B83" s="233"/>
      <c r="C83" s="234"/>
      <c r="D83" s="235"/>
      <c r="E83" s="236"/>
      <c r="F83" s="237">
        <f t="shared" si="9"/>
        <v>0</v>
      </c>
      <c r="G83" s="176">
        <f>+'HOJA 4 AUX'!G67</f>
        <v>0</v>
      </c>
      <c r="H83" s="176">
        <f t="shared" si="10"/>
        <v>0</v>
      </c>
      <c r="I83" s="131"/>
      <c r="J83" s="122"/>
      <c r="K83" s="122"/>
      <c r="L83" s="67"/>
      <c r="M83" s="130"/>
      <c r="N83" s="130"/>
      <c r="O83" s="133"/>
    </row>
    <row r="84" spans="1:15" s="68" customFormat="1" ht="38.25" customHeight="1" x14ac:dyDescent="0.25">
      <c r="A84" s="232">
        <v>8</v>
      </c>
      <c r="B84" s="233"/>
      <c r="C84" s="234"/>
      <c r="D84" s="235"/>
      <c r="E84" s="236"/>
      <c r="F84" s="237">
        <f t="shared" si="9"/>
        <v>0</v>
      </c>
      <c r="G84" s="176">
        <f>'HOJA 4 AUX'!O67</f>
        <v>0</v>
      </c>
      <c r="H84" s="176">
        <f t="shared" si="10"/>
        <v>0</v>
      </c>
      <c r="I84" s="131"/>
      <c r="J84" s="122"/>
      <c r="K84" s="122"/>
      <c r="L84" s="67"/>
      <c r="M84" s="130"/>
      <c r="N84" s="130"/>
      <c r="O84" s="133"/>
    </row>
    <row r="85" spans="1:15" s="68" customFormat="1" ht="38.25" customHeight="1" x14ac:dyDescent="0.25">
      <c r="A85" s="232">
        <v>9</v>
      </c>
      <c r="B85" s="233"/>
      <c r="C85" s="234"/>
      <c r="D85" s="235"/>
      <c r="E85" s="236"/>
      <c r="F85" s="237">
        <f t="shared" si="9"/>
        <v>0</v>
      </c>
      <c r="G85" s="176">
        <f>+'HOJA 4 AUX'!G85</f>
        <v>0</v>
      </c>
      <c r="H85" s="176">
        <f t="shared" si="10"/>
        <v>0</v>
      </c>
      <c r="I85" s="131"/>
      <c r="J85" s="122"/>
      <c r="K85" s="131"/>
      <c r="L85" s="110"/>
      <c r="M85" s="130"/>
      <c r="N85" s="130"/>
      <c r="O85" s="133"/>
    </row>
    <row r="86" spans="1:15" s="68" customFormat="1" ht="38.25" customHeight="1" x14ac:dyDescent="0.25">
      <c r="A86" s="232">
        <v>10</v>
      </c>
      <c r="B86" s="233"/>
      <c r="C86" s="234"/>
      <c r="D86" s="235"/>
      <c r="E86" s="236"/>
      <c r="F86" s="237">
        <f t="shared" si="9"/>
        <v>0</v>
      </c>
      <c r="G86" s="176">
        <f>'HOJA 4 AUX'!O85</f>
        <v>0</v>
      </c>
      <c r="H86" s="176">
        <f t="shared" si="10"/>
        <v>0</v>
      </c>
      <c r="I86" s="131"/>
      <c r="J86" s="122"/>
      <c r="K86" s="131"/>
      <c r="L86" s="110"/>
      <c r="M86" s="130"/>
      <c r="N86" s="130"/>
      <c r="O86" s="133"/>
    </row>
    <row r="87" spans="1:15" s="68" customFormat="1" ht="38.25" customHeight="1" x14ac:dyDescent="0.25">
      <c r="A87" s="232">
        <v>11</v>
      </c>
      <c r="B87" s="233"/>
      <c r="C87" s="234"/>
      <c r="D87" s="235"/>
      <c r="E87" s="236"/>
      <c r="F87" s="237">
        <f t="shared" si="9"/>
        <v>0</v>
      </c>
      <c r="G87" s="176">
        <f>+'HOJA 4 AUX'!G105</f>
        <v>0</v>
      </c>
      <c r="H87" s="176">
        <f t="shared" si="10"/>
        <v>0</v>
      </c>
      <c r="I87" s="131"/>
      <c r="J87" s="122"/>
      <c r="K87" s="131"/>
      <c r="L87" s="110"/>
      <c r="M87" s="130"/>
      <c r="N87" s="130"/>
      <c r="O87" s="133"/>
    </row>
    <row r="88" spans="1:15" s="68" customFormat="1" ht="38.25" customHeight="1" x14ac:dyDescent="0.25">
      <c r="A88" s="232">
        <v>12</v>
      </c>
      <c r="B88" s="233"/>
      <c r="C88" s="234"/>
      <c r="D88" s="235"/>
      <c r="E88" s="236"/>
      <c r="F88" s="237">
        <f t="shared" si="9"/>
        <v>0</v>
      </c>
      <c r="G88" s="176">
        <f>'HOJA 4 AUX'!O105</f>
        <v>0</v>
      </c>
      <c r="H88" s="176">
        <f t="shared" si="10"/>
        <v>0</v>
      </c>
      <c r="I88" s="131"/>
      <c r="J88" s="122"/>
      <c r="K88" s="131"/>
      <c r="L88" s="110"/>
      <c r="M88" s="130"/>
      <c r="N88" s="130"/>
      <c r="O88" s="133"/>
    </row>
    <row r="89" spans="1:15" s="68" customFormat="1" ht="38.25" customHeight="1" x14ac:dyDescent="0.25">
      <c r="A89" s="123"/>
      <c r="B89" s="173" t="s">
        <v>1368</v>
      </c>
      <c r="C89" s="239">
        <f t="shared" ref="C89:G89" si="11">SUM(C77:C88)</f>
        <v>0</v>
      </c>
      <c r="D89" s="239">
        <f t="shared" si="11"/>
        <v>0</v>
      </c>
      <c r="E89" s="240">
        <f t="shared" si="11"/>
        <v>0</v>
      </c>
      <c r="F89" s="259">
        <f t="shared" si="11"/>
        <v>0</v>
      </c>
      <c r="G89" s="176">
        <f t="shared" si="11"/>
        <v>0</v>
      </c>
      <c r="H89" s="176">
        <f>SUM(H77:H88)</f>
        <v>0</v>
      </c>
      <c r="I89" s="131"/>
      <c r="J89" s="122"/>
      <c r="K89" s="131"/>
      <c r="L89" s="110"/>
      <c r="M89" s="130"/>
      <c r="N89" s="130"/>
      <c r="O89" s="133"/>
    </row>
    <row r="90" spans="1:15" s="123" customFormat="1" ht="15" customHeight="1" x14ac:dyDescent="0.25">
      <c r="A90" s="120"/>
      <c r="B90" s="129"/>
      <c r="C90" s="248"/>
      <c r="D90" s="249"/>
      <c r="E90" s="250"/>
      <c r="F90" s="250"/>
      <c r="G90" s="128"/>
      <c r="H90" s="128"/>
      <c r="I90" s="131"/>
      <c r="J90" s="131"/>
      <c r="K90" s="131"/>
      <c r="L90" s="131"/>
    </row>
    <row r="91" spans="1:15" s="68" customFormat="1" ht="38.25" customHeight="1" x14ac:dyDescent="0.25">
      <c r="A91" s="123"/>
      <c r="B91" s="407" t="s">
        <v>1379</v>
      </c>
      <c r="C91" s="251" t="s">
        <v>1535</v>
      </c>
      <c r="D91" s="445" t="s">
        <v>1384</v>
      </c>
      <c r="E91" s="445"/>
      <c r="F91" s="261"/>
      <c r="G91" s="450" t="s">
        <v>1531</v>
      </c>
      <c r="H91" s="450"/>
      <c r="I91" s="131"/>
      <c r="J91" s="122"/>
      <c r="K91" s="131"/>
      <c r="L91" s="110"/>
      <c r="M91" s="130"/>
      <c r="N91" s="130"/>
      <c r="O91" s="133"/>
    </row>
    <row r="92" spans="1:15" s="68" customFormat="1" ht="53.25" customHeight="1" x14ac:dyDescent="0.25">
      <c r="A92" s="123"/>
      <c r="B92" s="407"/>
      <c r="C92" s="251" t="s">
        <v>1420</v>
      </c>
      <c r="D92" s="251" t="s">
        <v>1399</v>
      </c>
      <c r="E92" s="251" t="s">
        <v>1400</v>
      </c>
      <c r="F92" s="262"/>
      <c r="G92" s="254" t="s">
        <v>1536</v>
      </c>
      <c r="H92" s="254" t="s">
        <v>1537</v>
      </c>
      <c r="I92" s="131"/>
      <c r="J92" s="122"/>
      <c r="K92" s="131"/>
      <c r="L92" s="110"/>
      <c r="M92" s="130"/>
      <c r="N92" s="130"/>
      <c r="O92" s="133"/>
    </row>
    <row r="93" spans="1:15" s="68" customFormat="1" ht="38.25" customHeight="1" x14ac:dyDescent="0.25">
      <c r="A93" s="232">
        <v>1</v>
      </c>
      <c r="B93" s="255"/>
      <c r="C93" s="256"/>
      <c r="D93" s="256"/>
      <c r="E93" s="236"/>
      <c r="F93" s="263">
        <f t="shared" ref="F93:F104" si="12">+G93/$E$184</f>
        <v>0</v>
      </c>
      <c r="G93" s="264">
        <f>'HOJA 5 AUX'!G10</f>
        <v>0</v>
      </c>
      <c r="H93" s="264">
        <f t="shared" ref="H93:H104" si="13">(C93*D93)*G93</f>
        <v>0</v>
      </c>
      <c r="I93" s="131"/>
      <c r="J93" s="122"/>
      <c r="K93" s="131"/>
      <c r="L93" s="110"/>
      <c r="M93" s="130"/>
      <c r="N93" s="130"/>
      <c r="O93" s="133"/>
    </row>
    <row r="94" spans="1:15" s="68" customFormat="1" ht="38.25" customHeight="1" x14ac:dyDescent="0.25">
      <c r="A94" s="232">
        <v>2</v>
      </c>
      <c r="B94" s="255"/>
      <c r="C94" s="256"/>
      <c r="D94" s="256"/>
      <c r="E94" s="236"/>
      <c r="F94" s="265">
        <f t="shared" si="12"/>
        <v>0</v>
      </c>
      <c r="G94" s="266">
        <f>'HOJA 5 AUX'!O10</f>
        <v>0</v>
      </c>
      <c r="H94" s="266">
        <f t="shared" si="13"/>
        <v>0</v>
      </c>
      <c r="I94" s="131"/>
      <c r="J94" s="122"/>
      <c r="K94" s="131"/>
      <c r="L94" s="110"/>
      <c r="M94" s="130"/>
      <c r="N94" s="130"/>
      <c r="O94" s="133"/>
    </row>
    <row r="95" spans="1:15" s="68" customFormat="1" ht="38.25" customHeight="1" x14ac:dyDescent="0.25">
      <c r="A95" s="232">
        <v>3</v>
      </c>
      <c r="B95" s="255"/>
      <c r="C95" s="256"/>
      <c r="D95" s="256"/>
      <c r="E95" s="236"/>
      <c r="F95" s="265">
        <f t="shared" si="12"/>
        <v>0</v>
      </c>
      <c r="G95" s="266">
        <f>+'HOJA 5 AUX'!G28</f>
        <v>0</v>
      </c>
      <c r="H95" s="266">
        <f t="shared" si="13"/>
        <v>0</v>
      </c>
      <c r="I95" s="130"/>
      <c r="J95" s="122"/>
      <c r="K95" s="131"/>
      <c r="L95" s="110"/>
      <c r="M95" s="130"/>
      <c r="N95" s="130"/>
      <c r="O95" s="133"/>
    </row>
    <row r="96" spans="1:15" s="68" customFormat="1" ht="38.25" customHeight="1" x14ac:dyDescent="0.25">
      <c r="A96" s="232">
        <v>4</v>
      </c>
      <c r="B96" s="255"/>
      <c r="C96" s="256"/>
      <c r="D96" s="256"/>
      <c r="E96" s="236"/>
      <c r="F96" s="265">
        <f t="shared" si="12"/>
        <v>0</v>
      </c>
      <c r="G96" s="266">
        <f>'HOJA 5 AUX'!O28</f>
        <v>0</v>
      </c>
      <c r="H96" s="266">
        <f t="shared" si="13"/>
        <v>0</v>
      </c>
      <c r="I96" s="130"/>
      <c r="J96" s="122"/>
      <c r="K96" s="131"/>
      <c r="L96" s="110"/>
      <c r="M96" s="130"/>
      <c r="N96" s="130"/>
      <c r="O96" s="133"/>
    </row>
    <row r="97" spans="1:15" s="68" customFormat="1" ht="38.25" customHeight="1" x14ac:dyDescent="0.25">
      <c r="A97" s="232">
        <v>5</v>
      </c>
      <c r="B97" s="255"/>
      <c r="C97" s="256"/>
      <c r="D97" s="256"/>
      <c r="E97" s="236"/>
      <c r="F97" s="265">
        <f t="shared" si="12"/>
        <v>0</v>
      </c>
      <c r="G97" s="266">
        <f>'HOJA 5 AUX'!G48</f>
        <v>0</v>
      </c>
      <c r="H97" s="266">
        <f t="shared" si="13"/>
        <v>0</v>
      </c>
      <c r="I97" s="130"/>
      <c r="J97" s="122"/>
      <c r="K97" s="131"/>
      <c r="L97" s="110"/>
      <c r="M97" s="130"/>
      <c r="N97" s="130"/>
      <c r="O97" s="133"/>
    </row>
    <row r="98" spans="1:15" s="68" customFormat="1" ht="38.25" customHeight="1" x14ac:dyDescent="0.25">
      <c r="A98" s="232">
        <v>6</v>
      </c>
      <c r="B98" s="255"/>
      <c r="C98" s="256"/>
      <c r="D98" s="256"/>
      <c r="E98" s="236"/>
      <c r="F98" s="265">
        <f t="shared" si="12"/>
        <v>0</v>
      </c>
      <c r="G98" s="266">
        <f>'HOJA 5 AUX'!O48</f>
        <v>0</v>
      </c>
      <c r="H98" s="266">
        <f t="shared" si="13"/>
        <v>0</v>
      </c>
      <c r="I98" s="130"/>
      <c r="J98" s="122"/>
      <c r="K98" s="131"/>
      <c r="L98" s="110"/>
      <c r="M98" s="130"/>
      <c r="N98" s="130"/>
      <c r="O98" s="133"/>
    </row>
    <row r="99" spans="1:15" s="68" customFormat="1" ht="38.25" customHeight="1" x14ac:dyDescent="0.25">
      <c r="A99" s="232">
        <v>7</v>
      </c>
      <c r="B99" s="255"/>
      <c r="C99" s="256"/>
      <c r="D99" s="256"/>
      <c r="E99" s="236"/>
      <c r="F99" s="265">
        <f t="shared" si="12"/>
        <v>0</v>
      </c>
      <c r="G99" s="266">
        <f>+'HOJA 5 AUX'!G67</f>
        <v>0</v>
      </c>
      <c r="H99" s="266">
        <f t="shared" si="13"/>
        <v>0</v>
      </c>
      <c r="I99" s="130"/>
      <c r="J99" s="122"/>
      <c r="K99" s="131"/>
      <c r="L99" s="110"/>
      <c r="M99" s="130"/>
      <c r="N99" s="130"/>
      <c r="O99" s="133"/>
    </row>
    <row r="100" spans="1:15" s="68" customFormat="1" ht="38.25" customHeight="1" x14ac:dyDescent="0.25">
      <c r="A100" s="232">
        <v>8</v>
      </c>
      <c r="B100" s="255"/>
      <c r="C100" s="256"/>
      <c r="D100" s="256"/>
      <c r="E100" s="236"/>
      <c r="F100" s="265">
        <f t="shared" si="12"/>
        <v>0</v>
      </c>
      <c r="G100" s="266">
        <f>+'HOJA 5 AUX'!O67</f>
        <v>0</v>
      </c>
      <c r="H100" s="266">
        <f t="shared" si="13"/>
        <v>0</v>
      </c>
      <c r="I100" s="130"/>
      <c r="J100" s="122"/>
      <c r="K100" s="131"/>
      <c r="L100" s="110"/>
      <c r="M100" s="130"/>
      <c r="N100" s="130"/>
      <c r="O100" s="133"/>
    </row>
    <row r="101" spans="1:15" s="68" customFormat="1" ht="38.25" customHeight="1" x14ac:dyDescent="0.25">
      <c r="A101" s="232">
        <v>9</v>
      </c>
      <c r="B101" s="255"/>
      <c r="C101" s="256"/>
      <c r="D101" s="256"/>
      <c r="E101" s="236"/>
      <c r="F101" s="265">
        <f t="shared" si="12"/>
        <v>0</v>
      </c>
      <c r="G101" s="266">
        <f>+'HOJA 5 AUX'!G85</f>
        <v>0</v>
      </c>
      <c r="H101" s="266">
        <f t="shared" si="13"/>
        <v>0</v>
      </c>
      <c r="I101" s="130"/>
      <c r="J101" s="122"/>
      <c r="K101" s="122"/>
      <c r="L101" s="67"/>
      <c r="M101" s="130"/>
      <c r="N101" s="130"/>
      <c r="O101" s="133"/>
    </row>
    <row r="102" spans="1:15" s="68" customFormat="1" ht="38.25" customHeight="1" x14ac:dyDescent="0.25">
      <c r="A102" s="232">
        <v>10</v>
      </c>
      <c r="B102" s="255"/>
      <c r="C102" s="256"/>
      <c r="D102" s="256"/>
      <c r="E102" s="236"/>
      <c r="F102" s="265">
        <f t="shared" si="12"/>
        <v>0</v>
      </c>
      <c r="G102" s="266">
        <f>+'HOJA 5 AUX'!O85</f>
        <v>0</v>
      </c>
      <c r="H102" s="266">
        <f t="shared" si="13"/>
        <v>0</v>
      </c>
      <c r="I102" s="130"/>
      <c r="J102" s="122"/>
      <c r="K102" s="122"/>
      <c r="L102" s="67"/>
      <c r="M102" s="130"/>
      <c r="N102" s="130"/>
      <c r="O102" s="133"/>
    </row>
    <row r="103" spans="1:15" s="68" customFormat="1" ht="38.25" customHeight="1" x14ac:dyDescent="0.25">
      <c r="A103" s="232">
        <v>11</v>
      </c>
      <c r="B103" s="255"/>
      <c r="C103" s="256"/>
      <c r="D103" s="256"/>
      <c r="E103" s="236"/>
      <c r="F103" s="265">
        <f t="shared" si="12"/>
        <v>0</v>
      </c>
      <c r="G103" s="266">
        <f>+'HOJA 5 AUX'!G105</f>
        <v>0</v>
      </c>
      <c r="H103" s="266">
        <f t="shared" si="13"/>
        <v>0</v>
      </c>
      <c r="I103" s="130"/>
      <c r="J103" s="122"/>
      <c r="K103" s="122"/>
      <c r="L103" s="67"/>
      <c r="M103" s="130"/>
      <c r="N103" s="130"/>
      <c r="O103" s="133"/>
    </row>
    <row r="104" spans="1:15" s="68" customFormat="1" ht="38.25" customHeight="1" x14ac:dyDescent="0.25">
      <c r="A104" s="232">
        <v>12</v>
      </c>
      <c r="B104" s="255"/>
      <c r="C104" s="256"/>
      <c r="D104" s="256"/>
      <c r="E104" s="236"/>
      <c r="F104" s="265">
        <f t="shared" si="12"/>
        <v>0</v>
      </c>
      <c r="G104" s="266">
        <f>+'HOJA 5 AUX'!O105</f>
        <v>0</v>
      </c>
      <c r="H104" s="266">
        <f t="shared" si="13"/>
        <v>0</v>
      </c>
      <c r="I104" s="130"/>
      <c r="J104" s="122"/>
      <c r="K104" s="122"/>
      <c r="L104" s="67"/>
      <c r="M104" s="130"/>
      <c r="N104" s="130"/>
      <c r="O104" s="133"/>
    </row>
    <row r="105" spans="1:15" s="68" customFormat="1" ht="38.25" customHeight="1" x14ac:dyDescent="0.25">
      <c r="A105" s="123"/>
      <c r="B105" s="173" t="s">
        <v>1368</v>
      </c>
      <c r="C105" s="239">
        <f t="shared" ref="C105:G105" si="14">SUM(C93:C104)</f>
        <v>0</v>
      </c>
      <c r="D105" s="239">
        <f t="shared" si="14"/>
        <v>0</v>
      </c>
      <c r="E105" s="240">
        <f t="shared" si="14"/>
        <v>0</v>
      </c>
      <c r="F105" s="240">
        <f t="shared" si="14"/>
        <v>0</v>
      </c>
      <c r="G105" s="176">
        <f t="shared" si="14"/>
        <v>0</v>
      </c>
      <c r="H105" s="176">
        <f>SUM(H93:H104)</f>
        <v>0</v>
      </c>
      <c r="I105" s="130"/>
      <c r="J105" s="122"/>
      <c r="K105" s="122"/>
      <c r="L105" s="67"/>
      <c r="M105" s="130"/>
      <c r="N105" s="130"/>
      <c r="O105" s="133"/>
    </row>
    <row r="106" spans="1:15" s="123" customFormat="1" ht="15" customHeight="1" x14ac:dyDescent="0.25">
      <c r="A106" s="120"/>
      <c r="B106" s="129"/>
      <c r="C106" s="242"/>
      <c r="D106" s="243"/>
      <c r="E106" s="244"/>
      <c r="F106" s="244"/>
      <c r="G106" s="128"/>
      <c r="H106" s="128"/>
      <c r="I106" s="131"/>
      <c r="J106" s="131"/>
      <c r="K106" s="131"/>
      <c r="L106" s="131"/>
    </row>
    <row r="107" spans="1:15" s="68" customFormat="1" ht="38.25" customHeight="1" x14ac:dyDescent="0.25">
      <c r="A107" s="123"/>
      <c r="B107" s="405" t="s">
        <v>1379</v>
      </c>
      <c r="C107" s="245" t="s">
        <v>1535</v>
      </c>
      <c r="D107" s="388" t="s">
        <v>1385</v>
      </c>
      <c r="E107" s="389"/>
      <c r="F107" s="229"/>
      <c r="G107" s="452" t="s">
        <v>1531</v>
      </c>
      <c r="H107" s="449"/>
      <c r="I107" s="131"/>
      <c r="J107" s="131"/>
      <c r="K107" s="131"/>
      <c r="L107" s="110"/>
      <c r="M107" s="130"/>
      <c r="N107" s="130"/>
      <c r="O107" s="133"/>
    </row>
    <row r="108" spans="1:15" s="68" customFormat="1" ht="43.5" customHeight="1" x14ac:dyDescent="0.25">
      <c r="A108" s="123"/>
      <c r="B108" s="406"/>
      <c r="C108" s="160" t="s">
        <v>1420</v>
      </c>
      <c r="D108" s="160" t="s">
        <v>1399</v>
      </c>
      <c r="E108" s="160" t="s">
        <v>1400</v>
      </c>
      <c r="F108" s="260"/>
      <c r="G108" s="176" t="s">
        <v>1536</v>
      </c>
      <c r="H108" s="176" t="s">
        <v>1537</v>
      </c>
      <c r="I108" s="131"/>
      <c r="J108" s="131"/>
      <c r="K108" s="131"/>
      <c r="L108" s="110"/>
      <c r="M108" s="130"/>
      <c r="N108" s="130"/>
      <c r="O108" s="133"/>
    </row>
    <row r="109" spans="1:15" s="68" customFormat="1" ht="38.25" customHeight="1" x14ac:dyDescent="0.25">
      <c r="A109" s="232">
        <v>1</v>
      </c>
      <c r="B109" s="233"/>
      <c r="C109" s="234"/>
      <c r="D109" s="234"/>
      <c r="E109" s="236"/>
      <c r="F109" s="237">
        <f t="shared" ref="F109:F120" si="15">+G109/$E$184</f>
        <v>0</v>
      </c>
      <c r="G109" s="176">
        <f>'HOJA 6 AUX'!G10</f>
        <v>0</v>
      </c>
      <c r="H109" s="176">
        <f t="shared" ref="H109:H120" si="16">+(C109*D109)*G109</f>
        <v>0</v>
      </c>
      <c r="I109" s="131"/>
      <c r="J109" s="131"/>
      <c r="K109" s="131"/>
      <c r="L109" s="110"/>
      <c r="M109" s="130"/>
      <c r="N109" s="130"/>
      <c r="O109" s="133"/>
    </row>
    <row r="110" spans="1:15" s="68" customFormat="1" ht="38.25" customHeight="1" x14ac:dyDescent="0.25">
      <c r="A110" s="232">
        <v>2</v>
      </c>
      <c r="B110" s="233"/>
      <c r="C110" s="234"/>
      <c r="D110" s="234"/>
      <c r="E110" s="236"/>
      <c r="F110" s="237">
        <f t="shared" si="15"/>
        <v>0</v>
      </c>
      <c r="G110" s="176">
        <f>'HOJA 6 AUX'!O10</f>
        <v>0</v>
      </c>
      <c r="H110" s="176">
        <f t="shared" si="16"/>
        <v>0</v>
      </c>
      <c r="I110" s="131"/>
      <c r="J110" s="131"/>
      <c r="K110" s="131"/>
      <c r="L110" s="110"/>
      <c r="M110" s="130"/>
      <c r="N110" s="130"/>
      <c r="O110" s="133"/>
    </row>
    <row r="111" spans="1:15" s="68" customFormat="1" ht="38.25" customHeight="1" x14ac:dyDescent="0.25">
      <c r="A111" s="232">
        <v>3</v>
      </c>
      <c r="B111" s="233"/>
      <c r="C111" s="234"/>
      <c r="D111" s="234"/>
      <c r="E111" s="236"/>
      <c r="F111" s="237">
        <f t="shared" si="15"/>
        <v>0</v>
      </c>
      <c r="G111" s="176">
        <f>'HOJA 6 AUX'!G28</f>
        <v>0</v>
      </c>
      <c r="H111" s="176">
        <f t="shared" si="16"/>
        <v>0</v>
      </c>
      <c r="I111" s="131"/>
      <c r="J111" s="131"/>
      <c r="K111" s="131"/>
      <c r="L111" s="110"/>
      <c r="M111" s="130"/>
      <c r="N111" s="130"/>
      <c r="O111" s="133"/>
    </row>
    <row r="112" spans="1:15" s="68" customFormat="1" ht="38.25" customHeight="1" x14ac:dyDescent="0.25">
      <c r="A112" s="232">
        <v>4</v>
      </c>
      <c r="B112" s="233"/>
      <c r="C112" s="234"/>
      <c r="D112" s="234"/>
      <c r="E112" s="236"/>
      <c r="F112" s="237">
        <f t="shared" si="15"/>
        <v>0</v>
      </c>
      <c r="G112" s="176">
        <f>'HOJA 6 AUX'!O28</f>
        <v>0</v>
      </c>
      <c r="H112" s="176">
        <f t="shared" si="16"/>
        <v>0</v>
      </c>
      <c r="I112" s="131"/>
      <c r="J112" s="131"/>
      <c r="K112" s="131"/>
      <c r="L112" s="110"/>
      <c r="M112" s="130"/>
      <c r="N112" s="130"/>
      <c r="O112" s="133"/>
    </row>
    <row r="113" spans="1:15" s="68" customFormat="1" ht="38.25" customHeight="1" x14ac:dyDescent="0.25">
      <c r="A113" s="232">
        <v>5</v>
      </c>
      <c r="B113" s="233"/>
      <c r="C113" s="234"/>
      <c r="D113" s="234"/>
      <c r="E113" s="236"/>
      <c r="F113" s="237">
        <f t="shared" si="15"/>
        <v>0</v>
      </c>
      <c r="G113" s="176">
        <f>'HOJA 6 AUX'!G48</f>
        <v>0</v>
      </c>
      <c r="H113" s="176">
        <f t="shared" si="16"/>
        <v>0</v>
      </c>
      <c r="I113" s="131"/>
      <c r="J113" s="131"/>
      <c r="K113" s="131"/>
      <c r="L113" s="110"/>
      <c r="M113" s="130"/>
      <c r="N113" s="130"/>
      <c r="O113" s="133"/>
    </row>
    <row r="114" spans="1:15" s="68" customFormat="1" ht="38.25" customHeight="1" x14ac:dyDescent="0.25">
      <c r="A114" s="232">
        <v>6</v>
      </c>
      <c r="B114" s="233"/>
      <c r="C114" s="234"/>
      <c r="D114" s="234"/>
      <c r="E114" s="236"/>
      <c r="F114" s="237">
        <f t="shared" si="15"/>
        <v>0</v>
      </c>
      <c r="G114" s="176">
        <f>'HOJA 6 AUX'!O48</f>
        <v>0</v>
      </c>
      <c r="H114" s="176">
        <f t="shared" si="16"/>
        <v>0</v>
      </c>
      <c r="I114" s="131"/>
      <c r="J114" s="131"/>
      <c r="K114" s="131"/>
      <c r="L114" s="110"/>
      <c r="M114" s="130"/>
      <c r="N114" s="130"/>
      <c r="O114" s="133"/>
    </row>
    <row r="115" spans="1:15" s="68" customFormat="1" ht="38.25" customHeight="1" x14ac:dyDescent="0.25">
      <c r="A115" s="232">
        <v>7</v>
      </c>
      <c r="B115" s="233"/>
      <c r="C115" s="234"/>
      <c r="D115" s="234"/>
      <c r="E115" s="236"/>
      <c r="F115" s="237">
        <f t="shared" si="15"/>
        <v>0</v>
      </c>
      <c r="G115" s="176">
        <f>'HOJA 6 AUX'!G67</f>
        <v>0</v>
      </c>
      <c r="H115" s="176">
        <f t="shared" si="16"/>
        <v>0</v>
      </c>
      <c r="I115" s="131"/>
      <c r="J115" s="131"/>
      <c r="K115" s="131"/>
      <c r="L115" s="110"/>
      <c r="M115" s="130"/>
      <c r="N115" s="130"/>
      <c r="O115" s="133"/>
    </row>
    <row r="116" spans="1:15" s="68" customFormat="1" ht="38.25" customHeight="1" x14ac:dyDescent="0.25">
      <c r="A116" s="232">
        <v>8</v>
      </c>
      <c r="B116" s="233"/>
      <c r="C116" s="234"/>
      <c r="D116" s="234"/>
      <c r="E116" s="236"/>
      <c r="F116" s="237">
        <f t="shared" si="15"/>
        <v>0</v>
      </c>
      <c r="G116" s="176">
        <f>'HOJA 6 AUX'!O67</f>
        <v>0</v>
      </c>
      <c r="H116" s="176">
        <f t="shared" si="16"/>
        <v>0</v>
      </c>
      <c r="I116" s="131"/>
      <c r="J116" s="131"/>
      <c r="K116" s="131"/>
      <c r="L116" s="110"/>
      <c r="M116" s="130"/>
      <c r="N116" s="130"/>
      <c r="O116" s="133"/>
    </row>
    <row r="117" spans="1:15" s="68" customFormat="1" ht="38.25" customHeight="1" x14ac:dyDescent="0.25">
      <c r="A117" s="232">
        <v>9</v>
      </c>
      <c r="B117" s="233"/>
      <c r="C117" s="234"/>
      <c r="D117" s="234"/>
      <c r="E117" s="236"/>
      <c r="F117" s="237">
        <f t="shared" si="15"/>
        <v>0</v>
      </c>
      <c r="G117" s="176">
        <f>'HOJA 6 AUX'!G85</f>
        <v>0</v>
      </c>
      <c r="H117" s="176">
        <f t="shared" si="16"/>
        <v>0</v>
      </c>
      <c r="I117" s="131"/>
      <c r="J117" s="131"/>
      <c r="K117" s="131"/>
      <c r="L117" s="110"/>
      <c r="M117" s="130"/>
      <c r="N117" s="130"/>
      <c r="O117" s="133"/>
    </row>
    <row r="118" spans="1:15" s="68" customFormat="1" ht="38.25" customHeight="1" x14ac:dyDescent="0.25">
      <c r="A118" s="232">
        <v>10</v>
      </c>
      <c r="B118" s="233"/>
      <c r="C118" s="234"/>
      <c r="D118" s="234"/>
      <c r="E118" s="236"/>
      <c r="F118" s="237">
        <f t="shared" si="15"/>
        <v>0</v>
      </c>
      <c r="G118" s="176">
        <f>'HOJA 6 AUX'!O85</f>
        <v>0</v>
      </c>
      <c r="H118" s="176">
        <f t="shared" si="16"/>
        <v>0</v>
      </c>
      <c r="I118" s="131"/>
      <c r="J118" s="131"/>
      <c r="K118" s="131"/>
      <c r="L118" s="110"/>
      <c r="M118" s="130"/>
      <c r="N118" s="130"/>
      <c r="O118" s="133"/>
    </row>
    <row r="119" spans="1:15" s="68" customFormat="1" ht="38.25" customHeight="1" x14ac:dyDescent="0.25">
      <c r="A119" s="232">
        <v>11</v>
      </c>
      <c r="B119" s="233"/>
      <c r="C119" s="234"/>
      <c r="D119" s="234"/>
      <c r="E119" s="236"/>
      <c r="F119" s="237">
        <f t="shared" si="15"/>
        <v>0</v>
      </c>
      <c r="G119" s="176">
        <f>'HOJA 6 AUX'!G105</f>
        <v>0</v>
      </c>
      <c r="H119" s="176">
        <f t="shared" si="16"/>
        <v>0</v>
      </c>
      <c r="I119" s="131"/>
      <c r="J119" s="131"/>
      <c r="K119" s="131"/>
      <c r="L119" s="110"/>
      <c r="M119" s="130"/>
      <c r="N119" s="130"/>
      <c r="O119" s="133"/>
    </row>
    <row r="120" spans="1:15" s="68" customFormat="1" ht="38.25" customHeight="1" x14ac:dyDescent="0.25">
      <c r="A120" s="232">
        <v>12</v>
      </c>
      <c r="B120" s="233"/>
      <c r="C120" s="234"/>
      <c r="D120" s="234"/>
      <c r="E120" s="236"/>
      <c r="F120" s="237">
        <f t="shared" si="15"/>
        <v>0</v>
      </c>
      <c r="G120" s="176">
        <f>'HOJA 6 AUX'!O105</f>
        <v>0</v>
      </c>
      <c r="H120" s="176">
        <f t="shared" si="16"/>
        <v>0</v>
      </c>
      <c r="I120" s="131"/>
      <c r="J120" s="131"/>
      <c r="K120" s="131"/>
      <c r="L120" s="110"/>
      <c r="M120" s="130"/>
      <c r="N120" s="130"/>
      <c r="O120" s="133"/>
    </row>
    <row r="121" spans="1:15" s="68" customFormat="1" ht="38.25" customHeight="1" x14ac:dyDescent="0.25">
      <c r="A121" s="123"/>
      <c r="B121" s="173" t="s">
        <v>1368</v>
      </c>
      <c r="C121" s="239">
        <f t="shared" ref="C121:G121" si="17">SUM(C109:C120)</f>
        <v>0</v>
      </c>
      <c r="D121" s="239">
        <f t="shared" si="17"/>
        <v>0</v>
      </c>
      <c r="E121" s="240">
        <f t="shared" si="17"/>
        <v>0</v>
      </c>
      <c r="F121" s="259">
        <f t="shared" si="17"/>
        <v>0</v>
      </c>
      <c r="G121" s="176">
        <f t="shared" si="17"/>
        <v>0</v>
      </c>
      <c r="H121" s="176">
        <f>SUM(H109:H120)</f>
        <v>0</v>
      </c>
      <c r="I121" s="131"/>
      <c r="J121" s="131"/>
      <c r="K121" s="131"/>
      <c r="L121" s="110"/>
      <c r="M121" s="130"/>
      <c r="N121" s="130"/>
      <c r="O121" s="133"/>
    </row>
    <row r="122" spans="1:15" s="123" customFormat="1" ht="15" customHeight="1" x14ac:dyDescent="0.25">
      <c r="A122" s="120"/>
      <c r="B122" s="129"/>
      <c r="C122" s="242"/>
      <c r="D122" s="243"/>
      <c r="E122" s="244"/>
      <c r="F122" s="244"/>
      <c r="G122" s="128"/>
      <c r="H122" s="128"/>
      <c r="I122" s="131"/>
      <c r="J122" s="131"/>
      <c r="K122" s="131"/>
      <c r="L122" s="131"/>
    </row>
    <row r="123" spans="1:15" s="68" customFormat="1" ht="38.25" customHeight="1" x14ac:dyDescent="0.25">
      <c r="A123" s="123"/>
      <c r="B123" s="405" t="s">
        <v>1379</v>
      </c>
      <c r="C123" s="245" t="s">
        <v>1535</v>
      </c>
      <c r="D123" s="388" t="s">
        <v>1382</v>
      </c>
      <c r="E123" s="389"/>
      <c r="F123" s="229"/>
      <c r="G123" s="452" t="s">
        <v>1531</v>
      </c>
      <c r="H123" s="449"/>
      <c r="I123" s="130"/>
      <c r="J123" s="122"/>
      <c r="K123" s="122"/>
      <c r="L123" s="67"/>
      <c r="M123" s="130"/>
      <c r="N123" s="130"/>
      <c r="O123" s="133"/>
    </row>
    <row r="124" spans="1:15" s="68" customFormat="1" ht="52.5" customHeight="1" x14ac:dyDescent="0.25">
      <c r="A124" s="123"/>
      <c r="B124" s="406"/>
      <c r="C124" s="160" t="s">
        <v>1420</v>
      </c>
      <c r="D124" s="160" t="s">
        <v>1399</v>
      </c>
      <c r="E124" s="160" t="s">
        <v>1400</v>
      </c>
      <c r="F124" s="260"/>
      <c r="G124" s="176" t="s">
        <v>1536</v>
      </c>
      <c r="H124" s="176" t="s">
        <v>1537</v>
      </c>
      <c r="I124" s="130"/>
      <c r="J124" s="122"/>
      <c r="K124" s="122"/>
      <c r="L124" s="67"/>
      <c r="M124" s="130"/>
      <c r="N124" s="130"/>
      <c r="O124" s="133"/>
    </row>
    <row r="125" spans="1:15" s="68" customFormat="1" ht="38.25" customHeight="1" x14ac:dyDescent="0.25">
      <c r="A125" s="232">
        <v>1</v>
      </c>
      <c r="B125" s="233"/>
      <c r="C125" s="234"/>
      <c r="D125" s="234"/>
      <c r="E125" s="236"/>
      <c r="F125" s="237">
        <f t="shared" ref="F125:F136" si="18">+G125/$E$184</f>
        <v>0</v>
      </c>
      <c r="G125" s="176">
        <f>'HOJA 7 AUX'!G10</f>
        <v>0</v>
      </c>
      <c r="H125" s="176">
        <f t="shared" ref="H125:H136" si="19">(C125*D125)*G125</f>
        <v>0</v>
      </c>
      <c r="I125" s="130"/>
      <c r="J125" s="122"/>
      <c r="K125" s="122"/>
      <c r="L125" s="67"/>
      <c r="M125" s="130"/>
      <c r="N125" s="130"/>
      <c r="O125" s="133"/>
    </row>
    <row r="126" spans="1:15" s="68" customFormat="1" ht="38.25" customHeight="1" x14ac:dyDescent="0.25">
      <c r="A126" s="232">
        <v>2</v>
      </c>
      <c r="B126" s="233"/>
      <c r="C126" s="234"/>
      <c r="D126" s="234"/>
      <c r="E126" s="236"/>
      <c r="F126" s="237">
        <f t="shared" si="18"/>
        <v>0</v>
      </c>
      <c r="G126" s="176">
        <f>'HOJA 7 AUX'!O10</f>
        <v>0</v>
      </c>
      <c r="H126" s="176">
        <f t="shared" si="19"/>
        <v>0</v>
      </c>
      <c r="I126" s="130"/>
      <c r="J126" s="122"/>
      <c r="K126" s="122"/>
      <c r="L126" s="67"/>
      <c r="M126" s="130"/>
      <c r="N126" s="130"/>
      <c r="O126" s="133"/>
    </row>
    <row r="127" spans="1:15" s="68" customFormat="1" ht="38.25" customHeight="1" x14ac:dyDescent="0.25">
      <c r="A127" s="232">
        <v>3</v>
      </c>
      <c r="B127" s="233"/>
      <c r="C127" s="234"/>
      <c r="D127" s="234"/>
      <c r="E127" s="236"/>
      <c r="F127" s="237">
        <f t="shared" si="18"/>
        <v>0</v>
      </c>
      <c r="G127" s="176">
        <f>'HOJA 7 AUX'!G28</f>
        <v>0</v>
      </c>
      <c r="H127" s="176">
        <f t="shared" si="19"/>
        <v>0</v>
      </c>
      <c r="I127" s="130"/>
      <c r="J127" s="122"/>
      <c r="K127" s="122"/>
      <c r="L127" s="67"/>
      <c r="M127" s="130"/>
      <c r="N127" s="130"/>
      <c r="O127" s="133"/>
    </row>
    <row r="128" spans="1:15" s="68" customFormat="1" ht="38.25" customHeight="1" x14ac:dyDescent="0.25">
      <c r="A128" s="232">
        <v>4</v>
      </c>
      <c r="B128" s="233"/>
      <c r="C128" s="234"/>
      <c r="D128" s="234"/>
      <c r="E128" s="236"/>
      <c r="F128" s="237">
        <f t="shared" si="18"/>
        <v>0</v>
      </c>
      <c r="G128" s="176">
        <f>'HOJA 7 AUX'!O28</f>
        <v>0</v>
      </c>
      <c r="H128" s="176">
        <f t="shared" si="19"/>
        <v>0</v>
      </c>
      <c r="I128" s="130"/>
      <c r="J128" s="122"/>
      <c r="K128" s="122"/>
      <c r="L128" s="67"/>
      <c r="M128" s="130"/>
      <c r="N128" s="130"/>
      <c r="O128" s="133"/>
    </row>
    <row r="129" spans="1:15" s="68" customFormat="1" ht="38.25" customHeight="1" x14ac:dyDescent="0.25">
      <c r="A129" s="232">
        <v>5</v>
      </c>
      <c r="B129" s="233"/>
      <c r="C129" s="234"/>
      <c r="D129" s="234"/>
      <c r="E129" s="236"/>
      <c r="F129" s="237">
        <f t="shared" si="18"/>
        <v>0</v>
      </c>
      <c r="G129" s="176">
        <f>'HOJA 7 AUX'!G48</f>
        <v>0</v>
      </c>
      <c r="H129" s="176">
        <f t="shared" si="19"/>
        <v>0</v>
      </c>
      <c r="I129" s="130"/>
      <c r="J129" s="122"/>
      <c r="K129" s="122"/>
      <c r="L129" s="67"/>
      <c r="M129" s="130"/>
      <c r="N129" s="130"/>
      <c r="O129" s="133"/>
    </row>
    <row r="130" spans="1:15" s="68" customFormat="1" ht="38.25" customHeight="1" x14ac:dyDescent="0.25">
      <c r="A130" s="232">
        <v>6</v>
      </c>
      <c r="B130" s="233"/>
      <c r="C130" s="234"/>
      <c r="D130" s="234"/>
      <c r="E130" s="236"/>
      <c r="F130" s="237">
        <f t="shared" si="18"/>
        <v>0</v>
      </c>
      <c r="G130" s="176">
        <f>'HOJA 7 AUX'!O48</f>
        <v>0</v>
      </c>
      <c r="H130" s="176">
        <f t="shared" si="19"/>
        <v>0</v>
      </c>
      <c r="I130" s="130"/>
      <c r="J130" s="122"/>
      <c r="K130" s="122"/>
      <c r="L130" s="67"/>
      <c r="M130" s="130"/>
      <c r="N130" s="130"/>
      <c r="O130" s="133"/>
    </row>
    <row r="131" spans="1:15" s="68" customFormat="1" ht="38.25" customHeight="1" x14ac:dyDescent="0.25">
      <c r="A131" s="232">
        <v>7</v>
      </c>
      <c r="B131" s="233"/>
      <c r="C131" s="234"/>
      <c r="D131" s="234"/>
      <c r="E131" s="236"/>
      <c r="F131" s="237">
        <f t="shared" si="18"/>
        <v>0</v>
      </c>
      <c r="G131" s="176">
        <f>'HOJA 7 AUX'!G67</f>
        <v>0</v>
      </c>
      <c r="H131" s="176">
        <f t="shared" si="19"/>
        <v>0</v>
      </c>
      <c r="I131" s="130"/>
      <c r="J131" s="122"/>
      <c r="K131" s="122"/>
      <c r="L131" s="67"/>
      <c r="M131" s="130"/>
      <c r="N131" s="130"/>
      <c r="O131" s="133"/>
    </row>
    <row r="132" spans="1:15" s="68" customFormat="1" ht="38.25" customHeight="1" x14ac:dyDescent="0.25">
      <c r="A132" s="232">
        <v>8</v>
      </c>
      <c r="B132" s="233"/>
      <c r="C132" s="234"/>
      <c r="D132" s="234"/>
      <c r="E132" s="236"/>
      <c r="F132" s="237">
        <f t="shared" si="18"/>
        <v>0</v>
      </c>
      <c r="G132" s="176">
        <f>'HOJA 7 AUX'!O67</f>
        <v>0</v>
      </c>
      <c r="H132" s="176">
        <f t="shared" si="19"/>
        <v>0</v>
      </c>
      <c r="I132" s="130"/>
      <c r="J132" s="122"/>
      <c r="K132" s="122"/>
      <c r="L132" s="67"/>
      <c r="M132" s="130"/>
      <c r="N132" s="130"/>
      <c r="O132" s="133"/>
    </row>
    <row r="133" spans="1:15" s="68" customFormat="1" ht="38.25" customHeight="1" x14ac:dyDescent="0.25">
      <c r="A133" s="232">
        <v>9</v>
      </c>
      <c r="B133" s="233"/>
      <c r="C133" s="234"/>
      <c r="D133" s="234"/>
      <c r="E133" s="236"/>
      <c r="F133" s="237">
        <f t="shared" si="18"/>
        <v>0</v>
      </c>
      <c r="G133" s="176">
        <f>'HOJA 7 AUX'!G85</f>
        <v>0</v>
      </c>
      <c r="H133" s="176">
        <f t="shared" si="19"/>
        <v>0</v>
      </c>
      <c r="I133" s="130"/>
      <c r="J133" s="122"/>
      <c r="K133" s="122"/>
      <c r="L133" s="67"/>
      <c r="M133" s="130"/>
      <c r="N133" s="130"/>
      <c r="O133" s="133"/>
    </row>
    <row r="134" spans="1:15" s="68" customFormat="1" ht="38.25" customHeight="1" x14ac:dyDescent="0.25">
      <c r="A134" s="232">
        <v>10</v>
      </c>
      <c r="B134" s="233"/>
      <c r="C134" s="234"/>
      <c r="D134" s="234"/>
      <c r="E134" s="236"/>
      <c r="F134" s="237">
        <f t="shared" si="18"/>
        <v>0</v>
      </c>
      <c r="G134" s="176">
        <f>'HOJA 7 AUX'!O85</f>
        <v>0</v>
      </c>
      <c r="H134" s="176">
        <f t="shared" si="19"/>
        <v>0</v>
      </c>
      <c r="I134" s="130"/>
      <c r="J134" s="122"/>
      <c r="K134" s="122"/>
      <c r="L134" s="67"/>
      <c r="M134" s="130"/>
      <c r="N134" s="130"/>
      <c r="O134" s="133"/>
    </row>
    <row r="135" spans="1:15" s="68" customFormat="1" ht="38.25" customHeight="1" x14ac:dyDescent="0.25">
      <c r="A135" s="232">
        <v>11</v>
      </c>
      <c r="B135" s="233"/>
      <c r="C135" s="234"/>
      <c r="D135" s="234"/>
      <c r="E135" s="236"/>
      <c r="F135" s="237">
        <f t="shared" si="18"/>
        <v>0</v>
      </c>
      <c r="G135" s="176">
        <f>'HOJA 7 AUX'!G105</f>
        <v>0</v>
      </c>
      <c r="H135" s="176">
        <f t="shared" si="19"/>
        <v>0</v>
      </c>
      <c r="I135" s="130"/>
      <c r="J135" s="122"/>
      <c r="K135" s="122"/>
      <c r="L135" s="67"/>
      <c r="M135" s="130"/>
      <c r="N135" s="130"/>
      <c r="O135" s="133"/>
    </row>
    <row r="136" spans="1:15" s="68" customFormat="1" ht="38.25" customHeight="1" x14ac:dyDescent="0.25">
      <c r="A136" s="232">
        <v>12</v>
      </c>
      <c r="B136" s="233"/>
      <c r="C136" s="234"/>
      <c r="D136" s="234"/>
      <c r="E136" s="236"/>
      <c r="F136" s="237">
        <f t="shared" si="18"/>
        <v>0</v>
      </c>
      <c r="G136" s="176">
        <f>'HOJA 7 AUX'!O105</f>
        <v>0</v>
      </c>
      <c r="H136" s="176">
        <f t="shared" si="19"/>
        <v>0</v>
      </c>
      <c r="I136" s="130"/>
      <c r="J136" s="122"/>
      <c r="K136" s="122"/>
      <c r="L136" s="67"/>
      <c r="M136" s="130"/>
      <c r="N136" s="130"/>
      <c r="O136" s="133"/>
    </row>
    <row r="137" spans="1:15" s="68" customFormat="1" ht="38.25" customHeight="1" x14ac:dyDescent="0.25">
      <c r="A137" s="123"/>
      <c r="B137" s="173" t="s">
        <v>1368</v>
      </c>
      <c r="C137" s="239">
        <f t="shared" ref="C137:G137" si="20">SUM(C125:C136)</f>
        <v>0</v>
      </c>
      <c r="D137" s="239">
        <f t="shared" si="20"/>
        <v>0</v>
      </c>
      <c r="E137" s="240">
        <f t="shared" si="20"/>
        <v>0</v>
      </c>
      <c r="F137" s="259">
        <f t="shared" si="20"/>
        <v>0</v>
      </c>
      <c r="G137" s="176">
        <f t="shared" si="20"/>
        <v>0</v>
      </c>
      <c r="H137" s="176">
        <f>SUM(H125:H136)</f>
        <v>0</v>
      </c>
      <c r="I137" s="130"/>
      <c r="J137" s="122"/>
      <c r="K137" s="122"/>
      <c r="L137" s="67"/>
      <c r="M137" s="130"/>
      <c r="N137" s="130"/>
      <c r="O137" s="133"/>
    </row>
    <row r="138" spans="1:15" s="123" customFormat="1" ht="15" customHeight="1" x14ac:dyDescent="0.25">
      <c r="A138" s="120"/>
      <c r="B138" s="129"/>
      <c r="C138" s="242"/>
      <c r="D138" s="243"/>
      <c r="E138" s="244"/>
      <c r="F138" s="244"/>
      <c r="G138" s="128"/>
      <c r="H138" s="128"/>
      <c r="I138" s="131"/>
      <c r="J138" s="131"/>
      <c r="K138" s="131"/>
      <c r="L138" s="131"/>
    </row>
    <row r="139" spans="1:15" s="68" customFormat="1" ht="38.25" customHeight="1" x14ac:dyDescent="0.25">
      <c r="A139" s="123"/>
      <c r="B139" s="405" t="s">
        <v>1379</v>
      </c>
      <c r="C139" s="245" t="s">
        <v>1535</v>
      </c>
      <c r="D139" s="429" t="s">
        <v>1389</v>
      </c>
      <c r="E139" s="429"/>
      <c r="F139" s="267"/>
      <c r="G139" s="448" t="s">
        <v>1531</v>
      </c>
      <c r="H139" s="449"/>
      <c r="I139" s="131"/>
      <c r="J139" s="131"/>
      <c r="K139" s="131"/>
      <c r="L139" s="110"/>
      <c r="M139" s="130"/>
      <c r="N139" s="130"/>
      <c r="O139" s="133"/>
    </row>
    <row r="140" spans="1:15" s="68" customFormat="1" ht="53.25" customHeight="1" x14ac:dyDescent="0.25">
      <c r="A140" s="123"/>
      <c r="B140" s="406"/>
      <c r="C140" s="160" t="s">
        <v>1420</v>
      </c>
      <c r="D140" s="160" t="s">
        <v>1399</v>
      </c>
      <c r="E140" s="160" t="s">
        <v>1400</v>
      </c>
      <c r="F140" s="260"/>
      <c r="G140" s="176" t="s">
        <v>1536</v>
      </c>
      <c r="H140" s="176" t="s">
        <v>1537</v>
      </c>
      <c r="I140" s="131"/>
      <c r="J140" s="131"/>
      <c r="K140" s="131"/>
      <c r="L140" s="110"/>
      <c r="M140" s="130"/>
      <c r="N140" s="130"/>
      <c r="O140" s="133"/>
    </row>
    <row r="141" spans="1:15" s="68" customFormat="1" ht="38.25" customHeight="1" x14ac:dyDescent="0.25">
      <c r="A141" s="232">
        <v>1</v>
      </c>
      <c r="B141" s="233"/>
      <c r="C141" s="234"/>
      <c r="D141" s="234"/>
      <c r="E141" s="236"/>
      <c r="F141" s="237">
        <f t="shared" ref="F141:F152" si="21">+G141/$E$184</f>
        <v>0</v>
      </c>
      <c r="G141" s="176">
        <f>'HOJA 8 AUX'!G10</f>
        <v>0</v>
      </c>
      <c r="H141" s="176">
        <f t="shared" ref="H141:H152" si="22">+(C141*D141)*G141</f>
        <v>0</v>
      </c>
      <c r="I141" s="131"/>
      <c r="J141" s="131"/>
      <c r="K141" s="131"/>
      <c r="L141" s="110"/>
      <c r="M141" s="130"/>
      <c r="N141" s="130"/>
      <c r="O141" s="133"/>
    </row>
    <row r="142" spans="1:15" s="68" customFormat="1" ht="38.25" customHeight="1" x14ac:dyDescent="0.25">
      <c r="A142" s="232">
        <v>2</v>
      </c>
      <c r="B142" s="233"/>
      <c r="C142" s="234"/>
      <c r="D142" s="234"/>
      <c r="E142" s="236"/>
      <c r="F142" s="237">
        <f t="shared" si="21"/>
        <v>0</v>
      </c>
      <c r="G142" s="176">
        <f>'HOJA 8 AUX'!O10</f>
        <v>0</v>
      </c>
      <c r="H142" s="176">
        <f t="shared" si="22"/>
        <v>0</v>
      </c>
      <c r="I142" s="131"/>
      <c r="J142" s="131"/>
      <c r="K142" s="131"/>
      <c r="L142" s="110"/>
      <c r="M142" s="130"/>
      <c r="N142" s="130"/>
      <c r="O142" s="133"/>
    </row>
    <row r="143" spans="1:15" s="68" customFormat="1" ht="38.25" customHeight="1" x14ac:dyDescent="0.25">
      <c r="A143" s="232">
        <v>3</v>
      </c>
      <c r="B143" s="233"/>
      <c r="C143" s="234"/>
      <c r="D143" s="234"/>
      <c r="E143" s="236"/>
      <c r="F143" s="237">
        <f t="shared" si="21"/>
        <v>0</v>
      </c>
      <c r="G143" s="176">
        <f>'HOJA 8 AUX'!G28</f>
        <v>0</v>
      </c>
      <c r="H143" s="176">
        <f t="shared" si="22"/>
        <v>0</v>
      </c>
      <c r="I143" s="131"/>
      <c r="J143" s="131"/>
      <c r="K143" s="131"/>
      <c r="L143" s="110"/>
      <c r="M143" s="130"/>
      <c r="N143" s="130"/>
      <c r="O143" s="133"/>
    </row>
    <row r="144" spans="1:15" s="68" customFormat="1" ht="38.25" customHeight="1" x14ac:dyDescent="0.25">
      <c r="A144" s="232">
        <v>4</v>
      </c>
      <c r="B144" s="233"/>
      <c r="C144" s="234"/>
      <c r="D144" s="234"/>
      <c r="E144" s="236"/>
      <c r="F144" s="237">
        <f t="shared" si="21"/>
        <v>0</v>
      </c>
      <c r="G144" s="176">
        <f>'HOJA 8 AUX'!O28</f>
        <v>0</v>
      </c>
      <c r="H144" s="176">
        <f t="shared" si="22"/>
        <v>0</v>
      </c>
      <c r="I144" s="131"/>
      <c r="J144" s="131"/>
      <c r="K144" s="131"/>
      <c r="L144" s="110"/>
      <c r="M144" s="130"/>
      <c r="N144" s="130"/>
      <c r="O144" s="133"/>
    </row>
    <row r="145" spans="1:15" s="68" customFormat="1" ht="38.25" customHeight="1" x14ac:dyDescent="0.25">
      <c r="A145" s="232">
        <v>5</v>
      </c>
      <c r="B145" s="233"/>
      <c r="C145" s="234"/>
      <c r="D145" s="234"/>
      <c r="E145" s="236"/>
      <c r="F145" s="237">
        <f t="shared" si="21"/>
        <v>0</v>
      </c>
      <c r="G145" s="176">
        <f>'HOJA 8 AUX'!G48</f>
        <v>0</v>
      </c>
      <c r="H145" s="176">
        <f t="shared" si="22"/>
        <v>0</v>
      </c>
      <c r="I145" s="131"/>
      <c r="J145" s="131"/>
      <c r="K145" s="131"/>
      <c r="L145" s="110"/>
      <c r="M145" s="130"/>
      <c r="N145" s="130"/>
      <c r="O145" s="133"/>
    </row>
    <row r="146" spans="1:15" s="68" customFormat="1" ht="38.25" customHeight="1" x14ac:dyDescent="0.25">
      <c r="A146" s="232">
        <v>6</v>
      </c>
      <c r="B146" s="233"/>
      <c r="C146" s="234"/>
      <c r="D146" s="234"/>
      <c r="E146" s="236"/>
      <c r="F146" s="237">
        <f t="shared" si="21"/>
        <v>0</v>
      </c>
      <c r="G146" s="176">
        <f>'HOJA 8 AUX'!O48</f>
        <v>0</v>
      </c>
      <c r="H146" s="176">
        <f t="shared" si="22"/>
        <v>0</v>
      </c>
      <c r="I146" s="131"/>
      <c r="J146" s="131"/>
      <c r="K146" s="131"/>
      <c r="L146" s="110"/>
      <c r="M146" s="130"/>
      <c r="N146" s="130"/>
      <c r="O146" s="133"/>
    </row>
    <row r="147" spans="1:15" s="68" customFormat="1" ht="38.25" customHeight="1" x14ac:dyDescent="0.25">
      <c r="A147" s="232">
        <v>7</v>
      </c>
      <c r="B147" s="233"/>
      <c r="C147" s="234"/>
      <c r="D147" s="234"/>
      <c r="E147" s="236"/>
      <c r="F147" s="237">
        <f t="shared" si="21"/>
        <v>0</v>
      </c>
      <c r="G147" s="176">
        <f>'HOJA 8 AUX'!G67</f>
        <v>0</v>
      </c>
      <c r="H147" s="176">
        <f t="shared" si="22"/>
        <v>0</v>
      </c>
      <c r="I147" s="131"/>
      <c r="J147" s="131"/>
      <c r="K147" s="131"/>
      <c r="L147" s="110"/>
      <c r="M147" s="130"/>
      <c r="N147" s="130"/>
      <c r="O147" s="133"/>
    </row>
    <row r="148" spans="1:15" s="68" customFormat="1" ht="38.25" customHeight="1" x14ac:dyDescent="0.25">
      <c r="A148" s="232">
        <v>8</v>
      </c>
      <c r="B148" s="233"/>
      <c r="C148" s="234"/>
      <c r="D148" s="234"/>
      <c r="E148" s="236"/>
      <c r="F148" s="237">
        <f t="shared" si="21"/>
        <v>0</v>
      </c>
      <c r="G148" s="176">
        <f>'HOJA 8 AUX'!O67</f>
        <v>0</v>
      </c>
      <c r="H148" s="176">
        <f t="shared" si="22"/>
        <v>0</v>
      </c>
      <c r="I148" s="131"/>
      <c r="J148" s="131"/>
      <c r="K148" s="131"/>
      <c r="L148" s="110"/>
      <c r="M148" s="130"/>
      <c r="N148" s="130"/>
      <c r="O148" s="133"/>
    </row>
    <row r="149" spans="1:15" s="68" customFormat="1" ht="38.25" customHeight="1" x14ac:dyDescent="0.25">
      <c r="A149" s="232">
        <v>9</v>
      </c>
      <c r="B149" s="233"/>
      <c r="C149" s="234"/>
      <c r="D149" s="234"/>
      <c r="E149" s="236"/>
      <c r="F149" s="237">
        <f t="shared" si="21"/>
        <v>0</v>
      </c>
      <c r="G149" s="176">
        <f>'HOJA 8 AUX'!G85</f>
        <v>0</v>
      </c>
      <c r="H149" s="176">
        <f t="shared" si="22"/>
        <v>0</v>
      </c>
      <c r="I149" s="131"/>
      <c r="J149" s="131"/>
      <c r="K149" s="131"/>
      <c r="L149" s="110"/>
      <c r="M149" s="130"/>
      <c r="N149" s="130"/>
      <c r="O149" s="133"/>
    </row>
    <row r="150" spans="1:15" s="68" customFormat="1" ht="38.25" customHeight="1" x14ac:dyDescent="0.25">
      <c r="A150" s="232">
        <v>10</v>
      </c>
      <c r="B150" s="233"/>
      <c r="C150" s="234"/>
      <c r="D150" s="234"/>
      <c r="E150" s="236"/>
      <c r="F150" s="237">
        <f t="shared" si="21"/>
        <v>0</v>
      </c>
      <c r="G150" s="176">
        <f>'HOJA 8 AUX'!O85</f>
        <v>0</v>
      </c>
      <c r="H150" s="176">
        <f t="shared" si="22"/>
        <v>0</v>
      </c>
      <c r="I150" s="131"/>
      <c r="J150" s="131"/>
      <c r="K150" s="131"/>
      <c r="L150" s="110"/>
      <c r="M150" s="130"/>
      <c r="N150" s="130"/>
      <c r="O150" s="133"/>
    </row>
    <row r="151" spans="1:15" s="68" customFormat="1" ht="38.25" customHeight="1" x14ac:dyDescent="0.25">
      <c r="A151" s="232">
        <v>11</v>
      </c>
      <c r="B151" s="233"/>
      <c r="C151" s="234"/>
      <c r="D151" s="234"/>
      <c r="E151" s="236"/>
      <c r="F151" s="237">
        <f t="shared" si="21"/>
        <v>0</v>
      </c>
      <c r="G151" s="176">
        <f>'HOJA 8 AUX'!G105</f>
        <v>0</v>
      </c>
      <c r="H151" s="176">
        <f t="shared" si="22"/>
        <v>0</v>
      </c>
      <c r="I151" s="131"/>
      <c r="J151" s="131"/>
      <c r="K151" s="131"/>
      <c r="L151" s="110"/>
      <c r="M151" s="130"/>
      <c r="N151" s="130"/>
      <c r="O151" s="133"/>
    </row>
    <row r="152" spans="1:15" s="68" customFormat="1" ht="38.25" customHeight="1" x14ac:dyDescent="0.25">
      <c r="A152" s="232">
        <v>12</v>
      </c>
      <c r="B152" s="233"/>
      <c r="C152" s="234"/>
      <c r="D152" s="234"/>
      <c r="E152" s="236"/>
      <c r="F152" s="237">
        <f t="shared" si="21"/>
        <v>0</v>
      </c>
      <c r="G152" s="176">
        <f>'HOJA 8 AUX'!O105</f>
        <v>0</v>
      </c>
      <c r="H152" s="176">
        <f t="shared" si="22"/>
        <v>0</v>
      </c>
      <c r="I152" s="131"/>
      <c r="J152" s="131"/>
      <c r="K152" s="131"/>
      <c r="L152" s="110"/>
      <c r="M152" s="130"/>
      <c r="N152" s="130"/>
      <c r="O152" s="133"/>
    </row>
    <row r="153" spans="1:15" s="68" customFormat="1" ht="38.25" customHeight="1" x14ac:dyDescent="0.25">
      <c r="A153" s="123"/>
      <c r="B153" s="173" t="s">
        <v>1368</v>
      </c>
      <c r="C153" s="239">
        <f t="shared" ref="C153:G153" si="23">SUM(C141:C152)</f>
        <v>0</v>
      </c>
      <c r="D153" s="239">
        <f t="shared" si="23"/>
        <v>0</v>
      </c>
      <c r="E153" s="239">
        <f t="shared" si="23"/>
        <v>0</v>
      </c>
      <c r="F153" s="259">
        <f t="shared" si="23"/>
        <v>0</v>
      </c>
      <c r="G153" s="176">
        <f t="shared" si="23"/>
        <v>0</v>
      </c>
      <c r="H153" s="176">
        <f>SUM(H141:H152)</f>
        <v>0</v>
      </c>
      <c r="I153" s="131"/>
      <c r="J153" s="131"/>
      <c r="K153" s="131"/>
      <c r="L153" s="110"/>
      <c r="M153" s="130"/>
      <c r="N153" s="130"/>
      <c r="O153" s="133"/>
    </row>
    <row r="154" spans="1:15" s="123" customFormat="1" ht="15" customHeight="1" x14ac:dyDescent="0.25">
      <c r="A154" s="120"/>
      <c r="B154" s="129"/>
      <c r="C154" s="242"/>
      <c r="D154" s="243"/>
      <c r="E154" s="244"/>
      <c r="F154" s="244"/>
      <c r="G154" s="128"/>
      <c r="H154" s="128"/>
      <c r="I154" s="131"/>
      <c r="J154" s="131"/>
      <c r="K154" s="131"/>
      <c r="L154" s="131"/>
    </row>
    <row r="155" spans="1:15" s="68" customFormat="1" ht="38.25" customHeight="1" x14ac:dyDescent="0.25">
      <c r="A155" s="123"/>
      <c r="B155" s="405" t="s">
        <v>1379</v>
      </c>
      <c r="C155" s="245" t="s">
        <v>1535</v>
      </c>
      <c r="D155" s="388" t="s">
        <v>1386</v>
      </c>
      <c r="E155" s="389"/>
      <c r="F155" s="268"/>
      <c r="G155" s="450" t="s">
        <v>1531</v>
      </c>
      <c r="H155" s="450"/>
      <c r="I155" s="130"/>
      <c r="J155" s="122"/>
      <c r="K155" s="122"/>
      <c r="L155" s="67"/>
      <c r="M155" s="130"/>
      <c r="N155" s="130"/>
      <c r="O155" s="133"/>
    </row>
    <row r="156" spans="1:15" s="68" customFormat="1" ht="53.25" customHeight="1" x14ac:dyDescent="0.25">
      <c r="A156" s="123"/>
      <c r="B156" s="406"/>
      <c r="C156" s="160" t="s">
        <v>1420</v>
      </c>
      <c r="D156" s="160" t="s">
        <v>1399</v>
      </c>
      <c r="E156" s="160" t="s">
        <v>1400</v>
      </c>
      <c r="F156" s="260"/>
      <c r="G156" s="247" t="s">
        <v>1536</v>
      </c>
      <c r="H156" s="247" t="s">
        <v>1537</v>
      </c>
      <c r="I156" s="130"/>
      <c r="J156" s="122"/>
      <c r="K156" s="122"/>
      <c r="L156" s="67"/>
      <c r="M156" s="130"/>
      <c r="N156" s="130"/>
      <c r="O156" s="133"/>
    </row>
    <row r="157" spans="1:15" s="68" customFormat="1" ht="38.25" customHeight="1" x14ac:dyDescent="0.25">
      <c r="A157" s="232">
        <v>1</v>
      </c>
      <c r="B157" s="233"/>
      <c r="C157" s="234"/>
      <c r="D157" s="234"/>
      <c r="E157" s="236"/>
      <c r="F157" s="237">
        <f t="shared" ref="F157:F168" si="24">+G157/$E$184</f>
        <v>0</v>
      </c>
      <c r="G157" s="176">
        <f>'HOJA 9 AUX'!G10</f>
        <v>0</v>
      </c>
      <c r="H157" s="176">
        <f t="shared" ref="H157:H168" si="25">(C157*D157)*G157</f>
        <v>0</v>
      </c>
      <c r="I157" s="130"/>
      <c r="J157" s="122"/>
      <c r="K157" s="122"/>
      <c r="L157" s="67"/>
      <c r="M157" s="130"/>
      <c r="N157" s="130"/>
      <c r="O157" s="133"/>
    </row>
    <row r="158" spans="1:15" s="68" customFormat="1" ht="38.25" customHeight="1" x14ac:dyDescent="0.25">
      <c r="A158" s="232">
        <v>2</v>
      </c>
      <c r="B158" s="233"/>
      <c r="C158" s="234"/>
      <c r="D158" s="234"/>
      <c r="E158" s="236"/>
      <c r="F158" s="237">
        <f t="shared" si="24"/>
        <v>0</v>
      </c>
      <c r="G158" s="176">
        <f>'HOJA 9 AUX'!O10</f>
        <v>0</v>
      </c>
      <c r="H158" s="176">
        <f t="shared" si="25"/>
        <v>0</v>
      </c>
      <c r="I158" s="130"/>
      <c r="J158" s="122"/>
      <c r="K158" s="122"/>
      <c r="L158" s="67"/>
      <c r="M158" s="130"/>
      <c r="N158" s="130"/>
      <c r="O158" s="133"/>
    </row>
    <row r="159" spans="1:15" s="68" customFormat="1" ht="38.25" customHeight="1" x14ac:dyDescent="0.25">
      <c r="A159" s="232">
        <v>3</v>
      </c>
      <c r="B159" s="233"/>
      <c r="C159" s="234"/>
      <c r="D159" s="234"/>
      <c r="E159" s="236"/>
      <c r="F159" s="237">
        <f t="shared" si="24"/>
        <v>0</v>
      </c>
      <c r="G159" s="176">
        <f>'HOJA 9 AUX'!G28</f>
        <v>0</v>
      </c>
      <c r="H159" s="176">
        <f t="shared" si="25"/>
        <v>0</v>
      </c>
      <c r="I159" s="130"/>
      <c r="J159" s="122"/>
      <c r="K159" s="122"/>
      <c r="L159" s="67"/>
      <c r="M159" s="130"/>
      <c r="N159" s="130"/>
      <c r="O159" s="133"/>
    </row>
    <row r="160" spans="1:15" s="68" customFormat="1" ht="38.25" customHeight="1" x14ac:dyDescent="0.25">
      <c r="A160" s="232">
        <v>4</v>
      </c>
      <c r="B160" s="233"/>
      <c r="C160" s="234"/>
      <c r="D160" s="234"/>
      <c r="E160" s="236"/>
      <c r="F160" s="237">
        <f t="shared" si="24"/>
        <v>0</v>
      </c>
      <c r="G160" s="176">
        <f>'HOJA 9 AUX'!O28</f>
        <v>0</v>
      </c>
      <c r="H160" s="176">
        <f t="shared" si="25"/>
        <v>0</v>
      </c>
      <c r="I160" s="130"/>
      <c r="J160" s="122"/>
      <c r="K160" s="122"/>
      <c r="L160" s="67"/>
      <c r="M160" s="130"/>
      <c r="N160" s="130"/>
      <c r="O160" s="133"/>
    </row>
    <row r="161" spans="1:15" s="68" customFormat="1" ht="38.25" customHeight="1" x14ac:dyDescent="0.25">
      <c r="A161" s="232">
        <v>5</v>
      </c>
      <c r="B161" s="233"/>
      <c r="C161" s="234"/>
      <c r="D161" s="234"/>
      <c r="E161" s="236"/>
      <c r="F161" s="237">
        <f t="shared" si="24"/>
        <v>0</v>
      </c>
      <c r="G161" s="176">
        <f>'HOJA 9 AUX'!G48</f>
        <v>0</v>
      </c>
      <c r="H161" s="176">
        <f t="shared" si="25"/>
        <v>0</v>
      </c>
      <c r="I161" s="130"/>
      <c r="J161" s="122"/>
      <c r="K161" s="122"/>
      <c r="L161" s="67"/>
      <c r="M161" s="130"/>
      <c r="N161" s="130"/>
      <c r="O161" s="133"/>
    </row>
    <row r="162" spans="1:15" s="68" customFormat="1" ht="38.25" customHeight="1" x14ac:dyDescent="0.25">
      <c r="A162" s="232">
        <v>6</v>
      </c>
      <c r="B162" s="233"/>
      <c r="C162" s="234"/>
      <c r="D162" s="234"/>
      <c r="E162" s="236"/>
      <c r="F162" s="237">
        <f t="shared" si="24"/>
        <v>0</v>
      </c>
      <c r="G162" s="176">
        <f>'HOJA 9 AUX'!O48</f>
        <v>0</v>
      </c>
      <c r="H162" s="176">
        <f t="shared" si="25"/>
        <v>0</v>
      </c>
      <c r="I162" s="130"/>
      <c r="J162" s="122"/>
      <c r="K162" s="122"/>
      <c r="L162" s="67"/>
      <c r="M162" s="130"/>
      <c r="N162" s="130"/>
      <c r="O162" s="133"/>
    </row>
    <row r="163" spans="1:15" s="68" customFormat="1" ht="38.25" customHeight="1" x14ac:dyDescent="0.25">
      <c r="A163" s="232">
        <v>7</v>
      </c>
      <c r="B163" s="233"/>
      <c r="C163" s="234"/>
      <c r="D163" s="234"/>
      <c r="E163" s="236"/>
      <c r="F163" s="237">
        <f t="shared" si="24"/>
        <v>0</v>
      </c>
      <c r="G163" s="176">
        <f>'HOJA 9 AUX'!G67</f>
        <v>0</v>
      </c>
      <c r="H163" s="176">
        <f t="shared" si="25"/>
        <v>0</v>
      </c>
      <c r="I163" s="130"/>
      <c r="J163" s="122"/>
      <c r="K163" s="122"/>
      <c r="L163" s="67"/>
      <c r="M163" s="130"/>
      <c r="N163" s="130"/>
      <c r="O163" s="133"/>
    </row>
    <row r="164" spans="1:15" s="68" customFormat="1" ht="38.25" customHeight="1" x14ac:dyDescent="0.25">
      <c r="A164" s="232">
        <v>8</v>
      </c>
      <c r="B164" s="233"/>
      <c r="C164" s="234"/>
      <c r="D164" s="234"/>
      <c r="E164" s="236"/>
      <c r="F164" s="237">
        <f t="shared" si="24"/>
        <v>0</v>
      </c>
      <c r="G164" s="176">
        <f>'HOJA 9 AUX'!O67</f>
        <v>0</v>
      </c>
      <c r="H164" s="176">
        <f t="shared" si="25"/>
        <v>0</v>
      </c>
      <c r="I164" s="130"/>
      <c r="J164" s="122"/>
      <c r="K164" s="122"/>
      <c r="L164" s="67"/>
      <c r="M164" s="130"/>
      <c r="N164" s="130"/>
      <c r="O164" s="133"/>
    </row>
    <row r="165" spans="1:15" s="68" customFormat="1" ht="45.75" customHeight="1" x14ac:dyDescent="0.25">
      <c r="A165" s="232">
        <v>9</v>
      </c>
      <c r="B165" s="233"/>
      <c r="C165" s="234"/>
      <c r="D165" s="234"/>
      <c r="E165" s="236"/>
      <c r="F165" s="237">
        <f t="shared" si="24"/>
        <v>0</v>
      </c>
      <c r="G165" s="176">
        <f>'HOJA 9 AUX'!G85</f>
        <v>0</v>
      </c>
      <c r="H165" s="176">
        <f t="shared" si="25"/>
        <v>0</v>
      </c>
      <c r="I165" s="130"/>
      <c r="J165" s="122"/>
      <c r="K165" s="122"/>
      <c r="L165" s="67"/>
      <c r="M165" s="130"/>
      <c r="N165" s="130"/>
      <c r="O165" s="133"/>
    </row>
    <row r="166" spans="1:15" s="68" customFormat="1" ht="38.25" customHeight="1" x14ac:dyDescent="0.25">
      <c r="A166" s="232">
        <v>10</v>
      </c>
      <c r="B166" s="233"/>
      <c r="C166" s="234"/>
      <c r="D166" s="234"/>
      <c r="E166" s="236"/>
      <c r="F166" s="237">
        <f t="shared" si="24"/>
        <v>0</v>
      </c>
      <c r="G166" s="176">
        <f>'HOJA 9 AUX'!O85</f>
        <v>0</v>
      </c>
      <c r="H166" s="176">
        <f t="shared" si="25"/>
        <v>0</v>
      </c>
      <c r="I166" s="130"/>
      <c r="J166" s="122"/>
      <c r="K166" s="122"/>
      <c r="L166" s="67"/>
      <c r="M166" s="130"/>
      <c r="N166" s="130"/>
      <c r="O166" s="133"/>
    </row>
    <row r="167" spans="1:15" s="68" customFormat="1" ht="38.25" customHeight="1" x14ac:dyDescent="0.25">
      <c r="A167" s="232">
        <v>11</v>
      </c>
      <c r="B167" s="233"/>
      <c r="C167" s="234"/>
      <c r="D167" s="234"/>
      <c r="E167" s="236"/>
      <c r="F167" s="237">
        <f t="shared" si="24"/>
        <v>0</v>
      </c>
      <c r="G167" s="176">
        <f>'HOJA 9 AUX'!G105</f>
        <v>0</v>
      </c>
      <c r="H167" s="176">
        <f t="shared" si="25"/>
        <v>0</v>
      </c>
      <c r="I167" s="130"/>
      <c r="J167" s="122"/>
      <c r="K167" s="122"/>
      <c r="L167" s="67"/>
      <c r="M167" s="130"/>
      <c r="N167" s="130"/>
      <c r="O167" s="133"/>
    </row>
    <row r="168" spans="1:15" s="68" customFormat="1" ht="38.25" customHeight="1" x14ac:dyDescent="0.25">
      <c r="A168" s="232">
        <v>12</v>
      </c>
      <c r="B168" s="233"/>
      <c r="C168" s="234"/>
      <c r="D168" s="234"/>
      <c r="E168" s="236"/>
      <c r="F168" s="237">
        <f t="shared" si="24"/>
        <v>0</v>
      </c>
      <c r="G168" s="269">
        <f>'HOJA 9 AUX'!O105</f>
        <v>0</v>
      </c>
      <c r="H168" s="176">
        <f t="shared" si="25"/>
        <v>0</v>
      </c>
      <c r="I168" s="130"/>
      <c r="J168" s="122"/>
      <c r="K168" s="122"/>
      <c r="L168" s="67"/>
      <c r="M168" s="130"/>
      <c r="N168" s="130"/>
      <c r="O168" s="133"/>
    </row>
    <row r="169" spans="1:15" s="68" customFormat="1" ht="38.25" customHeight="1" x14ac:dyDescent="0.25">
      <c r="A169" s="120"/>
      <c r="B169" s="173" t="s">
        <v>1368</v>
      </c>
      <c r="C169" s="270">
        <f t="shared" ref="C169:G169" si="26">SUM(C157:C168)</f>
        <v>0</v>
      </c>
      <c r="D169" s="270">
        <f t="shared" si="26"/>
        <v>0</v>
      </c>
      <c r="E169" s="271">
        <f t="shared" si="26"/>
        <v>0</v>
      </c>
      <c r="F169" s="272">
        <f t="shared" si="26"/>
        <v>0</v>
      </c>
      <c r="G169" s="176">
        <f t="shared" si="26"/>
        <v>0</v>
      </c>
      <c r="H169" s="273">
        <f>SUM(H157:H168)</f>
        <v>0</v>
      </c>
      <c r="I169" s="130"/>
      <c r="J169" s="122"/>
      <c r="K169" s="122"/>
      <c r="L169" s="67"/>
      <c r="M169" s="130"/>
      <c r="N169" s="130"/>
      <c r="O169" s="133"/>
    </row>
    <row r="170" spans="1:15" s="123" customFormat="1" ht="15" customHeight="1" x14ac:dyDescent="0.25">
      <c r="A170" s="120"/>
      <c r="B170" s="129"/>
      <c r="C170" s="248"/>
      <c r="D170" s="249"/>
      <c r="E170" s="250"/>
      <c r="F170" s="250"/>
      <c r="G170" s="122"/>
      <c r="H170" s="131"/>
      <c r="I170" s="131"/>
      <c r="J170" s="131"/>
      <c r="K170" s="131"/>
      <c r="L170" s="131"/>
    </row>
    <row r="171" spans="1:15" s="68" customFormat="1" ht="38.25" customHeight="1" x14ac:dyDescent="0.25">
      <c r="A171" s="120"/>
      <c r="B171" s="274" t="s">
        <v>1422</v>
      </c>
      <c r="C171" s="430" t="s">
        <v>1423</v>
      </c>
      <c r="D171" s="430"/>
      <c r="E171" s="386" t="s">
        <v>1368</v>
      </c>
      <c r="F171" s="386"/>
      <c r="G171" s="386"/>
      <c r="H171" s="131"/>
      <c r="I171" s="130"/>
      <c r="J171" s="122"/>
      <c r="K171" s="122"/>
      <c r="L171" s="67"/>
      <c r="M171" s="130"/>
      <c r="N171" s="130"/>
      <c r="O171" s="133"/>
    </row>
    <row r="172" spans="1:15" s="68" customFormat="1" ht="38.25" hidden="1" customHeight="1" x14ac:dyDescent="0.25">
      <c r="A172" s="120"/>
      <c r="B172" s="275">
        <f t="shared" ref="B172:B183" si="27">+C157+C141+C125+C109+C93+C77+C61+C45+C29</f>
        <v>1</v>
      </c>
      <c r="C172" s="431">
        <f t="shared" ref="C172:C183" si="28">(C29*D29)+(C45*D45)+(C61*D61)+(C77*D77)+(C93*D93)+(C109*D109)+(C125*D125)+(C141*D141)+(C157*D157)</f>
        <v>2</v>
      </c>
      <c r="D172" s="431"/>
      <c r="E172" s="387">
        <f t="shared" ref="E172:E183" si="29">+H157+H141+H125+H109+H93+H77+H61+H45+H29</f>
        <v>165.68047337278108</v>
      </c>
      <c r="F172" s="387"/>
      <c r="G172" s="387"/>
      <c r="H172" s="131"/>
      <c r="I172" s="130"/>
      <c r="J172" s="122"/>
      <c r="K172" s="122"/>
      <c r="L172" s="67"/>
      <c r="M172" s="130"/>
      <c r="N172" s="130"/>
      <c r="O172" s="133"/>
    </row>
    <row r="173" spans="1:15" s="68" customFormat="1" ht="38.25" hidden="1" customHeight="1" x14ac:dyDescent="0.25">
      <c r="A173" s="120"/>
      <c r="B173" s="275">
        <f t="shared" si="27"/>
        <v>0</v>
      </c>
      <c r="C173" s="431">
        <f t="shared" si="28"/>
        <v>0</v>
      </c>
      <c r="D173" s="431"/>
      <c r="E173" s="387">
        <f t="shared" si="29"/>
        <v>0</v>
      </c>
      <c r="F173" s="387"/>
      <c r="G173" s="387"/>
      <c r="H173" s="131"/>
      <c r="I173" s="130"/>
      <c r="J173" s="122"/>
      <c r="K173" s="122"/>
      <c r="L173" s="67"/>
      <c r="M173" s="130"/>
      <c r="N173" s="130"/>
      <c r="O173" s="133"/>
    </row>
    <row r="174" spans="1:15" s="68" customFormat="1" ht="38.25" hidden="1" customHeight="1" x14ac:dyDescent="0.25">
      <c r="A174" s="120"/>
      <c r="B174" s="275">
        <f t="shared" si="27"/>
        <v>0</v>
      </c>
      <c r="C174" s="431">
        <f t="shared" si="28"/>
        <v>0</v>
      </c>
      <c r="D174" s="431"/>
      <c r="E174" s="387">
        <f t="shared" si="29"/>
        <v>0</v>
      </c>
      <c r="F174" s="387"/>
      <c r="G174" s="387"/>
      <c r="H174" s="131"/>
      <c r="I174" s="130"/>
      <c r="J174" s="122"/>
      <c r="K174" s="122"/>
      <c r="L174" s="67"/>
      <c r="M174" s="130"/>
      <c r="N174" s="130"/>
      <c r="O174" s="133"/>
    </row>
    <row r="175" spans="1:15" s="68" customFormat="1" ht="38.25" hidden="1" customHeight="1" x14ac:dyDescent="0.25">
      <c r="A175" s="120"/>
      <c r="B175" s="275">
        <f t="shared" si="27"/>
        <v>0</v>
      </c>
      <c r="C175" s="431">
        <f t="shared" si="28"/>
        <v>0</v>
      </c>
      <c r="D175" s="431"/>
      <c r="E175" s="387">
        <f t="shared" si="29"/>
        <v>0</v>
      </c>
      <c r="F175" s="387"/>
      <c r="G175" s="387"/>
      <c r="H175" s="131"/>
      <c r="I175" s="130"/>
      <c r="J175" s="122"/>
      <c r="K175" s="122"/>
      <c r="L175" s="67"/>
      <c r="M175" s="130"/>
      <c r="N175" s="130"/>
      <c r="O175" s="133"/>
    </row>
    <row r="176" spans="1:15" s="68" customFormat="1" ht="38.25" hidden="1" customHeight="1" x14ac:dyDescent="0.25">
      <c r="A176" s="120"/>
      <c r="B176" s="275">
        <f t="shared" si="27"/>
        <v>0</v>
      </c>
      <c r="C176" s="431">
        <f t="shared" si="28"/>
        <v>0</v>
      </c>
      <c r="D176" s="431"/>
      <c r="E176" s="387">
        <f t="shared" si="29"/>
        <v>0</v>
      </c>
      <c r="F176" s="387"/>
      <c r="G176" s="387"/>
      <c r="H176" s="131"/>
      <c r="I176" s="130"/>
      <c r="J176" s="122"/>
      <c r="K176" s="122"/>
      <c r="L176" s="67"/>
      <c r="M176" s="130"/>
      <c r="N176" s="130"/>
      <c r="O176" s="133"/>
    </row>
    <row r="177" spans="1:15" s="68" customFormat="1" ht="38.25" hidden="1" customHeight="1" x14ac:dyDescent="0.25">
      <c r="A177" s="120"/>
      <c r="B177" s="275">
        <f t="shared" si="27"/>
        <v>0</v>
      </c>
      <c r="C177" s="431">
        <f t="shared" si="28"/>
        <v>0</v>
      </c>
      <c r="D177" s="431"/>
      <c r="E177" s="387">
        <f t="shared" si="29"/>
        <v>0</v>
      </c>
      <c r="F177" s="387"/>
      <c r="G177" s="387"/>
      <c r="H177" s="131"/>
      <c r="I177" s="130"/>
      <c r="J177" s="122"/>
      <c r="K177" s="122"/>
      <c r="L177" s="67"/>
      <c r="M177" s="130"/>
      <c r="N177" s="130"/>
      <c r="O177" s="133"/>
    </row>
    <row r="178" spans="1:15" s="68" customFormat="1" ht="38.25" hidden="1" customHeight="1" x14ac:dyDescent="0.25">
      <c r="A178" s="120"/>
      <c r="B178" s="275">
        <f t="shared" si="27"/>
        <v>0</v>
      </c>
      <c r="C178" s="431">
        <f t="shared" si="28"/>
        <v>0</v>
      </c>
      <c r="D178" s="431"/>
      <c r="E178" s="387">
        <f t="shared" si="29"/>
        <v>0</v>
      </c>
      <c r="F178" s="387"/>
      <c r="G178" s="387"/>
      <c r="H178" s="131"/>
      <c r="I178" s="130"/>
      <c r="J178" s="122"/>
      <c r="K178" s="122"/>
      <c r="L178" s="67"/>
      <c r="M178" s="130"/>
      <c r="N178" s="130"/>
      <c r="O178" s="133"/>
    </row>
    <row r="179" spans="1:15" s="68" customFormat="1" ht="38.25" hidden="1" customHeight="1" x14ac:dyDescent="0.25">
      <c r="A179" s="120"/>
      <c r="B179" s="275">
        <f t="shared" si="27"/>
        <v>0</v>
      </c>
      <c r="C179" s="431">
        <f t="shared" si="28"/>
        <v>0</v>
      </c>
      <c r="D179" s="431"/>
      <c r="E179" s="387">
        <f t="shared" si="29"/>
        <v>0</v>
      </c>
      <c r="F179" s="387"/>
      <c r="G179" s="387"/>
      <c r="H179" s="131"/>
      <c r="I179" s="130"/>
      <c r="J179" s="122"/>
      <c r="K179" s="122"/>
      <c r="L179" s="67"/>
      <c r="M179" s="130"/>
      <c r="N179" s="130"/>
      <c r="O179" s="133"/>
    </row>
    <row r="180" spans="1:15" s="68" customFormat="1" ht="38.25" hidden="1" customHeight="1" x14ac:dyDescent="0.25">
      <c r="A180" s="120"/>
      <c r="B180" s="275">
        <f t="shared" si="27"/>
        <v>0</v>
      </c>
      <c r="C180" s="431">
        <f t="shared" si="28"/>
        <v>0</v>
      </c>
      <c r="D180" s="431"/>
      <c r="E180" s="387">
        <f t="shared" si="29"/>
        <v>0</v>
      </c>
      <c r="F180" s="387"/>
      <c r="G180" s="387"/>
      <c r="H180" s="131"/>
      <c r="I180" s="130"/>
      <c r="J180" s="122"/>
      <c r="K180" s="122"/>
      <c r="L180" s="67"/>
      <c r="M180" s="130"/>
      <c r="N180" s="130"/>
      <c r="O180" s="133"/>
    </row>
    <row r="181" spans="1:15" s="68" customFormat="1" ht="38.25" hidden="1" customHeight="1" x14ac:dyDescent="0.25">
      <c r="A181" s="120"/>
      <c r="B181" s="275">
        <f t="shared" si="27"/>
        <v>0</v>
      </c>
      <c r="C181" s="431">
        <f t="shared" si="28"/>
        <v>0</v>
      </c>
      <c r="D181" s="431"/>
      <c r="E181" s="387">
        <f t="shared" si="29"/>
        <v>0</v>
      </c>
      <c r="F181" s="387"/>
      <c r="G181" s="387"/>
      <c r="H181" s="131"/>
      <c r="I181" s="130"/>
      <c r="J181" s="122"/>
      <c r="K181" s="122"/>
      <c r="L181" s="67"/>
      <c r="M181" s="130"/>
      <c r="N181" s="130"/>
      <c r="O181" s="133"/>
    </row>
    <row r="182" spans="1:15" s="68" customFormat="1" ht="38.25" hidden="1" customHeight="1" x14ac:dyDescent="0.25">
      <c r="A182" s="120"/>
      <c r="B182" s="275">
        <f t="shared" si="27"/>
        <v>0</v>
      </c>
      <c r="C182" s="431">
        <f t="shared" si="28"/>
        <v>0</v>
      </c>
      <c r="D182" s="431"/>
      <c r="E182" s="387">
        <f t="shared" si="29"/>
        <v>0</v>
      </c>
      <c r="F182" s="387"/>
      <c r="G182" s="387"/>
      <c r="H182" s="131"/>
      <c r="I182" s="130"/>
      <c r="J182" s="122"/>
      <c r="K182" s="122"/>
      <c r="L182" s="67"/>
      <c r="M182" s="130"/>
      <c r="N182" s="130"/>
      <c r="O182" s="133"/>
    </row>
    <row r="183" spans="1:15" s="68" customFormat="1" ht="38.25" hidden="1" customHeight="1" x14ac:dyDescent="0.25">
      <c r="A183" s="120"/>
      <c r="B183" s="275">
        <f t="shared" si="27"/>
        <v>0</v>
      </c>
      <c r="C183" s="431">
        <f t="shared" si="28"/>
        <v>0</v>
      </c>
      <c r="D183" s="431"/>
      <c r="E183" s="387">
        <f t="shared" si="29"/>
        <v>0</v>
      </c>
      <c r="F183" s="387"/>
      <c r="G183" s="387"/>
      <c r="H183" s="131"/>
      <c r="I183" s="130"/>
      <c r="J183" s="122"/>
      <c r="K183" s="122"/>
      <c r="L183" s="67"/>
      <c r="M183" s="130"/>
      <c r="N183" s="130"/>
      <c r="O183" s="133"/>
    </row>
    <row r="184" spans="1:15" s="68" customFormat="1" ht="38.25" customHeight="1" x14ac:dyDescent="0.25">
      <c r="A184" s="120"/>
      <c r="B184" s="276">
        <f>SUM(B172:B183)</f>
        <v>1</v>
      </c>
      <c r="C184" s="446">
        <f>SUM(C172:D183)</f>
        <v>2</v>
      </c>
      <c r="D184" s="446"/>
      <c r="E184" s="390">
        <f>SUM(E172:E183)</f>
        <v>165.68047337278108</v>
      </c>
      <c r="F184" s="390"/>
      <c r="G184" s="390"/>
      <c r="H184" s="131"/>
      <c r="I184" s="130"/>
      <c r="J184" s="122"/>
      <c r="K184" s="122"/>
      <c r="L184" s="67"/>
      <c r="M184" s="130"/>
      <c r="N184" s="130"/>
      <c r="O184" s="133"/>
    </row>
    <row r="185" spans="1:15" s="68" customFormat="1" ht="38.25" customHeight="1" x14ac:dyDescent="0.25">
      <c r="A185" s="120"/>
      <c r="B185" s="123"/>
      <c r="C185" s="123"/>
      <c r="D185" s="123"/>
      <c r="E185" s="123"/>
      <c r="F185" s="123"/>
      <c r="G185" s="123"/>
      <c r="H185" s="123"/>
      <c r="I185" s="130"/>
      <c r="J185" s="122"/>
      <c r="K185" s="122"/>
      <c r="L185" s="67"/>
      <c r="M185" s="130"/>
      <c r="N185" s="130"/>
      <c r="O185" s="133"/>
    </row>
    <row r="186" spans="1:15" s="70" customFormat="1" ht="38.25" customHeight="1" x14ac:dyDescent="0.25">
      <c r="A186" s="215">
        <v>4</v>
      </c>
      <c r="B186" s="402" t="s">
        <v>1418</v>
      </c>
      <c r="C186" s="403"/>
      <c r="D186" s="403"/>
      <c r="E186" s="403"/>
      <c r="F186" s="403"/>
      <c r="G186" s="403"/>
      <c r="H186" s="403"/>
      <c r="I186" s="403"/>
      <c r="J186" s="122"/>
      <c r="K186" s="122"/>
      <c r="L186" s="130"/>
      <c r="M186" s="122"/>
      <c r="N186" s="122"/>
      <c r="O186" s="133"/>
    </row>
    <row r="187" spans="1:15" s="68" customFormat="1" ht="3" customHeight="1" x14ac:dyDescent="0.25">
      <c r="A187" s="120"/>
      <c r="B187" s="132"/>
      <c r="C187" s="155"/>
      <c r="D187" s="155"/>
      <c r="E187" s="126"/>
      <c r="F187" s="126"/>
      <c r="G187" s="126"/>
      <c r="H187" s="126"/>
      <c r="I187" s="126"/>
      <c r="J187" s="126"/>
      <c r="K187" s="126"/>
      <c r="L187" s="126"/>
      <c r="M187" s="123"/>
      <c r="N187" s="123"/>
      <c r="O187" s="123"/>
    </row>
    <row r="188" spans="1:15" s="68" customFormat="1" ht="28.5" customHeight="1" x14ac:dyDescent="0.25">
      <c r="A188" s="120" t="s">
        <v>1513</v>
      </c>
      <c r="B188" s="438" t="s">
        <v>1</v>
      </c>
      <c r="C188" s="439"/>
      <c r="D188" s="438" t="s">
        <v>1360</v>
      </c>
      <c r="E188" s="440"/>
      <c r="F188" s="440"/>
      <c r="G188" s="440"/>
      <c r="H188" s="440"/>
      <c r="I188" s="439"/>
      <c r="J188" s="404"/>
      <c r="K188" s="404"/>
      <c r="L188" s="404"/>
      <c r="M188" s="123"/>
      <c r="N188" s="123"/>
      <c r="O188" s="123"/>
    </row>
    <row r="189" spans="1:15" s="78" customFormat="1" ht="65.25" customHeight="1" x14ac:dyDescent="0.25">
      <c r="A189" s="144"/>
      <c r="B189" s="184" t="s">
        <v>1359</v>
      </c>
      <c r="C189" s="184" t="s">
        <v>1510</v>
      </c>
      <c r="D189" s="160" t="s">
        <v>6</v>
      </c>
      <c r="E189" s="160" t="s">
        <v>12</v>
      </c>
      <c r="F189" s="160"/>
      <c r="G189" s="160" t="s">
        <v>7</v>
      </c>
      <c r="H189" s="160" t="s">
        <v>1369</v>
      </c>
      <c r="I189" s="160" t="s">
        <v>1550</v>
      </c>
      <c r="J189" s="132"/>
      <c r="L189" s="138" t="s">
        <v>1339</v>
      </c>
      <c r="M189" s="125"/>
      <c r="N189" s="125"/>
      <c r="O189" s="134"/>
    </row>
    <row r="190" spans="1:15" s="68" customFormat="1" ht="35.25" customHeight="1" x14ac:dyDescent="0.25">
      <c r="A190" s="120"/>
      <c r="B190" s="112"/>
      <c r="C190" s="113"/>
      <c r="D190" s="80"/>
      <c r="E190" s="80"/>
      <c r="F190" s="81"/>
      <c r="G190" s="82"/>
      <c r="H190" s="80" t="s">
        <v>14</v>
      </c>
      <c r="I190" s="169">
        <f>IF(H190="FACTURA",L190*1,IF(H190=Hoja2!$H$3,L190/0.92,IF(H190="ALMACEN",L190*1,IF(H190=Hoja2!$H$5,0))))</f>
        <v>0</v>
      </c>
      <c r="J190" s="157"/>
      <c r="L190" s="139">
        <f t="shared" ref="L190:L203" si="30">+G190*E190</f>
        <v>0</v>
      </c>
      <c r="M190" s="135"/>
      <c r="N190" s="135"/>
      <c r="O190" s="123"/>
    </row>
    <row r="191" spans="1:15" s="68" customFormat="1" ht="35.25" customHeight="1" x14ac:dyDescent="0.25">
      <c r="A191" s="120"/>
      <c r="B191" s="112"/>
      <c r="C191" s="113"/>
      <c r="D191" s="80"/>
      <c r="E191" s="80"/>
      <c r="F191" s="81"/>
      <c r="G191" s="82"/>
      <c r="H191" s="80" t="s">
        <v>28</v>
      </c>
      <c r="I191" s="169">
        <f>IF(H191="FACTURA",L191*1,IF(H191=Hoja2!$H$3,L191/0.92,IF(H191="ALMACEN",L191*1,IF(H191=Hoja2!$H$5,0))))</f>
        <v>0</v>
      </c>
      <c r="J191" s="157"/>
      <c r="L191" s="139">
        <f t="shared" si="30"/>
        <v>0</v>
      </c>
      <c r="M191" s="135"/>
      <c r="N191" s="135"/>
      <c r="O191" s="123"/>
    </row>
    <row r="192" spans="1:15" s="68" customFormat="1" ht="35.25" customHeight="1" x14ac:dyDescent="0.25">
      <c r="A192" s="120"/>
      <c r="B192" s="112"/>
      <c r="C192" s="113"/>
      <c r="D192" s="80"/>
      <c r="E192" s="80"/>
      <c r="F192" s="81"/>
      <c r="G192" s="82"/>
      <c r="H192" s="80" t="s">
        <v>18</v>
      </c>
      <c r="I192" s="169">
        <f>IF(H192="FACTURA",L192*1,IF(H192=Hoja2!$H$3,L192/0.92,IF(H192="ALMACEN",L192*1,IF(H192=Hoja2!$H$5,0))))</f>
        <v>0</v>
      </c>
      <c r="J192" s="157"/>
      <c r="L192" s="139">
        <f t="shared" si="30"/>
        <v>0</v>
      </c>
      <c r="M192" s="135"/>
      <c r="N192" s="135"/>
      <c r="O192" s="123"/>
    </row>
    <row r="193" spans="1:15" s="68" customFormat="1" ht="35.25" customHeight="1" x14ac:dyDescent="0.25">
      <c r="A193" s="120"/>
      <c r="B193" s="112"/>
      <c r="C193" s="113"/>
      <c r="D193" s="80"/>
      <c r="E193" s="80"/>
      <c r="F193" s="81"/>
      <c r="G193" s="82"/>
      <c r="H193" s="80" t="s">
        <v>14</v>
      </c>
      <c r="I193" s="169">
        <f>IF(H193="FACTURA",L193*1,IF(H193=Hoja2!$H$3,L193/0.92,IF(H193="ALMACEN",L193*1,IF(H193=Hoja2!$H$5,0))))</f>
        <v>0</v>
      </c>
      <c r="J193" s="157"/>
      <c r="L193" s="140">
        <f t="shared" si="30"/>
        <v>0</v>
      </c>
      <c r="M193" s="135"/>
      <c r="N193" s="135"/>
      <c r="O193" s="123"/>
    </row>
    <row r="194" spans="1:15" s="68" customFormat="1" ht="35.25" customHeight="1" x14ac:dyDescent="0.25">
      <c r="A194" s="120"/>
      <c r="B194" s="112"/>
      <c r="C194" s="113"/>
      <c r="D194" s="80"/>
      <c r="E194" s="80"/>
      <c r="F194" s="81"/>
      <c r="G194" s="82"/>
      <c r="H194" s="80" t="s">
        <v>28</v>
      </c>
      <c r="I194" s="169">
        <f>IF(H194="FACTURA",L194*1,IF(H194=Hoja2!$H$3,L194/0.92,IF(H194="ALMACEN",L194*1,IF(H194=Hoja2!$H$5,0))))</f>
        <v>0</v>
      </c>
      <c r="J194" s="157"/>
      <c r="L194" s="140">
        <f t="shared" si="30"/>
        <v>0</v>
      </c>
      <c r="M194" s="135"/>
      <c r="N194" s="135"/>
      <c r="O194" s="123"/>
    </row>
    <row r="195" spans="1:15" s="68" customFormat="1" ht="35.25" customHeight="1" x14ac:dyDescent="0.25">
      <c r="A195" s="120"/>
      <c r="B195" s="112"/>
      <c r="C195" s="113"/>
      <c r="D195" s="80"/>
      <c r="E195" s="80"/>
      <c r="F195" s="81"/>
      <c r="G195" s="82"/>
      <c r="H195" s="80" t="s">
        <v>18</v>
      </c>
      <c r="I195" s="169">
        <f>IF(H195="FACTURA",L195*1,IF(H195=Hoja2!$H$3,L195/0.92,IF(H195="ALMACEN",L195*1,IF(H195=Hoja2!$H$5,0))))</f>
        <v>0</v>
      </c>
      <c r="J195" s="157"/>
      <c r="L195" s="140">
        <f t="shared" si="30"/>
        <v>0</v>
      </c>
      <c r="M195" s="135"/>
      <c r="N195" s="135"/>
      <c r="O195" s="123"/>
    </row>
    <row r="196" spans="1:15" s="68" customFormat="1" ht="37.5" customHeight="1" x14ac:dyDescent="0.25">
      <c r="A196" s="120"/>
      <c r="B196" s="112"/>
      <c r="C196" s="113"/>
      <c r="D196" s="80"/>
      <c r="E196" s="80"/>
      <c r="F196" s="81"/>
      <c r="G196" s="82"/>
      <c r="H196" s="80" t="s">
        <v>14</v>
      </c>
      <c r="I196" s="169">
        <f>IF(H196="FACTURA",L196*1,IF(H196=Hoja2!$H$3,L196/0.92,IF(H196="ALMACEN",L196*1,IF(H196=Hoja2!$H$5,0))))</f>
        <v>0</v>
      </c>
      <c r="J196" s="157"/>
      <c r="L196" s="140">
        <f t="shared" si="30"/>
        <v>0</v>
      </c>
      <c r="M196" s="135"/>
      <c r="N196" s="135"/>
      <c r="O196" s="123"/>
    </row>
    <row r="197" spans="1:15" s="68" customFormat="1" ht="39" customHeight="1" x14ac:dyDescent="0.25">
      <c r="A197" s="120"/>
      <c r="B197" s="112"/>
      <c r="C197" s="113"/>
      <c r="D197" s="80"/>
      <c r="E197" s="80"/>
      <c r="F197" s="81"/>
      <c r="G197" s="82"/>
      <c r="H197" s="80" t="s">
        <v>28</v>
      </c>
      <c r="I197" s="169">
        <f>IF(H197="FACTURA",L197*1,IF(H197=Hoja2!$H$3,L197/0.92,IF(H197="ALMACEN",L197*1,IF(H197=Hoja2!$H$5,0))))</f>
        <v>0</v>
      </c>
      <c r="J197" s="157"/>
      <c r="L197" s="140">
        <f t="shared" si="30"/>
        <v>0</v>
      </c>
      <c r="M197" s="135"/>
      <c r="N197" s="135"/>
      <c r="O197" s="123"/>
    </row>
    <row r="198" spans="1:15" s="68" customFormat="1" ht="39" customHeight="1" x14ac:dyDescent="0.25">
      <c r="A198" s="120"/>
      <c r="B198" s="112"/>
      <c r="C198" s="113"/>
      <c r="D198" s="80"/>
      <c r="E198" s="80"/>
      <c r="F198" s="81"/>
      <c r="G198" s="82"/>
      <c r="H198" s="80" t="s">
        <v>18</v>
      </c>
      <c r="I198" s="169">
        <f>IF(H198="FACTURA",L198*1,IF(H198=Hoja2!$H$3,L198/0.92,IF(H198="ALMACEN",L198*1,IF(H198=Hoja2!$H$5,0))))</f>
        <v>0</v>
      </c>
      <c r="J198" s="157"/>
      <c r="L198" s="140">
        <f t="shared" si="30"/>
        <v>0</v>
      </c>
      <c r="M198" s="135"/>
      <c r="N198" s="135"/>
      <c r="O198" s="123"/>
    </row>
    <row r="199" spans="1:15" s="68" customFormat="1" ht="39" customHeight="1" x14ac:dyDescent="0.25">
      <c r="A199" s="120"/>
      <c r="B199" s="112"/>
      <c r="C199" s="113"/>
      <c r="D199" s="80"/>
      <c r="E199" s="80"/>
      <c r="F199" s="81"/>
      <c r="G199" s="82"/>
      <c r="H199" s="80" t="s">
        <v>14</v>
      </c>
      <c r="I199" s="169">
        <f>IF(H199="FACTURA",L199*1,IF(H199=Hoja2!$H$3,L199/0.92,IF(H199="ALMACEN",L199*1,IF(H199=Hoja2!$H$5,0))))</f>
        <v>0</v>
      </c>
      <c r="J199" s="157"/>
      <c r="L199" s="140">
        <f t="shared" si="30"/>
        <v>0</v>
      </c>
      <c r="M199" s="135"/>
      <c r="N199" s="135"/>
      <c r="O199" s="123"/>
    </row>
    <row r="200" spans="1:15" s="68" customFormat="1" ht="39" customHeight="1" x14ac:dyDescent="0.25">
      <c r="A200" s="120"/>
      <c r="B200" s="112"/>
      <c r="C200" s="113"/>
      <c r="D200" s="80"/>
      <c r="E200" s="80"/>
      <c r="F200" s="81"/>
      <c r="G200" s="82"/>
      <c r="H200" s="80" t="s">
        <v>28</v>
      </c>
      <c r="I200" s="169">
        <f>IF(H200="FACTURA",L200*1,IF(H200=Hoja2!$H$3,L200/0.92,IF(H200="ALMACEN",L200*1,IF(H200=Hoja2!$H$5,0))))</f>
        <v>0</v>
      </c>
      <c r="J200" s="157"/>
      <c r="L200" s="140">
        <f t="shared" si="30"/>
        <v>0</v>
      </c>
      <c r="M200" s="135"/>
      <c r="N200" s="135"/>
      <c r="O200" s="123"/>
    </row>
    <row r="201" spans="1:15" s="68" customFormat="1" ht="39" customHeight="1" x14ac:dyDescent="0.25">
      <c r="A201" s="120"/>
      <c r="B201" s="112"/>
      <c r="C201" s="113"/>
      <c r="D201" s="80"/>
      <c r="E201" s="80"/>
      <c r="F201" s="81"/>
      <c r="G201" s="82"/>
      <c r="H201" s="80" t="s">
        <v>18</v>
      </c>
      <c r="I201" s="169">
        <f>IF(H201="FACTURA",L201*1,IF(H201=Hoja2!$H$3,L201/0.92,IF(H201="ALMACEN",L201*1,IF(H201=Hoja2!$H$5,0))))</f>
        <v>0</v>
      </c>
      <c r="J201" s="157"/>
      <c r="L201" s="140">
        <f t="shared" si="30"/>
        <v>0</v>
      </c>
      <c r="M201" s="135"/>
      <c r="N201" s="135"/>
      <c r="O201" s="123"/>
    </row>
    <row r="202" spans="1:15" s="68" customFormat="1" ht="39" customHeight="1" x14ac:dyDescent="0.25">
      <c r="A202" s="120"/>
      <c r="B202" s="112"/>
      <c r="C202" s="113"/>
      <c r="D202" s="80"/>
      <c r="E202" s="80"/>
      <c r="F202" s="81"/>
      <c r="G202" s="82"/>
      <c r="H202" s="80" t="s">
        <v>14</v>
      </c>
      <c r="I202" s="169">
        <f>IF(H202="FACTURA",L202*1,IF(H202=Hoja2!$H$3,L202/0.92,IF(H202="ALMACEN",L202*1,IF(H202=Hoja2!$H$5,0))))</f>
        <v>0</v>
      </c>
      <c r="J202" s="157"/>
      <c r="L202" s="140">
        <f t="shared" si="30"/>
        <v>0</v>
      </c>
      <c r="M202" s="135"/>
      <c r="N202" s="135"/>
      <c r="O202" s="123"/>
    </row>
    <row r="203" spans="1:15" s="68" customFormat="1" ht="39" customHeight="1" x14ac:dyDescent="0.25">
      <c r="A203" s="120"/>
      <c r="B203" s="113"/>
      <c r="C203" s="113"/>
      <c r="D203" s="211"/>
      <c r="E203" s="80"/>
      <c r="F203" s="212"/>
      <c r="G203" s="82"/>
      <c r="H203" s="211" t="s">
        <v>28</v>
      </c>
      <c r="I203" s="169">
        <f>IF(H203="FACTURA",L203*1,IF(H203=Hoja2!$H$3,L203/0.92,IF(H203="ALMACEN",L203*1,IF(H203=Hoja2!$H$5,0))))</f>
        <v>0</v>
      </c>
      <c r="J203" s="157"/>
      <c r="L203" s="140">
        <f t="shared" si="30"/>
        <v>0</v>
      </c>
      <c r="M203" s="135"/>
      <c r="N203" s="135"/>
      <c r="O203" s="123"/>
    </row>
    <row r="204" spans="1:15" s="68" customFormat="1" ht="36" customHeight="1" x14ac:dyDescent="0.25">
      <c r="A204" s="120"/>
      <c r="B204" s="197" t="s">
        <v>1543</v>
      </c>
      <c r="C204" s="213"/>
      <c r="D204" s="213"/>
      <c r="E204" s="213"/>
      <c r="F204" s="213"/>
      <c r="G204" s="213"/>
      <c r="H204" s="197"/>
      <c r="I204" s="210">
        <f>SUM(I190:I203)</f>
        <v>0</v>
      </c>
      <c r="J204" s="126"/>
      <c r="L204" s="88">
        <f>SUM(L190:L203)</f>
        <v>0</v>
      </c>
      <c r="M204" s="135"/>
      <c r="N204" s="135"/>
      <c r="O204" s="123"/>
    </row>
    <row r="205" spans="1:15" s="68" customFormat="1" x14ac:dyDescent="0.25">
      <c r="A205" s="120"/>
      <c r="B205" s="155"/>
      <c r="C205" s="126"/>
      <c r="D205" s="126"/>
      <c r="E205" s="126"/>
      <c r="F205" s="126"/>
      <c r="G205" s="155"/>
      <c r="H205" s="155"/>
      <c r="I205" s="155"/>
      <c r="J205" s="155"/>
      <c r="L205" s="155"/>
      <c r="M205" s="135"/>
      <c r="N205" s="135"/>
      <c r="O205" s="123"/>
    </row>
    <row r="206" spans="1:15" s="68" customFormat="1" x14ac:dyDescent="0.25">
      <c r="A206" s="120"/>
      <c r="B206" s="155"/>
      <c r="C206" s="126"/>
      <c r="D206" s="126"/>
      <c r="E206" s="126"/>
      <c r="F206" s="126"/>
      <c r="G206" s="155"/>
      <c r="H206" s="155"/>
      <c r="I206" s="155"/>
      <c r="J206" s="155"/>
      <c r="L206" s="155"/>
      <c r="M206" s="135"/>
      <c r="N206" s="135"/>
      <c r="O206" s="123"/>
    </row>
    <row r="207" spans="1:15" s="68" customFormat="1" x14ac:dyDescent="0.25">
      <c r="A207" s="120"/>
      <c r="B207" s="155"/>
      <c r="C207" s="126"/>
      <c r="D207" s="126"/>
      <c r="E207" s="126"/>
      <c r="F207" s="126"/>
      <c r="G207" s="155"/>
      <c r="H207" s="155"/>
      <c r="I207" s="155"/>
      <c r="J207" s="155"/>
      <c r="L207" s="155"/>
      <c r="M207" s="135"/>
      <c r="N207" s="135"/>
      <c r="O207" s="123"/>
    </row>
    <row r="208" spans="1:15" s="68" customFormat="1" x14ac:dyDescent="0.25">
      <c r="A208" s="120"/>
      <c r="B208" s="155"/>
      <c r="C208" s="126"/>
      <c r="D208" s="126"/>
      <c r="E208" s="126"/>
      <c r="F208" s="126"/>
      <c r="G208" s="155"/>
      <c r="H208" s="155"/>
      <c r="I208" s="155"/>
      <c r="J208" s="157"/>
      <c r="L208" s="157"/>
      <c r="M208" s="135"/>
      <c r="N208" s="135"/>
      <c r="O208" s="123"/>
    </row>
    <row r="209" spans="1:15" s="68" customFormat="1" x14ac:dyDescent="0.25">
      <c r="A209" s="120"/>
      <c r="B209" s="155"/>
      <c r="C209" s="126"/>
      <c r="D209" s="126"/>
      <c r="E209" s="126"/>
      <c r="F209" s="126"/>
      <c r="G209" s="155"/>
      <c r="H209" s="155"/>
      <c r="I209" s="155"/>
      <c r="J209" s="155"/>
      <c r="L209" s="155"/>
      <c r="M209" s="135"/>
      <c r="N209" s="135"/>
      <c r="O209" s="123"/>
    </row>
    <row r="210" spans="1:15" s="68" customFormat="1" ht="26.25" customHeight="1" x14ac:dyDescent="0.25">
      <c r="A210" s="120" t="s">
        <v>1546</v>
      </c>
      <c r="B210" s="438" t="s">
        <v>1361</v>
      </c>
      <c r="C210" s="439"/>
      <c r="D210" s="438" t="s">
        <v>1362</v>
      </c>
      <c r="E210" s="440"/>
      <c r="F210" s="440"/>
      <c r="G210" s="440"/>
      <c r="H210" s="440"/>
      <c r="I210" s="439"/>
      <c r="J210" s="141"/>
      <c r="L210" s="141"/>
      <c r="M210" s="135"/>
      <c r="N210" s="135"/>
      <c r="O210" s="123"/>
    </row>
    <row r="211" spans="1:15" s="68" customFormat="1" ht="66" customHeight="1" x14ac:dyDescent="0.25">
      <c r="A211" s="120"/>
      <c r="B211" s="167" t="s">
        <v>9</v>
      </c>
      <c r="C211" s="168" t="s">
        <v>1510</v>
      </c>
      <c r="D211" s="160" t="s">
        <v>1403</v>
      </c>
      <c r="E211" s="161" t="s">
        <v>2</v>
      </c>
      <c r="F211" s="161"/>
      <c r="G211" s="161" t="s">
        <v>7</v>
      </c>
      <c r="H211" s="161" t="s">
        <v>1356</v>
      </c>
      <c r="I211" s="160" t="s">
        <v>1551</v>
      </c>
      <c r="J211" s="155"/>
      <c r="L211" s="142" t="s">
        <v>5</v>
      </c>
      <c r="M211" s="135"/>
      <c r="N211" s="135"/>
      <c r="O211" s="123"/>
    </row>
    <row r="212" spans="1:15" s="68" customFormat="1" ht="44.25" customHeight="1" x14ac:dyDescent="0.25">
      <c r="A212" s="120"/>
      <c r="B212" s="112"/>
      <c r="C212" s="113"/>
      <c r="D212" s="108"/>
      <c r="E212" s="86"/>
      <c r="F212" s="87"/>
      <c r="G212" s="88"/>
      <c r="H212" s="77" t="s">
        <v>14</v>
      </c>
      <c r="I212" s="170">
        <f>IF(H212="FACTURA",L212*1,IF(H212="RECIBO",L212/0.845,IF(H212="SIN IMPUESTO",L212*1,IF(H212="ALQUILER SIN RECIBO",L212/0.84,IF(H212="VIATICOS",L212/0.87,IF(H212=Hoja2!#REF!,0))))))</f>
        <v>0</v>
      </c>
      <c r="J212" s="143"/>
      <c r="L212" s="139">
        <f t="shared" ref="L212:L226" si="31">+G212*E212</f>
        <v>0</v>
      </c>
      <c r="M212" s="135"/>
      <c r="N212" s="135"/>
      <c r="O212" s="123"/>
    </row>
    <row r="213" spans="1:15" s="68" customFormat="1" ht="44.25" customHeight="1" x14ac:dyDescent="0.25">
      <c r="A213" s="120"/>
      <c r="B213" s="112"/>
      <c r="C213" s="113"/>
      <c r="D213" s="108"/>
      <c r="E213" s="86"/>
      <c r="F213" s="87"/>
      <c r="G213" s="88"/>
      <c r="H213" s="77" t="s">
        <v>1354</v>
      </c>
      <c r="I213" s="170">
        <f>IF(H213="FACTURA",L213*1,IF(H213="RECIBO",L213/0.845,IF(H213="SIN IMPUESTO",L213*1,IF(H213="ALQUILER SIN RECIBO",L213/0.84,IF(H213="VIATICOS",L213/0.87,IF(H213=Hoja2!#REF!,0))))))</f>
        <v>0</v>
      </c>
      <c r="J213" s="143"/>
      <c r="L213" s="139">
        <f t="shared" si="31"/>
        <v>0</v>
      </c>
      <c r="M213" s="135"/>
      <c r="N213" s="135"/>
      <c r="O213" s="123"/>
    </row>
    <row r="214" spans="1:15" s="68" customFormat="1" ht="44.25" customHeight="1" x14ac:dyDescent="0.25">
      <c r="A214" s="120"/>
      <c r="B214" s="112"/>
      <c r="C214" s="113"/>
      <c r="D214" s="108"/>
      <c r="E214" s="86"/>
      <c r="F214" s="87"/>
      <c r="G214" s="88"/>
      <c r="H214" s="77" t="s">
        <v>1355</v>
      </c>
      <c r="I214" s="170">
        <f>IF(H214="FACTURA",L214*1,IF(H214="RECIBO",L214/0.845,IF(H214="SIN IMPUESTO",L214*1,IF(H214="ALQUILER SIN RECIBO",L214/0.84,IF(H214="VIATICOS",L214/0.87,IF(H214=Hoja2!#REF!,0))))))</f>
        <v>0</v>
      </c>
      <c r="J214" s="143"/>
      <c r="L214" s="139">
        <f t="shared" si="31"/>
        <v>0</v>
      </c>
      <c r="M214" s="135"/>
      <c r="N214" s="135"/>
      <c r="O214" s="123"/>
    </row>
    <row r="215" spans="1:15" s="68" customFormat="1" ht="44.25" customHeight="1" x14ac:dyDescent="0.25">
      <c r="A215" s="120"/>
      <c r="B215" s="112"/>
      <c r="C215" s="113"/>
      <c r="D215" s="108"/>
      <c r="E215" s="86"/>
      <c r="F215" s="87"/>
      <c r="G215" s="88"/>
      <c r="H215" s="77" t="s">
        <v>1358</v>
      </c>
      <c r="I215" s="170">
        <f>IF(H215="FACTURA",L215*1,IF(H215="RECIBO",L215/0.845,IF(H215="SIN IMPUESTO",L215*1,IF(H215="ALQUILER SIN RECIBO",L215/0.84,IF(H215="VIATICOS",L215/0.87,IF(H215=Hoja2!#REF!,0))))))</f>
        <v>0</v>
      </c>
      <c r="J215" s="143"/>
      <c r="L215" s="139">
        <f t="shared" si="31"/>
        <v>0</v>
      </c>
      <c r="M215" s="135"/>
      <c r="N215" s="135"/>
      <c r="O215" s="123"/>
    </row>
    <row r="216" spans="1:15" s="68" customFormat="1" ht="44.25" customHeight="1" x14ac:dyDescent="0.25">
      <c r="A216" s="120"/>
      <c r="B216" s="112"/>
      <c r="C216" s="113"/>
      <c r="D216" s="108"/>
      <c r="E216" s="86"/>
      <c r="F216" s="87"/>
      <c r="G216" s="88"/>
      <c r="H216" s="77" t="s">
        <v>1357</v>
      </c>
      <c r="I216" s="170">
        <f>IF(H216="FACTURA",L216*1,IF(H216="RECIBO",L216/0.845,IF(H216="SIN IMPUESTO",L216*1,IF(H216="ALQUILER SIN RECIBO",L216/0.84,IF(H216="VIATICOS",L216/0.87,IF(H216=Hoja2!#REF!,0))))))</f>
        <v>0</v>
      </c>
      <c r="J216" s="143"/>
      <c r="L216" s="139">
        <f t="shared" si="31"/>
        <v>0</v>
      </c>
      <c r="M216" s="135"/>
      <c r="N216" s="135"/>
      <c r="O216" s="123"/>
    </row>
    <row r="217" spans="1:15" s="68" customFormat="1" ht="44.25" customHeight="1" x14ac:dyDescent="0.25">
      <c r="A217" s="120"/>
      <c r="B217" s="112"/>
      <c r="C217" s="113"/>
      <c r="D217" s="108"/>
      <c r="E217" s="86"/>
      <c r="F217" s="87"/>
      <c r="G217" s="88"/>
      <c r="H217" s="77" t="s">
        <v>14</v>
      </c>
      <c r="I217" s="170">
        <f>IF(H217="FACTURA",L217*1,IF(H217="RECIBO",L217/0.845,IF(H217="SIN IMPUESTO",L217*1,IF(H217="ALQUILER SIN RECIBO",L217/0.84,IF(H217="VIATICOS",L217/0.87,IF(H217=Hoja2!#REF!,0))))))</f>
        <v>0</v>
      </c>
      <c r="J217" s="143"/>
      <c r="L217" s="139">
        <f t="shared" si="31"/>
        <v>0</v>
      </c>
      <c r="M217" s="135"/>
      <c r="N217" s="135"/>
      <c r="O217" s="123"/>
    </row>
    <row r="218" spans="1:15" s="68" customFormat="1" ht="44.25" customHeight="1" x14ac:dyDescent="0.25">
      <c r="A218" s="120"/>
      <c r="B218" s="112"/>
      <c r="C218" s="113"/>
      <c r="D218" s="108"/>
      <c r="E218" s="86"/>
      <c r="F218" s="87"/>
      <c r="G218" s="88"/>
      <c r="H218" s="77" t="s">
        <v>1354</v>
      </c>
      <c r="I218" s="170">
        <f>IF(H218="FACTURA",L218*1,IF(H218="RECIBO",L218/0.845,IF(H218="SIN IMPUESTO",L218*1,IF(H218="ALQUILER SIN RECIBO",L218/0.84,IF(H218="VIATICOS",L218/0.87,IF(H218=Hoja2!#REF!,0))))))</f>
        <v>0</v>
      </c>
      <c r="J218" s="143"/>
      <c r="L218" s="139">
        <f t="shared" si="31"/>
        <v>0</v>
      </c>
      <c r="M218" s="135"/>
      <c r="N218" s="135"/>
      <c r="O218" s="123"/>
    </row>
    <row r="219" spans="1:15" s="68" customFormat="1" ht="44.25" customHeight="1" x14ac:dyDescent="0.25">
      <c r="A219" s="120"/>
      <c r="B219" s="112"/>
      <c r="C219" s="113"/>
      <c r="D219" s="108"/>
      <c r="E219" s="86"/>
      <c r="F219" s="87"/>
      <c r="G219" s="88"/>
      <c r="H219" s="77" t="s">
        <v>1355</v>
      </c>
      <c r="I219" s="170">
        <f>IF(H219="FACTURA",L219*1,IF(H219="RECIBO",L219/0.845,IF(H219="SIN IMPUESTO",L219*1,IF(H219="ALQUILER SIN RECIBO",L219/0.84,IF(H219="VIATICOS",L219/0.87,IF(H219=Hoja2!#REF!,0))))))</f>
        <v>0</v>
      </c>
      <c r="J219" s="143"/>
      <c r="L219" s="139">
        <f t="shared" si="31"/>
        <v>0</v>
      </c>
      <c r="M219" s="135"/>
      <c r="N219" s="135"/>
      <c r="O219" s="123"/>
    </row>
    <row r="220" spans="1:15" s="68" customFormat="1" ht="44.25" customHeight="1" x14ac:dyDescent="0.25">
      <c r="A220" s="120"/>
      <c r="B220" s="112"/>
      <c r="C220" s="113"/>
      <c r="D220" s="108"/>
      <c r="E220" s="86"/>
      <c r="F220" s="90"/>
      <c r="G220" s="88"/>
      <c r="H220" s="77" t="s">
        <v>1358</v>
      </c>
      <c r="I220" s="170">
        <f>IF(H220="FACTURA",L220*1,IF(H220="RECIBO",L220/0.845,IF(H220="SIN IMPUESTO",L220*1,IF(H220="ALQUILER SIN RECIBO",L220/0.84,IF(H220="VIATICOS",L220/0.87,IF(H220=Hoja2!#REF!,0))))))</f>
        <v>0</v>
      </c>
      <c r="J220" s="143"/>
      <c r="L220" s="139">
        <f t="shared" si="31"/>
        <v>0</v>
      </c>
      <c r="M220" s="135"/>
      <c r="N220" s="135"/>
      <c r="O220" s="123"/>
    </row>
    <row r="221" spans="1:15" s="68" customFormat="1" ht="44.25" customHeight="1" x14ac:dyDescent="0.25">
      <c r="A221" s="120"/>
      <c r="B221" s="112"/>
      <c r="C221" s="113"/>
      <c r="D221" s="108"/>
      <c r="E221" s="86"/>
      <c r="F221" s="90"/>
      <c r="G221" s="88"/>
      <c r="H221" s="77" t="s">
        <v>1357</v>
      </c>
      <c r="I221" s="170">
        <f>IF(H221="FACTURA",L221*1,IF(H221="RECIBO",L221/0.845,IF(H221="SIN IMPUESTO",L221*1,IF(H221="ALQUILER SIN RECIBO",L221/0.84,IF(H221="VIATICOS",L221/0.87,IF(H221=Hoja2!#REF!,0))))))</f>
        <v>0</v>
      </c>
      <c r="J221" s="143"/>
      <c r="L221" s="139">
        <f t="shared" si="31"/>
        <v>0</v>
      </c>
      <c r="M221" s="135"/>
      <c r="N221" s="135"/>
      <c r="O221" s="123"/>
    </row>
    <row r="222" spans="1:15" s="68" customFormat="1" ht="44.25" customHeight="1" x14ac:dyDescent="0.25">
      <c r="A222" s="120"/>
      <c r="B222" s="112"/>
      <c r="C222" s="113"/>
      <c r="D222" s="108"/>
      <c r="E222" s="86"/>
      <c r="F222" s="90"/>
      <c r="G222" s="88"/>
      <c r="H222" s="77" t="s">
        <v>14</v>
      </c>
      <c r="I222" s="170">
        <f>IF(H222="FACTURA",L222*1,IF(H222="RECIBO",L222/0.845,IF(H222="SIN IMPUESTO",L222*1,IF(H222="ALQUILER SIN RECIBO",L222/0.84,IF(H222="VIATICOS",L222/0.87,IF(H222=Hoja2!#REF!,0))))))</f>
        <v>0</v>
      </c>
      <c r="J222" s="143"/>
      <c r="L222" s="139">
        <f t="shared" si="31"/>
        <v>0</v>
      </c>
      <c r="M222" s="135"/>
      <c r="N222" s="135"/>
      <c r="O222" s="123"/>
    </row>
    <row r="223" spans="1:15" s="68" customFormat="1" ht="44.25" customHeight="1" x14ac:dyDescent="0.25">
      <c r="A223" s="120"/>
      <c r="B223" s="112"/>
      <c r="C223" s="113"/>
      <c r="D223" s="108"/>
      <c r="E223" s="86"/>
      <c r="F223" s="90"/>
      <c r="G223" s="88"/>
      <c r="H223" s="77" t="s">
        <v>1354</v>
      </c>
      <c r="I223" s="170">
        <f>IF(H223="FACTURA",L223*1,IF(H223="RECIBO",L223/0.845,IF(H223="SIN IMPUESTO",L223*1,IF(H223="ALQUILER SIN RECIBO",L223/0.84,IF(H223="VIATICOS",L223/0.87,IF(H223=Hoja2!#REF!,0))))))</f>
        <v>0</v>
      </c>
      <c r="J223" s="143"/>
      <c r="L223" s="139">
        <f t="shared" si="31"/>
        <v>0</v>
      </c>
      <c r="M223" s="135"/>
      <c r="N223" s="135"/>
      <c r="O223" s="123"/>
    </row>
    <row r="224" spans="1:15" s="68" customFormat="1" ht="44.25" customHeight="1" x14ac:dyDescent="0.25">
      <c r="A224" s="120"/>
      <c r="B224" s="112"/>
      <c r="C224" s="113"/>
      <c r="D224" s="108"/>
      <c r="E224" s="86"/>
      <c r="F224" s="90"/>
      <c r="G224" s="88"/>
      <c r="H224" s="77" t="s">
        <v>1355</v>
      </c>
      <c r="I224" s="170">
        <f>IF(H224="FACTURA",L224*1,IF(H224="RECIBO",L224/0.845,IF(H224="SIN IMPUESTO",L224*1,IF(H224="ALQUILER SIN RECIBO",L224/0.84,IF(H224="VIATICOS",L224/0.87,IF(H224=Hoja2!#REF!,0))))))</f>
        <v>0</v>
      </c>
      <c r="J224" s="143"/>
      <c r="L224" s="139">
        <f t="shared" si="31"/>
        <v>0</v>
      </c>
      <c r="M224" s="135"/>
      <c r="N224" s="135"/>
      <c r="O224" s="123"/>
    </row>
    <row r="225" spans="1:15" s="68" customFormat="1" ht="44.25" customHeight="1" x14ac:dyDescent="0.25">
      <c r="A225" s="120"/>
      <c r="B225" s="112"/>
      <c r="C225" s="113"/>
      <c r="D225" s="108"/>
      <c r="E225" s="86"/>
      <c r="F225" s="90"/>
      <c r="G225" s="88"/>
      <c r="H225" s="77" t="s">
        <v>1358</v>
      </c>
      <c r="I225" s="170">
        <f>IF(H225="FACTURA",L225*1,IF(H225="RECIBO",L225/0.845,IF(H225="SIN IMPUESTO",L225*1,IF(H225="ALQUILER SIN RECIBO",L225/0.84,IF(H225="VIATICOS",L225/0.87,IF(H225=Hoja2!#REF!,0))))))</f>
        <v>0</v>
      </c>
      <c r="J225" s="143"/>
      <c r="L225" s="139">
        <f t="shared" si="31"/>
        <v>0</v>
      </c>
      <c r="M225" s="135"/>
      <c r="N225" s="135"/>
      <c r="O225" s="123"/>
    </row>
    <row r="226" spans="1:15" s="68" customFormat="1" ht="44.25" customHeight="1" x14ac:dyDescent="0.25">
      <c r="A226" s="120"/>
      <c r="B226" s="112"/>
      <c r="C226" s="113"/>
      <c r="D226" s="108"/>
      <c r="E226" s="86"/>
      <c r="F226" s="90"/>
      <c r="G226" s="88"/>
      <c r="H226" s="77" t="s">
        <v>1357</v>
      </c>
      <c r="I226" s="170">
        <f>IF(H226="FACTURA",L226*1,IF(H226="RECIBO",L226/0.845,IF(H226="SIN IMPUESTO",L226*1,IF(H226="ALQUILER SIN RECIBO",L226/0.84,IF(H226="VIATICOS",L226/0.87,IF(H226=Hoja2!#REF!,0))))))</f>
        <v>0</v>
      </c>
      <c r="J226" s="143"/>
      <c r="L226" s="139">
        <f t="shared" si="31"/>
        <v>0</v>
      </c>
      <c r="M226" s="135"/>
      <c r="N226" s="135"/>
      <c r="O226" s="123"/>
    </row>
    <row r="227" spans="1:15" s="68" customFormat="1" ht="51" customHeight="1" x14ac:dyDescent="0.25">
      <c r="A227" s="120"/>
      <c r="B227" s="184" t="s">
        <v>1542</v>
      </c>
      <c r="C227" s="209"/>
      <c r="D227" s="161"/>
      <c r="E227" s="161"/>
      <c r="F227" s="161"/>
      <c r="G227" s="161"/>
      <c r="H227" s="171"/>
      <c r="I227" s="169">
        <f>SUM(I212:I226)</f>
        <v>0</v>
      </c>
      <c r="J227" s="126"/>
      <c r="L227" s="139">
        <f>SUM(L212:L226)</f>
        <v>0</v>
      </c>
      <c r="M227" s="135"/>
      <c r="N227" s="135"/>
      <c r="O227" s="123"/>
    </row>
    <row r="228" spans="1:15" s="123" customFormat="1" ht="15" customHeight="1" x14ac:dyDescent="0.25">
      <c r="A228" s="120"/>
      <c r="B228" s="129"/>
      <c r="C228" s="248"/>
      <c r="D228" s="249"/>
      <c r="E228" s="250"/>
      <c r="F228" s="250"/>
      <c r="G228" s="122"/>
      <c r="H228" s="131"/>
      <c r="I228" s="131"/>
      <c r="J228" s="131"/>
      <c r="L228" s="131"/>
    </row>
    <row r="229" spans="1:15" s="68" customFormat="1" ht="51" customHeight="1" x14ac:dyDescent="0.25">
      <c r="A229" s="120"/>
      <c r="B229" s="161" t="s">
        <v>1368</v>
      </c>
      <c r="C229" s="161"/>
      <c r="D229" s="161"/>
      <c r="E229" s="161"/>
      <c r="F229" s="161"/>
      <c r="G229" s="161"/>
      <c r="H229" s="196"/>
      <c r="I229" s="169">
        <f>+I227+I204</f>
        <v>0</v>
      </c>
      <c r="J229" s="126"/>
      <c r="L229" s="155"/>
      <c r="M229" s="135"/>
      <c r="N229" s="135"/>
      <c r="O229" s="123"/>
    </row>
    <row r="230" spans="1:15" s="68" customFormat="1" ht="57" customHeight="1" x14ac:dyDescent="0.25">
      <c r="A230" s="120"/>
      <c r="B230" s="127"/>
      <c r="C230" s="127"/>
      <c r="D230" s="404"/>
      <c r="E230" s="404"/>
      <c r="F230" s="404"/>
      <c r="G230" s="404"/>
      <c r="H230" s="404"/>
      <c r="I230" s="404"/>
      <c r="J230" s="404"/>
      <c r="K230" s="432"/>
      <c r="L230" s="432"/>
      <c r="M230" s="135"/>
      <c r="N230" s="135"/>
      <c r="O230" s="123"/>
    </row>
    <row r="231" spans="1:15" s="68" customFormat="1" ht="57" customHeight="1" x14ac:dyDescent="0.25">
      <c r="A231" s="120"/>
      <c r="B231" s="385" t="s">
        <v>1511</v>
      </c>
      <c r="C231" s="385"/>
      <c r="D231" s="385"/>
      <c r="E231" s="385"/>
      <c r="F231" s="385"/>
      <c r="G231" s="385"/>
      <c r="H231" s="385"/>
      <c r="I231" s="385"/>
      <c r="J231" s="155"/>
      <c r="K231" s="145"/>
      <c r="L231" s="156"/>
      <c r="M231" s="135"/>
      <c r="N231" s="135"/>
      <c r="O231" s="123"/>
    </row>
    <row r="232" spans="1:15" s="68" customFormat="1" ht="57" customHeight="1" x14ac:dyDescent="0.25">
      <c r="A232" s="215">
        <v>5</v>
      </c>
      <c r="B232" s="295" t="s">
        <v>1512</v>
      </c>
      <c r="C232" s="123"/>
      <c r="D232" s="123"/>
      <c r="E232" s="123"/>
      <c r="F232" s="123"/>
      <c r="G232" s="141"/>
      <c r="H232" s="145"/>
      <c r="I232" s="155"/>
      <c r="J232" s="155"/>
      <c r="K232" s="145"/>
      <c r="L232" s="156"/>
      <c r="M232" s="135"/>
      <c r="N232" s="135"/>
      <c r="O232" s="123"/>
    </row>
    <row r="233" spans="1:15" s="68" customFormat="1" ht="15" customHeight="1" x14ac:dyDescent="0.25">
      <c r="A233" s="120"/>
      <c r="B233" s="123"/>
      <c r="C233" s="123"/>
      <c r="D233" s="123"/>
      <c r="E233" s="123"/>
      <c r="F233" s="141"/>
      <c r="G233" s="141"/>
      <c r="H233" s="145"/>
      <c r="I233" s="155"/>
      <c r="J233" s="155"/>
      <c r="K233" s="145"/>
      <c r="L233" s="156"/>
      <c r="M233" s="135"/>
      <c r="N233" s="135"/>
      <c r="O233" s="123"/>
    </row>
    <row r="234" spans="1:15" s="68" customFormat="1" ht="57" customHeight="1" x14ac:dyDescent="0.25">
      <c r="A234" s="120" t="s">
        <v>1519</v>
      </c>
      <c r="B234" s="161" t="s">
        <v>1514</v>
      </c>
      <c r="C234" s="161" t="s">
        <v>1538</v>
      </c>
      <c r="D234" s="161" t="s">
        <v>1515</v>
      </c>
      <c r="E234" s="161" t="s">
        <v>1532</v>
      </c>
      <c r="F234" s="161"/>
      <c r="G234" s="161" t="s">
        <v>4</v>
      </c>
      <c r="H234" s="160" t="s">
        <v>7</v>
      </c>
      <c r="I234" s="160" t="s">
        <v>1404</v>
      </c>
      <c r="J234" s="155"/>
      <c r="K234" s="145"/>
      <c r="L234" s="156"/>
      <c r="M234" s="135"/>
      <c r="N234" s="135"/>
      <c r="O234" s="123"/>
    </row>
    <row r="235" spans="1:15" s="68" customFormat="1" ht="57" customHeight="1" x14ac:dyDescent="0.25">
      <c r="A235" s="120"/>
      <c r="B235" s="114"/>
      <c r="C235" s="185" t="s">
        <v>1516</v>
      </c>
      <c r="D235" s="176" t="s">
        <v>1517</v>
      </c>
      <c r="E235" s="115"/>
      <c r="F235" s="92"/>
      <c r="G235" s="86"/>
      <c r="H235" s="93"/>
      <c r="I235" s="174">
        <f>+H235*G235</f>
        <v>0</v>
      </c>
      <c r="J235" s="155"/>
      <c r="K235" s="145"/>
      <c r="L235" s="156"/>
      <c r="M235" s="135"/>
      <c r="N235" s="135"/>
      <c r="O235" s="123"/>
    </row>
    <row r="236" spans="1:15" s="68" customFormat="1" ht="57" customHeight="1" x14ac:dyDescent="0.25">
      <c r="A236" s="120"/>
      <c r="B236" s="114"/>
      <c r="C236" s="185" t="s">
        <v>1516</v>
      </c>
      <c r="D236" s="176" t="s">
        <v>1517</v>
      </c>
      <c r="E236" s="115"/>
      <c r="F236" s="92"/>
      <c r="G236" s="86"/>
      <c r="H236" s="93"/>
      <c r="I236" s="174">
        <f>+H236*G236</f>
        <v>0</v>
      </c>
      <c r="J236" s="155"/>
      <c r="K236" s="145"/>
      <c r="L236" s="156"/>
      <c r="M236" s="135"/>
      <c r="N236" s="135"/>
      <c r="O236" s="123"/>
    </row>
    <row r="237" spans="1:15" s="68" customFormat="1" ht="57" customHeight="1" x14ac:dyDescent="0.25">
      <c r="A237" s="120"/>
      <c r="B237" s="186" t="s">
        <v>5</v>
      </c>
      <c r="C237" s="175"/>
      <c r="D237" s="175"/>
      <c r="E237" s="175"/>
      <c r="F237" s="175">
        <f>SUM(F235:F236)</f>
        <v>0</v>
      </c>
      <c r="G237" s="175">
        <f>SUM(G235:G236)</f>
        <v>0</v>
      </c>
      <c r="H237" s="162">
        <f>SUM(H235:H236)</f>
        <v>0</v>
      </c>
      <c r="I237" s="162">
        <f>SUM(I235:I236)</f>
        <v>0</v>
      </c>
      <c r="J237" s="155"/>
      <c r="K237" s="145"/>
      <c r="L237" s="156"/>
      <c r="M237" s="135"/>
      <c r="N237" s="135"/>
      <c r="O237" s="123"/>
    </row>
    <row r="238" spans="1:15" s="68" customFormat="1" ht="57" customHeight="1" x14ac:dyDescent="0.25">
      <c r="A238" s="120"/>
      <c r="B238" s="149"/>
      <c r="C238" s="404"/>
      <c r="D238" s="404"/>
      <c r="E238" s="404"/>
      <c r="F238" s="404"/>
      <c r="G238" s="404"/>
      <c r="H238" s="157"/>
      <c r="I238" s="155"/>
      <c r="J238" s="155"/>
      <c r="K238" s="145"/>
      <c r="L238" s="156"/>
      <c r="M238" s="135"/>
      <c r="N238" s="135"/>
      <c r="O238" s="123"/>
    </row>
    <row r="239" spans="1:15" s="68" customFormat="1" ht="39.75" customHeight="1" x14ac:dyDescent="0.25">
      <c r="A239" s="215">
        <v>6</v>
      </c>
      <c r="B239" s="295" t="s">
        <v>1518</v>
      </c>
      <c r="C239" s="135"/>
      <c r="D239" s="135"/>
      <c r="E239" s="135"/>
      <c r="F239" s="135"/>
      <c r="G239" s="141"/>
      <c r="H239" s="145"/>
      <c r="I239" s="155"/>
      <c r="J239" s="155"/>
      <c r="K239" s="145"/>
      <c r="L239" s="156"/>
      <c r="M239" s="135"/>
      <c r="N239" s="135"/>
      <c r="O239" s="123"/>
    </row>
    <row r="240" spans="1:15" s="68" customFormat="1" ht="5.25" customHeight="1" x14ac:dyDescent="0.25">
      <c r="A240" s="120"/>
      <c r="B240" s="123"/>
      <c r="C240" s="123"/>
      <c r="D240" s="123"/>
      <c r="E240" s="123"/>
      <c r="F240" s="141"/>
      <c r="G240" s="141"/>
      <c r="H240" s="145"/>
      <c r="I240" s="155"/>
      <c r="J240" s="155"/>
      <c r="K240" s="145"/>
      <c r="L240" s="156"/>
      <c r="M240" s="135"/>
      <c r="N240" s="135"/>
      <c r="O240" s="123"/>
    </row>
    <row r="241" spans="1:15" s="68" customFormat="1" ht="57" customHeight="1" x14ac:dyDescent="0.25">
      <c r="A241" s="120" t="s">
        <v>1523</v>
      </c>
      <c r="B241" s="159" t="s">
        <v>1525</v>
      </c>
      <c r="C241" s="161" t="s">
        <v>1539</v>
      </c>
      <c r="D241" s="159" t="s">
        <v>1515</v>
      </c>
      <c r="E241" s="159" t="s">
        <v>1403</v>
      </c>
      <c r="F241" s="159"/>
      <c r="G241" s="159" t="s">
        <v>4</v>
      </c>
      <c r="H241" s="160" t="s">
        <v>7</v>
      </c>
      <c r="I241" s="160" t="s">
        <v>1404</v>
      </c>
      <c r="J241" s="155"/>
      <c r="K241" s="145"/>
      <c r="L241" s="156"/>
      <c r="M241" s="135"/>
      <c r="N241" s="135"/>
      <c r="O241" s="123"/>
    </row>
    <row r="242" spans="1:15" s="68" customFormat="1" ht="57" customHeight="1" x14ac:dyDescent="0.25">
      <c r="A242" s="120"/>
      <c r="B242" s="114"/>
      <c r="C242" s="172" t="s">
        <v>1516</v>
      </c>
      <c r="D242" s="173" t="s">
        <v>1526</v>
      </c>
      <c r="E242" s="115"/>
      <c r="F242" s="92"/>
      <c r="G242" s="86"/>
      <c r="H242" s="93"/>
      <c r="I242" s="174">
        <f>+H242*G242</f>
        <v>0</v>
      </c>
      <c r="J242" s="155"/>
      <c r="K242" s="145"/>
      <c r="L242" s="156"/>
      <c r="M242" s="135"/>
      <c r="N242" s="135"/>
      <c r="O242" s="123"/>
    </row>
    <row r="243" spans="1:15" s="68" customFormat="1" ht="57" customHeight="1" x14ac:dyDescent="0.25">
      <c r="A243" s="120"/>
      <c r="B243" s="114"/>
      <c r="C243" s="187" t="s">
        <v>1516</v>
      </c>
      <c r="D243" s="188" t="s">
        <v>1526</v>
      </c>
      <c r="E243" s="189"/>
      <c r="F243" s="190"/>
      <c r="G243" s="191"/>
      <c r="H243" s="192"/>
      <c r="I243" s="193">
        <f>+H243*G243</f>
        <v>0</v>
      </c>
      <c r="J243" s="155"/>
      <c r="K243" s="145"/>
      <c r="L243" s="156"/>
      <c r="M243" s="135"/>
      <c r="N243" s="135"/>
      <c r="O243" s="123"/>
    </row>
    <row r="244" spans="1:15" s="68" customFormat="1" ht="57" customHeight="1" x14ac:dyDescent="0.25">
      <c r="A244" s="120"/>
      <c r="B244" s="194" t="s">
        <v>5</v>
      </c>
      <c r="C244" s="194"/>
      <c r="D244" s="194"/>
      <c r="E244" s="194"/>
      <c r="F244" s="194">
        <f>SUM(F242:F243)</f>
        <v>0</v>
      </c>
      <c r="G244" s="194">
        <f>SUM(G242:G243)</f>
        <v>0</v>
      </c>
      <c r="H244" s="195">
        <f>SUM(H242:H243)</f>
        <v>0</v>
      </c>
      <c r="I244" s="195">
        <f>SUM(I242:I243)</f>
        <v>0</v>
      </c>
      <c r="J244" s="155"/>
      <c r="K244" s="145"/>
      <c r="L244" s="156"/>
      <c r="M244" s="135"/>
      <c r="N244" s="135"/>
      <c r="O244" s="123"/>
    </row>
    <row r="245" spans="1:15" s="68" customFormat="1" ht="57" customHeight="1" x14ac:dyDescent="0.25">
      <c r="A245" s="120"/>
      <c r="B245" s="149"/>
      <c r="C245" s="141"/>
      <c r="D245" s="141"/>
      <c r="E245" s="141"/>
      <c r="F245" s="141"/>
      <c r="G245" s="141"/>
      <c r="H245" s="150"/>
      <c r="I245" s="155"/>
      <c r="J245" s="155"/>
      <c r="K245" s="145"/>
      <c r="L245" s="156"/>
      <c r="M245" s="135"/>
      <c r="N245" s="135"/>
      <c r="O245" s="123"/>
    </row>
    <row r="246" spans="1:15" s="68" customFormat="1" ht="57" customHeight="1" x14ac:dyDescent="0.25">
      <c r="A246" s="215">
        <v>7</v>
      </c>
      <c r="B246" s="295" t="s">
        <v>1522</v>
      </c>
      <c r="C246" s="135"/>
      <c r="D246" s="135"/>
      <c r="E246" s="135"/>
      <c r="F246" s="135"/>
      <c r="G246" s="141"/>
      <c r="H246" s="145"/>
      <c r="I246" s="155"/>
      <c r="J246" s="155"/>
      <c r="K246" s="145"/>
      <c r="L246" s="156"/>
      <c r="M246" s="135"/>
      <c r="N246" s="135"/>
      <c r="O246" s="123"/>
    </row>
    <row r="247" spans="1:15" s="68" customFormat="1" ht="6.75" customHeight="1" x14ac:dyDescent="0.25">
      <c r="A247" s="120"/>
      <c r="B247" s="123"/>
      <c r="C247" s="123"/>
      <c r="D247" s="123"/>
      <c r="E247" s="123"/>
      <c r="F247" s="141"/>
      <c r="G247" s="141"/>
      <c r="H247" s="145"/>
      <c r="I247" s="155"/>
      <c r="J247" s="155"/>
      <c r="K247" s="145"/>
      <c r="L247" s="156"/>
      <c r="M247" s="135"/>
      <c r="N247" s="135"/>
      <c r="O247" s="123"/>
    </row>
    <row r="248" spans="1:15" s="68" customFormat="1" ht="57" customHeight="1" x14ac:dyDescent="0.25">
      <c r="A248" s="120" t="s">
        <v>1547</v>
      </c>
      <c r="B248" s="161" t="s">
        <v>1520</v>
      </c>
      <c r="C248" s="161" t="s">
        <v>1538</v>
      </c>
      <c r="D248" s="161" t="s">
        <v>1521</v>
      </c>
      <c r="E248" s="161" t="s">
        <v>1403</v>
      </c>
      <c r="F248" s="161"/>
      <c r="G248" s="161" t="s">
        <v>2</v>
      </c>
      <c r="H248" s="160" t="s">
        <v>7</v>
      </c>
      <c r="I248" s="160" t="s">
        <v>1404</v>
      </c>
      <c r="J248" s="155"/>
      <c r="K248" s="145"/>
      <c r="L248" s="156"/>
      <c r="M248" s="135"/>
      <c r="N248" s="135"/>
      <c r="O248" s="123"/>
    </row>
    <row r="249" spans="1:15" s="68" customFormat="1" ht="57" customHeight="1" x14ac:dyDescent="0.25">
      <c r="A249" s="120"/>
      <c r="B249" s="111"/>
      <c r="C249" s="185" t="s">
        <v>1516</v>
      </c>
      <c r="D249" s="162" t="s">
        <v>1524</v>
      </c>
      <c r="E249" s="92"/>
      <c r="F249" s="92"/>
      <c r="G249" s="94"/>
      <c r="H249" s="95"/>
      <c r="I249" s="174">
        <f>+G249*H249</f>
        <v>0</v>
      </c>
      <c r="J249" s="155"/>
      <c r="K249" s="145"/>
      <c r="L249" s="156"/>
      <c r="M249" s="135"/>
      <c r="N249" s="135"/>
      <c r="O249" s="123"/>
    </row>
    <row r="250" spans="1:15" s="68" customFormat="1" ht="57" customHeight="1" x14ac:dyDescent="0.25">
      <c r="A250" s="120"/>
      <c r="B250" s="111"/>
      <c r="C250" s="185" t="s">
        <v>1516</v>
      </c>
      <c r="D250" s="162" t="s">
        <v>1524</v>
      </c>
      <c r="E250" s="92"/>
      <c r="F250" s="92"/>
      <c r="G250" s="94"/>
      <c r="H250" s="95"/>
      <c r="I250" s="174">
        <f>+G250*H250</f>
        <v>0</v>
      </c>
      <c r="J250" s="155"/>
      <c r="K250" s="145"/>
      <c r="L250" s="156"/>
      <c r="M250" s="135"/>
      <c r="N250" s="135"/>
      <c r="O250" s="123"/>
    </row>
    <row r="251" spans="1:15" s="68" customFormat="1" ht="57" customHeight="1" x14ac:dyDescent="0.25">
      <c r="A251" s="120"/>
      <c r="B251" s="175" t="s">
        <v>5</v>
      </c>
      <c r="C251" s="175"/>
      <c r="D251" s="175"/>
      <c r="E251" s="175"/>
      <c r="F251" s="176"/>
      <c r="G251" s="177">
        <f>SUM(G249:G250)</f>
        <v>0</v>
      </c>
      <c r="H251" s="178">
        <f>SUM(H249:H250)</f>
        <v>0</v>
      </c>
      <c r="I251" s="162">
        <f>SUM(I249:I250)</f>
        <v>0</v>
      </c>
      <c r="J251" s="155"/>
      <c r="K251" s="145"/>
      <c r="L251" s="156"/>
      <c r="M251" s="135"/>
      <c r="N251" s="135"/>
      <c r="O251" s="123"/>
    </row>
    <row r="252" spans="1:15" s="68" customFormat="1" ht="57" customHeight="1" x14ac:dyDescent="0.25">
      <c r="A252" s="120"/>
      <c r="B252" s="127"/>
      <c r="C252" s="127"/>
      <c r="D252" s="127"/>
      <c r="E252" s="127"/>
      <c r="F252" s="127"/>
      <c r="G252" s="127"/>
      <c r="H252" s="127"/>
      <c r="I252" s="155"/>
      <c r="J252" s="155"/>
      <c r="K252" s="155"/>
      <c r="L252" s="75"/>
      <c r="M252" s="135"/>
      <c r="N252" s="135"/>
      <c r="O252" s="123"/>
    </row>
    <row r="253" spans="1:15" s="91" customFormat="1" ht="57" customHeight="1" x14ac:dyDescent="0.25">
      <c r="A253" s="215">
        <v>8</v>
      </c>
      <c r="B253" s="216" t="s">
        <v>1419</v>
      </c>
      <c r="C253" s="151"/>
      <c r="D253" s="151"/>
      <c r="E253" s="151"/>
      <c r="F253" s="151"/>
      <c r="G253" s="151"/>
      <c r="H253" s="155"/>
      <c r="I253" s="155"/>
      <c r="J253" s="155"/>
      <c r="K253" s="128"/>
      <c r="L253" s="89"/>
      <c r="M253" s="136"/>
      <c r="N253" s="136"/>
      <c r="O253" s="137"/>
    </row>
    <row r="254" spans="1:15" s="68" customFormat="1" ht="11.25" customHeight="1" thickBot="1" x14ac:dyDescent="0.3">
      <c r="A254" s="120"/>
      <c r="B254" s="128"/>
      <c r="C254" s="152"/>
      <c r="D254" s="152"/>
      <c r="E254" s="128"/>
      <c r="F254" s="128"/>
      <c r="G254" s="128"/>
      <c r="H254" s="126"/>
      <c r="I254" s="155"/>
      <c r="J254" s="155"/>
      <c r="K254" s="127"/>
      <c r="L254" s="84"/>
      <c r="M254" s="135"/>
      <c r="N254" s="135"/>
      <c r="O254" s="123"/>
    </row>
    <row r="255" spans="1:15" s="68" customFormat="1" ht="67.5" customHeight="1" x14ac:dyDescent="0.25">
      <c r="A255" s="120" t="s">
        <v>1548</v>
      </c>
      <c r="B255" s="441" t="s">
        <v>1419</v>
      </c>
      <c r="C255" s="207" t="s">
        <v>1392</v>
      </c>
      <c r="D255" s="207" t="s">
        <v>1393</v>
      </c>
      <c r="E255" s="302" t="s">
        <v>1394</v>
      </c>
      <c r="F255" s="72"/>
      <c r="G255" s="127"/>
      <c r="H255" s="135"/>
      <c r="I255" s="155"/>
      <c r="J255" s="155"/>
      <c r="K255" s="155"/>
      <c r="L255" s="69" t="s">
        <v>1527</v>
      </c>
      <c r="M255" s="135"/>
      <c r="N255" s="135"/>
      <c r="O255" s="123"/>
    </row>
    <row r="256" spans="1:15" s="68" customFormat="1" ht="44.25" customHeight="1" thickBot="1" x14ac:dyDescent="0.3">
      <c r="A256" s="120"/>
      <c r="B256" s="442"/>
      <c r="C256" s="300">
        <f>E184+H23+I251+I229</f>
        <v>165.68047337278108</v>
      </c>
      <c r="D256" s="301">
        <f>IF(H17="SANTA CRUZ",0.21,IF(H17="COCHABAMBA",IF(L256&gt;50000,0.13,IF(L256&lt;50000,0.17))))</f>
        <v>0.17</v>
      </c>
      <c r="E256" s="299">
        <f>+(D256*C256)+('GASTO AUX '!G199)</f>
        <v>79.71897478775405</v>
      </c>
      <c r="F256" s="72"/>
      <c r="G256" s="127"/>
      <c r="H256" s="128"/>
      <c r="I256" s="123"/>
      <c r="J256" s="155"/>
      <c r="K256" s="155"/>
      <c r="L256" s="83">
        <f>+'GASTO AUX '!G195+'HOJA D TRABAJO'!I251+'HOJA D TRABAJO'!I244+'HOJA D TRABAJO'!I237+'HOJA D TRABAJO'!I229+'HOJA D TRABAJO'!H23+'HOJA D TRABAJO'!E184</f>
        <v>209.74311808592745</v>
      </c>
      <c r="M256" s="135"/>
      <c r="N256" s="135"/>
      <c r="O256" s="123"/>
    </row>
    <row r="257" spans="1:15" s="68" customFormat="1" ht="16.5" thickBot="1" x14ac:dyDescent="0.3">
      <c r="A257" s="120"/>
      <c r="B257" s="127"/>
      <c r="C257" s="127"/>
      <c r="D257" s="127"/>
      <c r="E257" s="127"/>
      <c r="F257" s="76"/>
      <c r="G257" s="127"/>
      <c r="H257" s="127"/>
      <c r="I257" s="126"/>
      <c r="J257" s="126"/>
      <c r="K257" s="126"/>
      <c r="L257" s="71"/>
      <c r="M257" s="123"/>
      <c r="N257" s="123"/>
      <c r="O257" s="123"/>
    </row>
    <row r="258" spans="1:15" s="68" customFormat="1" ht="77.25" customHeight="1" x14ac:dyDescent="0.25">
      <c r="A258" s="120" t="s">
        <v>1549</v>
      </c>
      <c r="B258" s="443" t="s">
        <v>19</v>
      </c>
      <c r="C258" s="207" t="s">
        <v>11</v>
      </c>
      <c r="D258" s="207" t="s">
        <v>31</v>
      </c>
      <c r="E258" s="208" t="s">
        <v>25</v>
      </c>
      <c r="F258" s="85"/>
      <c r="G258" s="127"/>
      <c r="H258" s="132"/>
      <c r="I258" s="132"/>
      <c r="J258" s="132"/>
      <c r="K258" s="132"/>
      <c r="L258" s="79"/>
      <c r="M258" s="123"/>
      <c r="N258" s="123"/>
      <c r="O258" s="123"/>
    </row>
    <row r="259" spans="1:15" s="68" customFormat="1" ht="42" customHeight="1" thickBot="1" x14ac:dyDescent="0.3">
      <c r="A259" s="120"/>
      <c r="B259" s="444"/>
      <c r="C259" s="297">
        <f>+C15</f>
        <v>30</v>
      </c>
      <c r="D259" s="298">
        <f>+Hoja2!F27</f>
        <v>5.4487179487179495E-4</v>
      </c>
      <c r="E259" s="299">
        <f>+D259*C259*(C256+'GASTO AUX '!$G$195+E256)</f>
        <v>4.7315919027428714</v>
      </c>
      <c r="F259" s="116"/>
      <c r="G259" s="127"/>
      <c r="H259" s="128"/>
      <c r="I259" s="149"/>
      <c r="J259" s="146"/>
      <c r="K259" s="157"/>
      <c r="L259" s="96"/>
      <c r="M259" s="123"/>
      <c r="N259" s="123"/>
      <c r="O259" s="123"/>
    </row>
    <row r="260" spans="1:15" s="68" customFormat="1" x14ac:dyDescent="0.25">
      <c r="A260" s="120"/>
      <c r="B260" s="123"/>
      <c r="C260" s="123"/>
      <c r="D260" s="123"/>
      <c r="E260" s="123"/>
      <c r="F260" s="74"/>
      <c r="G260" s="123"/>
      <c r="H260" s="123"/>
      <c r="I260" s="135"/>
      <c r="J260" s="135"/>
      <c r="K260" s="135"/>
      <c r="L260" s="73"/>
      <c r="M260" s="123"/>
      <c r="N260" s="123"/>
      <c r="O260" s="123"/>
    </row>
    <row r="261" spans="1:15" s="68" customFormat="1" x14ac:dyDescent="0.25">
      <c r="A261" s="120"/>
      <c r="B261" s="123"/>
      <c r="C261" s="123"/>
      <c r="D261" s="123"/>
      <c r="E261" s="123"/>
      <c r="F261" s="74"/>
      <c r="G261" s="123"/>
      <c r="H261" s="123"/>
      <c r="I261" s="135"/>
      <c r="J261" s="135"/>
      <c r="K261" s="135"/>
      <c r="L261" s="73"/>
      <c r="M261" s="123"/>
      <c r="N261" s="123"/>
      <c r="O261" s="123"/>
    </row>
    <row r="262" spans="1:15" s="68" customFormat="1" ht="30" customHeight="1" x14ac:dyDescent="0.25">
      <c r="A262" s="120"/>
      <c r="B262" s="198" t="s">
        <v>1540</v>
      </c>
      <c r="C262" s="199">
        <f>+IF(C269&lt;50000,0.16,IF(C269&gt;50000,0.15,))</f>
        <v>0.16</v>
      </c>
      <c r="D262" s="201"/>
      <c r="E262" s="435" t="s">
        <v>1541</v>
      </c>
      <c r="F262" s="435"/>
      <c r="G262" s="435"/>
      <c r="H262" s="200">
        <v>0.13</v>
      </c>
      <c r="I262" s="135"/>
      <c r="J262" s="135"/>
      <c r="K262" s="135"/>
      <c r="L262" s="73"/>
      <c r="M262" s="123"/>
      <c r="N262" s="123"/>
      <c r="O262" s="123"/>
    </row>
    <row r="263" spans="1:15" s="68" customFormat="1" x14ac:dyDescent="0.25">
      <c r="A263" s="120"/>
      <c r="B263" s="123"/>
      <c r="C263" s="123"/>
      <c r="D263" s="123"/>
      <c r="E263" s="123"/>
      <c r="F263" s="74"/>
      <c r="G263" s="123"/>
      <c r="H263" s="123"/>
      <c r="I263" s="135"/>
      <c r="J263" s="135"/>
      <c r="K263" s="135"/>
      <c r="L263" s="73"/>
      <c r="M263" s="123"/>
      <c r="N263" s="123"/>
      <c r="O263" s="123"/>
    </row>
    <row r="264" spans="1:15" s="68" customFormat="1" x14ac:dyDescent="0.25">
      <c r="A264" s="120"/>
      <c r="B264" s="123"/>
      <c r="C264" s="123"/>
      <c r="D264" s="123"/>
      <c r="E264" s="123"/>
      <c r="F264" s="74"/>
      <c r="G264" s="123"/>
      <c r="H264" s="123"/>
      <c r="I264" s="135"/>
      <c r="J264" s="135"/>
      <c r="K264" s="135"/>
      <c r="L264" s="73"/>
      <c r="M264" s="123"/>
      <c r="N264" s="123"/>
      <c r="O264" s="123"/>
    </row>
    <row r="265" spans="1:15" s="68" customFormat="1" x14ac:dyDescent="0.25">
      <c r="A265" s="120"/>
      <c r="B265" s="123"/>
      <c r="C265" s="123"/>
      <c r="D265" s="123"/>
      <c r="E265" s="123"/>
      <c r="F265" s="74"/>
      <c r="G265" s="123"/>
      <c r="H265" s="123"/>
      <c r="I265" s="135"/>
      <c r="J265" s="135"/>
      <c r="K265" s="135"/>
      <c r="L265" s="73"/>
      <c r="M265" s="123"/>
      <c r="N265" s="123"/>
      <c r="O265" s="123"/>
    </row>
    <row r="266" spans="1:15" s="68" customFormat="1" x14ac:dyDescent="0.25">
      <c r="A266" s="120"/>
      <c r="B266" s="123"/>
      <c r="C266" s="123"/>
      <c r="D266" s="123"/>
      <c r="E266" s="123"/>
      <c r="F266" s="74"/>
      <c r="G266" s="123"/>
      <c r="H266" s="123"/>
      <c r="I266" s="135"/>
      <c r="J266" s="135"/>
      <c r="K266" s="135"/>
      <c r="L266" s="73"/>
      <c r="M266" s="123"/>
      <c r="N266" s="123"/>
      <c r="O266" s="123"/>
    </row>
    <row r="267" spans="1:15" s="68" customFormat="1" ht="16.5" thickBot="1" x14ac:dyDescent="0.3">
      <c r="A267" s="123"/>
      <c r="B267" s="123"/>
      <c r="C267" s="123"/>
      <c r="D267" s="123"/>
      <c r="E267" s="123"/>
      <c r="F267" s="74"/>
      <c r="G267" s="123"/>
      <c r="H267" s="123"/>
      <c r="I267" s="135"/>
      <c r="J267" s="135"/>
      <c r="K267" s="135"/>
      <c r="L267" s="73"/>
      <c r="M267" s="123"/>
      <c r="N267" s="123"/>
      <c r="O267" s="123"/>
    </row>
    <row r="268" spans="1:15" s="68" customFormat="1" ht="21" x14ac:dyDescent="0.35">
      <c r="A268" s="296">
        <v>9</v>
      </c>
      <c r="B268" s="203" t="s">
        <v>8</v>
      </c>
      <c r="C268" s="425" t="s">
        <v>8</v>
      </c>
      <c r="D268" s="426"/>
      <c r="E268" s="148"/>
      <c r="F268" s="148"/>
      <c r="G268" s="123"/>
      <c r="H268" s="436" t="s">
        <v>1488</v>
      </c>
      <c r="I268" s="437"/>
      <c r="J268" s="202"/>
      <c r="K268" s="135"/>
      <c r="L268" s="73"/>
      <c r="M268" s="123"/>
      <c r="N268" s="123"/>
      <c r="O268" s="123"/>
    </row>
    <row r="269" spans="1:15" s="68" customFormat="1" ht="27" customHeight="1" x14ac:dyDescent="0.25">
      <c r="A269" s="120"/>
      <c r="B269" s="204" t="s">
        <v>15</v>
      </c>
      <c r="C269" s="427">
        <f>+E259+E256+I251+I244+I237+I229+H23+E184</f>
        <v>250.13104006327802</v>
      </c>
      <c r="D269" s="428"/>
      <c r="E269" s="123"/>
      <c r="F269" s="123"/>
      <c r="G269" s="123"/>
      <c r="H269" s="206" t="s">
        <v>1489</v>
      </c>
      <c r="I269" s="206">
        <f>+'Carta PDF'!F128</f>
        <v>336.48580389464786</v>
      </c>
      <c r="J269" s="135"/>
      <c r="K269" s="123"/>
      <c r="L269" s="97"/>
      <c r="M269" s="123"/>
      <c r="N269" s="123"/>
      <c r="O269" s="123"/>
    </row>
    <row r="270" spans="1:15" s="68" customFormat="1" ht="27" customHeight="1" x14ac:dyDescent="0.25">
      <c r="A270" s="120"/>
      <c r="B270" s="205" t="s">
        <v>1390</v>
      </c>
      <c r="C270" s="433">
        <f>IF(H15="EXTERNO",IF(OR($H$262="",$H$262=0),$C$269*$C$262,$H$262*$C$269),IF(H15="INTERNO",C269,))</f>
        <v>32.517035208226147</v>
      </c>
      <c r="D270" s="434"/>
      <c r="E270" s="123"/>
      <c r="F270" s="123"/>
      <c r="G270" s="123"/>
      <c r="H270" s="206" t="s">
        <v>1490</v>
      </c>
      <c r="I270" s="206">
        <f>+'Carta PDF'!E172</f>
        <v>0</v>
      </c>
      <c r="J270" s="123"/>
      <c r="K270" s="123"/>
      <c r="L270" s="97"/>
      <c r="M270" s="123"/>
      <c r="N270" s="123"/>
      <c r="O270" s="123"/>
    </row>
    <row r="271" spans="1:15" s="68" customFormat="1" ht="27" customHeight="1" x14ac:dyDescent="0.25">
      <c r="A271" s="120"/>
      <c r="B271" s="205" t="s">
        <v>17</v>
      </c>
      <c r="C271" s="427">
        <f>IF(H15="EXTERNO",C270+C269,IF(H15="INTERNO",C269,))</f>
        <v>282.64807527150418</v>
      </c>
      <c r="D271" s="428"/>
      <c r="E271" s="123"/>
      <c r="F271" s="123"/>
      <c r="G271" s="135"/>
      <c r="H271" s="206"/>
      <c r="I271" s="206"/>
      <c r="J271" s="123"/>
      <c r="K271" s="123"/>
      <c r="L271" s="97"/>
      <c r="M271" s="123"/>
      <c r="N271" s="123"/>
      <c r="O271" s="123"/>
    </row>
    <row r="272" spans="1:15" s="68" customFormat="1" ht="27" customHeight="1" thickBot="1" x14ac:dyDescent="0.4">
      <c r="A272" s="120"/>
      <c r="B272" s="179" t="s">
        <v>16</v>
      </c>
      <c r="C272" s="423">
        <f>IF(H15="EXTERNO",C271/0.84,IF(H15="INTERNO",C269))</f>
        <v>336.48580389464786</v>
      </c>
      <c r="D272" s="424"/>
      <c r="E272" s="150"/>
      <c r="F272" s="150"/>
      <c r="G272" s="123"/>
      <c r="H272" s="206" t="s">
        <v>5</v>
      </c>
      <c r="I272" s="206">
        <f>+I269+I270</f>
        <v>336.48580389464786</v>
      </c>
      <c r="J272" s="135"/>
      <c r="K272" s="123"/>
      <c r="L272" s="97"/>
      <c r="M272" s="123"/>
      <c r="N272" s="123"/>
      <c r="O272" s="123"/>
    </row>
    <row r="273" spans="1:15" s="68" customFormat="1" ht="27.75" customHeight="1" x14ac:dyDescent="0.25">
      <c r="A273" s="120"/>
      <c r="B273" s="123"/>
      <c r="C273" s="399" t="str">
        <f>+IF(H262=0,"",IF(H262=0,"",IF(H262&gt;=0.15,"",IF(H262&lt;0.15,"PARA COBRAR ESTE  F.E.E. NESESITA AUTORIZACION "))))</f>
        <v xml:space="preserve">PARA COBRAR ESTE  F.E.E. NESESITA AUTORIZACION </v>
      </c>
      <c r="D273" s="399"/>
      <c r="E273" s="153"/>
      <c r="F273" s="141"/>
      <c r="G273" s="141"/>
      <c r="H273" s="141"/>
      <c r="I273" s="141"/>
      <c r="J273" s="141"/>
      <c r="K273" s="141"/>
      <c r="L273" s="98"/>
      <c r="M273" s="123"/>
      <c r="N273" s="123"/>
      <c r="O273" s="123"/>
    </row>
    <row r="274" spans="1:15" s="68" customFormat="1" ht="27.75" customHeight="1" x14ac:dyDescent="0.25">
      <c r="A274" s="123"/>
      <c r="B274" s="123"/>
      <c r="C274" s="400"/>
      <c r="D274" s="400"/>
      <c r="E274" s="153"/>
      <c r="F274" s="147"/>
      <c r="G274" s="147"/>
      <c r="H274" s="147"/>
      <c r="I274" s="147"/>
      <c r="J274" s="147"/>
      <c r="K274" s="147"/>
      <c r="L274" s="99"/>
      <c r="M274" s="123"/>
      <c r="N274" s="123"/>
      <c r="O274" s="123"/>
    </row>
    <row r="275" spans="1:15" s="68" customFormat="1" ht="27.75" customHeight="1" x14ac:dyDescent="0.25">
      <c r="A275" s="120"/>
      <c r="B275" s="123"/>
      <c r="C275" s="153"/>
      <c r="D275" s="153"/>
      <c r="E275" s="153"/>
      <c r="F275" s="141"/>
      <c r="G275" s="141"/>
      <c r="H275" s="150"/>
      <c r="I275" s="150"/>
      <c r="J275" s="141"/>
      <c r="K275" s="141"/>
      <c r="L275" s="98"/>
      <c r="M275" s="123"/>
      <c r="N275" s="123"/>
      <c r="O275" s="123"/>
    </row>
    <row r="276" spans="1:15" s="68" customFormat="1" ht="27.75" customHeight="1" x14ac:dyDescent="0.25">
      <c r="A276" s="120"/>
      <c r="B276" s="123"/>
      <c r="C276" s="123"/>
      <c r="D276" s="123"/>
      <c r="E276" s="123"/>
      <c r="F276" s="154"/>
      <c r="G276" s="148"/>
      <c r="H276" s="148"/>
      <c r="I276" s="148"/>
      <c r="J276" s="148"/>
      <c r="K276" s="141"/>
      <c r="L276" s="98"/>
      <c r="M276" s="123"/>
      <c r="N276" s="123"/>
      <c r="O276" s="123"/>
    </row>
    <row r="277" spans="1:15" x14ac:dyDescent="0.25">
      <c r="A277" s="119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M277" s="220"/>
      <c r="N277" s="220"/>
      <c r="O277" s="220"/>
    </row>
    <row r="278" spans="1:15" x14ac:dyDescent="0.25">
      <c r="A278" s="119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M278" s="220"/>
      <c r="N278" s="220"/>
      <c r="O278" s="220"/>
    </row>
    <row r="279" spans="1:15" hidden="1" x14ac:dyDescent="0.25">
      <c r="A279" s="119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M279" s="220"/>
      <c r="N279" s="220"/>
      <c r="O279" s="220"/>
    </row>
    <row r="280" spans="1:15" x14ac:dyDescent="0.25">
      <c r="A280" s="119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M280" s="220"/>
      <c r="N280" s="220"/>
      <c r="O280" s="220"/>
    </row>
    <row r="281" spans="1:15" x14ac:dyDescent="0.25">
      <c r="A281" s="119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M281" s="220"/>
      <c r="N281" s="220"/>
      <c r="O281" s="220"/>
    </row>
    <row r="282" spans="1:15" x14ac:dyDescent="0.25">
      <c r="A282" s="62"/>
    </row>
    <row r="283" spans="1:15" x14ac:dyDescent="0.25">
      <c r="A283" s="62"/>
    </row>
    <row r="284" spans="1:15" x14ac:dyDescent="0.25">
      <c r="A284" s="62"/>
    </row>
  </sheetData>
  <protectedRanges>
    <protectedRange sqref="C253:G253" name="Rango3_1"/>
    <protectedRange sqref="C9 H11 C13 C15 H9 H13 D190:H203 D212:H226 C262 J190:J203 J212:J226 H15 D43 D155:G155 C190:C204 L27 B212:C227 D27:H27 D123:H123 D107:H107 D91:H91 D75:H75 D59:H59 D139:H139 B29:B40 D29:E40 B45:B56 D45:E56 B61:B72 D61:E72 B77:B88 D77:E88 B93:B104 E93:E104 B109:B120 E109:E120 B125:B136 E125:E136 B141:B152 E141:E152 B157:B168 E157:E168 B190:B203" name="Rango3"/>
    <protectedRange sqref="C29:C40 C45:C56 C61:C72 C77:C88 C93:D104 C109:D120 C125:D136 C141:D152 C157:D168" name="Rango4"/>
    <protectedRange sqref="C21:C22" name="Rango4_1"/>
    <protectedRange sqref="C21:C22" name="Rango3_1_1"/>
    <protectedRange sqref="G235:G236 H249:H250 C235:D237 G242:G243 C242:D244 B249:D251 B235:B238 B242:B245" name="Rango3_2"/>
    <protectedRange sqref="C17" name="Rango3_2_1"/>
    <protectedRange sqref="H17" name="Rango3_6"/>
  </protectedRanges>
  <mergeCells count="93">
    <mergeCell ref="C184:D184"/>
    <mergeCell ref="B6:I6"/>
    <mergeCell ref="B7:I7"/>
    <mergeCell ref="G139:H139"/>
    <mergeCell ref="G155:H155"/>
    <mergeCell ref="G43:H43"/>
    <mergeCell ref="G91:H91"/>
    <mergeCell ref="G27:H27"/>
    <mergeCell ref="G59:H59"/>
    <mergeCell ref="G75:H75"/>
    <mergeCell ref="G107:H107"/>
    <mergeCell ref="G123:H123"/>
    <mergeCell ref="D27:E27"/>
    <mergeCell ref="D59:E59"/>
    <mergeCell ref="D75:E75"/>
    <mergeCell ref="C183:D183"/>
    <mergeCell ref="C179:D179"/>
    <mergeCell ref="C180:D180"/>
    <mergeCell ref="C181:D181"/>
    <mergeCell ref="C182:D182"/>
    <mergeCell ref="D91:E91"/>
    <mergeCell ref="D107:E107"/>
    <mergeCell ref="C174:D174"/>
    <mergeCell ref="C175:D175"/>
    <mergeCell ref="C176:D176"/>
    <mergeCell ref="C177:D177"/>
    <mergeCell ref="C178:D178"/>
    <mergeCell ref="J188:L188"/>
    <mergeCell ref="D230:J230"/>
    <mergeCell ref="K230:L230"/>
    <mergeCell ref="C269:D269"/>
    <mergeCell ref="C270:D270"/>
    <mergeCell ref="E262:G262"/>
    <mergeCell ref="H268:I268"/>
    <mergeCell ref="B210:C210"/>
    <mergeCell ref="D210:I210"/>
    <mergeCell ref="B188:C188"/>
    <mergeCell ref="D188:I188"/>
    <mergeCell ref="B255:B256"/>
    <mergeCell ref="B258:B259"/>
    <mergeCell ref="H17:I17"/>
    <mergeCell ref="H13:I13"/>
    <mergeCell ref="H15:I15"/>
    <mergeCell ref="C272:D272"/>
    <mergeCell ref="C268:D268"/>
    <mergeCell ref="C271:D271"/>
    <mergeCell ref="E179:G179"/>
    <mergeCell ref="E180:G180"/>
    <mergeCell ref="E181:G181"/>
    <mergeCell ref="E182:G182"/>
    <mergeCell ref="D123:E123"/>
    <mergeCell ref="D139:E139"/>
    <mergeCell ref="D155:E155"/>
    <mergeCell ref="C171:D171"/>
    <mergeCell ref="C172:D172"/>
    <mergeCell ref="C173:D173"/>
    <mergeCell ref="B26:G26"/>
    <mergeCell ref="C9:D9"/>
    <mergeCell ref="C11:D11"/>
    <mergeCell ref="C13:D13"/>
    <mergeCell ref="F17:G17"/>
    <mergeCell ref="E2:G2"/>
    <mergeCell ref="C273:D274"/>
    <mergeCell ref="B25:G25"/>
    <mergeCell ref="B186:I186"/>
    <mergeCell ref="C238:G238"/>
    <mergeCell ref="B27:B28"/>
    <mergeCell ref="B43:B44"/>
    <mergeCell ref="B59:B60"/>
    <mergeCell ref="B75:B76"/>
    <mergeCell ref="B91:B92"/>
    <mergeCell ref="B107:B108"/>
    <mergeCell ref="B123:B124"/>
    <mergeCell ref="B139:B140"/>
    <mergeCell ref="B155:B156"/>
    <mergeCell ref="B2:B3"/>
    <mergeCell ref="C2:D2"/>
    <mergeCell ref="C3:D3"/>
    <mergeCell ref="B231:I231"/>
    <mergeCell ref="E171:G171"/>
    <mergeCell ref="E172:G172"/>
    <mergeCell ref="E173:G173"/>
    <mergeCell ref="E174:G174"/>
    <mergeCell ref="E175:G175"/>
    <mergeCell ref="E176:G176"/>
    <mergeCell ref="E177:G177"/>
    <mergeCell ref="E178:G178"/>
    <mergeCell ref="E183:G183"/>
    <mergeCell ref="D43:E43"/>
    <mergeCell ref="E184:G184"/>
    <mergeCell ref="E3:G3"/>
    <mergeCell ref="H9:I9"/>
    <mergeCell ref="H11:I11"/>
  </mergeCells>
  <conditionalFormatting sqref="H238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5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C21:C22">
      <formula1>"DIAS,HRS"</formula1>
    </dataValidation>
    <dataValidation type="list" allowBlank="1" showInputMessage="1" showErrorMessage="1" sqref="L15 H15">
      <formula1>"INTERNO,EXTERNO"</formula1>
    </dataValidation>
    <dataValidation type="list" allowBlank="1" showInputMessage="1" showErrorMessage="1" sqref="C17">
      <formula1>"ALVARO VEGA,XIMENA CASSAB,OTROS "</formula1>
    </dataValidation>
    <dataValidation type="list" allowBlank="1" showInputMessage="1" showErrorMessage="1" sqref="H17:I17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scale="35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r:id="rId5">
            <anchor moveWithCells="1">
              <from>
                <xdr:col>8</xdr:col>
                <xdr:colOff>542925</xdr:colOff>
                <xdr:row>0</xdr:row>
                <xdr:rowOff>200025</xdr:rowOff>
              </from>
              <to>
                <xdr:col>8</xdr:col>
                <xdr:colOff>1247775</xdr:colOff>
                <xdr:row>2</xdr:row>
                <xdr:rowOff>190500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Hoja2!$H$7:$H$11</xm:f>
          </x14:formula1>
          <xm:sqref>H212:H226</xm:sqref>
        </x14:dataValidation>
        <x14:dataValidation type="list" allowBlank="1" showInputMessage="1" showErrorMessage="1">
          <x14:formula1>
            <xm:f>Hoja2!$H$2:$H$5</xm:f>
          </x14:formula1>
          <xm:sqref>H190:H203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2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6"/>
      <c r="D3">
        <v>120</v>
      </c>
      <c r="E3">
        <v>30</v>
      </c>
      <c r="H3" t="s">
        <v>28</v>
      </c>
      <c r="J3" t="s">
        <v>30</v>
      </c>
      <c r="L3" s="2">
        <v>0.05</v>
      </c>
      <c r="N3" t="s">
        <v>33</v>
      </c>
      <c r="O3">
        <v>1.5</v>
      </c>
    </row>
    <row r="4" spans="2:16" x14ac:dyDescent="0.25">
      <c r="C4" s="17"/>
      <c r="E4">
        <v>45</v>
      </c>
      <c r="H4" t="s">
        <v>18</v>
      </c>
      <c r="L4" s="2">
        <v>0.1</v>
      </c>
      <c r="O4">
        <v>2</v>
      </c>
    </row>
    <row r="5" spans="2:16" x14ac:dyDescent="0.25">
      <c r="E5">
        <v>60</v>
      </c>
      <c r="L5" s="2">
        <v>0.15</v>
      </c>
      <c r="O5">
        <v>2.5</v>
      </c>
    </row>
    <row r="6" spans="2:16" x14ac:dyDescent="0.25">
      <c r="E6">
        <v>75</v>
      </c>
      <c r="L6" s="2">
        <v>0.2</v>
      </c>
      <c r="O6">
        <v>3</v>
      </c>
    </row>
    <row r="7" spans="2:16" x14ac:dyDescent="0.25">
      <c r="E7">
        <v>90</v>
      </c>
      <c r="H7" t="s">
        <v>14</v>
      </c>
      <c r="L7" s="2">
        <v>0.25</v>
      </c>
      <c r="O7">
        <v>3.5</v>
      </c>
    </row>
    <row r="8" spans="2:16" x14ac:dyDescent="0.25">
      <c r="E8">
        <v>120</v>
      </c>
      <c r="H8" t="s">
        <v>1354</v>
      </c>
      <c r="L8" s="2">
        <v>0.3</v>
      </c>
      <c r="O8">
        <v>4</v>
      </c>
    </row>
    <row r="9" spans="2:16" x14ac:dyDescent="0.25">
      <c r="H9" t="s">
        <v>1355</v>
      </c>
      <c r="L9" s="2">
        <v>0.35</v>
      </c>
      <c r="O9">
        <v>4.5</v>
      </c>
    </row>
    <row r="10" spans="2:16" x14ac:dyDescent="0.25">
      <c r="H10" t="s">
        <v>1358</v>
      </c>
      <c r="L10" s="2">
        <v>0.4</v>
      </c>
      <c r="O10">
        <v>5</v>
      </c>
    </row>
    <row r="11" spans="2:16" x14ac:dyDescent="0.25">
      <c r="C11" t="s">
        <v>33</v>
      </c>
      <c r="H11" t="s">
        <v>1357</v>
      </c>
      <c r="L11" s="2">
        <v>0.5</v>
      </c>
      <c r="O11">
        <v>5.5</v>
      </c>
    </row>
    <row r="12" spans="2:16" s="64" customFormat="1" x14ac:dyDescent="0.25">
      <c r="B12" s="64" t="s">
        <v>1508</v>
      </c>
      <c r="C12" s="64">
        <v>26</v>
      </c>
      <c r="D12" s="64">
        <f>+C12*8</f>
        <v>208</v>
      </c>
      <c r="L12" s="2"/>
    </row>
    <row r="13" spans="2:16" s="64" customFormat="1" x14ac:dyDescent="0.25">
      <c r="L13" s="2"/>
    </row>
    <row r="14" spans="2:16" s="64" customFormat="1" x14ac:dyDescent="0.25">
      <c r="L14" s="2"/>
    </row>
    <row r="15" spans="2:16" s="64" customFormat="1" x14ac:dyDescent="0.25">
      <c r="L15" s="2"/>
    </row>
    <row r="16" spans="2:16" s="64" customFormat="1" x14ac:dyDescent="0.25">
      <c r="L16" s="2"/>
    </row>
    <row r="19" spans="2:13" ht="45" x14ac:dyDescent="0.25">
      <c r="B19" s="3" t="s">
        <v>1364</v>
      </c>
      <c r="C19" s="4"/>
      <c r="D19" s="4" t="s">
        <v>1365</v>
      </c>
      <c r="E19" s="4"/>
      <c r="F19" s="4" t="s">
        <v>1366</v>
      </c>
      <c r="G19" s="4" t="s">
        <v>1367</v>
      </c>
      <c r="H19" s="4"/>
      <c r="I19" s="4"/>
      <c r="J19" s="4"/>
      <c r="K19" s="4"/>
    </row>
    <row r="21" spans="2:13" ht="36.75" customHeight="1" x14ac:dyDescent="0.25">
      <c r="B21" s="18">
        <v>12810942.899442106</v>
      </c>
      <c r="C21" s="1"/>
      <c r="D21" s="1">
        <v>2179769.7994421064</v>
      </c>
      <c r="E21" s="18">
        <f>+D21+B21</f>
        <v>14990712.698884213</v>
      </c>
      <c r="F21" s="1">
        <f>+D21/B21</f>
        <v>0.17014905277089568</v>
      </c>
      <c r="G21" s="1">
        <v>0.2</v>
      </c>
      <c r="H21" s="1"/>
      <c r="I21" s="1"/>
      <c r="J21" s="1"/>
      <c r="K21" s="1"/>
    </row>
    <row r="26" spans="2:13" ht="42.75" customHeight="1" x14ac:dyDescent="0.25">
      <c r="B26" s="7" t="s">
        <v>20</v>
      </c>
      <c r="C26" s="7" t="s">
        <v>21</v>
      </c>
      <c r="D26" s="7" t="s">
        <v>22</v>
      </c>
      <c r="E26" s="7" t="s">
        <v>23</v>
      </c>
      <c r="F26" s="7" t="s">
        <v>24</v>
      </c>
    </row>
    <row r="27" spans="2:13" ht="24.75" customHeight="1" x14ac:dyDescent="0.25">
      <c r="B27" s="6">
        <v>0.17</v>
      </c>
      <c r="C27" s="5">
        <v>208</v>
      </c>
      <c r="D27" s="5">
        <f>+C27*12</f>
        <v>2496</v>
      </c>
      <c r="E27" s="9">
        <f>+B27/D27</f>
        <v>6.8108974358974369E-5</v>
      </c>
      <c r="F27" s="8">
        <f>+E27*8</f>
        <v>5.4487179487179495E-4</v>
      </c>
    </row>
    <row r="30" spans="2:13" x14ac:dyDescent="0.25">
      <c r="B30" s="10"/>
      <c r="F30" s="10"/>
    </row>
    <row r="32" spans="2:13" x14ac:dyDescent="0.25">
      <c r="B32" t="str">
        <f>CONCATENATE(C32,"*",D32)</f>
        <v>01*TIGO</v>
      </c>
      <c r="C32" s="11" t="s">
        <v>34</v>
      </c>
      <c r="D32" s="12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1" t="s">
        <v>36</v>
      </c>
      <c r="D33" s="12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1" t="s">
        <v>38</v>
      </c>
      <c r="D34" s="12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1" t="s">
        <v>40</v>
      </c>
      <c r="D35" s="12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1" t="s">
        <v>42</v>
      </c>
      <c r="D36" s="12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1" t="s">
        <v>44</v>
      </c>
      <c r="D37" s="12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1" t="s">
        <v>46</v>
      </c>
      <c r="D38" s="12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1" t="s">
        <v>48</v>
      </c>
      <c r="D39" s="12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1" t="s">
        <v>50</v>
      </c>
      <c r="D40" s="12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1" t="s">
        <v>52</v>
      </c>
      <c r="D41" s="12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1" t="s">
        <v>54</v>
      </c>
      <c r="D42" s="12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1" t="s">
        <v>56</v>
      </c>
      <c r="D43" s="12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1" t="s">
        <v>58</v>
      </c>
      <c r="D44" s="12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1" t="s">
        <v>60</v>
      </c>
      <c r="D45" s="12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1" t="s">
        <v>62</v>
      </c>
      <c r="D46" s="12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1" t="s">
        <v>64</v>
      </c>
      <c r="D47" s="12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1" t="s">
        <v>66</v>
      </c>
      <c r="D48" s="12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1" t="s">
        <v>68</v>
      </c>
      <c r="D49" s="12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1" t="s">
        <v>70</v>
      </c>
      <c r="D50" s="12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1" t="s">
        <v>72</v>
      </c>
      <c r="D51" s="12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1" t="s">
        <v>74</v>
      </c>
      <c r="D52" s="12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1" t="s">
        <v>76</v>
      </c>
      <c r="D53" s="12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1" t="s">
        <v>78</v>
      </c>
      <c r="D54" s="12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1" t="s">
        <v>80</v>
      </c>
      <c r="D55" s="12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1" t="s">
        <v>82</v>
      </c>
      <c r="D56" s="12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1" t="s">
        <v>84</v>
      </c>
      <c r="D57" s="12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1" t="s">
        <v>86</v>
      </c>
      <c r="D58" s="12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1" t="s">
        <v>88</v>
      </c>
      <c r="D59" s="12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1" t="s">
        <v>90</v>
      </c>
      <c r="D60" s="12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1" t="s">
        <v>92</v>
      </c>
      <c r="D61" s="12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1" t="s">
        <v>94</v>
      </c>
      <c r="D62" s="12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1" t="s">
        <v>96</v>
      </c>
      <c r="D63" s="12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1" t="s">
        <v>98</v>
      </c>
      <c r="D64" s="12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1" t="s">
        <v>100</v>
      </c>
      <c r="D65" s="12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1" t="s">
        <v>102</v>
      </c>
      <c r="D66" s="13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1" t="s">
        <v>104</v>
      </c>
      <c r="D67" s="13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1" t="s">
        <v>106</v>
      </c>
      <c r="D68" s="13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1" t="s">
        <v>108</v>
      </c>
      <c r="D69" s="13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1" t="s">
        <v>109</v>
      </c>
      <c r="D70" s="13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1" t="s">
        <v>111</v>
      </c>
      <c r="D71" s="13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1" t="s">
        <v>113</v>
      </c>
      <c r="D72" s="13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1" t="s">
        <v>115</v>
      </c>
      <c r="D73" s="13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1" t="s">
        <v>116</v>
      </c>
      <c r="D74" s="13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1" t="s">
        <v>118</v>
      </c>
      <c r="D75" s="13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1" t="s">
        <v>120</v>
      </c>
      <c r="D76" s="13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1" t="s">
        <v>122</v>
      </c>
      <c r="D77" s="13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1" t="s">
        <v>124</v>
      </c>
      <c r="D78" s="13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1" t="s">
        <v>126</v>
      </c>
      <c r="D79" s="13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1" t="s">
        <v>128</v>
      </c>
      <c r="D80" s="13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1" t="s">
        <v>130</v>
      </c>
      <c r="D81" s="13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1" t="s">
        <v>132</v>
      </c>
      <c r="D82" s="13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1" t="s">
        <v>134</v>
      </c>
      <c r="D83" s="13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1" t="s">
        <v>136</v>
      </c>
      <c r="D84" s="13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1" t="s">
        <v>138</v>
      </c>
      <c r="D85" s="13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1" t="s">
        <v>140</v>
      </c>
      <c r="D86" s="13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1" t="s">
        <v>142</v>
      </c>
      <c r="D87" s="14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1" t="s">
        <v>143</v>
      </c>
      <c r="D88" s="14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1" t="s">
        <v>144</v>
      </c>
      <c r="D89" s="14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1" t="s">
        <v>145</v>
      </c>
      <c r="D90" s="14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1" t="s">
        <v>146</v>
      </c>
      <c r="D91" s="14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1" t="s">
        <v>147</v>
      </c>
      <c r="D92" s="14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1" t="s">
        <v>148</v>
      </c>
      <c r="D93" s="14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1" t="s">
        <v>149</v>
      </c>
      <c r="D94" s="14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1" t="s">
        <v>150</v>
      </c>
      <c r="D95" s="14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1" t="s">
        <v>151</v>
      </c>
      <c r="D96" s="14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1" t="s">
        <v>152</v>
      </c>
      <c r="D97" s="14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1" t="s">
        <v>153</v>
      </c>
      <c r="D98" s="14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1" t="s">
        <v>154</v>
      </c>
      <c r="D99" s="14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1" t="s">
        <v>155</v>
      </c>
      <c r="D100" s="14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1" t="s">
        <v>156</v>
      </c>
      <c r="D101" s="14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1" t="s">
        <v>157</v>
      </c>
      <c r="D102" s="14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1" t="s">
        <v>158</v>
      </c>
      <c r="D103" s="14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1" t="s">
        <v>159</v>
      </c>
      <c r="D104" s="14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1" t="s">
        <v>160</v>
      </c>
      <c r="D105" s="14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1" t="s">
        <v>161</v>
      </c>
      <c r="D106" s="14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1" t="s">
        <v>162</v>
      </c>
      <c r="D107" s="14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1" t="s">
        <v>163</v>
      </c>
      <c r="D108" s="14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1" t="s">
        <v>164</v>
      </c>
      <c r="D109" s="14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1" t="s">
        <v>165</v>
      </c>
      <c r="D110" s="14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1" t="s">
        <v>166</v>
      </c>
      <c r="D111" s="14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1" t="s">
        <v>167</v>
      </c>
      <c r="D112" s="14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1" t="s">
        <v>168</v>
      </c>
      <c r="D113" s="14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1" t="s">
        <v>169</v>
      </c>
      <c r="D114" s="14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1" t="s">
        <v>170</v>
      </c>
      <c r="D115" s="14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1" t="s">
        <v>171</v>
      </c>
      <c r="D116" s="14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1" t="s">
        <v>172</v>
      </c>
      <c r="D117" s="14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1" t="s">
        <v>173</v>
      </c>
      <c r="D118" s="14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1" t="s">
        <v>174</v>
      </c>
      <c r="D119" s="14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1" t="s">
        <v>175</v>
      </c>
      <c r="D120" s="14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1" t="s">
        <v>176</v>
      </c>
      <c r="D121" s="14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1" t="s">
        <v>177</v>
      </c>
      <c r="D122" s="14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1" t="s">
        <v>178</v>
      </c>
      <c r="D123" s="14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1" t="s">
        <v>179</v>
      </c>
      <c r="D124" s="14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1" t="s">
        <v>180</v>
      </c>
      <c r="D125" s="14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1" t="s">
        <v>181</v>
      </c>
      <c r="D126" s="14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1" t="s">
        <v>182</v>
      </c>
      <c r="D127" s="14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1" t="s">
        <v>183</v>
      </c>
      <c r="D128" s="14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1" t="s">
        <v>184</v>
      </c>
      <c r="D129" s="14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1" t="s">
        <v>185</v>
      </c>
      <c r="D130" s="14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1" t="s">
        <v>186</v>
      </c>
      <c r="D131" s="14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5" t="s">
        <v>187</v>
      </c>
      <c r="D132" s="15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210"/>
  <sheetViews>
    <sheetView showGridLines="0" tabSelected="1" view="pageLayout" topLeftCell="A16" zoomScale="80" zoomScaleNormal="100" zoomScaleSheetLayoutView="106" zoomScalePageLayoutView="80" workbookViewId="0">
      <selection activeCell="B187" sqref="B187:G187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0" bestFit="1" customWidth="1"/>
    <col min="6" max="6" width="14.7109375" customWidth="1"/>
    <col min="7" max="7" width="15.85546875" customWidth="1"/>
  </cols>
  <sheetData>
    <row r="3" spans="1:7" ht="15.75" x14ac:dyDescent="0.25">
      <c r="A3" s="53"/>
      <c r="B3" s="53"/>
      <c r="C3" s="53"/>
      <c r="D3" s="53"/>
      <c r="E3" s="21"/>
      <c r="F3" s="53"/>
      <c r="G3" s="53"/>
    </row>
    <row r="4" spans="1:7" ht="15.75" x14ac:dyDescent="0.25">
      <c r="A4" s="53"/>
      <c r="B4" s="53"/>
      <c r="C4" s="53"/>
      <c r="D4" s="53"/>
      <c r="E4" s="21"/>
      <c r="F4" s="53"/>
      <c r="G4" s="53"/>
    </row>
    <row r="5" spans="1:7" ht="15.75" x14ac:dyDescent="0.25">
      <c r="A5" s="466">
        <f ca="1">TODAY()</f>
        <v>43500</v>
      </c>
      <c r="B5" s="466"/>
      <c r="C5" s="466"/>
      <c r="D5" s="466"/>
      <c r="E5" s="466"/>
      <c r="F5" s="466"/>
      <c r="G5" s="466"/>
    </row>
    <row r="6" spans="1:7" ht="15.75" x14ac:dyDescent="0.25">
      <c r="A6" s="53"/>
      <c r="B6" s="53"/>
      <c r="C6" s="53"/>
      <c r="D6" s="53"/>
      <c r="E6" s="21"/>
      <c r="F6" s="53"/>
      <c r="G6" s="53"/>
    </row>
    <row r="7" spans="1:7" ht="15.75" x14ac:dyDescent="0.25">
      <c r="A7" s="459" t="s">
        <v>1414</v>
      </c>
      <c r="B7" s="459"/>
      <c r="C7" s="459"/>
      <c r="D7" s="459"/>
      <c r="E7" s="459"/>
      <c r="F7" s="459"/>
      <c r="G7" s="459"/>
    </row>
    <row r="8" spans="1:7" ht="15.75" x14ac:dyDescent="0.25">
      <c r="A8" s="459" t="str">
        <f>IF('HOJA D TRABAJO'!H15="EXTERNO",'HOJA D TRABAJO'!C9,IF('HOJA D TRABAJO'!H15="INTERNO","GRUPO REGIONAL SRL "))</f>
        <v>Maira Crespo - AIDISA</v>
      </c>
      <c r="B8" s="459"/>
      <c r="C8" s="459"/>
      <c r="D8" s="459"/>
      <c r="E8" s="459"/>
      <c r="F8" s="459"/>
      <c r="G8" s="459"/>
    </row>
    <row r="9" spans="1:7" ht="15.75" x14ac:dyDescent="0.25">
      <c r="A9" s="459" t="s">
        <v>1415</v>
      </c>
      <c r="B9" s="459"/>
      <c r="C9" s="459"/>
      <c r="D9" s="459"/>
      <c r="E9" s="459"/>
      <c r="F9" s="459"/>
      <c r="G9" s="459"/>
    </row>
    <row r="10" spans="1:7" ht="15.75" x14ac:dyDescent="0.25">
      <c r="A10" s="53"/>
      <c r="B10" s="53"/>
      <c r="C10" s="53"/>
      <c r="D10" s="53"/>
      <c r="E10" s="21"/>
      <c r="F10" s="53"/>
      <c r="G10" s="53"/>
    </row>
    <row r="11" spans="1:7" ht="15.75" x14ac:dyDescent="0.25">
      <c r="A11" s="53"/>
      <c r="B11" s="467" t="s">
        <v>1575</v>
      </c>
      <c r="C11" s="467"/>
      <c r="D11" s="467"/>
      <c r="E11" s="467"/>
      <c r="F11" s="467"/>
      <c r="G11" s="467"/>
    </row>
    <row r="12" spans="1:7" ht="15.75" x14ac:dyDescent="0.25">
      <c r="A12" s="53"/>
      <c r="B12" s="53"/>
      <c r="C12" s="53"/>
      <c r="D12" s="53"/>
      <c r="E12" s="21"/>
      <c r="F12" s="53"/>
      <c r="G12" s="53"/>
    </row>
    <row r="13" spans="1:7" ht="15.75" x14ac:dyDescent="0.25">
      <c r="A13" s="458" t="s">
        <v>1426</v>
      </c>
      <c r="B13" s="458"/>
      <c r="C13" s="458"/>
      <c r="D13" s="458"/>
      <c r="E13" s="458"/>
      <c r="F13" s="458"/>
      <c r="G13" s="458"/>
    </row>
    <row r="14" spans="1:7" ht="15.75" x14ac:dyDescent="0.25">
      <c r="A14" s="53"/>
      <c r="B14" s="53"/>
      <c r="C14" s="53"/>
      <c r="D14" s="53"/>
      <c r="E14" s="21"/>
      <c r="F14" s="53"/>
      <c r="G14" s="53"/>
    </row>
    <row r="15" spans="1:7" ht="48" customHeight="1" x14ac:dyDescent="0.25">
      <c r="A15" s="460" t="s">
        <v>1572</v>
      </c>
      <c r="B15" s="460"/>
      <c r="C15" s="460"/>
      <c r="D15" s="460"/>
      <c r="E15" s="460"/>
      <c r="F15" s="460"/>
      <c r="G15" s="460"/>
    </row>
    <row r="16" spans="1:7" ht="15.75" x14ac:dyDescent="0.25">
      <c r="A16" s="53"/>
      <c r="B16" s="53"/>
      <c r="C16" s="53"/>
      <c r="D16" s="53"/>
      <c r="E16" s="21"/>
      <c r="F16" s="53"/>
      <c r="G16" s="53"/>
    </row>
    <row r="17" spans="1:7" ht="15.75" x14ac:dyDescent="0.25">
      <c r="A17" s="461" t="s">
        <v>1427</v>
      </c>
      <c r="B17" s="462"/>
      <c r="C17" s="462"/>
      <c r="D17" s="462"/>
      <c r="E17" s="462"/>
      <c r="F17" s="462"/>
      <c r="G17" s="462"/>
    </row>
    <row r="18" spans="1:7" ht="15.75" x14ac:dyDescent="0.25">
      <c r="A18" s="53"/>
      <c r="B18" s="60"/>
      <c r="C18" s="60"/>
      <c r="D18" s="60"/>
      <c r="E18" s="65"/>
      <c r="F18" s="60"/>
      <c r="G18" s="53"/>
    </row>
    <row r="19" spans="1:7" ht="27.75" customHeight="1" x14ac:dyDescent="0.25">
      <c r="A19" s="53"/>
      <c r="B19" s="304" t="s">
        <v>3</v>
      </c>
      <c r="C19" s="304" t="s">
        <v>2</v>
      </c>
      <c r="D19" s="304" t="s">
        <v>1428</v>
      </c>
      <c r="E19" s="382" t="s">
        <v>1424</v>
      </c>
      <c r="F19" s="304" t="s">
        <v>1404</v>
      </c>
      <c r="G19" s="53"/>
    </row>
    <row r="20" spans="1:7" s="55" customFormat="1" ht="27.75" customHeight="1" x14ac:dyDescent="0.25">
      <c r="A20" s="22"/>
      <c r="B20" s="306" t="str">
        <f>+'HOJA D TRABAJO'!B29&amp;" "&amp;'HOJA D TRABAJO'!$D$27</f>
        <v xml:space="preserve">IMPULSADORA SUPERMERCADO HIPERMAXI SACABA  COCHABAMBA </v>
      </c>
      <c r="C20" s="307">
        <f>+'HOJA D TRABAJO'!C29</f>
        <v>1</v>
      </c>
      <c r="D20" s="307">
        <f>+'HOJA 1 AUX'!G5</f>
        <v>2</v>
      </c>
      <c r="E20" s="308">
        <f>IF('HOJA D TRABAJO'!$H$15="EXTERNO",'HOJA 1 AUX'!$G$20,IF('HOJA D TRABAJO'!$H$15="INTERNO",SUM('HOJA 1 AUX'!$G$10:$G$14)))</f>
        <v>168.24290194732393</v>
      </c>
      <c r="F20" s="308">
        <f>+(C20*D20)*E20</f>
        <v>336.48580389464786</v>
      </c>
      <c r="G20" s="19"/>
    </row>
    <row r="21" spans="1:7" s="55" customFormat="1" ht="27.75" hidden="1" customHeight="1" x14ac:dyDescent="0.25">
      <c r="A21" s="22"/>
      <c r="B21" s="306" t="str">
        <f>+'HOJA D TRABAJO'!B30&amp;" "&amp;'HOJA D TRABAJO'!$D$27</f>
        <v xml:space="preserve"> COCHABAMBA </v>
      </c>
      <c r="C21" s="307">
        <f>+'HOJA D TRABAJO'!C30</f>
        <v>0</v>
      </c>
      <c r="D21" s="307">
        <f>+'HOJA 1 AUX'!O5</f>
        <v>0</v>
      </c>
      <c r="E21" s="308">
        <f>IF('HOJA D TRABAJO'!$H$15="EXTERNO",'HOJA 1 AUX'!$O$20,IF('HOJA D TRABAJO'!$H$15="INTERNO",SUM('HOJA 1 AUX'!$O$10:$O$14)))</f>
        <v>0</v>
      </c>
      <c r="F21" s="308">
        <f t="shared" ref="F21:F84" si="0">+(C21*D21)*E21</f>
        <v>0</v>
      </c>
      <c r="G21" s="19"/>
    </row>
    <row r="22" spans="1:7" s="55" customFormat="1" ht="27.75" hidden="1" customHeight="1" x14ac:dyDescent="0.25">
      <c r="A22" s="22"/>
      <c r="B22" s="306" t="str">
        <f>+'HOJA D TRABAJO'!B31&amp;" "&amp;'HOJA D TRABAJO'!$D$27</f>
        <v xml:space="preserve"> COCHABAMBA </v>
      </c>
      <c r="C22" s="307">
        <f>+'HOJA D TRABAJO'!C31</f>
        <v>0</v>
      </c>
      <c r="D22" s="307">
        <f>+'HOJA 1 AUX'!G24</f>
        <v>0</v>
      </c>
      <c r="E22" s="308">
        <f>IF('HOJA D TRABAJO'!$H$15="EXTERNO",'HOJA 1 AUX'!$G$38,IF('HOJA D TRABAJO'!$H$15="INTERNO",SUM('HOJA 1 AUX'!$G$28:$G$32)))</f>
        <v>0</v>
      </c>
      <c r="F22" s="308">
        <f t="shared" si="0"/>
        <v>0</v>
      </c>
      <c r="G22" s="19"/>
    </row>
    <row r="23" spans="1:7" s="55" customFormat="1" ht="27.75" hidden="1" customHeight="1" x14ac:dyDescent="0.25">
      <c r="A23" s="22"/>
      <c r="B23" s="306" t="str">
        <f>+'HOJA D TRABAJO'!B32&amp;" "&amp;'HOJA D TRABAJO'!$D$27</f>
        <v xml:space="preserve"> COCHABAMBA </v>
      </c>
      <c r="C23" s="307">
        <f>+'HOJA D TRABAJO'!C32</f>
        <v>0</v>
      </c>
      <c r="D23" s="307">
        <f>+'HOJA 1 AUX'!O24</f>
        <v>0</v>
      </c>
      <c r="E23" s="308">
        <f>IF('HOJA D TRABAJO'!$H$15="EXTERNO",'HOJA 1 AUX'!$O$38,IF('HOJA D TRABAJO'!$H$15="INTERNO",SUM('HOJA 1 AUX'!$O$28:$O$32)))</f>
        <v>0</v>
      </c>
      <c r="F23" s="308">
        <f t="shared" si="0"/>
        <v>0</v>
      </c>
      <c r="G23" s="19"/>
    </row>
    <row r="24" spans="1:7" s="55" customFormat="1" ht="27.75" hidden="1" customHeight="1" x14ac:dyDescent="0.25">
      <c r="A24" s="22"/>
      <c r="B24" s="306" t="str">
        <f>+'HOJA D TRABAJO'!B33&amp;" "&amp;'HOJA D TRABAJO'!$D$27</f>
        <v xml:space="preserve"> COCHABAMBA </v>
      </c>
      <c r="C24" s="307">
        <f>+'HOJA D TRABAJO'!C33</f>
        <v>0</v>
      </c>
      <c r="D24" s="307">
        <f>+'HOJA 1 AUX'!G43</f>
        <v>0</v>
      </c>
      <c r="E24" s="308">
        <f>IF('HOJA D TRABAJO'!$H$15="EXTERNO",'HOJA 1 AUX'!$G$58,IF('HOJA D TRABAJO'!$H$15="INTERNO",SUM('HOJA 1 AUX'!$G$48:$G$52)))</f>
        <v>0</v>
      </c>
      <c r="F24" s="308">
        <f t="shared" si="0"/>
        <v>0</v>
      </c>
      <c r="G24" s="19"/>
    </row>
    <row r="25" spans="1:7" s="55" customFormat="1" ht="27.75" hidden="1" customHeight="1" x14ac:dyDescent="0.25">
      <c r="A25" s="22"/>
      <c r="B25" s="306" t="str">
        <f>+'HOJA D TRABAJO'!B34&amp;" "&amp;'HOJA D TRABAJO'!$D$27</f>
        <v xml:space="preserve"> COCHABAMBA </v>
      </c>
      <c r="C25" s="307">
        <f>+'HOJA D TRABAJO'!C34</f>
        <v>0</v>
      </c>
      <c r="D25" s="307">
        <f>+'HOJA 1 AUX'!O43</f>
        <v>0</v>
      </c>
      <c r="E25" s="308">
        <f>IF('HOJA D TRABAJO'!$H$15="EXTERNO",'HOJA 1 AUX'!$O$58,IF('HOJA D TRABAJO'!$H$15="INTERNO",SUM('HOJA 1 AUX'!$O$48:$O$52)))</f>
        <v>0</v>
      </c>
      <c r="F25" s="308">
        <f t="shared" si="0"/>
        <v>0</v>
      </c>
      <c r="G25" s="19"/>
    </row>
    <row r="26" spans="1:7" s="55" customFormat="1" ht="27.75" hidden="1" customHeight="1" x14ac:dyDescent="0.25">
      <c r="A26" s="22"/>
      <c r="B26" s="306" t="str">
        <f>+'HOJA D TRABAJO'!B35&amp;" "&amp;'HOJA D TRABAJO'!$D$27</f>
        <v xml:space="preserve"> COCHABAMBA </v>
      </c>
      <c r="C26" s="307">
        <f>+'HOJA D TRABAJO'!C35</f>
        <v>0</v>
      </c>
      <c r="D26" s="307">
        <f>+'HOJA 1 AUX'!G62</f>
        <v>0</v>
      </c>
      <c r="E26" s="308">
        <f>IF('HOJA D TRABAJO'!$H$15="EXTERNO",'HOJA 1 AUX'!$G$77,IF('HOJA D TRABAJO'!$H$15="INTERNO",SUM('HOJA 1 AUX'!$G$67:$G$71)))</f>
        <v>0</v>
      </c>
      <c r="F26" s="308">
        <f t="shared" si="0"/>
        <v>0</v>
      </c>
      <c r="G26" s="19"/>
    </row>
    <row r="27" spans="1:7" s="55" customFormat="1" ht="27.75" hidden="1" customHeight="1" x14ac:dyDescent="0.25">
      <c r="A27" s="22"/>
      <c r="B27" s="306" t="str">
        <f>+'HOJA D TRABAJO'!B36&amp;" "&amp;'HOJA D TRABAJO'!$D$27</f>
        <v xml:space="preserve"> COCHABAMBA </v>
      </c>
      <c r="C27" s="307">
        <f>+'HOJA D TRABAJO'!C36</f>
        <v>0</v>
      </c>
      <c r="D27" s="307">
        <f>+'HOJA 1 AUX'!O62</f>
        <v>0</v>
      </c>
      <c r="E27" s="308">
        <f>IF('HOJA D TRABAJO'!$H$15="EXTERNO",'HOJA 1 AUX'!$O$77,IF('HOJA D TRABAJO'!$H$15="INTERNO",SUM('HOJA 1 AUX'!$O$67:$O$71)))</f>
        <v>0</v>
      </c>
      <c r="F27" s="308">
        <f t="shared" si="0"/>
        <v>0</v>
      </c>
      <c r="G27" s="19"/>
    </row>
    <row r="28" spans="1:7" s="55" customFormat="1" ht="27.75" hidden="1" customHeight="1" x14ac:dyDescent="0.25">
      <c r="A28" s="22"/>
      <c r="B28" s="306" t="str">
        <f>+'HOJA D TRABAJO'!B37&amp;" "&amp;'HOJA D TRABAJO'!$D$27</f>
        <v xml:space="preserve"> COCHABAMBA </v>
      </c>
      <c r="C28" s="307">
        <f>+'HOJA D TRABAJO'!C37</f>
        <v>0</v>
      </c>
      <c r="D28" s="307">
        <f>+'HOJA 1 AUX'!G82</f>
        <v>0</v>
      </c>
      <c r="E28" s="308">
        <f>IF('HOJA D TRABAJO'!$H$15="EXTERNO",'HOJA 1 AUX'!$G$97,IF('HOJA D TRABAJO'!$H$15="INTERNO",SUM('HOJA 1 AUX'!$G$87:$G$91)))</f>
        <v>0</v>
      </c>
      <c r="F28" s="308">
        <f t="shared" si="0"/>
        <v>0</v>
      </c>
      <c r="G28" s="19"/>
    </row>
    <row r="29" spans="1:7" s="55" customFormat="1" ht="27.75" hidden="1" customHeight="1" x14ac:dyDescent="0.25">
      <c r="A29" s="22"/>
      <c r="B29" s="306" t="str">
        <f>+'HOJA D TRABAJO'!B38&amp;" "&amp;'HOJA D TRABAJO'!$D$27</f>
        <v xml:space="preserve"> COCHABAMBA </v>
      </c>
      <c r="C29" s="307">
        <f>+'HOJA D TRABAJO'!C38</f>
        <v>0</v>
      </c>
      <c r="D29" s="307">
        <f>+'HOJA 1 AUX'!O82</f>
        <v>0</v>
      </c>
      <c r="E29" s="308">
        <f>IF('HOJA D TRABAJO'!$H$15="EXTERNO",'HOJA 1 AUX'!$O$97,IF('HOJA D TRABAJO'!$H$15="INTERNO",SUM('HOJA 1 AUX'!$O$87:$O$91)))</f>
        <v>0</v>
      </c>
      <c r="F29" s="308">
        <f t="shared" si="0"/>
        <v>0</v>
      </c>
      <c r="G29" s="19"/>
    </row>
    <row r="30" spans="1:7" s="55" customFormat="1" ht="27.75" hidden="1" customHeight="1" x14ac:dyDescent="0.25">
      <c r="A30" s="22"/>
      <c r="B30" s="306" t="str">
        <f>+'HOJA D TRABAJO'!B39&amp;" "&amp;'HOJA D TRABAJO'!$D$27</f>
        <v xml:space="preserve"> COCHABAMBA </v>
      </c>
      <c r="C30" s="307">
        <f>+'HOJA D TRABAJO'!C39</f>
        <v>0</v>
      </c>
      <c r="D30" s="307">
        <f>+'HOJA 1 AUX'!G101</f>
        <v>0</v>
      </c>
      <c r="E30" s="308">
        <f>IF('HOJA D TRABAJO'!$H$15="EXTERNO",'HOJA 1 AUX'!$G$116,IF('HOJA D TRABAJO'!$H$15="INTERNO",SUM('HOJA 1 AUX'!$G$106:$G$110)))</f>
        <v>0</v>
      </c>
      <c r="F30" s="308">
        <f t="shared" si="0"/>
        <v>0</v>
      </c>
      <c r="G30" s="19"/>
    </row>
    <row r="31" spans="1:7" s="55" customFormat="1" ht="27.75" hidden="1" customHeight="1" x14ac:dyDescent="0.25">
      <c r="A31" s="22"/>
      <c r="B31" s="306" t="str">
        <f>+'HOJA D TRABAJO'!B40&amp;" "&amp;'HOJA D TRABAJO'!$D$27</f>
        <v xml:space="preserve"> COCHABAMBA </v>
      </c>
      <c r="C31" s="307">
        <f>+'HOJA D TRABAJO'!C40</f>
        <v>0</v>
      </c>
      <c r="D31" s="307">
        <f>+'HOJA 1 AUX'!O101</f>
        <v>0</v>
      </c>
      <c r="E31" s="308">
        <f>IF('HOJA D TRABAJO'!$H$15="EXTERNO",'HOJA 1 AUX'!$O$116,IF('HOJA D TRABAJO'!$H$15="INTERNO",SUM('HOJA 1 AUX'!$O$106:$O$110)))</f>
        <v>0</v>
      </c>
      <c r="F31" s="308">
        <f t="shared" si="0"/>
        <v>0</v>
      </c>
      <c r="G31" s="19"/>
    </row>
    <row r="32" spans="1:7" s="55" customFormat="1" ht="27.75" hidden="1" customHeight="1" x14ac:dyDescent="0.25">
      <c r="A32" s="22"/>
      <c r="B32" s="306" t="str">
        <f>+'HOJA D TRABAJO'!B29 &amp; " " &amp;'HOJA D TRABAJO'!$D$43</f>
        <v>IMPULSADORA SUPERMERCADO HIPERMAXI SACABA  CHAPARE</v>
      </c>
      <c r="C32" s="307">
        <f>+'HOJA D TRABAJO'!C45</f>
        <v>0</v>
      </c>
      <c r="D32" s="307">
        <f>+'HOJA D TRABAJO'!D45</f>
        <v>0</v>
      </c>
      <c r="E32" s="308">
        <f>IF('HOJA D TRABAJO'!$H$15="EXTERNO",'HOJA 2 AUX'!$G$20,IF('HOJA D TRABAJO'!$H$15="INTERNO",SUM('HOJA 2 AUX'!$G$10:$G$14)))</f>
        <v>0</v>
      </c>
      <c r="F32" s="308">
        <f t="shared" si="0"/>
        <v>0</v>
      </c>
      <c r="G32" s="19"/>
    </row>
    <row r="33" spans="1:7" s="55" customFormat="1" ht="27.75" hidden="1" customHeight="1" x14ac:dyDescent="0.25">
      <c r="A33" s="22"/>
      <c r="B33" s="306" t="str">
        <f>+'HOJA D TRABAJO'!B30 &amp; " " &amp;'HOJA D TRABAJO'!$D$43</f>
        <v xml:space="preserve"> CHAPARE</v>
      </c>
      <c r="C33" s="307">
        <f>+'HOJA D TRABAJO'!C46</f>
        <v>0</v>
      </c>
      <c r="D33" s="307">
        <f>+'HOJA D TRABAJO'!D46</f>
        <v>0</v>
      </c>
      <c r="E33" s="308">
        <f>IF('HOJA D TRABAJO'!$H$15="EXTERNO",'HOJA 2 AUX'!$O$20,IF('HOJA D TRABAJO'!$H$15="INTERNO",SUM('HOJA 2 AUX'!$O$10:$O$14)))</f>
        <v>0</v>
      </c>
      <c r="F33" s="308">
        <f t="shared" si="0"/>
        <v>0</v>
      </c>
      <c r="G33" s="19"/>
    </row>
    <row r="34" spans="1:7" s="55" customFormat="1" ht="27.75" hidden="1" customHeight="1" x14ac:dyDescent="0.25">
      <c r="A34" s="22"/>
      <c r="B34" s="306" t="str">
        <f>+'HOJA D TRABAJO'!B31 &amp; " " &amp;'HOJA D TRABAJO'!$D$43</f>
        <v xml:space="preserve"> CHAPARE</v>
      </c>
      <c r="C34" s="307">
        <f>+'HOJA D TRABAJO'!C47</f>
        <v>0</v>
      </c>
      <c r="D34" s="307">
        <f>+'HOJA D TRABAJO'!D47</f>
        <v>0</v>
      </c>
      <c r="E34" s="308">
        <f>IF('HOJA D TRABAJO'!$H$15="EXTERNO",'HOJA 2 AUX'!$G$38,IF('HOJA D TRABAJO'!$H$15="INTERNO",SUM('HOJA 2 AUX'!$G$28:$G$32)))</f>
        <v>0</v>
      </c>
      <c r="F34" s="308">
        <f t="shared" si="0"/>
        <v>0</v>
      </c>
      <c r="G34" s="19"/>
    </row>
    <row r="35" spans="1:7" s="55" customFormat="1" ht="27.75" hidden="1" customHeight="1" x14ac:dyDescent="0.25">
      <c r="A35" s="22"/>
      <c r="B35" s="306" t="str">
        <f>+'HOJA D TRABAJO'!B32 &amp; " " &amp;'HOJA D TRABAJO'!$D$43</f>
        <v xml:space="preserve"> CHAPARE</v>
      </c>
      <c r="C35" s="307">
        <f>+'HOJA D TRABAJO'!C48</f>
        <v>0</v>
      </c>
      <c r="D35" s="307">
        <f>+'HOJA D TRABAJO'!D48</f>
        <v>0</v>
      </c>
      <c r="E35" s="308">
        <f>IF('HOJA D TRABAJO'!$H$15="EXTERNO",'HOJA 2 AUX'!$O$38,IF('HOJA D TRABAJO'!$H$15="INTERNO",SUM('HOJA 2 AUX'!$O$28:$O$32)))</f>
        <v>0</v>
      </c>
      <c r="F35" s="308">
        <f t="shared" si="0"/>
        <v>0</v>
      </c>
      <c r="G35" s="19"/>
    </row>
    <row r="36" spans="1:7" s="55" customFormat="1" ht="27.75" hidden="1" customHeight="1" x14ac:dyDescent="0.25">
      <c r="A36" s="22"/>
      <c r="B36" s="306" t="str">
        <f>+'HOJA D TRABAJO'!B33 &amp; " " &amp;'HOJA D TRABAJO'!$D$43</f>
        <v xml:space="preserve"> CHAPARE</v>
      </c>
      <c r="C36" s="307">
        <f>+'HOJA D TRABAJO'!C49</f>
        <v>0</v>
      </c>
      <c r="D36" s="307">
        <f>+'HOJA D TRABAJO'!D49</f>
        <v>0</v>
      </c>
      <c r="E36" s="308">
        <f>IF('HOJA D TRABAJO'!$H$15="EXTERNO",'HOJA 2 AUX'!$G$58,IF('HOJA D TRABAJO'!$H$15="INTERNO",SUM('HOJA 2 AUX'!$G$48:$G$52)))</f>
        <v>0</v>
      </c>
      <c r="F36" s="308">
        <f t="shared" si="0"/>
        <v>0</v>
      </c>
      <c r="G36" s="19"/>
    </row>
    <row r="37" spans="1:7" s="55" customFormat="1" ht="27.75" hidden="1" customHeight="1" x14ac:dyDescent="0.25">
      <c r="A37" s="22"/>
      <c r="B37" s="306" t="str">
        <f>+'HOJA D TRABAJO'!B34 &amp; " " &amp;'HOJA D TRABAJO'!$D$43</f>
        <v xml:space="preserve"> CHAPARE</v>
      </c>
      <c r="C37" s="307">
        <f>+'HOJA D TRABAJO'!C50</f>
        <v>0</v>
      </c>
      <c r="D37" s="307">
        <f>+'HOJA D TRABAJO'!D50</f>
        <v>0</v>
      </c>
      <c r="E37" s="308">
        <f>IF('HOJA D TRABAJO'!$H$15="EXTERNO",'HOJA 2 AUX'!$O$58,IF('HOJA D TRABAJO'!$H$15="INTERNO",SUM('HOJA 2 AUX'!$O$48:$O$52)))</f>
        <v>0</v>
      </c>
      <c r="F37" s="308">
        <f t="shared" si="0"/>
        <v>0</v>
      </c>
      <c r="G37" s="19"/>
    </row>
    <row r="38" spans="1:7" s="55" customFormat="1" ht="27.75" hidden="1" customHeight="1" x14ac:dyDescent="0.25">
      <c r="A38" s="22"/>
      <c r="B38" s="306" t="str">
        <f>+'HOJA D TRABAJO'!B35 &amp; " " &amp;'HOJA D TRABAJO'!$D$43</f>
        <v xml:space="preserve"> CHAPARE</v>
      </c>
      <c r="C38" s="307">
        <f>+'HOJA D TRABAJO'!C51</f>
        <v>0</v>
      </c>
      <c r="D38" s="307">
        <f>+'HOJA D TRABAJO'!D51</f>
        <v>0</v>
      </c>
      <c r="E38" s="308">
        <f>IF('HOJA D TRABAJO'!$H$15="EXTERNO",'HOJA 2 AUX'!$G$77,IF('HOJA D TRABAJO'!$H$15="INTERNO",SUM('HOJA 2 AUX'!$G$67:$G$71)))</f>
        <v>0</v>
      </c>
      <c r="F38" s="308">
        <f t="shared" si="0"/>
        <v>0</v>
      </c>
      <c r="G38" s="19"/>
    </row>
    <row r="39" spans="1:7" s="55" customFormat="1" ht="27.75" hidden="1" customHeight="1" x14ac:dyDescent="0.25">
      <c r="A39" s="22"/>
      <c r="B39" s="306" t="str">
        <f>+'HOJA D TRABAJO'!B36 &amp; " " &amp;'HOJA D TRABAJO'!$D$43</f>
        <v xml:space="preserve"> CHAPARE</v>
      </c>
      <c r="C39" s="307">
        <f>+'HOJA D TRABAJO'!C52</f>
        <v>0</v>
      </c>
      <c r="D39" s="307">
        <f>+'HOJA D TRABAJO'!D52</f>
        <v>0</v>
      </c>
      <c r="E39" s="308">
        <f>IF('HOJA D TRABAJO'!$H$15="EXTERNO",'HOJA 2 AUX'!$O$77,IF('HOJA D TRABAJO'!$H$15="INTERNO",SUM('HOJA 2 AUX'!$O$67:$O$71)))</f>
        <v>0</v>
      </c>
      <c r="F39" s="308">
        <f t="shared" si="0"/>
        <v>0</v>
      </c>
      <c r="G39" s="19"/>
    </row>
    <row r="40" spans="1:7" s="55" customFormat="1" ht="27.75" hidden="1" customHeight="1" x14ac:dyDescent="0.25">
      <c r="A40" s="22"/>
      <c r="B40" s="306" t="str">
        <f>+'HOJA D TRABAJO'!B37 &amp; " " &amp;'HOJA D TRABAJO'!$D$43</f>
        <v xml:space="preserve"> CHAPARE</v>
      </c>
      <c r="C40" s="307">
        <f>+'HOJA D TRABAJO'!C53</f>
        <v>0</v>
      </c>
      <c r="D40" s="307">
        <f>+'HOJA D TRABAJO'!D53</f>
        <v>0</v>
      </c>
      <c r="E40" s="308">
        <f>IF('HOJA D TRABAJO'!$H$15="EXTERNO",'HOJA 2 AUX'!$G$95,IF('HOJA D TRABAJO'!$H$15="INTERNO",SUM('HOJA 2 AUX'!$G$85:$G$89)))</f>
        <v>0</v>
      </c>
      <c r="F40" s="308">
        <f t="shared" si="0"/>
        <v>0</v>
      </c>
      <c r="G40" s="19"/>
    </row>
    <row r="41" spans="1:7" s="55" customFormat="1" ht="27.75" hidden="1" customHeight="1" x14ac:dyDescent="0.25">
      <c r="A41" s="22"/>
      <c r="B41" s="306" t="str">
        <f>+'HOJA D TRABAJO'!B38 &amp; " " &amp;'HOJA D TRABAJO'!$D$43</f>
        <v xml:space="preserve"> CHAPARE</v>
      </c>
      <c r="C41" s="307">
        <f>+'HOJA D TRABAJO'!C54</f>
        <v>0</v>
      </c>
      <c r="D41" s="307">
        <f>+'HOJA D TRABAJO'!D54</f>
        <v>0</v>
      </c>
      <c r="E41" s="308">
        <f>IF('HOJA D TRABAJO'!$H$15="EXTERNO",'HOJA 2 AUX'!$O$95,IF('HOJA D TRABAJO'!$H$15="INTERNO",SUM('HOJA 2 AUX'!$O$85:$O$89)))</f>
        <v>0</v>
      </c>
      <c r="F41" s="308">
        <f t="shared" si="0"/>
        <v>0</v>
      </c>
      <c r="G41" s="19"/>
    </row>
    <row r="42" spans="1:7" s="55" customFormat="1" ht="27.75" hidden="1" customHeight="1" x14ac:dyDescent="0.25">
      <c r="A42" s="22"/>
      <c r="B42" s="306" t="str">
        <f>+'HOJA D TRABAJO'!B39 &amp; " " &amp;'HOJA D TRABAJO'!$D$43</f>
        <v xml:space="preserve"> CHAPARE</v>
      </c>
      <c r="C42" s="307">
        <f>+'HOJA D TRABAJO'!C55</f>
        <v>0</v>
      </c>
      <c r="D42" s="307">
        <f>+'HOJA D TRABAJO'!D55</f>
        <v>0</v>
      </c>
      <c r="E42" s="308">
        <f>IF('HOJA D TRABAJO'!$H$15="EXTERNO",'HOJA 2 AUX'!$G$115,IF('HOJA D TRABAJO'!$H$15="INTERNO",SUM('HOJA 2 AUX'!G105:G109)))</f>
        <v>0</v>
      </c>
      <c r="F42" s="308">
        <f t="shared" si="0"/>
        <v>0</v>
      </c>
      <c r="G42" s="19"/>
    </row>
    <row r="43" spans="1:7" s="55" customFormat="1" ht="27.75" hidden="1" customHeight="1" x14ac:dyDescent="0.25">
      <c r="A43" s="22"/>
      <c r="B43" s="306" t="str">
        <f>+'HOJA D TRABAJO'!B40 &amp; " " &amp;'HOJA D TRABAJO'!$D$43</f>
        <v xml:space="preserve"> CHAPARE</v>
      </c>
      <c r="C43" s="307">
        <f>+'HOJA D TRABAJO'!C56</f>
        <v>0</v>
      </c>
      <c r="D43" s="307">
        <f>+'HOJA D TRABAJO'!D56</f>
        <v>0</v>
      </c>
      <c r="E43" s="308">
        <f>IF('HOJA D TRABAJO'!$H$15="EXTERNO",'HOJA 2 AUX'!$O$115,IF('HOJA D TRABAJO'!$H$15="INTERNO",SUM('HOJA 2 AUX'!O105:O109)))</f>
        <v>0</v>
      </c>
      <c r="F43" s="308">
        <f t="shared" si="0"/>
        <v>0</v>
      </c>
      <c r="G43" s="19"/>
    </row>
    <row r="44" spans="1:7" s="55" customFormat="1" ht="27.75" hidden="1" customHeight="1" x14ac:dyDescent="0.25">
      <c r="A44" s="22"/>
      <c r="B44" s="379">
        <f>+'HOJA D TRABAJO'!B61</f>
        <v>0</v>
      </c>
      <c r="C44" s="307">
        <f>+'HOJA D TRABAJO'!C61</f>
        <v>0</v>
      </c>
      <c r="D44" s="307">
        <f>+'HOJA D TRABAJO'!D61</f>
        <v>0</v>
      </c>
      <c r="E44" s="308">
        <f>IF('HOJA D TRABAJO'!$H$15="EXTERNO",'HOJA 3 AUX'!$G$20,IF('HOJA D TRABAJO'!$H$15="INTERNO",SUM('HOJA 3 AUX'!$G$10:$G$14)))</f>
        <v>0</v>
      </c>
      <c r="F44" s="380">
        <f t="shared" si="0"/>
        <v>0</v>
      </c>
      <c r="G44" s="19"/>
    </row>
    <row r="45" spans="1:7" s="55" customFormat="1" ht="32.25" hidden="1" customHeight="1" x14ac:dyDescent="0.25">
      <c r="A45" s="22"/>
      <c r="B45" s="379">
        <f>+'HOJA D TRABAJO'!B62</f>
        <v>0</v>
      </c>
      <c r="C45" s="307">
        <f>+'HOJA D TRABAJO'!C62</f>
        <v>0</v>
      </c>
      <c r="D45" s="307">
        <f>+'HOJA D TRABAJO'!D62</f>
        <v>0</v>
      </c>
      <c r="E45" s="308">
        <f>IF('HOJA D TRABAJO'!$H$15="EXTERNO",'HOJA 3 AUX'!$O$20,IF('HOJA D TRABAJO'!$H$15="INTERNO",SUM('HOJA 3 AUX'!$O$10:$O$14)))</f>
        <v>0</v>
      </c>
      <c r="F45" s="308">
        <f t="shared" si="0"/>
        <v>0</v>
      </c>
      <c r="G45" s="19"/>
    </row>
    <row r="46" spans="1:7" s="55" customFormat="1" ht="20.25" hidden="1" customHeight="1" x14ac:dyDescent="0.25">
      <c r="A46" s="22"/>
      <c r="B46" s="306" t="str">
        <f>+'HOJA D TRABAJO'!B31&amp;" "&amp;'HOJA D TRABAJO'!$D$59</f>
        <v xml:space="preserve"> LA PAZ</v>
      </c>
      <c r="C46" s="307">
        <f>+'HOJA D TRABAJO'!C63</f>
        <v>0</v>
      </c>
      <c r="D46" s="307">
        <f>+'HOJA D TRABAJO'!D63</f>
        <v>0</v>
      </c>
      <c r="E46" s="308">
        <f>IF('HOJA D TRABAJO'!$H$15="EXTERNO",'HOJA 3 AUX'!$G$38,IF('HOJA D TRABAJO'!$H$15="INTERNO",SUM('HOJA 3 AUX'!$G$28:$G$32)))</f>
        <v>0</v>
      </c>
      <c r="F46" s="308">
        <f t="shared" si="0"/>
        <v>0</v>
      </c>
      <c r="G46" s="19"/>
    </row>
    <row r="47" spans="1:7" s="55" customFormat="1" ht="20.25" hidden="1" customHeight="1" x14ac:dyDescent="0.25">
      <c r="A47" s="22"/>
      <c r="B47" s="306" t="str">
        <f>+'HOJA D TRABAJO'!B32&amp;" "&amp;'HOJA D TRABAJO'!$D$59</f>
        <v xml:space="preserve"> LA PAZ</v>
      </c>
      <c r="C47" s="307">
        <f>+'HOJA D TRABAJO'!C64</f>
        <v>0</v>
      </c>
      <c r="D47" s="307">
        <f>+'HOJA D TRABAJO'!D64</f>
        <v>0</v>
      </c>
      <c r="E47" s="308">
        <f>IF('HOJA D TRABAJO'!$H$15="EXTERNO",'HOJA 3 AUX'!$O$38,IF('HOJA D TRABAJO'!$H$15="INTERNO",SUM('HOJA 3 AUX'!$O$28:$O$32)))</f>
        <v>0</v>
      </c>
      <c r="F47" s="308">
        <f t="shared" si="0"/>
        <v>0</v>
      </c>
      <c r="G47" s="19"/>
    </row>
    <row r="48" spans="1:7" s="55" customFormat="1" ht="20.25" hidden="1" customHeight="1" x14ac:dyDescent="0.25">
      <c r="A48" s="22"/>
      <c r="B48" s="306" t="str">
        <f>+'HOJA D TRABAJO'!B33&amp;" "&amp;'HOJA D TRABAJO'!$D$59</f>
        <v xml:space="preserve"> LA PAZ</v>
      </c>
      <c r="C48" s="307">
        <f>+'HOJA D TRABAJO'!C65</f>
        <v>0</v>
      </c>
      <c r="D48" s="307">
        <f>+'HOJA D TRABAJO'!D65</f>
        <v>0</v>
      </c>
      <c r="E48" s="308">
        <f>IF('HOJA D TRABAJO'!$H$15="EXTERNO",'HOJA 3 AUX'!$G$58,IF('HOJA D TRABAJO'!$H$15="INTERNO",SUM('HOJA 3 AUX'!$G$48:$G$52)))</f>
        <v>0</v>
      </c>
      <c r="F48" s="308">
        <f t="shared" si="0"/>
        <v>0</v>
      </c>
      <c r="G48" s="19"/>
    </row>
    <row r="49" spans="1:7" s="55" customFormat="1" ht="20.25" hidden="1" customHeight="1" x14ac:dyDescent="0.25">
      <c r="A49" s="22"/>
      <c r="B49" s="306" t="str">
        <f>+'HOJA D TRABAJO'!B34&amp;" "&amp;'HOJA D TRABAJO'!$D$59</f>
        <v xml:space="preserve"> LA PAZ</v>
      </c>
      <c r="C49" s="307">
        <f>+'HOJA D TRABAJO'!C66</f>
        <v>0</v>
      </c>
      <c r="D49" s="307">
        <f>+'HOJA D TRABAJO'!D66</f>
        <v>0</v>
      </c>
      <c r="E49" s="308">
        <f>IF('HOJA D TRABAJO'!$H$15="EXTERNO",'HOJA 3 AUX'!$O$58,IF('HOJA D TRABAJO'!$H$15="INTERNO",SUM('HOJA 3 AUX'!$O$48:$O$52)))</f>
        <v>0</v>
      </c>
      <c r="F49" s="308">
        <f t="shared" si="0"/>
        <v>0</v>
      </c>
      <c r="G49" s="19"/>
    </row>
    <row r="50" spans="1:7" s="55" customFormat="1" ht="20.25" hidden="1" customHeight="1" x14ac:dyDescent="0.25">
      <c r="A50" s="22"/>
      <c r="B50" s="306" t="str">
        <f>+'HOJA D TRABAJO'!B35&amp;" "&amp;'HOJA D TRABAJO'!$D$59</f>
        <v xml:space="preserve"> LA PAZ</v>
      </c>
      <c r="C50" s="307">
        <f>+'HOJA D TRABAJO'!C67</f>
        <v>0</v>
      </c>
      <c r="D50" s="307">
        <f>+'HOJA D TRABAJO'!D67</f>
        <v>0</v>
      </c>
      <c r="E50" s="308">
        <f>IF('HOJA D TRABAJO'!$H$15="EXTERNO",'HOJA 3 AUX'!$G$77,IF('HOJA D TRABAJO'!$H$15="INTERNO",SUM('HOJA 3 AUX'!$G$67:$G$71)))</f>
        <v>0</v>
      </c>
      <c r="F50" s="308">
        <f t="shared" si="0"/>
        <v>0</v>
      </c>
      <c r="G50" s="19"/>
    </row>
    <row r="51" spans="1:7" s="55" customFormat="1" ht="20.25" hidden="1" customHeight="1" x14ac:dyDescent="0.25">
      <c r="A51" s="22"/>
      <c r="B51" s="306" t="str">
        <f>+'HOJA D TRABAJO'!B36&amp;" "&amp;'HOJA D TRABAJO'!$D$59</f>
        <v xml:space="preserve"> LA PAZ</v>
      </c>
      <c r="C51" s="307">
        <f>+'HOJA D TRABAJO'!C68</f>
        <v>0</v>
      </c>
      <c r="D51" s="307">
        <f>+'HOJA D TRABAJO'!D68</f>
        <v>0</v>
      </c>
      <c r="E51" s="308">
        <f>IF('HOJA D TRABAJO'!$H$15="EXTERNO",'HOJA 3 AUX'!$O$77,IF('HOJA D TRABAJO'!$H$15="INTERNO",SUM('HOJA 3 AUX'!$O$67:$O$71)))</f>
        <v>0</v>
      </c>
      <c r="F51" s="308">
        <f t="shared" si="0"/>
        <v>0</v>
      </c>
      <c r="G51" s="19"/>
    </row>
    <row r="52" spans="1:7" s="55" customFormat="1" ht="20.25" hidden="1" customHeight="1" x14ac:dyDescent="0.25">
      <c r="A52" s="22"/>
      <c r="B52" s="306" t="str">
        <f>+'HOJA D TRABAJO'!B37&amp;" "&amp;'HOJA D TRABAJO'!$D$59</f>
        <v xml:space="preserve"> LA PAZ</v>
      </c>
      <c r="C52" s="307">
        <f>+'HOJA D TRABAJO'!C69</f>
        <v>0</v>
      </c>
      <c r="D52" s="307">
        <f>+'HOJA D TRABAJO'!D69</f>
        <v>0</v>
      </c>
      <c r="E52" s="308">
        <f>IF('HOJA D TRABAJO'!$H$15="EXTERNO",'HOJA 3 AUX'!$G$95,IF('HOJA D TRABAJO'!$H$15="INTERNO",SUM('HOJA 3 AUX'!G85:G89)))</f>
        <v>0</v>
      </c>
      <c r="F52" s="308">
        <f t="shared" si="0"/>
        <v>0</v>
      </c>
      <c r="G52" s="19"/>
    </row>
    <row r="53" spans="1:7" s="55" customFormat="1" ht="20.25" hidden="1" customHeight="1" x14ac:dyDescent="0.25">
      <c r="A53" s="22"/>
      <c r="B53" s="306" t="str">
        <f>+'HOJA D TRABAJO'!B38&amp;" "&amp;'HOJA D TRABAJO'!$D$59</f>
        <v xml:space="preserve"> LA PAZ</v>
      </c>
      <c r="C53" s="307">
        <f>+'HOJA D TRABAJO'!C70</f>
        <v>0</v>
      </c>
      <c r="D53" s="307">
        <f>+'HOJA D TRABAJO'!D70</f>
        <v>0</v>
      </c>
      <c r="E53" s="308">
        <f>IF('HOJA D TRABAJO'!$H$15="EXTERNO",'HOJA 3 AUX'!$O$95,IF('HOJA D TRABAJO'!$H$15="INTERNO",SUM('HOJA 3 AUX'!$O$85:$O$89)))</f>
        <v>0</v>
      </c>
      <c r="F53" s="308">
        <f t="shared" si="0"/>
        <v>0</v>
      </c>
      <c r="G53" s="19"/>
    </row>
    <row r="54" spans="1:7" s="55" customFormat="1" ht="20.25" hidden="1" customHeight="1" x14ac:dyDescent="0.25">
      <c r="A54" s="22"/>
      <c r="B54" s="306" t="str">
        <f>+'HOJA D TRABAJO'!B39&amp;" "&amp;'HOJA D TRABAJO'!$D$59</f>
        <v xml:space="preserve"> LA PAZ</v>
      </c>
      <c r="C54" s="307">
        <f>+'HOJA D TRABAJO'!C71</f>
        <v>0</v>
      </c>
      <c r="D54" s="307">
        <f>+'HOJA D TRABAJO'!D71</f>
        <v>0</v>
      </c>
      <c r="E54" s="308">
        <f>IF('HOJA D TRABAJO'!$H$15="EXTERNO",'HOJA 3 AUX'!$G$115,IF('HOJA D TRABAJO'!$H$15="INTERNO",SUM('HOJA 3 AUX'!G105:G109)))</f>
        <v>0</v>
      </c>
      <c r="F54" s="308">
        <f t="shared" si="0"/>
        <v>0</v>
      </c>
      <c r="G54" s="19"/>
    </row>
    <row r="55" spans="1:7" s="55" customFormat="1" ht="20.25" hidden="1" customHeight="1" x14ac:dyDescent="0.25">
      <c r="A55" s="22"/>
      <c r="B55" s="306" t="str">
        <f>+'HOJA D TRABAJO'!B40&amp;" "&amp;'HOJA D TRABAJO'!$D$59</f>
        <v xml:space="preserve"> LA PAZ</v>
      </c>
      <c r="C55" s="307">
        <f>+'HOJA D TRABAJO'!C72</f>
        <v>0</v>
      </c>
      <c r="D55" s="307">
        <f>+'HOJA D TRABAJO'!D72</f>
        <v>0</v>
      </c>
      <c r="E55" s="308">
        <f>IF('HOJA D TRABAJO'!$H$15="EXTERNO",'HOJA 3 AUX'!$O$115,IF('HOJA D TRABAJO'!$H$15="INTERNO",SUM('HOJA 3 AUX'!$O$105:$O$109)))</f>
        <v>0</v>
      </c>
      <c r="F55" s="308">
        <f t="shared" si="0"/>
        <v>0</v>
      </c>
      <c r="G55" s="19"/>
    </row>
    <row r="56" spans="1:7" s="55" customFormat="1" ht="20.25" hidden="1" customHeight="1" x14ac:dyDescent="0.25">
      <c r="A56" s="22"/>
      <c r="B56" s="306" t="str">
        <f>+'HOJA D TRABAJO'!B29&amp;"  "&amp;'HOJA D TRABAJO'!$D$75</f>
        <v>IMPULSADORA SUPERMERCADO HIPERMAXI SACABA   TARIJA</v>
      </c>
      <c r="C56" s="307">
        <f>+'HOJA D TRABAJO'!C77</f>
        <v>0</v>
      </c>
      <c r="D56" s="307">
        <f>+'HOJA D TRABAJO'!D77</f>
        <v>0</v>
      </c>
      <c r="E56" s="308">
        <f>IF('HOJA D TRABAJO'!$H$15="EXTERNO",'HOJA 4 AUX'!$G$20,IF('HOJA D TRABAJO'!$H$15="INTERNO",SUM('HOJA 4 AUX'!$G$10:$G$14)))</f>
        <v>0</v>
      </c>
      <c r="F56" s="308">
        <f t="shared" si="0"/>
        <v>0</v>
      </c>
      <c r="G56" s="19"/>
    </row>
    <row r="57" spans="1:7" s="55" customFormat="1" ht="20.25" hidden="1" customHeight="1" x14ac:dyDescent="0.25">
      <c r="A57" s="22"/>
      <c r="B57" s="306" t="str">
        <f>+'HOJA D TRABAJO'!B30&amp;"  "&amp;'HOJA D TRABAJO'!$D$75</f>
        <v xml:space="preserve">  TARIJA</v>
      </c>
      <c r="C57" s="307">
        <f>+'HOJA D TRABAJO'!C78</f>
        <v>0</v>
      </c>
      <c r="D57" s="307">
        <f>+'HOJA D TRABAJO'!D78</f>
        <v>0</v>
      </c>
      <c r="E57" s="308">
        <f>IF('HOJA D TRABAJO'!$H$15="EXTERNO",'HOJA 4 AUX'!$O$20,IF('HOJA D TRABAJO'!$H$15="INTERNO",SUM('HOJA 4 AUX'!$O$10:$O$14)))</f>
        <v>0</v>
      </c>
      <c r="F57" s="308">
        <f t="shared" si="0"/>
        <v>0</v>
      </c>
      <c r="G57" s="19"/>
    </row>
    <row r="58" spans="1:7" s="55" customFormat="1" ht="20.25" hidden="1" customHeight="1" x14ac:dyDescent="0.25">
      <c r="A58" s="22"/>
      <c r="B58" s="306" t="str">
        <f>+'HOJA D TRABAJO'!B31&amp;"  "&amp;'HOJA D TRABAJO'!$D$75</f>
        <v xml:space="preserve">  TARIJA</v>
      </c>
      <c r="C58" s="307">
        <f>+'HOJA D TRABAJO'!C79</f>
        <v>0</v>
      </c>
      <c r="D58" s="307">
        <f>+'HOJA D TRABAJO'!D79</f>
        <v>0</v>
      </c>
      <c r="E58" s="308">
        <f>IF('HOJA D TRABAJO'!$H$15="EXTERNO",'HOJA 4 AUX'!$G$38,IF('HOJA D TRABAJO'!$H$15="INTERNO",SUM('HOJA 4 AUX'!$G$28:$G$32)))</f>
        <v>0</v>
      </c>
      <c r="F58" s="308">
        <f t="shared" si="0"/>
        <v>0</v>
      </c>
      <c r="G58" s="19"/>
    </row>
    <row r="59" spans="1:7" s="55" customFormat="1" ht="20.25" hidden="1" customHeight="1" x14ac:dyDescent="0.25">
      <c r="A59" s="22"/>
      <c r="B59" s="306" t="str">
        <f>+'HOJA D TRABAJO'!B32&amp;"  "&amp;'HOJA D TRABAJO'!$D$75</f>
        <v xml:space="preserve">  TARIJA</v>
      </c>
      <c r="C59" s="307">
        <f>+'HOJA D TRABAJO'!C80</f>
        <v>0</v>
      </c>
      <c r="D59" s="307">
        <f>+'HOJA D TRABAJO'!D80</f>
        <v>0</v>
      </c>
      <c r="E59" s="308">
        <f>IF('HOJA D TRABAJO'!$H$15="EXTERNO",'HOJA 4 AUX'!$O$38,IF('HOJA D TRABAJO'!$H$15="INTERNO",SUM('HOJA 4 AUX'!$O$28:$O$32)))</f>
        <v>0</v>
      </c>
      <c r="F59" s="308">
        <f t="shared" si="0"/>
        <v>0</v>
      </c>
      <c r="G59" s="19"/>
    </row>
    <row r="60" spans="1:7" s="55" customFormat="1" ht="20.25" hidden="1" customHeight="1" x14ac:dyDescent="0.25">
      <c r="A60" s="22"/>
      <c r="B60" s="306" t="str">
        <f>+'HOJA D TRABAJO'!B33&amp;"  "&amp;'HOJA D TRABAJO'!$D$75</f>
        <v xml:space="preserve">  TARIJA</v>
      </c>
      <c r="C60" s="307">
        <f>+'HOJA D TRABAJO'!C81</f>
        <v>0</v>
      </c>
      <c r="D60" s="307">
        <f>+'HOJA D TRABAJO'!D81</f>
        <v>0</v>
      </c>
      <c r="E60" s="308">
        <f>IF('HOJA D TRABAJO'!$H$15="EXTERNO",'HOJA 4 AUX'!$G$58,IF('HOJA D TRABAJO'!$H$15="INTERNO",SUM('HOJA 4 AUX'!$G$48:$G$52)))</f>
        <v>0</v>
      </c>
      <c r="F60" s="308">
        <f t="shared" si="0"/>
        <v>0</v>
      </c>
      <c r="G60" s="19"/>
    </row>
    <row r="61" spans="1:7" s="55" customFormat="1" ht="20.25" hidden="1" customHeight="1" x14ac:dyDescent="0.25">
      <c r="A61" s="22"/>
      <c r="B61" s="306" t="str">
        <f>+'HOJA D TRABAJO'!B34&amp;"  "&amp;'HOJA D TRABAJO'!$D$75</f>
        <v xml:space="preserve">  TARIJA</v>
      </c>
      <c r="C61" s="307">
        <f>+'HOJA D TRABAJO'!C82</f>
        <v>0</v>
      </c>
      <c r="D61" s="307">
        <f>+'HOJA D TRABAJO'!D82</f>
        <v>0</v>
      </c>
      <c r="E61" s="308">
        <f>IF('HOJA D TRABAJO'!$H$15="EXTERNO",'HOJA 4 AUX'!$O$58,IF('HOJA D TRABAJO'!$H$15="INTERNO",SUM('HOJA 4 AUX'!$O$48:$O$52)))</f>
        <v>0</v>
      </c>
      <c r="F61" s="308">
        <f t="shared" si="0"/>
        <v>0</v>
      </c>
      <c r="G61" s="19"/>
    </row>
    <row r="62" spans="1:7" s="55" customFormat="1" ht="20.25" hidden="1" customHeight="1" x14ac:dyDescent="0.25">
      <c r="A62" s="22"/>
      <c r="B62" s="306" t="str">
        <f>+'HOJA D TRABAJO'!B35&amp;"  "&amp;'HOJA D TRABAJO'!$D$75</f>
        <v xml:space="preserve">  TARIJA</v>
      </c>
      <c r="C62" s="307">
        <f>+'HOJA D TRABAJO'!C83</f>
        <v>0</v>
      </c>
      <c r="D62" s="307">
        <f>+'HOJA D TRABAJO'!D83</f>
        <v>0</v>
      </c>
      <c r="E62" s="308">
        <f>IF('HOJA D TRABAJO'!$H$15="EXTERNO",'HOJA 4 AUX'!$G$77,IF('HOJA D TRABAJO'!$H$15="INTERNO",SUM('HOJA 4 AUX'!$G$67:$G$71)))</f>
        <v>0</v>
      </c>
      <c r="F62" s="308">
        <f t="shared" si="0"/>
        <v>0</v>
      </c>
      <c r="G62" s="19"/>
    </row>
    <row r="63" spans="1:7" s="55" customFormat="1" ht="20.25" hidden="1" customHeight="1" x14ac:dyDescent="0.25">
      <c r="A63" s="22"/>
      <c r="B63" s="306" t="str">
        <f>+'HOJA D TRABAJO'!B36&amp;"  "&amp;'HOJA D TRABAJO'!$D$75</f>
        <v xml:space="preserve">  TARIJA</v>
      </c>
      <c r="C63" s="307">
        <f>+'HOJA D TRABAJO'!C84</f>
        <v>0</v>
      </c>
      <c r="D63" s="307">
        <f>+'HOJA D TRABAJO'!D84</f>
        <v>0</v>
      </c>
      <c r="E63" s="308">
        <f>IF('HOJA D TRABAJO'!$H$15="EXTERNO",'HOJA 4 AUX'!$O$77,IF('HOJA D TRABAJO'!$H$15="INTERNO",SUM('HOJA 4 AUX'!$O$67:$O$71)))</f>
        <v>0</v>
      </c>
      <c r="F63" s="308">
        <f t="shared" si="0"/>
        <v>0</v>
      </c>
      <c r="G63" s="19"/>
    </row>
    <row r="64" spans="1:7" s="55" customFormat="1" ht="20.25" hidden="1" customHeight="1" x14ac:dyDescent="0.25">
      <c r="A64" s="22"/>
      <c r="B64" s="306" t="str">
        <f>+'HOJA D TRABAJO'!B37&amp;"  "&amp;'HOJA D TRABAJO'!$D$75</f>
        <v xml:space="preserve">  TARIJA</v>
      </c>
      <c r="C64" s="307">
        <f>+'HOJA D TRABAJO'!C85</f>
        <v>0</v>
      </c>
      <c r="D64" s="307">
        <f>+'HOJA D TRABAJO'!D85</f>
        <v>0</v>
      </c>
      <c r="E64" s="308">
        <f>IF('HOJA D TRABAJO'!$H$15="EXTERNO",'HOJA 4 AUX'!$G$95,IF('HOJA D TRABAJO'!$H$15="INTERNO",SUM('HOJA 4 AUX'!G85:G89)))</f>
        <v>0</v>
      </c>
      <c r="F64" s="308">
        <f t="shared" si="0"/>
        <v>0</v>
      </c>
      <c r="G64" s="19"/>
    </row>
    <row r="65" spans="1:7" s="55" customFormat="1" ht="20.25" hidden="1" customHeight="1" x14ac:dyDescent="0.25">
      <c r="A65" s="22"/>
      <c r="B65" s="306" t="str">
        <f>+'HOJA D TRABAJO'!B38&amp;"  "&amp;'HOJA D TRABAJO'!$D$75</f>
        <v xml:space="preserve">  TARIJA</v>
      </c>
      <c r="C65" s="307">
        <f>+'HOJA D TRABAJO'!C86</f>
        <v>0</v>
      </c>
      <c r="D65" s="307">
        <f>+'HOJA D TRABAJO'!D86</f>
        <v>0</v>
      </c>
      <c r="E65" s="308">
        <f>IF('HOJA D TRABAJO'!$H$15="EXTERNO",'HOJA 4 AUX'!$O$95,IF('HOJA D TRABAJO'!$H$15="INTERNO",SUM('HOJA 4 AUX'!$O$85:$O$89)))</f>
        <v>0</v>
      </c>
      <c r="F65" s="308">
        <f t="shared" si="0"/>
        <v>0</v>
      </c>
      <c r="G65" s="19"/>
    </row>
    <row r="66" spans="1:7" s="55" customFormat="1" ht="20.25" hidden="1" customHeight="1" x14ac:dyDescent="0.25">
      <c r="A66" s="22"/>
      <c r="B66" s="306" t="str">
        <f>+'HOJA D TRABAJO'!B39&amp;"  "&amp;'HOJA D TRABAJO'!$D$75</f>
        <v xml:space="preserve">  TARIJA</v>
      </c>
      <c r="C66" s="307">
        <f>+'HOJA D TRABAJO'!C87</f>
        <v>0</v>
      </c>
      <c r="D66" s="307">
        <f>+'HOJA D TRABAJO'!D87</f>
        <v>0</v>
      </c>
      <c r="E66" s="308">
        <f>IF('HOJA D TRABAJO'!$H$15="EXTERNO",'HOJA 4 AUX'!$G$115,IF('HOJA D TRABAJO'!$H$15="INTERNO",SUM('HOJA 4 AUX'!G105:G109)))</f>
        <v>0</v>
      </c>
      <c r="F66" s="308">
        <f t="shared" si="0"/>
        <v>0</v>
      </c>
      <c r="G66" s="19"/>
    </row>
    <row r="67" spans="1:7" s="55" customFormat="1" ht="20.25" hidden="1" customHeight="1" x14ac:dyDescent="0.25">
      <c r="A67" s="22"/>
      <c r="B67" s="306" t="str">
        <f>+'HOJA D TRABAJO'!B40&amp;"  "&amp;'HOJA D TRABAJO'!$D$75</f>
        <v xml:space="preserve">  TARIJA</v>
      </c>
      <c r="C67" s="307">
        <f>+'HOJA D TRABAJO'!C88</f>
        <v>0</v>
      </c>
      <c r="D67" s="307">
        <f>+'HOJA D TRABAJO'!D88</f>
        <v>0</v>
      </c>
      <c r="E67" s="308">
        <f>IF('HOJA D TRABAJO'!$H$15="EXTERNO",'HOJA 4 AUX'!$O$115,IF('HOJA D TRABAJO'!$H$15="INTERNO",SUM('HOJA 4 AUX'!O105:O109)))</f>
        <v>0</v>
      </c>
      <c r="F67" s="308">
        <f t="shared" si="0"/>
        <v>0</v>
      </c>
      <c r="G67" s="19"/>
    </row>
    <row r="68" spans="1:7" s="55" customFormat="1" ht="20.25" hidden="1" customHeight="1" x14ac:dyDescent="0.25">
      <c r="A68" s="22"/>
      <c r="B68" s="306" t="str">
        <f>+'HOJA D TRABAJO'!B29&amp;" " &amp;'HOJA D TRABAJO'!$D$91</f>
        <v>IMPULSADORA SUPERMERCADO HIPERMAXI SACABA  POTOSI</v>
      </c>
      <c r="C68" s="307">
        <f>+'HOJA D TRABAJO'!C93</f>
        <v>0</v>
      </c>
      <c r="D68" s="307">
        <f>+'HOJA D TRABAJO'!D93</f>
        <v>0</v>
      </c>
      <c r="E68" s="308">
        <f>IF('HOJA D TRABAJO'!$H$15="EXTERNO",'HOJA 5 AUX'!$G$20,IF('HOJA D TRABAJO'!$H$15="INTERNO",SUM('HOJA 5 AUX'!$G$10:$G$14)))</f>
        <v>0</v>
      </c>
      <c r="F68" s="308">
        <f t="shared" si="0"/>
        <v>0</v>
      </c>
      <c r="G68" s="19"/>
    </row>
    <row r="69" spans="1:7" s="55" customFormat="1" ht="20.25" hidden="1" customHeight="1" x14ac:dyDescent="0.25">
      <c r="A69" s="22"/>
      <c r="B69" s="306" t="str">
        <f>+'HOJA D TRABAJO'!B30&amp;" " &amp;'HOJA D TRABAJO'!$D$91</f>
        <v xml:space="preserve"> POTOSI</v>
      </c>
      <c r="C69" s="307">
        <f>+'HOJA D TRABAJO'!C94</f>
        <v>0</v>
      </c>
      <c r="D69" s="307">
        <f>+'HOJA D TRABAJO'!D94</f>
        <v>0</v>
      </c>
      <c r="E69" s="308">
        <f>IF('HOJA D TRABAJO'!$H$15="EXTERNO",'HOJA 5 AUX'!$O$20,IF('HOJA D TRABAJO'!$H$15="INTERNO",SUM('HOJA 5 AUX'!$O$10:$O$14)))</f>
        <v>0</v>
      </c>
      <c r="F69" s="308">
        <f t="shared" si="0"/>
        <v>0</v>
      </c>
      <c r="G69" s="19"/>
    </row>
    <row r="70" spans="1:7" s="55" customFormat="1" ht="20.25" hidden="1" customHeight="1" x14ac:dyDescent="0.25">
      <c r="A70" s="22"/>
      <c r="B70" s="306" t="str">
        <f>+'HOJA D TRABAJO'!B31&amp;" " &amp;'HOJA D TRABAJO'!$D$91</f>
        <v xml:space="preserve"> POTOSI</v>
      </c>
      <c r="C70" s="307">
        <f>+'HOJA D TRABAJO'!C95</f>
        <v>0</v>
      </c>
      <c r="D70" s="307">
        <f>+'HOJA D TRABAJO'!D95</f>
        <v>0</v>
      </c>
      <c r="E70" s="308">
        <f>IF('HOJA D TRABAJO'!$H$15="EXTERNO",'HOJA 5 AUX'!$G$38,IF('HOJA D TRABAJO'!$H$15="INTERNO",SUM('HOJA 5 AUX'!$G$28:$G$32)))</f>
        <v>0</v>
      </c>
      <c r="F70" s="308">
        <f t="shared" si="0"/>
        <v>0</v>
      </c>
      <c r="G70" s="19"/>
    </row>
    <row r="71" spans="1:7" s="55" customFormat="1" ht="20.25" hidden="1" customHeight="1" x14ac:dyDescent="0.25">
      <c r="A71" s="22"/>
      <c r="B71" s="306" t="str">
        <f>+'HOJA D TRABAJO'!B32&amp;" " &amp;'HOJA D TRABAJO'!$D$91</f>
        <v xml:space="preserve"> POTOSI</v>
      </c>
      <c r="C71" s="307">
        <f>+'HOJA D TRABAJO'!C96</f>
        <v>0</v>
      </c>
      <c r="D71" s="307">
        <f>+'HOJA D TRABAJO'!D96</f>
        <v>0</v>
      </c>
      <c r="E71" s="308">
        <f>IF('HOJA D TRABAJO'!$H$15="EXTERNO",'HOJA 5 AUX'!$O$38,IF('HOJA D TRABAJO'!$H$15="INTERNO",SUM('HOJA 5 AUX'!$O$28:$O$32)))</f>
        <v>0</v>
      </c>
      <c r="F71" s="308">
        <f t="shared" si="0"/>
        <v>0</v>
      </c>
      <c r="G71" s="19"/>
    </row>
    <row r="72" spans="1:7" s="55" customFormat="1" ht="20.25" hidden="1" customHeight="1" x14ac:dyDescent="0.25">
      <c r="A72" s="22"/>
      <c r="B72" s="306" t="str">
        <f>+'HOJA D TRABAJO'!B33&amp;" " &amp;'HOJA D TRABAJO'!$D$91</f>
        <v xml:space="preserve"> POTOSI</v>
      </c>
      <c r="C72" s="307">
        <f>+'HOJA D TRABAJO'!C97</f>
        <v>0</v>
      </c>
      <c r="D72" s="307">
        <f>+'HOJA D TRABAJO'!D97</f>
        <v>0</v>
      </c>
      <c r="E72" s="308">
        <f>IF('HOJA D TRABAJO'!$H$15="EXTERNO",'HOJA 5 AUX'!$G$58,IF('HOJA D TRABAJO'!$H$15="INTERNO",SUM('HOJA 5 AUX'!$G$48:$G$52)))</f>
        <v>0</v>
      </c>
      <c r="F72" s="308">
        <f t="shared" si="0"/>
        <v>0</v>
      </c>
      <c r="G72" s="19"/>
    </row>
    <row r="73" spans="1:7" s="55" customFormat="1" ht="20.25" hidden="1" customHeight="1" x14ac:dyDescent="0.25">
      <c r="A73" s="22"/>
      <c r="B73" s="306" t="str">
        <f>+'HOJA D TRABAJO'!B34&amp;" " &amp;'HOJA D TRABAJO'!$D$91</f>
        <v xml:space="preserve"> POTOSI</v>
      </c>
      <c r="C73" s="307">
        <f>+'HOJA D TRABAJO'!C98</f>
        <v>0</v>
      </c>
      <c r="D73" s="307">
        <f>+'HOJA D TRABAJO'!D98</f>
        <v>0</v>
      </c>
      <c r="E73" s="308">
        <f>IF('HOJA D TRABAJO'!$H$15="EXTERNO",'HOJA 5 AUX'!$O$58,IF('HOJA D TRABAJO'!$H$15="INTERNO",SUM('HOJA 5 AUX'!$O$48:$O$52)))</f>
        <v>0</v>
      </c>
      <c r="F73" s="308">
        <f t="shared" si="0"/>
        <v>0</v>
      </c>
      <c r="G73" s="19"/>
    </row>
    <row r="74" spans="1:7" s="55" customFormat="1" ht="20.25" hidden="1" customHeight="1" x14ac:dyDescent="0.25">
      <c r="A74" s="22"/>
      <c r="B74" s="306" t="str">
        <f>+'HOJA D TRABAJO'!B35&amp;" " &amp;'HOJA D TRABAJO'!$D$91</f>
        <v xml:space="preserve"> POTOSI</v>
      </c>
      <c r="C74" s="307">
        <f>+'HOJA D TRABAJO'!C99</f>
        <v>0</v>
      </c>
      <c r="D74" s="307">
        <f>+'HOJA D TRABAJO'!D99</f>
        <v>0</v>
      </c>
      <c r="E74" s="308">
        <f>IF('HOJA D TRABAJO'!$H$15="EXTERNO",'HOJA 5 AUX'!$G$77,IF('HOJA D TRABAJO'!$H$15="INTERNO",SUM('HOJA 5 AUX'!$G$67:$G$71)))</f>
        <v>0</v>
      </c>
      <c r="F74" s="308">
        <f t="shared" si="0"/>
        <v>0</v>
      </c>
      <c r="G74" s="19"/>
    </row>
    <row r="75" spans="1:7" s="55" customFormat="1" ht="20.25" hidden="1" customHeight="1" x14ac:dyDescent="0.25">
      <c r="A75" s="22"/>
      <c r="B75" s="306" t="str">
        <f>+'HOJA D TRABAJO'!B36&amp;" " &amp;'HOJA D TRABAJO'!$D$91</f>
        <v xml:space="preserve"> POTOSI</v>
      </c>
      <c r="C75" s="307">
        <f>+'HOJA D TRABAJO'!C100</f>
        <v>0</v>
      </c>
      <c r="D75" s="307">
        <f>+'HOJA D TRABAJO'!D100</f>
        <v>0</v>
      </c>
      <c r="E75" s="308">
        <f>IF('HOJA D TRABAJO'!$H$15="EXTERNO",'HOJA 5 AUX'!$O$77,IF('HOJA D TRABAJO'!$H$15="INTERNO",SUM('HOJA 5 AUX'!$O$67:$O$71)))</f>
        <v>0</v>
      </c>
      <c r="F75" s="308">
        <f t="shared" si="0"/>
        <v>0</v>
      </c>
      <c r="G75" s="19"/>
    </row>
    <row r="76" spans="1:7" s="55" customFormat="1" ht="20.25" hidden="1" customHeight="1" x14ac:dyDescent="0.25">
      <c r="A76" s="22"/>
      <c r="B76" s="306" t="str">
        <f>+'HOJA D TRABAJO'!B37&amp;" " &amp;'HOJA D TRABAJO'!$D$91</f>
        <v xml:space="preserve"> POTOSI</v>
      </c>
      <c r="C76" s="307">
        <f>+'HOJA D TRABAJO'!C101</f>
        <v>0</v>
      </c>
      <c r="D76" s="307">
        <f>+'HOJA D TRABAJO'!D101</f>
        <v>0</v>
      </c>
      <c r="E76" s="308">
        <f>IF('HOJA D TRABAJO'!$H$15="EXTERNO",'HOJA 5 AUX'!$G$95,IF('HOJA D TRABAJO'!$H$15="INTERNO",SUM('HOJA 5 AUX'!$G$85:$G$89)))</f>
        <v>0</v>
      </c>
      <c r="F76" s="308">
        <f t="shared" si="0"/>
        <v>0</v>
      </c>
      <c r="G76" s="19"/>
    </row>
    <row r="77" spans="1:7" s="55" customFormat="1" ht="20.25" hidden="1" customHeight="1" x14ac:dyDescent="0.25">
      <c r="A77" s="22"/>
      <c r="B77" s="306" t="str">
        <f>+'HOJA D TRABAJO'!B38&amp;" " &amp;'HOJA D TRABAJO'!$D$91</f>
        <v xml:space="preserve"> POTOSI</v>
      </c>
      <c r="C77" s="307">
        <f>+'HOJA D TRABAJO'!C102</f>
        <v>0</v>
      </c>
      <c r="D77" s="307">
        <f>+'HOJA D TRABAJO'!D102</f>
        <v>0</v>
      </c>
      <c r="E77" s="308">
        <f>IF('HOJA D TRABAJO'!$H$15="EXTERNO",'HOJA 5 AUX'!$O$95,IF('HOJA D TRABAJO'!$H$15="INTERNO",SUM('HOJA 5 AUX'!$O$85:$O$89)))</f>
        <v>0</v>
      </c>
      <c r="F77" s="308">
        <f t="shared" si="0"/>
        <v>0</v>
      </c>
      <c r="G77" s="19"/>
    </row>
    <row r="78" spans="1:7" s="55" customFormat="1" ht="20.25" hidden="1" customHeight="1" x14ac:dyDescent="0.25">
      <c r="A78" s="22"/>
      <c r="B78" s="306" t="str">
        <f>+'HOJA D TRABAJO'!B39&amp;" " &amp;'HOJA D TRABAJO'!$D$91</f>
        <v xml:space="preserve"> POTOSI</v>
      </c>
      <c r="C78" s="307">
        <f>+'HOJA D TRABAJO'!C103</f>
        <v>0</v>
      </c>
      <c r="D78" s="307">
        <f>+'HOJA D TRABAJO'!D103</f>
        <v>0</v>
      </c>
      <c r="E78" s="308">
        <f>IF('HOJA D TRABAJO'!$H$15="EXTERNO",'HOJA 5 AUX'!$G$115,IF('HOJA D TRABAJO'!$H$15="INTERNO",SUM('HOJA 5 AUX'!$G$105:$G$109)))</f>
        <v>0</v>
      </c>
      <c r="F78" s="308">
        <f t="shared" si="0"/>
        <v>0</v>
      </c>
      <c r="G78" s="19"/>
    </row>
    <row r="79" spans="1:7" s="55" customFormat="1" ht="20.25" hidden="1" customHeight="1" x14ac:dyDescent="0.25">
      <c r="A79" s="22"/>
      <c r="B79" s="306" t="str">
        <f>+'HOJA D TRABAJO'!B40&amp;" " &amp;'HOJA D TRABAJO'!$D$91</f>
        <v xml:space="preserve"> POTOSI</v>
      </c>
      <c r="C79" s="307">
        <f>+'HOJA D TRABAJO'!C104</f>
        <v>0</v>
      </c>
      <c r="D79" s="307">
        <f>+'HOJA D TRABAJO'!D104</f>
        <v>0</v>
      </c>
      <c r="E79" s="308">
        <f>IF('HOJA D TRABAJO'!$H$15="EXTERNO",'HOJA 5 AUX'!$O$115,IF('HOJA D TRABAJO'!$H$15="INTERNO",SUM('HOJA 5 AUX'!$O$105:$O$109)))</f>
        <v>0</v>
      </c>
      <c r="F79" s="308">
        <f t="shared" si="0"/>
        <v>0</v>
      </c>
      <c r="G79" s="19"/>
    </row>
    <row r="80" spans="1:7" s="55" customFormat="1" ht="20.25" hidden="1" customHeight="1" x14ac:dyDescent="0.25">
      <c r="A80" s="22"/>
      <c r="B80" s="306" t="str">
        <f>+'HOJA D TRABAJO'!B29&amp;"  " &amp;'HOJA D TRABAJO'!$D$107</f>
        <v>IMPULSADORA SUPERMERCADO HIPERMAXI SACABA   SUCRE</v>
      </c>
      <c r="C80" s="307">
        <f>+'HOJA D TRABAJO'!C109</f>
        <v>0</v>
      </c>
      <c r="D80" s="307">
        <f>+'HOJA D TRABAJO'!D109</f>
        <v>0</v>
      </c>
      <c r="E80" s="308">
        <f>IF('HOJA D TRABAJO'!$H$15="EXTERNO",'HOJA 6 AUX'!$G$20,IF('HOJA D TRABAJO'!$H$15="INTERNO",SUM('HOJA 6 AUX'!$G$10:$G$14)))</f>
        <v>0</v>
      </c>
      <c r="F80" s="308">
        <f t="shared" si="0"/>
        <v>0</v>
      </c>
      <c r="G80" s="19"/>
    </row>
    <row r="81" spans="1:7" s="55" customFormat="1" ht="20.25" hidden="1" customHeight="1" x14ac:dyDescent="0.25">
      <c r="A81" s="22"/>
      <c r="B81" s="306" t="str">
        <f>+'HOJA D TRABAJO'!B30&amp;"  " &amp;'HOJA D TRABAJO'!$D$107</f>
        <v xml:space="preserve">  SUCRE</v>
      </c>
      <c r="C81" s="307">
        <f>+'HOJA D TRABAJO'!C110</f>
        <v>0</v>
      </c>
      <c r="D81" s="307">
        <f>+'HOJA D TRABAJO'!D110</f>
        <v>0</v>
      </c>
      <c r="E81" s="308">
        <f>IF('HOJA D TRABAJO'!$H$15="EXTERNO",'HOJA 6 AUX'!$O$20,IF('HOJA D TRABAJO'!$H$15="INTERNO",SUM('HOJA 6 AUX'!$O$10:$O$14)))</f>
        <v>0</v>
      </c>
      <c r="F81" s="308">
        <f t="shared" si="0"/>
        <v>0</v>
      </c>
      <c r="G81" s="19"/>
    </row>
    <row r="82" spans="1:7" s="55" customFormat="1" ht="20.25" hidden="1" customHeight="1" x14ac:dyDescent="0.25">
      <c r="A82" s="22"/>
      <c r="B82" s="306" t="str">
        <f>+'HOJA D TRABAJO'!B31&amp;"  " &amp;'HOJA D TRABAJO'!$D$107</f>
        <v xml:space="preserve">  SUCRE</v>
      </c>
      <c r="C82" s="307">
        <f>+'HOJA D TRABAJO'!C111</f>
        <v>0</v>
      </c>
      <c r="D82" s="307">
        <f>+'HOJA D TRABAJO'!D111</f>
        <v>0</v>
      </c>
      <c r="E82" s="308">
        <f>IF('HOJA D TRABAJO'!$H$15="EXTERNO",'HOJA 6 AUX'!$G$38,IF('HOJA D TRABAJO'!$H$15="INTERNO",SUM('HOJA 6 AUX'!$G$28:$G$32)))</f>
        <v>0</v>
      </c>
      <c r="F82" s="308">
        <f t="shared" si="0"/>
        <v>0</v>
      </c>
      <c r="G82" s="19"/>
    </row>
    <row r="83" spans="1:7" s="55" customFormat="1" ht="20.25" hidden="1" customHeight="1" x14ac:dyDescent="0.25">
      <c r="A83" s="22"/>
      <c r="B83" s="306" t="str">
        <f>+'HOJA D TRABAJO'!B32&amp;"  " &amp;'HOJA D TRABAJO'!$D$107</f>
        <v xml:space="preserve">  SUCRE</v>
      </c>
      <c r="C83" s="307">
        <f>+'HOJA D TRABAJO'!C112</f>
        <v>0</v>
      </c>
      <c r="D83" s="307">
        <f>+'HOJA D TRABAJO'!D112</f>
        <v>0</v>
      </c>
      <c r="E83" s="308">
        <f>IF('HOJA D TRABAJO'!$H$15="EXTERNO",'HOJA 6 AUX'!$O$38,IF('HOJA D TRABAJO'!$H$15="INTERNO",SUM('HOJA 6 AUX'!$O$28:$O$32)))</f>
        <v>0</v>
      </c>
      <c r="F83" s="308">
        <f t="shared" si="0"/>
        <v>0</v>
      </c>
      <c r="G83" s="19"/>
    </row>
    <row r="84" spans="1:7" s="55" customFormat="1" ht="20.25" hidden="1" customHeight="1" x14ac:dyDescent="0.25">
      <c r="A84" s="22"/>
      <c r="B84" s="306" t="str">
        <f>+'HOJA D TRABAJO'!B33&amp;"  " &amp;'HOJA D TRABAJO'!$D$107</f>
        <v xml:space="preserve">  SUCRE</v>
      </c>
      <c r="C84" s="307">
        <f>+'HOJA D TRABAJO'!C113</f>
        <v>0</v>
      </c>
      <c r="D84" s="307">
        <f>+'HOJA D TRABAJO'!D113</f>
        <v>0</v>
      </c>
      <c r="E84" s="308">
        <f>IF('HOJA D TRABAJO'!$H$15="EXTERNO",'HOJA 6 AUX'!$G$58,IF('HOJA D TRABAJO'!$H$15="INTERNO",SUM('HOJA 6 AUX'!$G$48:$G$52)))</f>
        <v>0</v>
      </c>
      <c r="F84" s="308">
        <f t="shared" si="0"/>
        <v>0</v>
      </c>
      <c r="G84" s="19"/>
    </row>
    <row r="85" spans="1:7" s="55" customFormat="1" ht="20.25" hidden="1" customHeight="1" x14ac:dyDescent="0.25">
      <c r="A85" s="22"/>
      <c r="B85" s="306" t="str">
        <f>+'HOJA D TRABAJO'!B34&amp;"  " &amp;'HOJA D TRABAJO'!$D$107</f>
        <v xml:space="preserve">  SUCRE</v>
      </c>
      <c r="C85" s="307">
        <f>+'HOJA D TRABAJO'!C114</f>
        <v>0</v>
      </c>
      <c r="D85" s="307">
        <f>+'HOJA D TRABAJO'!D114</f>
        <v>0</v>
      </c>
      <c r="E85" s="308">
        <f>IF('HOJA D TRABAJO'!$H$15="EXTERNO",'HOJA 6 AUX'!$O$58,IF('HOJA D TRABAJO'!$H$15="INTERNO",SUM('HOJA 6 AUX'!$O$48:$O$52)))</f>
        <v>0</v>
      </c>
      <c r="F85" s="308">
        <f t="shared" ref="F85:F127" si="1">+(C85*D85)*E85</f>
        <v>0</v>
      </c>
      <c r="G85" s="19"/>
    </row>
    <row r="86" spans="1:7" s="55" customFormat="1" ht="20.25" hidden="1" customHeight="1" x14ac:dyDescent="0.25">
      <c r="A86" s="22"/>
      <c r="B86" s="306" t="str">
        <f>+'HOJA D TRABAJO'!B35&amp;"  " &amp;'HOJA D TRABAJO'!$D$107</f>
        <v xml:space="preserve">  SUCRE</v>
      </c>
      <c r="C86" s="307">
        <f>+'HOJA D TRABAJO'!C115</f>
        <v>0</v>
      </c>
      <c r="D86" s="307">
        <f>+'HOJA D TRABAJO'!D115</f>
        <v>0</v>
      </c>
      <c r="E86" s="308">
        <f>IF('HOJA D TRABAJO'!$H$15="EXTERNO",'HOJA 6 AUX'!$G$77,IF('HOJA D TRABAJO'!$H$15="INTERNO",SUM('HOJA 6 AUX'!$G$67:$G$71)))</f>
        <v>0</v>
      </c>
      <c r="F86" s="308">
        <f t="shared" si="1"/>
        <v>0</v>
      </c>
      <c r="G86" s="19"/>
    </row>
    <row r="87" spans="1:7" s="55" customFormat="1" ht="20.25" hidden="1" customHeight="1" x14ac:dyDescent="0.25">
      <c r="A87" s="22"/>
      <c r="B87" s="306" t="str">
        <f>+'HOJA D TRABAJO'!B36&amp;"  " &amp;'HOJA D TRABAJO'!$D$107</f>
        <v xml:space="preserve">  SUCRE</v>
      </c>
      <c r="C87" s="307">
        <f>+'HOJA D TRABAJO'!C116</f>
        <v>0</v>
      </c>
      <c r="D87" s="307">
        <f>+'HOJA D TRABAJO'!D116</f>
        <v>0</v>
      </c>
      <c r="E87" s="308">
        <f>IF('HOJA D TRABAJO'!$H$15="EXTERNO",'HOJA 6 AUX'!$O$77,IF('HOJA D TRABAJO'!$H$15="INTERNO",SUM('HOJA 6 AUX'!$O$67:$O$71)))</f>
        <v>0</v>
      </c>
      <c r="F87" s="308">
        <f t="shared" si="1"/>
        <v>0</v>
      </c>
      <c r="G87" s="19"/>
    </row>
    <row r="88" spans="1:7" s="55" customFormat="1" ht="20.25" hidden="1" customHeight="1" x14ac:dyDescent="0.25">
      <c r="A88" s="22"/>
      <c r="B88" s="306" t="str">
        <f>+'HOJA D TRABAJO'!B37&amp;"  " &amp;'HOJA D TRABAJO'!$D$107</f>
        <v xml:space="preserve">  SUCRE</v>
      </c>
      <c r="C88" s="307">
        <f>+'HOJA D TRABAJO'!C117</f>
        <v>0</v>
      </c>
      <c r="D88" s="307">
        <f>+'HOJA D TRABAJO'!D117</f>
        <v>0</v>
      </c>
      <c r="E88" s="308">
        <f>IF('HOJA D TRABAJO'!$H$15="EXTERNO",'HOJA 6 AUX'!$G$95,IF('HOJA D TRABAJO'!$H$15="INTERNO",SUM('HOJA 6 AUX'!$G$85:$G$89)))</f>
        <v>0</v>
      </c>
      <c r="F88" s="308">
        <f t="shared" si="1"/>
        <v>0</v>
      </c>
      <c r="G88" s="19"/>
    </row>
    <row r="89" spans="1:7" s="55" customFormat="1" ht="20.25" hidden="1" customHeight="1" x14ac:dyDescent="0.25">
      <c r="A89" s="22"/>
      <c r="B89" s="306" t="str">
        <f>+'HOJA D TRABAJO'!B38&amp;"  " &amp;'HOJA D TRABAJO'!$D$107</f>
        <v xml:space="preserve">  SUCRE</v>
      </c>
      <c r="C89" s="307">
        <f>+'HOJA D TRABAJO'!C118</f>
        <v>0</v>
      </c>
      <c r="D89" s="307">
        <f>+'HOJA D TRABAJO'!D118</f>
        <v>0</v>
      </c>
      <c r="E89" s="308">
        <f>IF('HOJA D TRABAJO'!$H$15="EXTERNO",'HOJA 6 AUX'!$O$95,IF('HOJA D TRABAJO'!$H$15="INTERNO",SUM('HOJA 6 AUX'!$O$85:$O$89)))</f>
        <v>0</v>
      </c>
      <c r="F89" s="308">
        <f t="shared" si="1"/>
        <v>0</v>
      </c>
      <c r="G89" s="19"/>
    </row>
    <row r="90" spans="1:7" s="55" customFormat="1" ht="20.25" hidden="1" customHeight="1" x14ac:dyDescent="0.25">
      <c r="A90" s="22"/>
      <c r="B90" s="306" t="str">
        <f>+'HOJA D TRABAJO'!B39&amp;"  " &amp;'HOJA D TRABAJO'!$D$107</f>
        <v xml:space="preserve">  SUCRE</v>
      </c>
      <c r="C90" s="307">
        <f>+'HOJA D TRABAJO'!C119</f>
        <v>0</v>
      </c>
      <c r="D90" s="307">
        <f>+'HOJA D TRABAJO'!D119</f>
        <v>0</v>
      </c>
      <c r="E90" s="308">
        <f>IF('HOJA D TRABAJO'!$H$15="EXTERNO",'HOJA 6 AUX'!$G$115,IF('HOJA D TRABAJO'!$H$15="INTERNO",SUM('HOJA 6 AUX'!$G$105:$G$109)))</f>
        <v>0</v>
      </c>
      <c r="F90" s="308">
        <f t="shared" si="1"/>
        <v>0</v>
      </c>
      <c r="G90" s="19"/>
    </row>
    <row r="91" spans="1:7" s="55" customFormat="1" ht="20.25" hidden="1" customHeight="1" x14ac:dyDescent="0.25">
      <c r="A91" s="22"/>
      <c r="B91" s="306" t="str">
        <f>+'HOJA D TRABAJO'!B40&amp;"  " &amp;'HOJA D TRABAJO'!$D$107</f>
        <v xml:space="preserve">  SUCRE</v>
      </c>
      <c r="C91" s="307">
        <f>+'HOJA D TRABAJO'!C120</f>
        <v>0</v>
      </c>
      <c r="D91" s="307">
        <f>+'HOJA D TRABAJO'!D120</f>
        <v>0</v>
      </c>
      <c r="E91" s="308">
        <f>IF('HOJA D TRABAJO'!$H$15="EXTERNO",'HOJA 6 AUX'!$O$115,IF('HOJA D TRABAJO'!$H$15="INTERNO",SUM('HOJA 6 AUX'!$O$105:$O$109)))</f>
        <v>0</v>
      </c>
      <c r="F91" s="308">
        <f t="shared" si="1"/>
        <v>0</v>
      </c>
      <c r="G91" s="19"/>
    </row>
    <row r="92" spans="1:7" s="55" customFormat="1" ht="20.25" hidden="1" customHeight="1" x14ac:dyDescent="0.25">
      <c r="A92" s="22"/>
      <c r="B92" s="306" t="str">
        <f>+'HOJA D TRABAJO'!B29&amp;" "&amp;'HOJA D TRABAJO'!$D$123</f>
        <v>IMPULSADORA SUPERMERCADO HIPERMAXI SACABA  ORURO</v>
      </c>
      <c r="C92" s="307">
        <f>+'HOJA D TRABAJO'!C125</f>
        <v>0</v>
      </c>
      <c r="D92" s="307">
        <f>+'HOJA D TRABAJO'!D125</f>
        <v>0</v>
      </c>
      <c r="E92" s="308">
        <f>IF('HOJA D TRABAJO'!$H$15="EXTERNO",'HOJA 7 AUX'!$G$20,IF('HOJA D TRABAJO'!$H$15="INTERNO",SUM('HOJA 7 AUX'!$G$10:$G$14)))</f>
        <v>0</v>
      </c>
      <c r="F92" s="308">
        <f t="shared" si="1"/>
        <v>0</v>
      </c>
      <c r="G92" s="19"/>
    </row>
    <row r="93" spans="1:7" s="55" customFormat="1" ht="20.25" hidden="1" customHeight="1" x14ac:dyDescent="0.25">
      <c r="A93" s="22"/>
      <c r="B93" s="306" t="str">
        <f>+'HOJA D TRABAJO'!B30&amp;" "&amp;'HOJA D TRABAJO'!$D$123</f>
        <v xml:space="preserve"> ORURO</v>
      </c>
      <c r="C93" s="307">
        <f>+'HOJA D TRABAJO'!C126</f>
        <v>0</v>
      </c>
      <c r="D93" s="307">
        <f>+'HOJA D TRABAJO'!D126</f>
        <v>0</v>
      </c>
      <c r="E93" s="308">
        <f>IF('HOJA D TRABAJO'!$H$15="EXTERNO",'HOJA 7 AUX'!$O$20,IF('HOJA D TRABAJO'!$H$15="INTERNO",SUM('HOJA 7 AUX'!$O$10:$O$14)))</f>
        <v>0</v>
      </c>
      <c r="F93" s="308">
        <f t="shared" si="1"/>
        <v>0</v>
      </c>
      <c r="G93" s="19"/>
    </row>
    <row r="94" spans="1:7" s="55" customFormat="1" ht="20.25" hidden="1" customHeight="1" x14ac:dyDescent="0.25">
      <c r="A94" s="22"/>
      <c r="B94" s="306" t="str">
        <f>+'HOJA D TRABAJO'!B31&amp;" "&amp;'HOJA D TRABAJO'!$D$123</f>
        <v xml:space="preserve"> ORURO</v>
      </c>
      <c r="C94" s="307">
        <f>+'HOJA D TRABAJO'!C127</f>
        <v>0</v>
      </c>
      <c r="D94" s="307">
        <f>+'HOJA D TRABAJO'!D127</f>
        <v>0</v>
      </c>
      <c r="E94" s="308">
        <f>IF('HOJA D TRABAJO'!$H$15="EXTERNO",'HOJA 7 AUX'!$G$38,IF('HOJA D TRABAJO'!$H$15="INTERNO",SUM('HOJA 7 AUX'!$G$28:$G$32)))</f>
        <v>0</v>
      </c>
      <c r="F94" s="308">
        <f t="shared" si="1"/>
        <v>0</v>
      </c>
      <c r="G94" s="19"/>
    </row>
    <row r="95" spans="1:7" s="55" customFormat="1" ht="20.25" hidden="1" customHeight="1" x14ac:dyDescent="0.25">
      <c r="A95" s="22"/>
      <c r="B95" s="306" t="str">
        <f>+'HOJA D TRABAJO'!B32&amp;" "&amp;'HOJA D TRABAJO'!$D$123</f>
        <v xml:space="preserve"> ORURO</v>
      </c>
      <c r="C95" s="307">
        <f>+'HOJA D TRABAJO'!C128</f>
        <v>0</v>
      </c>
      <c r="D95" s="307">
        <f>+'HOJA D TRABAJO'!D128</f>
        <v>0</v>
      </c>
      <c r="E95" s="308">
        <f>IF('HOJA D TRABAJO'!$H$15="EXTERNO",'HOJA 7 AUX'!$O$38,IF('HOJA D TRABAJO'!$H$15="INTERNO",SUM('HOJA 7 AUX'!$O$28:$O$32)))</f>
        <v>0</v>
      </c>
      <c r="F95" s="308">
        <f t="shared" si="1"/>
        <v>0</v>
      </c>
      <c r="G95" s="19"/>
    </row>
    <row r="96" spans="1:7" s="55" customFormat="1" ht="20.25" hidden="1" customHeight="1" x14ac:dyDescent="0.25">
      <c r="A96" s="22"/>
      <c r="B96" s="306" t="str">
        <f>+'HOJA D TRABAJO'!B33&amp;" "&amp;'HOJA D TRABAJO'!$D$123</f>
        <v xml:space="preserve"> ORURO</v>
      </c>
      <c r="C96" s="307">
        <f>+'HOJA D TRABAJO'!C129</f>
        <v>0</v>
      </c>
      <c r="D96" s="307">
        <f>+'HOJA D TRABAJO'!D129</f>
        <v>0</v>
      </c>
      <c r="E96" s="308">
        <f>IF('HOJA D TRABAJO'!$H$15="EXTERNO",'HOJA 7 AUX'!$G$58,IF('HOJA D TRABAJO'!$H$15="INTERNO",SUM('HOJA 7 AUX'!$G$48:$G$52)))</f>
        <v>0</v>
      </c>
      <c r="F96" s="308">
        <f t="shared" si="1"/>
        <v>0</v>
      </c>
      <c r="G96" s="19"/>
    </row>
    <row r="97" spans="1:7" s="55" customFormat="1" ht="20.25" hidden="1" customHeight="1" x14ac:dyDescent="0.25">
      <c r="A97" s="22"/>
      <c r="B97" s="306" t="str">
        <f>+'HOJA D TRABAJO'!B34&amp;" "&amp;'HOJA D TRABAJO'!$D$123</f>
        <v xml:space="preserve"> ORURO</v>
      </c>
      <c r="C97" s="307">
        <f>+'HOJA D TRABAJO'!C130</f>
        <v>0</v>
      </c>
      <c r="D97" s="307">
        <f>+'HOJA D TRABAJO'!D130</f>
        <v>0</v>
      </c>
      <c r="E97" s="308">
        <f>IF('HOJA D TRABAJO'!$H$15="EXTERNO",'HOJA 7 AUX'!$O$58,IF('HOJA D TRABAJO'!$H$15="INTERNO",SUM('HOJA 7 AUX'!$O$48:$O$52)))</f>
        <v>0</v>
      </c>
      <c r="F97" s="308">
        <f t="shared" si="1"/>
        <v>0</v>
      </c>
      <c r="G97" s="19"/>
    </row>
    <row r="98" spans="1:7" s="55" customFormat="1" ht="20.25" hidden="1" customHeight="1" x14ac:dyDescent="0.25">
      <c r="A98" s="22"/>
      <c r="B98" s="306" t="str">
        <f>+'HOJA D TRABAJO'!B35&amp;" "&amp;'HOJA D TRABAJO'!$D$123</f>
        <v xml:space="preserve"> ORURO</v>
      </c>
      <c r="C98" s="307">
        <f>+'HOJA D TRABAJO'!C131</f>
        <v>0</v>
      </c>
      <c r="D98" s="307">
        <f>+'HOJA D TRABAJO'!D131</f>
        <v>0</v>
      </c>
      <c r="E98" s="308">
        <f>IF('HOJA D TRABAJO'!$H$15="EXTERNO",'HOJA 7 AUX'!$G$77,IF('HOJA D TRABAJO'!$H$15="INTERNO",SUM('HOJA 7 AUX'!$G$67:$G$71)))</f>
        <v>0</v>
      </c>
      <c r="F98" s="308">
        <f t="shared" si="1"/>
        <v>0</v>
      </c>
      <c r="G98" s="19"/>
    </row>
    <row r="99" spans="1:7" s="55" customFormat="1" ht="20.25" hidden="1" customHeight="1" x14ac:dyDescent="0.25">
      <c r="A99" s="22"/>
      <c r="B99" s="306" t="str">
        <f>+'HOJA D TRABAJO'!B36&amp;" "&amp;'HOJA D TRABAJO'!$D$123</f>
        <v xml:space="preserve"> ORURO</v>
      </c>
      <c r="C99" s="307">
        <f>+'HOJA D TRABAJO'!C132</f>
        <v>0</v>
      </c>
      <c r="D99" s="307">
        <f>+'HOJA D TRABAJO'!D132</f>
        <v>0</v>
      </c>
      <c r="E99" s="308">
        <f>IF('HOJA D TRABAJO'!$H$15="EXTERNO",'HOJA 7 AUX'!$O$77,IF('HOJA D TRABAJO'!$H$15="INTERNO",SUM('HOJA 7 AUX'!$O$67:$O$71)))</f>
        <v>0</v>
      </c>
      <c r="F99" s="308">
        <f t="shared" si="1"/>
        <v>0</v>
      </c>
      <c r="G99" s="19"/>
    </row>
    <row r="100" spans="1:7" s="55" customFormat="1" ht="20.25" hidden="1" customHeight="1" x14ac:dyDescent="0.25">
      <c r="A100" s="22"/>
      <c r="B100" s="306" t="str">
        <f>+'HOJA D TRABAJO'!B37&amp;" "&amp;'HOJA D TRABAJO'!$D$123</f>
        <v xml:space="preserve"> ORURO</v>
      </c>
      <c r="C100" s="307">
        <f>+'HOJA D TRABAJO'!C133</f>
        <v>0</v>
      </c>
      <c r="D100" s="307">
        <f>+'HOJA D TRABAJO'!D133</f>
        <v>0</v>
      </c>
      <c r="E100" s="308">
        <f>IF('HOJA D TRABAJO'!$H$15="EXTERNO",'HOJA 7 AUX'!$G$95,IF('HOJA D TRABAJO'!$H$15="INTERNO",SUM('HOJA 7 AUX'!$G$85:$G$89)))</f>
        <v>0</v>
      </c>
      <c r="F100" s="308">
        <f t="shared" si="1"/>
        <v>0</v>
      </c>
      <c r="G100" s="19"/>
    </row>
    <row r="101" spans="1:7" s="55" customFormat="1" ht="20.25" hidden="1" customHeight="1" x14ac:dyDescent="0.25">
      <c r="A101" s="22"/>
      <c r="B101" s="306" t="str">
        <f>+'HOJA D TRABAJO'!B38&amp;" "&amp;'HOJA D TRABAJO'!$D$123</f>
        <v xml:space="preserve"> ORURO</v>
      </c>
      <c r="C101" s="307">
        <f>+'HOJA D TRABAJO'!C134</f>
        <v>0</v>
      </c>
      <c r="D101" s="307">
        <f>+'HOJA D TRABAJO'!D134</f>
        <v>0</v>
      </c>
      <c r="E101" s="308">
        <f>IF('HOJA D TRABAJO'!$H$15="EXTERNO",'HOJA 7 AUX'!$O$95,IF('HOJA D TRABAJO'!$H$15="INTERNO",SUM('HOJA 7 AUX'!$O$85:$O$89)))</f>
        <v>0</v>
      </c>
      <c r="F101" s="308">
        <f t="shared" si="1"/>
        <v>0</v>
      </c>
      <c r="G101" s="19"/>
    </row>
    <row r="102" spans="1:7" s="55" customFormat="1" ht="20.25" hidden="1" customHeight="1" x14ac:dyDescent="0.25">
      <c r="A102" s="22"/>
      <c r="B102" s="306" t="str">
        <f>+'HOJA D TRABAJO'!B39&amp;" "&amp;'HOJA D TRABAJO'!$D$123</f>
        <v xml:space="preserve"> ORURO</v>
      </c>
      <c r="C102" s="307">
        <f>+'HOJA D TRABAJO'!C135</f>
        <v>0</v>
      </c>
      <c r="D102" s="307">
        <f>+'HOJA D TRABAJO'!D135</f>
        <v>0</v>
      </c>
      <c r="E102" s="308">
        <f>IF('HOJA D TRABAJO'!$H$15="EXTERNO",'HOJA 7 AUX'!$G$115,IF('HOJA D TRABAJO'!$H$15="INTERNO",SUM('HOJA 7 AUX'!$G$105:$G$109)))</f>
        <v>0</v>
      </c>
      <c r="F102" s="308">
        <f t="shared" si="1"/>
        <v>0</v>
      </c>
      <c r="G102" s="19"/>
    </row>
    <row r="103" spans="1:7" s="55" customFormat="1" ht="20.25" hidden="1" customHeight="1" x14ac:dyDescent="0.25">
      <c r="A103" s="22"/>
      <c r="B103" s="306" t="str">
        <f>+'HOJA D TRABAJO'!B40&amp;" "&amp;'HOJA D TRABAJO'!$D$123</f>
        <v xml:space="preserve"> ORURO</v>
      </c>
      <c r="C103" s="307">
        <f>+'HOJA D TRABAJO'!C136</f>
        <v>0</v>
      </c>
      <c r="D103" s="307">
        <f>+'HOJA D TRABAJO'!D136</f>
        <v>0</v>
      </c>
      <c r="E103" s="308">
        <f>IF('HOJA D TRABAJO'!$H$15="EXTERNO",'HOJA 7 AUX'!$O$115,IF('HOJA D TRABAJO'!$H$15="INTERNO",SUM('HOJA 7 AUX'!$O$105:$O$109)))</f>
        <v>0</v>
      </c>
      <c r="F103" s="308">
        <f t="shared" si="1"/>
        <v>0</v>
      </c>
      <c r="G103" s="19"/>
    </row>
    <row r="104" spans="1:7" s="55" customFormat="1" ht="20.25" hidden="1" customHeight="1" x14ac:dyDescent="0.25">
      <c r="A104" s="22"/>
      <c r="B104" s="306" t="str">
        <f>+'HOJA D TRABAJO'!B29&amp; "  "&amp;'HOJA D TRABAJO'!$D$139</f>
        <v>IMPULSADORA SUPERMERCADO HIPERMAXI SACABA   EL ALTO</v>
      </c>
      <c r="C104" s="307">
        <f>+'HOJA D TRABAJO'!C141</f>
        <v>0</v>
      </c>
      <c r="D104" s="307">
        <f>+'HOJA D TRABAJO'!D141</f>
        <v>0</v>
      </c>
      <c r="E104" s="308">
        <f>IF('HOJA D TRABAJO'!$H$15="EXTERNO",'HOJA 8 AUX'!$G$20,IF('HOJA D TRABAJO'!$H$15="INTERNO",SUM('HOJA 8 AUX'!$G$10:$G$14)))</f>
        <v>0</v>
      </c>
      <c r="F104" s="308">
        <f t="shared" si="1"/>
        <v>0</v>
      </c>
      <c r="G104" s="19"/>
    </row>
    <row r="105" spans="1:7" s="55" customFormat="1" ht="20.25" hidden="1" customHeight="1" x14ac:dyDescent="0.25">
      <c r="A105" s="22"/>
      <c r="B105" s="306" t="str">
        <f>+'HOJA D TRABAJO'!B30&amp; "  "&amp;'HOJA D TRABAJO'!$D$139</f>
        <v xml:space="preserve">  EL ALTO</v>
      </c>
      <c r="C105" s="307">
        <f>+'HOJA D TRABAJO'!C142</f>
        <v>0</v>
      </c>
      <c r="D105" s="307">
        <f>+'HOJA D TRABAJO'!D142</f>
        <v>0</v>
      </c>
      <c r="E105" s="308">
        <f>IF('HOJA D TRABAJO'!$H$15="EXTERNO",'HOJA 8 AUX'!$O$20,IF('HOJA D TRABAJO'!$H$15="INTERNO",SUM('HOJA 8 AUX'!$O$10:$O$14)))</f>
        <v>0</v>
      </c>
      <c r="F105" s="308">
        <f t="shared" si="1"/>
        <v>0</v>
      </c>
      <c r="G105" s="19"/>
    </row>
    <row r="106" spans="1:7" s="55" customFormat="1" ht="20.25" hidden="1" customHeight="1" x14ac:dyDescent="0.25">
      <c r="A106" s="22"/>
      <c r="B106" s="306" t="str">
        <f>+'HOJA D TRABAJO'!B31&amp; "  "&amp;'HOJA D TRABAJO'!$D$139</f>
        <v xml:space="preserve">  EL ALTO</v>
      </c>
      <c r="C106" s="307">
        <f>+'HOJA D TRABAJO'!C143</f>
        <v>0</v>
      </c>
      <c r="D106" s="307">
        <f>+'HOJA D TRABAJO'!D143</f>
        <v>0</v>
      </c>
      <c r="E106" s="308">
        <f>IF('HOJA D TRABAJO'!$H$15="EXTERNO",'HOJA 8 AUX'!$G$38,IF('HOJA D TRABAJO'!$H$15="INTERNO",SUM('HOJA 8 AUX'!$G$28:$G$32)))</f>
        <v>0</v>
      </c>
      <c r="F106" s="308">
        <f t="shared" si="1"/>
        <v>0</v>
      </c>
      <c r="G106" s="19"/>
    </row>
    <row r="107" spans="1:7" s="55" customFormat="1" ht="20.25" hidden="1" customHeight="1" x14ac:dyDescent="0.25">
      <c r="A107" s="22"/>
      <c r="B107" s="306" t="str">
        <f>+'HOJA D TRABAJO'!B32&amp; "  "&amp;'HOJA D TRABAJO'!$D$139</f>
        <v xml:space="preserve">  EL ALTO</v>
      </c>
      <c r="C107" s="307">
        <f>+'HOJA D TRABAJO'!C144</f>
        <v>0</v>
      </c>
      <c r="D107" s="307">
        <f>+'HOJA D TRABAJO'!D144</f>
        <v>0</v>
      </c>
      <c r="E107" s="308">
        <f>IF('HOJA D TRABAJO'!$H$15="EXTERNO",'HOJA 8 AUX'!$O$38,IF('HOJA D TRABAJO'!$H$15="INTERNO",SUM('HOJA 8 AUX'!$O$28:$O$32)))</f>
        <v>0</v>
      </c>
      <c r="F107" s="308">
        <f t="shared" si="1"/>
        <v>0</v>
      </c>
      <c r="G107" s="19"/>
    </row>
    <row r="108" spans="1:7" s="55" customFormat="1" ht="20.25" hidden="1" customHeight="1" x14ac:dyDescent="0.25">
      <c r="A108" s="22"/>
      <c r="B108" s="306" t="str">
        <f>+'HOJA D TRABAJO'!B33&amp; "  "&amp;'HOJA D TRABAJO'!$D$139</f>
        <v xml:space="preserve">  EL ALTO</v>
      </c>
      <c r="C108" s="307">
        <f>+'HOJA D TRABAJO'!C145</f>
        <v>0</v>
      </c>
      <c r="D108" s="307">
        <f>+'HOJA D TRABAJO'!D145</f>
        <v>0</v>
      </c>
      <c r="E108" s="308">
        <f>IF('HOJA D TRABAJO'!$H$15="EXTERNO",'HOJA 8 AUX'!$G$58,IF('HOJA D TRABAJO'!$H$15="INTERNO",SUM('HOJA 8 AUX'!$G$48:$G$52)))</f>
        <v>0</v>
      </c>
      <c r="F108" s="308">
        <f t="shared" si="1"/>
        <v>0</v>
      </c>
      <c r="G108" s="19"/>
    </row>
    <row r="109" spans="1:7" s="55" customFormat="1" ht="20.25" hidden="1" customHeight="1" x14ac:dyDescent="0.25">
      <c r="A109" s="22"/>
      <c r="B109" s="306" t="str">
        <f>+'HOJA D TRABAJO'!B34&amp; "  "&amp;'HOJA D TRABAJO'!$D$139</f>
        <v xml:space="preserve">  EL ALTO</v>
      </c>
      <c r="C109" s="307">
        <f>+'HOJA D TRABAJO'!C146</f>
        <v>0</v>
      </c>
      <c r="D109" s="307">
        <f>+'HOJA D TRABAJO'!D146</f>
        <v>0</v>
      </c>
      <c r="E109" s="308">
        <f>IF('HOJA D TRABAJO'!$H$15="EXTERNO",'HOJA 8 AUX'!$O$58,IF('HOJA D TRABAJO'!$H$15="INTERNO",SUM('HOJA 8 AUX'!$O$48:$O$52)))</f>
        <v>0</v>
      </c>
      <c r="F109" s="308">
        <f t="shared" si="1"/>
        <v>0</v>
      </c>
      <c r="G109" s="19"/>
    </row>
    <row r="110" spans="1:7" s="55" customFormat="1" ht="20.25" hidden="1" customHeight="1" x14ac:dyDescent="0.25">
      <c r="A110" s="22"/>
      <c r="B110" s="306" t="str">
        <f>+'HOJA D TRABAJO'!B35&amp; "  "&amp;'HOJA D TRABAJO'!$D$139</f>
        <v xml:space="preserve">  EL ALTO</v>
      </c>
      <c r="C110" s="307">
        <f>+'HOJA D TRABAJO'!C147</f>
        <v>0</v>
      </c>
      <c r="D110" s="307">
        <f>+'HOJA D TRABAJO'!D147</f>
        <v>0</v>
      </c>
      <c r="E110" s="308">
        <f>IF('HOJA D TRABAJO'!$H$15="EXTERNO",'HOJA 8 AUX'!$G$77,IF('HOJA D TRABAJO'!$H$15="INTERNO",SUM('HOJA 8 AUX'!$G$67:$G$71)))</f>
        <v>0</v>
      </c>
      <c r="F110" s="308">
        <f t="shared" si="1"/>
        <v>0</v>
      </c>
      <c r="G110" s="19"/>
    </row>
    <row r="111" spans="1:7" s="55" customFormat="1" ht="20.25" hidden="1" customHeight="1" x14ac:dyDescent="0.25">
      <c r="A111" s="22"/>
      <c r="B111" s="306" t="str">
        <f>+'HOJA D TRABAJO'!B36&amp; "  "&amp;'HOJA D TRABAJO'!$D$139</f>
        <v xml:space="preserve">  EL ALTO</v>
      </c>
      <c r="C111" s="307">
        <f>+'HOJA D TRABAJO'!C148</f>
        <v>0</v>
      </c>
      <c r="D111" s="307">
        <f>+'HOJA D TRABAJO'!D148</f>
        <v>0</v>
      </c>
      <c r="E111" s="308">
        <f>IF('HOJA D TRABAJO'!$H$15="EXTERNO",'HOJA 8 AUX'!$O$77,IF('HOJA D TRABAJO'!$H$15="INTERNO",SUM('HOJA 8 AUX'!$O$67:$O$71)))</f>
        <v>0</v>
      </c>
      <c r="F111" s="308">
        <f t="shared" si="1"/>
        <v>0</v>
      </c>
      <c r="G111" s="19"/>
    </row>
    <row r="112" spans="1:7" s="55" customFormat="1" ht="20.25" hidden="1" customHeight="1" x14ac:dyDescent="0.25">
      <c r="A112" s="22"/>
      <c r="B112" s="306" t="str">
        <f>+'HOJA D TRABAJO'!B37&amp; "  "&amp;'HOJA D TRABAJO'!$D$139</f>
        <v xml:space="preserve">  EL ALTO</v>
      </c>
      <c r="C112" s="307">
        <f>+'HOJA D TRABAJO'!C149</f>
        <v>0</v>
      </c>
      <c r="D112" s="307">
        <f>+'HOJA D TRABAJO'!D149</f>
        <v>0</v>
      </c>
      <c r="E112" s="308">
        <f>IF('HOJA D TRABAJO'!$H$15="EXTERNO",'HOJA 8 AUX'!$G$95,IF('HOJA D TRABAJO'!$H$15="INTERNO",SUM('HOJA 8 AUX'!$G$85:$G$89)))</f>
        <v>0</v>
      </c>
      <c r="F112" s="308">
        <f t="shared" si="1"/>
        <v>0</v>
      </c>
      <c r="G112" s="19"/>
    </row>
    <row r="113" spans="1:7" s="55" customFormat="1" ht="20.25" hidden="1" customHeight="1" x14ac:dyDescent="0.25">
      <c r="A113" s="22"/>
      <c r="B113" s="306" t="str">
        <f>+'HOJA D TRABAJO'!B38&amp; "  "&amp;'HOJA D TRABAJO'!$D$139</f>
        <v xml:space="preserve">  EL ALTO</v>
      </c>
      <c r="C113" s="307">
        <f>+'HOJA D TRABAJO'!C150</f>
        <v>0</v>
      </c>
      <c r="D113" s="307">
        <f>+'HOJA D TRABAJO'!D150</f>
        <v>0</v>
      </c>
      <c r="E113" s="308">
        <f>IF('HOJA D TRABAJO'!$H$15="EXTERNO",'HOJA 8 AUX'!$O$95,IF('HOJA D TRABAJO'!$H$15="INTERNO",SUM('HOJA 8 AUX'!$O$85:$O$89)))</f>
        <v>0</v>
      </c>
      <c r="F113" s="308">
        <f t="shared" si="1"/>
        <v>0</v>
      </c>
      <c r="G113" s="19"/>
    </row>
    <row r="114" spans="1:7" s="55" customFormat="1" ht="20.25" hidden="1" customHeight="1" x14ac:dyDescent="0.25">
      <c r="A114" s="22"/>
      <c r="B114" s="306" t="str">
        <f>+'HOJA D TRABAJO'!B39&amp; "  "&amp;'HOJA D TRABAJO'!$D$139</f>
        <v xml:space="preserve">  EL ALTO</v>
      </c>
      <c r="C114" s="307">
        <f>+'HOJA D TRABAJO'!C151</f>
        <v>0</v>
      </c>
      <c r="D114" s="307">
        <f>+'HOJA D TRABAJO'!D151</f>
        <v>0</v>
      </c>
      <c r="E114" s="308">
        <f>IF('HOJA D TRABAJO'!$H$15="EXTERNO",'HOJA 8 AUX'!$G$115,IF('HOJA D TRABAJO'!$H$15="INTERNO",SUM('HOJA 8 AUX'!$G$105:$G$109)))</f>
        <v>0</v>
      </c>
      <c r="F114" s="308">
        <f t="shared" si="1"/>
        <v>0</v>
      </c>
      <c r="G114" s="19"/>
    </row>
    <row r="115" spans="1:7" s="55" customFormat="1" ht="20.25" hidden="1" customHeight="1" x14ac:dyDescent="0.25">
      <c r="A115" s="22"/>
      <c r="B115" s="306" t="str">
        <f>+'HOJA D TRABAJO'!B40&amp; "  "&amp;'HOJA D TRABAJO'!$D$139</f>
        <v xml:space="preserve">  EL ALTO</v>
      </c>
      <c r="C115" s="307">
        <f>+'HOJA D TRABAJO'!C152</f>
        <v>0</v>
      </c>
      <c r="D115" s="307">
        <f>+'HOJA D TRABAJO'!D152</f>
        <v>0</v>
      </c>
      <c r="E115" s="308">
        <f>IF('HOJA D TRABAJO'!$H$15="EXTERNO",'HOJA 8 AUX'!$O$115,IF('HOJA D TRABAJO'!$H$15="INTERNO",SUM('HOJA 8 AUX'!$O$105:$O$109)))</f>
        <v>0</v>
      </c>
      <c r="F115" s="308">
        <f t="shared" si="1"/>
        <v>0</v>
      </c>
      <c r="G115" s="19"/>
    </row>
    <row r="116" spans="1:7" s="55" customFormat="1" ht="20.25" hidden="1" customHeight="1" x14ac:dyDescent="0.25">
      <c r="A116" s="22"/>
      <c r="B116" s="306" t="str">
        <f>+'HOJA D TRABAJO'!B29&amp; " "&amp;'HOJA D TRABAJO'!$D$155</f>
        <v>IMPULSADORA SUPERMERCADO HIPERMAXI SACABA  PANDO</v>
      </c>
      <c r="C116" s="307">
        <f>+'HOJA D TRABAJO'!C157</f>
        <v>0</v>
      </c>
      <c r="D116" s="307">
        <f>+'HOJA D TRABAJO'!D157</f>
        <v>0</v>
      </c>
      <c r="E116" s="308">
        <f>IF('HOJA D TRABAJO'!$H$15="EXTERNO",'HOJA 9 AUX'!$G$20,IF('HOJA D TRABAJO'!$H$15="INTERNO",SUM('HOJA 9 AUX'!$G$10:$G$14)))</f>
        <v>0</v>
      </c>
      <c r="F116" s="308">
        <f t="shared" si="1"/>
        <v>0</v>
      </c>
      <c r="G116" s="19"/>
    </row>
    <row r="117" spans="1:7" s="55" customFormat="1" ht="20.25" hidden="1" customHeight="1" x14ac:dyDescent="0.25">
      <c r="A117" s="22"/>
      <c r="B117" s="306" t="str">
        <f>+'HOJA D TRABAJO'!B30&amp; " "&amp;'HOJA D TRABAJO'!$D$155</f>
        <v xml:space="preserve"> PANDO</v>
      </c>
      <c r="C117" s="307">
        <f>+'HOJA D TRABAJO'!C158</f>
        <v>0</v>
      </c>
      <c r="D117" s="307">
        <f>+'HOJA D TRABAJO'!D158</f>
        <v>0</v>
      </c>
      <c r="E117" s="308">
        <f>IF('HOJA D TRABAJO'!$H$15="EXTERNO",'HOJA 9 AUX'!$O$20,IF('HOJA D TRABAJO'!$H$15="INTERNO",SUM('HOJA 9 AUX'!$O$10:$O$14)))</f>
        <v>0</v>
      </c>
      <c r="F117" s="308">
        <f t="shared" si="1"/>
        <v>0</v>
      </c>
      <c r="G117" s="19"/>
    </row>
    <row r="118" spans="1:7" s="55" customFormat="1" ht="20.25" hidden="1" customHeight="1" x14ac:dyDescent="0.25">
      <c r="A118" s="22"/>
      <c r="B118" s="306" t="str">
        <f>+'HOJA D TRABAJO'!B31&amp; " "&amp;'HOJA D TRABAJO'!$D$155</f>
        <v xml:space="preserve"> PANDO</v>
      </c>
      <c r="C118" s="307">
        <f>+'HOJA D TRABAJO'!C159</f>
        <v>0</v>
      </c>
      <c r="D118" s="307">
        <f>+'HOJA D TRABAJO'!D159</f>
        <v>0</v>
      </c>
      <c r="E118" s="308">
        <f>IF('HOJA D TRABAJO'!$H$15="EXTERNO",'HOJA 9 AUX'!$G$38,IF('HOJA D TRABAJO'!$H$15="INTERNO",SUM('HOJA 9 AUX'!$G$28:$G$32)))</f>
        <v>0</v>
      </c>
      <c r="F118" s="308">
        <f t="shared" si="1"/>
        <v>0</v>
      </c>
      <c r="G118" s="19"/>
    </row>
    <row r="119" spans="1:7" s="55" customFormat="1" ht="20.25" hidden="1" customHeight="1" x14ac:dyDescent="0.25">
      <c r="A119" s="22"/>
      <c r="B119" s="306" t="str">
        <f>+'HOJA D TRABAJO'!B32&amp; " "&amp;'HOJA D TRABAJO'!$D$155</f>
        <v xml:space="preserve"> PANDO</v>
      </c>
      <c r="C119" s="307">
        <f>+'HOJA D TRABAJO'!C160</f>
        <v>0</v>
      </c>
      <c r="D119" s="307">
        <f>+'HOJA D TRABAJO'!D160</f>
        <v>0</v>
      </c>
      <c r="E119" s="308">
        <f>IF('HOJA D TRABAJO'!$H$15="EXTERNO",'HOJA 9 AUX'!$O$38,IF('HOJA D TRABAJO'!$H$15="INTERNO",SUM('HOJA 9 AUX'!$O$28:$O$32)))</f>
        <v>0</v>
      </c>
      <c r="F119" s="308">
        <f t="shared" si="1"/>
        <v>0</v>
      </c>
      <c r="G119" s="19"/>
    </row>
    <row r="120" spans="1:7" s="55" customFormat="1" ht="20.25" hidden="1" customHeight="1" x14ac:dyDescent="0.25">
      <c r="A120" s="22"/>
      <c r="B120" s="306" t="str">
        <f>+'HOJA D TRABAJO'!B33&amp; " "&amp;'HOJA D TRABAJO'!$D$155</f>
        <v xml:space="preserve"> PANDO</v>
      </c>
      <c r="C120" s="307">
        <f>+'HOJA D TRABAJO'!C161</f>
        <v>0</v>
      </c>
      <c r="D120" s="307">
        <f>+'HOJA D TRABAJO'!D161</f>
        <v>0</v>
      </c>
      <c r="E120" s="308">
        <f>IF('HOJA D TRABAJO'!$H$15="EXTERNO",'HOJA 9 AUX'!$G$58,IF('HOJA D TRABAJO'!$H$15="INTERNO",SUM('HOJA 9 AUX'!$G$48:$G$52)))</f>
        <v>0</v>
      </c>
      <c r="F120" s="308">
        <f t="shared" si="1"/>
        <v>0</v>
      </c>
      <c r="G120" s="19"/>
    </row>
    <row r="121" spans="1:7" s="55" customFormat="1" ht="20.25" hidden="1" customHeight="1" x14ac:dyDescent="0.25">
      <c r="A121" s="22"/>
      <c r="B121" s="306" t="str">
        <f>+'HOJA D TRABAJO'!B34&amp; " "&amp;'HOJA D TRABAJO'!$D$155</f>
        <v xml:space="preserve"> PANDO</v>
      </c>
      <c r="C121" s="307">
        <f>+'HOJA D TRABAJO'!C162</f>
        <v>0</v>
      </c>
      <c r="D121" s="307">
        <f>+'HOJA D TRABAJO'!D162</f>
        <v>0</v>
      </c>
      <c r="E121" s="308">
        <f>IF('HOJA D TRABAJO'!$H$15="EXTERNO",'HOJA 9 AUX'!$O$58,IF('HOJA D TRABAJO'!$H$15="INTERNO",SUM('HOJA 9 AUX'!$O$48:$O$52)))</f>
        <v>0</v>
      </c>
      <c r="F121" s="308">
        <f t="shared" si="1"/>
        <v>0</v>
      </c>
      <c r="G121" s="19"/>
    </row>
    <row r="122" spans="1:7" s="55" customFormat="1" ht="20.25" hidden="1" customHeight="1" x14ac:dyDescent="0.25">
      <c r="A122" s="22"/>
      <c r="B122" s="306" t="str">
        <f>+'HOJA D TRABAJO'!B35&amp; " "&amp;'HOJA D TRABAJO'!$D$155</f>
        <v xml:space="preserve"> PANDO</v>
      </c>
      <c r="C122" s="307">
        <f>+'HOJA D TRABAJO'!C163</f>
        <v>0</v>
      </c>
      <c r="D122" s="307">
        <f>+'HOJA D TRABAJO'!D163</f>
        <v>0</v>
      </c>
      <c r="E122" s="308">
        <f>IF('HOJA D TRABAJO'!$H$15="EXTERNO",'HOJA 9 AUX'!$G$77,IF('HOJA D TRABAJO'!$H$15="INTERNO",SUM('HOJA 9 AUX'!$G$67:$G$71)))</f>
        <v>0</v>
      </c>
      <c r="F122" s="308">
        <f t="shared" si="1"/>
        <v>0</v>
      </c>
      <c r="G122" s="19"/>
    </row>
    <row r="123" spans="1:7" s="55" customFormat="1" ht="20.25" hidden="1" customHeight="1" x14ac:dyDescent="0.25">
      <c r="A123" s="22"/>
      <c r="B123" s="306" t="str">
        <f>+'HOJA D TRABAJO'!B36&amp; " "&amp;'HOJA D TRABAJO'!$D$155</f>
        <v xml:space="preserve"> PANDO</v>
      </c>
      <c r="C123" s="307">
        <f>+'HOJA D TRABAJO'!C164</f>
        <v>0</v>
      </c>
      <c r="D123" s="307">
        <f>+'HOJA D TRABAJO'!D164</f>
        <v>0</v>
      </c>
      <c r="E123" s="308">
        <f>IF('HOJA D TRABAJO'!$H$15="EXTERNO",'HOJA 9 AUX'!$O$77,IF('HOJA D TRABAJO'!$H$15="INTERNO",SUM('HOJA 9 AUX'!$O$67:$O$71)))</f>
        <v>0</v>
      </c>
      <c r="F123" s="308">
        <f t="shared" si="1"/>
        <v>0</v>
      </c>
      <c r="G123" s="19"/>
    </row>
    <row r="124" spans="1:7" s="55" customFormat="1" ht="20.25" hidden="1" customHeight="1" x14ac:dyDescent="0.25">
      <c r="A124" s="22"/>
      <c r="B124" s="306" t="str">
        <f>+'HOJA D TRABAJO'!B37&amp; " "&amp;'HOJA D TRABAJO'!$D$155</f>
        <v xml:space="preserve"> PANDO</v>
      </c>
      <c r="C124" s="307">
        <f>+'HOJA D TRABAJO'!C165</f>
        <v>0</v>
      </c>
      <c r="D124" s="307">
        <f>+'HOJA D TRABAJO'!D165</f>
        <v>0</v>
      </c>
      <c r="E124" s="308">
        <f>IF('HOJA D TRABAJO'!$H$15="EXTERNO",'HOJA 9 AUX'!$G$95,IF('HOJA D TRABAJO'!$H$15="INTERNO",SUM('HOJA 9 AUX'!$G$85:$G$89)))</f>
        <v>0</v>
      </c>
      <c r="F124" s="308">
        <f t="shared" si="1"/>
        <v>0</v>
      </c>
      <c r="G124" s="19"/>
    </row>
    <row r="125" spans="1:7" s="55" customFormat="1" ht="20.25" hidden="1" customHeight="1" x14ac:dyDescent="0.25">
      <c r="A125" s="22"/>
      <c r="B125" s="306" t="str">
        <f>+'HOJA D TRABAJO'!B38&amp; " "&amp;'HOJA D TRABAJO'!$D$155</f>
        <v xml:space="preserve"> PANDO</v>
      </c>
      <c r="C125" s="307">
        <f>+'HOJA D TRABAJO'!C166</f>
        <v>0</v>
      </c>
      <c r="D125" s="307">
        <f>+'HOJA D TRABAJO'!D166</f>
        <v>0</v>
      </c>
      <c r="E125" s="308">
        <f>IF('HOJA D TRABAJO'!$H$15="EXTERNO",'HOJA 9 AUX'!$O$95,IF('HOJA D TRABAJO'!$H$15="INTERNO",SUM('HOJA 9 AUX'!$O$85:$O$89)))</f>
        <v>0</v>
      </c>
      <c r="F125" s="308">
        <f t="shared" si="1"/>
        <v>0</v>
      </c>
      <c r="G125" s="19"/>
    </row>
    <row r="126" spans="1:7" s="55" customFormat="1" ht="20.25" hidden="1" customHeight="1" x14ac:dyDescent="0.25">
      <c r="A126" s="22"/>
      <c r="B126" s="306" t="str">
        <f>+'HOJA D TRABAJO'!B39&amp; " "&amp;'HOJA D TRABAJO'!$D$155</f>
        <v xml:space="preserve"> PANDO</v>
      </c>
      <c r="C126" s="307">
        <f>+'HOJA D TRABAJO'!C167</f>
        <v>0</v>
      </c>
      <c r="D126" s="307">
        <f>+'HOJA D TRABAJO'!D167</f>
        <v>0</v>
      </c>
      <c r="E126" s="308">
        <f>IF('HOJA D TRABAJO'!$H$15="EXTERNO",'HOJA 9 AUX'!$G$115,IF('HOJA D TRABAJO'!$H$15="INTERNO",SUM('HOJA 9 AUX'!$G$105:$G$109)))</f>
        <v>0</v>
      </c>
      <c r="F126" s="308">
        <f t="shared" si="1"/>
        <v>0</v>
      </c>
      <c r="G126" s="19"/>
    </row>
    <row r="127" spans="1:7" s="55" customFormat="1" ht="8.25" hidden="1" customHeight="1" x14ac:dyDescent="0.25">
      <c r="A127" s="22"/>
      <c r="B127" s="306" t="str">
        <f>+'HOJA D TRABAJO'!B40&amp; " "&amp;'HOJA D TRABAJO'!$D$155</f>
        <v xml:space="preserve"> PANDO</v>
      </c>
      <c r="C127" s="307">
        <f>+'HOJA D TRABAJO'!C168</f>
        <v>0</v>
      </c>
      <c r="D127" s="307">
        <f>+'HOJA D TRABAJO'!D168</f>
        <v>0</v>
      </c>
      <c r="E127" s="308">
        <f>IF('HOJA D TRABAJO'!$H$15="EXTERNO",'HOJA 9 AUX'!$O$115,IF('HOJA D TRABAJO'!$H$15="INTERNO",SUM('HOJA 9 AUX'!$O$105:$O$109)))</f>
        <v>0</v>
      </c>
      <c r="F127" s="308">
        <f t="shared" si="1"/>
        <v>0</v>
      </c>
      <c r="G127" s="19"/>
    </row>
    <row r="128" spans="1:7" ht="15.75" x14ac:dyDescent="0.25">
      <c r="A128" s="53"/>
      <c r="B128" s="304" t="s">
        <v>1368</v>
      </c>
      <c r="C128" s="309">
        <f>SUM(C20:C127)</f>
        <v>1</v>
      </c>
      <c r="D128" s="309">
        <f>SUM(D20:D127)</f>
        <v>2</v>
      </c>
      <c r="E128" s="310"/>
      <c r="F128" s="381">
        <f>SUM(F20:F127)</f>
        <v>336.48580389464786</v>
      </c>
      <c r="G128" s="53"/>
    </row>
    <row r="129" spans="1:7" ht="15.75" hidden="1" x14ac:dyDescent="0.25">
      <c r="A129" s="463" t="s">
        <v>1429</v>
      </c>
      <c r="B129" s="463"/>
      <c r="C129" s="463"/>
      <c r="D129" s="463"/>
      <c r="E129" s="463"/>
      <c r="F129" s="463"/>
      <c r="G129" s="463"/>
    </row>
    <row r="130" spans="1:7" ht="15.75" x14ac:dyDescent="0.25">
      <c r="A130" s="53"/>
      <c r="B130" s="53"/>
      <c r="C130" s="53"/>
      <c r="D130" s="53"/>
      <c r="E130" s="21"/>
      <c r="F130" s="53"/>
      <c r="G130" s="53"/>
    </row>
    <row r="131" spans="1:7" ht="15.75" hidden="1" x14ac:dyDescent="0.25">
      <c r="A131" s="461" t="s">
        <v>1430</v>
      </c>
      <c r="B131" s="462"/>
      <c r="C131" s="462"/>
      <c r="D131" s="462"/>
      <c r="E131" s="462"/>
      <c r="F131" s="462"/>
      <c r="G131" s="53"/>
    </row>
    <row r="132" spans="1:7" ht="15.75" hidden="1" x14ac:dyDescent="0.25">
      <c r="A132" s="53"/>
      <c r="B132" s="53"/>
      <c r="C132" s="53"/>
      <c r="D132" s="53"/>
      <c r="E132" s="21"/>
      <c r="F132" s="53"/>
      <c r="G132" s="53"/>
    </row>
    <row r="133" spans="1:7" ht="15.75" hidden="1" x14ac:dyDescent="0.25">
      <c r="A133" s="53"/>
      <c r="B133" s="304" t="s">
        <v>3</v>
      </c>
      <c r="C133" s="304" t="s">
        <v>2</v>
      </c>
      <c r="D133" s="304" t="s">
        <v>1431</v>
      </c>
      <c r="E133" s="305" t="s">
        <v>1432</v>
      </c>
      <c r="F133" s="53"/>
      <c r="G133" s="53"/>
    </row>
    <row r="134" spans="1:7" ht="15.75" hidden="1" x14ac:dyDescent="0.25">
      <c r="A134" s="53"/>
      <c r="B134" s="311">
        <f>+'HOJA D TRABAJO'!B190:C190</f>
        <v>0</v>
      </c>
      <c r="C134" s="312">
        <f>+'HOJA D TRABAJO'!E190</f>
        <v>0</v>
      </c>
      <c r="D134" s="312">
        <f>IFERROR(('HOJA D TRABAJO'!I190/'HOJA D TRABAJO'!E190),0)</f>
        <v>0</v>
      </c>
      <c r="E134" s="313">
        <f>+D134*C134</f>
        <v>0</v>
      </c>
      <c r="F134" s="53"/>
      <c r="G134" s="53"/>
    </row>
    <row r="135" spans="1:7" s="63" customFormat="1" ht="15.75" hidden="1" x14ac:dyDescent="0.25">
      <c r="A135" s="53"/>
      <c r="B135" s="311">
        <f>+'HOJA D TRABAJO'!B191:C191</f>
        <v>0</v>
      </c>
      <c r="C135" s="312">
        <f>+'HOJA D TRABAJO'!E191</f>
        <v>0</v>
      </c>
      <c r="D135" s="312">
        <f>IFERROR(('HOJA D TRABAJO'!I191/'HOJA D TRABAJO'!E191),0)</f>
        <v>0</v>
      </c>
      <c r="E135" s="313">
        <f t="shared" ref="E135:E147" si="2">+D135*C135</f>
        <v>0</v>
      </c>
      <c r="F135" s="53"/>
      <c r="G135" s="53"/>
    </row>
    <row r="136" spans="1:7" s="63" customFormat="1" ht="15.75" hidden="1" x14ac:dyDescent="0.25">
      <c r="A136" s="53"/>
      <c r="B136" s="311">
        <f>+'HOJA D TRABAJO'!B192:C192</f>
        <v>0</v>
      </c>
      <c r="C136" s="312">
        <f>+'HOJA D TRABAJO'!E192</f>
        <v>0</v>
      </c>
      <c r="D136" s="312">
        <f>IFERROR(('HOJA D TRABAJO'!I192/'HOJA D TRABAJO'!E192),0)</f>
        <v>0</v>
      </c>
      <c r="E136" s="313">
        <f t="shared" si="2"/>
        <v>0</v>
      </c>
      <c r="F136" s="53"/>
      <c r="G136" s="53"/>
    </row>
    <row r="137" spans="1:7" s="63" customFormat="1" ht="15.75" hidden="1" x14ac:dyDescent="0.25">
      <c r="A137" s="53"/>
      <c r="B137" s="311">
        <f>+'HOJA D TRABAJO'!B193:C193</f>
        <v>0</v>
      </c>
      <c r="C137" s="312">
        <f>+'HOJA D TRABAJO'!E193</f>
        <v>0</v>
      </c>
      <c r="D137" s="312">
        <f>IFERROR(('HOJA D TRABAJO'!I193/'HOJA D TRABAJO'!E193),0)</f>
        <v>0</v>
      </c>
      <c r="E137" s="313">
        <f t="shared" si="2"/>
        <v>0</v>
      </c>
      <c r="F137" s="53"/>
      <c r="G137" s="53"/>
    </row>
    <row r="138" spans="1:7" s="63" customFormat="1" ht="15.75" hidden="1" x14ac:dyDescent="0.25">
      <c r="A138" s="53"/>
      <c r="B138" s="311">
        <f>+'HOJA D TRABAJO'!B194:C194</f>
        <v>0</v>
      </c>
      <c r="C138" s="312">
        <f>+'HOJA D TRABAJO'!E194</f>
        <v>0</v>
      </c>
      <c r="D138" s="312">
        <f>IFERROR(('HOJA D TRABAJO'!I194/'HOJA D TRABAJO'!E194),0)</f>
        <v>0</v>
      </c>
      <c r="E138" s="313">
        <f t="shared" si="2"/>
        <v>0</v>
      </c>
      <c r="F138" s="53"/>
      <c r="G138" s="53"/>
    </row>
    <row r="139" spans="1:7" s="63" customFormat="1" ht="15.75" hidden="1" x14ac:dyDescent="0.25">
      <c r="A139" s="53"/>
      <c r="B139" s="311">
        <f>+'HOJA D TRABAJO'!B195:C195</f>
        <v>0</v>
      </c>
      <c r="C139" s="312">
        <f>+'HOJA D TRABAJO'!E195</f>
        <v>0</v>
      </c>
      <c r="D139" s="312">
        <f>IFERROR(('HOJA D TRABAJO'!I195/'HOJA D TRABAJO'!E195),0)</f>
        <v>0</v>
      </c>
      <c r="E139" s="313">
        <f t="shared" si="2"/>
        <v>0</v>
      </c>
      <c r="F139" s="53"/>
      <c r="G139" s="53"/>
    </row>
    <row r="140" spans="1:7" s="63" customFormat="1" ht="15.75" hidden="1" x14ac:dyDescent="0.25">
      <c r="A140" s="53"/>
      <c r="B140" s="311">
        <f>+'HOJA D TRABAJO'!B196:C196</f>
        <v>0</v>
      </c>
      <c r="C140" s="312">
        <f>+'HOJA D TRABAJO'!E196</f>
        <v>0</v>
      </c>
      <c r="D140" s="312">
        <f>IFERROR(('HOJA D TRABAJO'!I196/'HOJA D TRABAJO'!E196),0)</f>
        <v>0</v>
      </c>
      <c r="E140" s="313">
        <f t="shared" si="2"/>
        <v>0</v>
      </c>
      <c r="F140" s="53"/>
      <c r="G140" s="53"/>
    </row>
    <row r="141" spans="1:7" s="63" customFormat="1" ht="15.75" hidden="1" x14ac:dyDescent="0.25">
      <c r="A141" s="53"/>
      <c r="B141" s="311">
        <f>+'HOJA D TRABAJO'!B197:C197</f>
        <v>0</v>
      </c>
      <c r="C141" s="312">
        <f>+'HOJA D TRABAJO'!E197</f>
        <v>0</v>
      </c>
      <c r="D141" s="312">
        <f>IFERROR(('HOJA D TRABAJO'!I197/'HOJA D TRABAJO'!E197),0)</f>
        <v>0</v>
      </c>
      <c r="E141" s="313">
        <f t="shared" si="2"/>
        <v>0</v>
      </c>
      <c r="F141" s="53"/>
      <c r="G141" s="53"/>
    </row>
    <row r="142" spans="1:7" s="63" customFormat="1" ht="15.75" hidden="1" x14ac:dyDescent="0.25">
      <c r="A142" s="53"/>
      <c r="B142" s="311">
        <f>+'HOJA D TRABAJO'!B198:C198</f>
        <v>0</v>
      </c>
      <c r="C142" s="312">
        <f>+'HOJA D TRABAJO'!E198</f>
        <v>0</v>
      </c>
      <c r="D142" s="312">
        <f>IFERROR(('HOJA D TRABAJO'!I198/'HOJA D TRABAJO'!E198),0)</f>
        <v>0</v>
      </c>
      <c r="E142" s="313">
        <f t="shared" si="2"/>
        <v>0</v>
      </c>
      <c r="F142" s="53"/>
      <c r="G142" s="53"/>
    </row>
    <row r="143" spans="1:7" s="63" customFormat="1" ht="15.75" hidden="1" x14ac:dyDescent="0.25">
      <c r="A143" s="53"/>
      <c r="B143" s="311">
        <f>+'HOJA D TRABAJO'!B199:C199</f>
        <v>0</v>
      </c>
      <c r="C143" s="312">
        <f>+'HOJA D TRABAJO'!E199</f>
        <v>0</v>
      </c>
      <c r="D143" s="312">
        <f>IFERROR(('HOJA D TRABAJO'!I199/'HOJA D TRABAJO'!E199),0)</f>
        <v>0</v>
      </c>
      <c r="E143" s="313">
        <f t="shared" si="2"/>
        <v>0</v>
      </c>
      <c r="F143" s="53"/>
      <c r="G143" s="53"/>
    </row>
    <row r="144" spans="1:7" s="63" customFormat="1" ht="15.75" hidden="1" x14ac:dyDescent="0.25">
      <c r="A144" s="53"/>
      <c r="B144" s="311">
        <f>+'HOJA D TRABAJO'!B200:C200</f>
        <v>0</v>
      </c>
      <c r="C144" s="312">
        <f>+'HOJA D TRABAJO'!E200</f>
        <v>0</v>
      </c>
      <c r="D144" s="312">
        <f>IFERROR(('HOJA D TRABAJO'!I200/'HOJA D TRABAJO'!E200),0)</f>
        <v>0</v>
      </c>
      <c r="E144" s="313">
        <f t="shared" si="2"/>
        <v>0</v>
      </c>
      <c r="F144" s="53"/>
      <c r="G144" s="53"/>
    </row>
    <row r="145" spans="1:7" s="63" customFormat="1" ht="15.75" hidden="1" x14ac:dyDescent="0.25">
      <c r="A145" s="53"/>
      <c r="B145" s="311">
        <f>+'HOJA D TRABAJO'!B201:C201</f>
        <v>0</v>
      </c>
      <c r="C145" s="312">
        <f>+'HOJA D TRABAJO'!E201</f>
        <v>0</v>
      </c>
      <c r="D145" s="312">
        <f>IFERROR(('HOJA D TRABAJO'!I201/'HOJA D TRABAJO'!E201),0)</f>
        <v>0</v>
      </c>
      <c r="E145" s="313">
        <f t="shared" si="2"/>
        <v>0</v>
      </c>
      <c r="F145" s="53"/>
      <c r="G145" s="53"/>
    </row>
    <row r="146" spans="1:7" s="63" customFormat="1" ht="15.75" hidden="1" x14ac:dyDescent="0.25">
      <c r="A146" s="53"/>
      <c r="B146" s="311">
        <f>+'HOJA D TRABAJO'!B202:C202</f>
        <v>0</v>
      </c>
      <c r="C146" s="312">
        <f>+'HOJA D TRABAJO'!E202</f>
        <v>0</v>
      </c>
      <c r="D146" s="312">
        <f>IFERROR(('HOJA D TRABAJO'!I202/'HOJA D TRABAJO'!E202),0)</f>
        <v>0</v>
      </c>
      <c r="E146" s="313">
        <f t="shared" si="2"/>
        <v>0</v>
      </c>
      <c r="F146" s="53"/>
      <c r="G146" s="53"/>
    </row>
    <row r="147" spans="1:7" s="63" customFormat="1" ht="15.75" hidden="1" x14ac:dyDescent="0.25">
      <c r="A147" s="53"/>
      <c r="B147" s="311">
        <f>+'HOJA D TRABAJO'!B203:C203</f>
        <v>0</v>
      </c>
      <c r="C147" s="312">
        <f>+'HOJA D TRABAJO'!E203</f>
        <v>0</v>
      </c>
      <c r="D147" s="312">
        <f>IFERROR(('HOJA D TRABAJO'!I203/'HOJA D TRABAJO'!E203),0)</f>
        <v>0</v>
      </c>
      <c r="E147" s="313">
        <f t="shared" si="2"/>
        <v>0</v>
      </c>
      <c r="F147" s="53"/>
      <c r="G147" s="53"/>
    </row>
    <row r="148" spans="1:7" s="63" customFormat="1" ht="15.75" hidden="1" x14ac:dyDescent="0.25">
      <c r="A148" s="53"/>
      <c r="B148" s="311">
        <f>+'HOJA D TRABAJO'!B212:C212</f>
        <v>0</v>
      </c>
      <c r="C148" s="312">
        <f>+'HOJA D TRABAJO'!E212</f>
        <v>0</v>
      </c>
      <c r="D148" s="312">
        <f>IFERROR(('HOJA D TRABAJO'!I212/'HOJA D TRABAJO'!E212),0)</f>
        <v>0</v>
      </c>
      <c r="E148" s="313">
        <f>+D148*C148</f>
        <v>0</v>
      </c>
      <c r="F148" s="53"/>
      <c r="G148" s="53"/>
    </row>
    <row r="149" spans="1:7" s="63" customFormat="1" ht="15.75" hidden="1" x14ac:dyDescent="0.25">
      <c r="A149" s="53"/>
      <c r="B149" s="311">
        <f>+'HOJA D TRABAJO'!B213:C213</f>
        <v>0</v>
      </c>
      <c r="C149" s="312">
        <f>+'HOJA D TRABAJO'!E213</f>
        <v>0</v>
      </c>
      <c r="D149" s="312">
        <f>IFERROR(('HOJA D TRABAJO'!I213/'HOJA D TRABAJO'!E213),0)</f>
        <v>0</v>
      </c>
      <c r="E149" s="313">
        <f t="shared" ref="E149:E162" si="3">+D149*C149</f>
        <v>0</v>
      </c>
      <c r="F149" s="53"/>
      <c r="G149" s="53"/>
    </row>
    <row r="150" spans="1:7" s="63" customFormat="1" ht="15.75" hidden="1" x14ac:dyDescent="0.25">
      <c r="A150" s="53"/>
      <c r="B150" s="311">
        <f>+'HOJA D TRABAJO'!B214:C214</f>
        <v>0</v>
      </c>
      <c r="C150" s="312">
        <f>+'HOJA D TRABAJO'!E214</f>
        <v>0</v>
      </c>
      <c r="D150" s="312">
        <f>IFERROR(('HOJA D TRABAJO'!I214/'HOJA D TRABAJO'!E214),0)</f>
        <v>0</v>
      </c>
      <c r="E150" s="313">
        <f t="shared" si="3"/>
        <v>0</v>
      </c>
      <c r="F150" s="53"/>
      <c r="G150" s="53"/>
    </row>
    <row r="151" spans="1:7" s="63" customFormat="1" ht="15.75" hidden="1" x14ac:dyDescent="0.25">
      <c r="A151" s="53"/>
      <c r="B151" s="311">
        <f>+'HOJA D TRABAJO'!B215:C215</f>
        <v>0</v>
      </c>
      <c r="C151" s="312">
        <f>+'HOJA D TRABAJO'!E215</f>
        <v>0</v>
      </c>
      <c r="D151" s="312">
        <f>IFERROR(('HOJA D TRABAJO'!I215/'HOJA D TRABAJO'!E215),0)</f>
        <v>0</v>
      </c>
      <c r="E151" s="313">
        <f t="shared" si="3"/>
        <v>0</v>
      </c>
      <c r="F151" s="53"/>
      <c r="G151" s="53"/>
    </row>
    <row r="152" spans="1:7" s="63" customFormat="1" ht="15.75" hidden="1" x14ac:dyDescent="0.25">
      <c r="A152" s="53"/>
      <c r="B152" s="311">
        <f>+'HOJA D TRABAJO'!B216:C216</f>
        <v>0</v>
      </c>
      <c r="C152" s="312">
        <f>+'HOJA D TRABAJO'!E216</f>
        <v>0</v>
      </c>
      <c r="D152" s="312">
        <f>IFERROR(('HOJA D TRABAJO'!I216/'HOJA D TRABAJO'!E216),0)</f>
        <v>0</v>
      </c>
      <c r="E152" s="313">
        <f t="shared" si="3"/>
        <v>0</v>
      </c>
      <c r="F152" s="53"/>
      <c r="G152" s="53"/>
    </row>
    <row r="153" spans="1:7" s="63" customFormat="1" ht="15.75" hidden="1" x14ac:dyDescent="0.25">
      <c r="A153" s="53"/>
      <c r="B153" s="311">
        <f>+'HOJA D TRABAJO'!B217:C217</f>
        <v>0</v>
      </c>
      <c r="C153" s="312">
        <f>+'HOJA D TRABAJO'!E217</f>
        <v>0</v>
      </c>
      <c r="D153" s="312">
        <f>IFERROR(('HOJA D TRABAJO'!I217/'HOJA D TRABAJO'!E217),0)</f>
        <v>0</v>
      </c>
      <c r="E153" s="313">
        <f t="shared" si="3"/>
        <v>0</v>
      </c>
      <c r="F153" s="53"/>
      <c r="G153" s="53"/>
    </row>
    <row r="154" spans="1:7" s="63" customFormat="1" ht="15.75" hidden="1" x14ac:dyDescent="0.25">
      <c r="A154" s="53"/>
      <c r="B154" s="311">
        <f>+'HOJA D TRABAJO'!B218:C218</f>
        <v>0</v>
      </c>
      <c r="C154" s="312">
        <f>+'HOJA D TRABAJO'!E218</f>
        <v>0</v>
      </c>
      <c r="D154" s="312">
        <f>IFERROR(('HOJA D TRABAJO'!I218/'HOJA D TRABAJO'!E218),0)</f>
        <v>0</v>
      </c>
      <c r="E154" s="313">
        <f t="shared" si="3"/>
        <v>0</v>
      </c>
      <c r="F154" s="53"/>
      <c r="G154" s="53"/>
    </row>
    <row r="155" spans="1:7" s="63" customFormat="1" ht="15.75" hidden="1" x14ac:dyDescent="0.25">
      <c r="A155" s="53"/>
      <c r="B155" s="311">
        <f>+'HOJA D TRABAJO'!B219:C219</f>
        <v>0</v>
      </c>
      <c r="C155" s="312">
        <f>+'HOJA D TRABAJO'!E219</f>
        <v>0</v>
      </c>
      <c r="D155" s="312">
        <f>IFERROR(('HOJA D TRABAJO'!I219/'HOJA D TRABAJO'!E219),0)</f>
        <v>0</v>
      </c>
      <c r="E155" s="313">
        <f t="shared" si="3"/>
        <v>0</v>
      </c>
      <c r="F155" s="53"/>
      <c r="G155" s="53"/>
    </row>
    <row r="156" spans="1:7" s="63" customFormat="1" ht="15.75" hidden="1" x14ac:dyDescent="0.25">
      <c r="A156" s="53"/>
      <c r="B156" s="311">
        <f>+'HOJA D TRABAJO'!B220:C220</f>
        <v>0</v>
      </c>
      <c r="C156" s="312">
        <f>+'HOJA D TRABAJO'!E220</f>
        <v>0</v>
      </c>
      <c r="D156" s="312">
        <f>IFERROR(('HOJA D TRABAJO'!I220/'HOJA D TRABAJO'!E220),0)</f>
        <v>0</v>
      </c>
      <c r="E156" s="313">
        <f t="shared" si="3"/>
        <v>0</v>
      </c>
      <c r="F156" s="53"/>
      <c r="G156" s="53"/>
    </row>
    <row r="157" spans="1:7" s="63" customFormat="1" ht="15.75" hidden="1" x14ac:dyDescent="0.25">
      <c r="A157" s="53"/>
      <c r="B157" s="311">
        <f>+'HOJA D TRABAJO'!B221:C221</f>
        <v>0</v>
      </c>
      <c r="C157" s="312">
        <f>+'HOJA D TRABAJO'!E221</f>
        <v>0</v>
      </c>
      <c r="D157" s="312">
        <f>IFERROR(('HOJA D TRABAJO'!I221/'HOJA D TRABAJO'!E221),0)</f>
        <v>0</v>
      </c>
      <c r="E157" s="313">
        <f t="shared" si="3"/>
        <v>0</v>
      </c>
      <c r="F157" s="53"/>
      <c r="G157" s="53"/>
    </row>
    <row r="158" spans="1:7" s="63" customFormat="1" ht="15.75" hidden="1" x14ac:dyDescent="0.25">
      <c r="A158" s="53"/>
      <c r="B158" s="311">
        <f>+'HOJA D TRABAJO'!B222:C222</f>
        <v>0</v>
      </c>
      <c r="C158" s="312">
        <f>+'HOJA D TRABAJO'!E222</f>
        <v>0</v>
      </c>
      <c r="D158" s="312">
        <f>IFERROR(('HOJA D TRABAJO'!I222/'HOJA D TRABAJO'!E222),0)</f>
        <v>0</v>
      </c>
      <c r="E158" s="313">
        <f t="shared" si="3"/>
        <v>0</v>
      </c>
      <c r="F158" s="53"/>
      <c r="G158" s="53"/>
    </row>
    <row r="159" spans="1:7" s="63" customFormat="1" ht="15.75" hidden="1" x14ac:dyDescent="0.25">
      <c r="A159" s="53"/>
      <c r="B159" s="311">
        <f>+'HOJA D TRABAJO'!B223:C223</f>
        <v>0</v>
      </c>
      <c r="C159" s="312">
        <f>+'HOJA D TRABAJO'!E223</f>
        <v>0</v>
      </c>
      <c r="D159" s="312">
        <f>IFERROR(('HOJA D TRABAJO'!I223/'HOJA D TRABAJO'!E223),0)</f>
        <v>0</v>
      </c>
      <c r="E159" s="313">
        <f t="shared" si="3"/>
        <v>0</v>
      </c>
      <c r="F159" s="53"/>
      <c r="G159" s="53"/>
    </row>
    <row r="160" spans="1:7" s="63" customFormat="1" ht="15.75" hidden="1" x14ac:dyDescent="0.25">
      <c r="A160" s="53"/>
      <c r="B160" s="311">
        <f>+'HOJA D TRABAJO'!B224:C224</f>
        <v>0</v>
      </c>
      <c r="C160" s="312">
        <f>+'HOJA D TRABAJO'!E224</f>
        <v>0</v>
      </c>
      <c r="D160" s="312">
        <f>IFERROR(('HOJA D TRABAJO'!I224/'HOJA D TRABAJO'!E224),0)</f>
        <v>0</v>
      </c>
      <c r="E160" s="313">
        <f t="shared" si="3"/>
        <v>0</v>
      </c>
      <c r="F160" s="53"/>
      <c r="G160" s="53"/>
    </row>
    <row r="161" spans="1:7" s="63" customFormat="1" ht="15.75" hidden="1" x14ac:dyDescent="0.25">
      <c r="A161" s="53"/>
      <c r="B161" s="311">
        <f>+'HOJA D TRABAJO'!B225:C225</f>
        <v>0</v>
      </c>
      <c r="C161" s="312">
        <f>+'HOJA D TRABAJO'!E225</f>
        <v>0</v>
      </c>
      <c r="D161" s="312">
        <f>IFERROR(('HOJA D TRABAJO'!I225/'HOJA D TRABAJO'!E225),0)</f>
        <v>0</v>
      </c>
      <c r="E161" s="313">
        <f t="shared" si="3"/>
        <v>0</v>
      </c>
      <c r="F161" s="53"/>
      <c r="G161" s="53"/>
    </row>
    <row r="162" spans="1:7" s="63" customFormat="1" ht="15.75" hidden="1" x14ac:dyDescent="0.25">
      <c r="A162" s="53"/>
      <c r="B162" s="311">
        <f>+'HOJA D TRABAJO'!B226:C226</f>
        <v>0</v>
      </c>
      <c r="C162" s="312">
        <f>+'HOJA D TRABAJO'!E226</f>
        <v>0</v>
      </c>
      <c r="D162" s="312">
        <f>IFERROR(('HOJA D TRABAJO'!I226/'HOJA D TRABAJO'!E226),0)</f>
        <v>0</v>
      </c>
      <c r="E162" s="313">
        <f t="shared" si="3"/>
        <v>0</v>
      </c>
      <c r="F162" s="53"/>
      <c r="G162" s="53"/>
    </row>
    <row r="163" spans="1:7" s="64" customFormat="1" ht="15.75" hidden="1" x14ac:dyDescent="0.25">
      <c r="A163" s="103"/>
      <c r="B163" s="314">
        <f>+'HOJA D TRABAJO'!B235</f>
        <v>0</v>
      </c>
      <c r="C163" s="312">
        <f>+'HOJA D TRABAJO'!G235</f>
        <v>0</v>
      </c>
      <c r="D163" s="312">
        <f>IFERROR((E163/C163),0)</f>
        <v>0</v>
      </c>
      <c r="E163" s="313">
        <f>+'HOJA D TRABAJO'!I235</f>
        <v>0</v>
      </c>
      <c r="F163" s="103"/>
      <c r="G163" s="103"/>
    </row>
    <row r="164" spans="1:7" s="64" customFormat="1" ht="15.75" hidden="1" x14ac:dyDescent="0.25">
      <c r="A164" s="103"/>
      <c r="B164" s="314">
        <f>+'HOJA D TRABAJO'!B236</f>
        <v>0</v>
      </c>
      <c r="C164" s="312">
        <f>+'HOJA D TRABAJO'!G236</f>
        <v>0</v>
      </c>
      <c r="D164" s="312">
        <f>IFERROR((E164/C164),0)</f>
        <v>0</v>
      </c>
      <c r="E164" s="313">
        <f>+'HOJA D TRABAJO'!I236</f>
        <v>0</v>
      </c>
      <c r="F164" s="103"/>
      <c r="G164" s="103"/>
    </row>
    <row r="165" spans="1:7" s="64" customFormat="1" ht="15.75" hidden="1" x14ac:dyDescent="0.25">
      <c r="A165" s="103"/>
      <c r="B165" s="314">
        <f>+'HOJA D TRABAJO'!B242</f>
        <v>0</v>
      </c>
      <c r="C165" s="312">
        <f>+'HOJA D TRABAJO'!G242</f>
        <v>0</v>
      </c>
      <c r="D165" s="312">
        <f>IFERROR((E165/C165),0)</f>
        <v>0</v>
      </c>
      <c r="E165" s="313">
        <f>+'HOJA D TRABAJO'!I242</f>
        <v>0</v>
      </c>
      <c r="F165" s="103"/>
      <c r="G165" s="103"/>
    </row>
    <row r="166" spans="1:7" s="64" customFormat="1" ht="15.75" hidden="1" x14ac:dyDescent="0.25">
      <c r="A166" s="158"/>
      <c r="B166" s="314">
        <f>+'HOJA D TRABAJO'!B243</f>
        <v>0</v>
      </c>
      <c r="C166" s="312">
        <f>+'HOJA D TRABAJO'!G243</f>
        <v>0</v>
      </c>
      <c r="D166" s="312">
        <f>IFERROR((E166/C166),0)</f>
        <v>0</v>
      </c>
      <c r="E166" s="313">
        <f>+'HOJA D TRABAJO'!I243</f>
        <v>0</v>
      </c>
      <c r="F166" s="158"/>
      <c r="G166" s="158"/>
    </row>
    <row r="167" spans="1:7" s="64" customFormat="1" ht="15.75" hidden="1" x14ac:dyDescent="0.25">
      <c r="A167" s="158"/>
      <c r="B167" s="314">
        <f>+'HOJA D TRABAJO'!$B$249</f>
        <v>0</v>
      </c>
      <c r="C167" s="312">
        <f>+'HOJA D TRABAJO'!G249</f>
        <v>0</v>
      </c>
      <c r="D167" s="312">
        <f t="shared" ref="D167:D168" si="4">IFERROR((E167/C167),0)</f>
        <v>0</v>
      </c>
      <c r="E167" s="313">
        <f>+'HOJA D TRABAJO'!I249</f>
        <v>0</v>
      </c>
      <c r="F167" s="158"/>
      <c r="G167" s="158"/>
    </row>
    <row r="168" spans="1:7" s="64" customFormat="1" ht="15.75" hidden="1" x14ac:dyDescent="0.25">
      <c r="A168" s="158"/>
      <c r="B168" s="314">
        <f>+'HOJA D TRABAJO'!$B$250</f>
        <v>0</v>
      </c>
      <c r="C168" s="312">
        <f>+'HOJA D TRABAJO'!G250</f>
        <v>0</v>
      </c>
      <c r="D168" s="315">
        <f t="shared" si="4"/>
        <v>0</v>
      </c>
      <c r="E168" s="316">
        <f>+'HOJA D TRABAJO'!I250</f>
        <v>0</v>
      </c>
      <c r="F168" s="158"/>
      <c r="G168" s="158"/>
    </row>
    <row r="169" spans="1:7" ht="15.75" hidden="1" x14ac:dyDescent="0.25">
      <c r="A169" s="53"/>
      <c r="B169" s="53"/>
      <c r="C169" s="53"/>
      <c r="D169" s="317" t="s">
        <v>1433</v>
      </c>
      <c r="E169" s="318">
        <f>SUM(E134:E168)</f>
        <v>0</v>
      </c>
      <c r="F169" s="21"/>
      <c r="G169" s="53"/>
    </row>
    <row r="170" spans="1:7" ht="15.75" hidden="1" x14ac:dyDescent="0.25">
      <c r="A170" s="53"/>
      <c r="B170" s="53"/>
      <c r="C170" s="53"/>
      <c r="D170" s="317" t="s">
        <v>1434</v>
      </c>
      <c r="E170" s="318">
        <f>+E169*'HOJA D TRABAJO'!C262</f>
        <v>0</v>
      </c>
      <c r="F170" s="53"/>
      <c r="G170" s="53"/>
    </row>
    <row r="171" spans="1:7" ht="15.75" hidden="1" x14ac:dyDescent="0.25">
      <c r="A171" s="53"/>
      <c r="B171" s="53"/>
      <c r="C171" s="53"/>
      <c r="D171" s="319" t="s">
        <v>1446</v>
      </c>
      <c r="E171" s="318">
        <f>+E172-E169-E170</f>
        <v>0</v>
      </c>
      <c r="F171" s="53"/>
      <c r="G171" s="53"/>
    </row>
    <row r="172" spans="1:7" ht="15.75" hidden="1" x14ac:dyDescent="0.25">
      <c r="A172" s="53"/>
      <c r="B172" s="53"/>
      <c r="C172" s="53"/>
      <c r="D172" s="317" t="s">
        <v>1435</v>
      </c>
      <c r="E172" s="318">
        <f>(E169+E170)/0.84</f>
        <v>0</v>
      </c>
      <c r="F172" s="66"/>
      <c r="G172" s="53"/>
    </row>
    <row r="173" spans="1:7" s="64" customFormat="1" ht="15.75" hidden="1" customHeight="1" x14ac:dyDescent="0.25">
      <c r="A173" s="468" t="str">
        <f>IF('HOJA D TRABAJO'!H15="EXTERNO","",IF('HOJA D TRABAJO'!H15="INTERNO","ESTE PRECIO COTIZADO ES SOLO PARA UNIDADES INTERNAS DE GRUPO REGIONAL SRL"))</f>
        <v/>
      </c>
      <c r="B173" s="468"/>
      <c r="C173" s="468"/>
      <c r="D173" s="468"/>
      <c r="E173" s="468"/>
      <c r="F173" s="468"/>
      <c r="G173" s="468"/>
    </row>
    <row r="174" spans="1:7" s="64" customFormat="1" ht="15.75" hidden="1" customHeight="1" x14ac:dyDescent="0.25">
      <c r="A174" s="468"/>
      <c r="B174" s="468"/>
      <c r="C174" s="468"/>
      <c r="D174" s="468"/>
      <c r="E174" s="468"/>
      <c r="F174" s="468"/>
      <c r="G174" s="468"/>
    </row>
    <row r="175" spans="1:7" s="64" customFormat="1" ht="15.75" customHeight="1" x14ac:dyDescent="0.25">
      <c r="A175" s="468"/>
      <c r="B175" s="468"/>
      <c r="C175" s="468"/>
      <c r="D175" s="468"/>
      <c r="E175" s="468"/>
      <c r="F175" s="468"/>
      <c r="G175" s="468"/>
    </row>
    <row r="176" spans="1:7" ht="15.75" hidden="1" x14ac:dyDescent="0.25">
      <c r="A176" s="463" t="s">
        <v>1436</v>
      </c>
      <c r="B176" s="463"/>
      <c r="C176" s="463"/>
      <c r="D176" s="463"/>
      <c r="E176" s="463"/>
      <c r="F176" s="463"/>
      <c r="G176" s="463"/>
    </row>
    <row r="177" spans="1:7" ht="15.75" x14ac:dyDescent="0.25">
      <c r="A177" s="464" t="s">
        <v>1580</v>
      </c>
      <c r="B177" s="464"/>
      <c r="C177" s="464"/>
      <c r="D177" s="464"/>
      <c r="E177" s="464"/>
      <c r="F177" s="464"/>
      <c r="G177" s="464"/>
    </row>
    <row r="178" spans="1:7" ht="15.75" x14ac:dyDescent="0.25">
      <c r="A178" s="463" t="s">
        <v>1437</v>
      </c>
      <c r="B178" s="463"/>
      <c r="C178" s="463"/>
      <c r="D178" s="463"/>
      <c r="E178" s="463"/>
      <c r="F178" s="463"/>
      <c r="G178" s="463"/>
    </row>
    <row r="179" spans="1:7" ht="15.75" x14ac:dyDescent="0.25">
      <c r="A179" s="53"/>
      <c r="B179" s="463" t="s">
        <v>1569</v>
      </c>
      <c r="C179" s="463"/>
      <c r="D179" s="463"/>
      <c r="E179" s="463"/>
      <c r="F179" s="463"/>
      <c r="G179" s="463"/>
    </row>
    <row r="180" spans="1:7" ht="14.25" hidden="1" customHeight="1" x14ac:dyDescent="0.25">
      <c r="A180" s="53"/>
      <c r="B180" s="465" t="s">
        <v>1438</v>
      </c>
      <c r="C180" s="465"/>
      <c r="D180" s="465"/>
      <c r="E180" s="465"/>
      <c r="F180" s="465"/>
      <c r="G180" s="465"/>
    </row>
    <row r="181" spans="1:7" ht="15.75" x14ac:dyDescent="0.25">
      <c r="A181" s="53"/>
      <c r="B181" s="463" t="s">
        <v>1577</v>
      </c>
      <c r="C181" s="463"/>
      <c r="D181" s="463"/>
      <c r="E181" s="463"/>
      <c r="F181" s="463"/>
      <c r="G181" s="463"/>
    </row>
    <row r="182" spans="1:7" ht="15.75" x14ac:dyDescent="0.25">
      <c r="A182" s="53"/>
      <c r="B182" s="459" t="s">
        <v>1570</v>
      </c>
      <c r="C182" s="459"/>
      <c r="D182" s="459"/>
      <c r="E182" s="459"/>
      <c r="F182" s="459"/>
      <c r="G182" s="459"/>
    </row>
    <row r="183" spans="1:7" ht="15.75" hidden="1" x14ac:dyDescent="0.25">
      <c r="A183" s="53"/>
      <c r="B183" s="459" t="s">
        <v>1439</v>
      </c>
      <c r="C183" s="459"/>
      <c r="D183" s="459"/>
      <c r="E183" s="459"/>
      <c r="F183" s="459"/>
      <c r="G183" s="459"/>
    </row>
    <row r="184" spans="1:7" ht="15.75" hidden="1" x14ac:dyDescent="0.25">
      <c r="A184" s="53"/>
      <c r="B184" s="459" t="s">
        <v>1440</v>
      </c>
      <c r="C184" s="459"/>
      <c r="D184" s="459"/>
      <c r="E184" s="459"/>
      <c r="F184" s="459"/>
      <c r="G184" s="459"/>
    </row>
    <row r="185" spans="1:7" ht="15.75" hidden="1" x14ac:dyDescent="0.25">
      <c r="A185" s="53"/>
      <c r="B185" s="463" t="s">
        <v>1441</v>
      </c>
      <c r="C185" s="463"/>
      <c r="D185" s="463"/>
      <c r="E185" s="463"/>
      <c r="F185" s="463"/>
      <c r="G185" s="53"/>
    </row>
    <row r="186" spans="1:7" ht="15.75" x14ac:dyDescent="0.25">
      <c r="A186" s="53"/>
      <c r="B186" s="459" t="s">
        <v>1571</v>
      </c>
      <c r="C186" s="459"/>
      <c r="D186" s="459"/>
      <c r="E186" s="459"/>
      <c r="F186" s="459"/>
      <c r="G186" s="459"/>
    </row>
    <row r="187" spans="1:7" ht="15.75" x14ac:dyDescent="0.25">
      <c r="A187" s="53"/>
      <c r="B187" s="470" t="s">
        <v>1442</v>
      </c>
      <c r="C187" s="470"/>
      <c r="D187" s="470"/>
      <c r="E187" s="470"/>
      <c r="F187" s="470"/>
      <c r="G187" s="470"/>
    </row>
    <row r="188" spans="1:7" ht="15" hidden="1" customHeight="1" x14ac:dyDescent="0.25">
      <c r="A188" s="53"/>
      <c r="B188" s="470" t="s">
        <v>1443</v>
      </c>
      <c r="C188" s="470"/>
      <c r="D188" s="470"/>
      <c r="E188" s="470"/>
      <c r="F188" s="470"/>
      <c r="G188" s="470"/>
    </row>
    <row r="189" spans="1:7" ht="15.75" hidden="1" x14ac:dyDescent="0.25">
      <c r="A189" s="53"/>
      <c r="B189" s="470" t="s">
        <v>1444</v>
      </c>
      <c r="C189" s="470"/>
      <c r="D189" s="470"/>
      <c r="E189" s="470"/>
      <c r="F189" s="470"/>
      <c r="G189" s="470"/>
    </row>
    <row r="190" spans="1:7" ht="15.75" x14ac:dyDescent="0.25">
      <c r="A190" s="53"/>
      <c r="B190" s="463" t="s">
        <v>1445</v>
      </c>
      <c r="C190" s="463"/>
      <c r="D190" s="463"/>
      <c r="E190" s="463"/>
      <c r="F190" s="463"/>
      <c r="G190" s="463"/>
    </row>
    <row r="191" spans="1:7" ht="15.75" x14ac:dyDescent="0.25">
      <c r="A191" s="53"/>
      <c r="B191" s="53"/>
      <c r="C191" s="53"/>
      <c r="D191" s="53"/>
      <c r="E191" s="21"/>
      <c r="F191" s="53"/>
      <c r="G191" s="53"/>
    </row>
    <row r="192" spans="1:7" ht="15.75" x14ac:dyDescent="0.25">
      <c r="A192" s="53"/>
      <c r="B192" s="53"/>
      <c r="C192" s="53"/>
      <c r="D192" s="53"/>
      <c r="E192" s="21"/>
      <c r="F192" s="53"/>
      <c r="G192" s="53"/>
    </row>
    <row r="193" spans="1:7" ht="15" customHeight="1" x14ac:dyDescent="0.25">
      <c r="A193" s="469" t="s">
        <v>1416</v>
      </c>
      <c r="B193" s="469"/>
      <c r="C193" s="469"/>
      <c r="D193" s="469"/>
      <c r="E193" s="469"/>
      <c r="F193" s="469"/>
      <c r="G193" s="469"/>
    </row>
    <row r="194" spans="1:7" x14ac:dyDescent="0.25">
      <c r="A194" s="469"/>
      <c r="B194" s="469"/>
      <c r="C194" s="469"/>
      <c r="D194" s="469"/>
      <c r="E194" s="469"/>
      <c r="F194" s="469"/>
      <c r="G194" s="469"/>
    </row>
    <row r="195" spans="1:7" ht="15.75" x14ac:dyDescent="0.25">
      <c r="A195" s="53"/>
      <c r="B195" s="53"/>
      <c r="C195" s="53"/>
      <c r="D195" s="53"/>
      <c r="E195" s="21"/>
      <c r="F195" s="53"/>
      <c r="G195" s="53"/>
    </row>
    <row r="196" spans="1:7" ht="15.75" x14ac:dyDescent="0.25">
      <c r="A196" s="53"/>
      <c r="B196" s="53"/>
      <c r="C196" s="53"/>
      <c r="D196" s="53"/>
      <c r="E196" s="21"/>
      <c r="F196" s="53"/>
      <c r="G196" s="53"/>
    </row>
    <row r="197" spans="1:7" ht="15.75" x14ac:dyDescent="0.25">
      <c r="A197" s="53"/>
      <c r="B197" s="53"/>
      <c r="C197" s="53"/>
      <c r="D197" s="53"/>
      <c r="E197" s="21"/>
      <c r="F197" s="53"/>
      <c r="G197" s="53"/>
    </row>
    <row r="198" spans="1:7" ht="15.75" x14ac:dyDescent="0.25">
      <c r="A198" s="53"/>
      <c r="B198" s="53"/>
      <c r="C198" s="53"/>
      <c r="D198" s="53"/>
      <c r="E198" s="21"/>
      <c r="F198" s="53"/>
      <c r="G198" s="53"/>
    </row>
    <row r="199" spans="1:7" ht="15.75" x14ac:dyDescent="0.25">
      <c r="A199" s="53"/>
      <c r="B199" s="53"/>
      <c r="C199" s="53"/>
      <c r="D199" s="53"/>
      <c r="E199" s="21"/>
      <c r="F199" s="53"/>
      <c r="G199" s="53"/>
    </row>
    <row r="200" spans="1:7" ht="15.75" x14ac:dyDescent="0.25">
      <c r="A200" s="53"/>
      <c r="B200" s="53"/>
      <c r="C200" s="53"/>
      <c r="D200" s="53"/>
      <c r="E200" s="21"/>
      <c r="F200" s="53"/>
      <c r="G200" s="53"/>
    </row>
    <row r="201" spans="1:7" ht="15.75" x14ac:dyDescent="0.25">
      <c r="A201" s="53"/>
      <c r="B201" s="53"/>
      <c r="C201" s="53"/>
      <c r="D201" s="53"/>
      <c r="E201" s="21"/>
      <c r="F201" s="53"/>
      <c r="G201" s="53"/>
    </row>
    <row r="202" spans="1:7" ht="15.75" x14ac:dyDescent="0.25">
      <c r="A202" s="53"/>
      <c r="B202" s="53"/>
      <c r="C202" s="53"/>
      <c r="D202" s="53"/>
      <c r="E202" s="21"/>
      <c r="F202" s="53"/>
      <c r="G202" s="53"/>
    </row>
    <row r="203" spans="1:7" ht="15" customHeight="1" x14ac:dyDescent="0.25">
      <c r="B203" s="377"/>
      <c r="C203" s="377"/>
      <c r="D203" s="378" t="s">
        <v>1568</v>
      </c>
      <c r="E203" s="377"/>
      <c r="F203" s="377"/>
      <c r="G203" s="377"/>
    </row>
    <row r="204" spans="1:7" ht="15" customHeight="1" x14ac:dyDescent="0.25">
      <c r="A204" s="377"/>
      <c r="B204" s="377"/>
      <c r="C204" s="457" t="str">
        <f>+'HOJA D TRABAJO'!C17</f>
        <v>ALVARO VEGA</v>
      </c>
      <c r="D204" s="457"/>
      <c r="E204" s="457"/>
      <c r="F204" s="377"/>
      <c r="G204" s="377"/>
    </row>
    <row r="205" spans="1:7" ht="15" customHeight="1" x14ac:dyDescent="0.25">
      <c r="A205" s="377"/>
      <c r="B205" s="377"/>
      <c r="C205" s="456" t="str">
        <f>+IF(C204="ALVARO Vega","Jefe Nacional de Activaciones Btl",IF(C204="XIMENA CASSAB","Ejecutiva de Cuentas Activaciones Btl"))</f>
        <v>Jefe Nacional de Activaciones Btl</v>
      </c>
      <c r="D205" s="456"/>
      <c r="E205" s="456"/>
      <c r="F205" s="377"/>
      <c r="G205" s="377"/>
    </row>
    <row r="206" spans="1:7" ht="15" customHeight="1" x14ac:dyDescent="0.25">
      <c r="A206" s="377"/>
      <c r="B206" s="377"/>
      <c r="C206" s="455" t="str">
        <f>+IF(C204="alvaro vega","alvarovega@gruporegional.com",IF(C204="ximena cassab","ximenacassab@gruporegional.com",))</f>
        <v>alvarovega@gruporegional.com</v>
      </c>
      <c r="D206" s="455"/>
      <c r="E206" s="455"/>
      <c r="F206" s="377"/>
      <c r="G206" s="377"/>
    </row>
    <row r="207" spans="1:7" ht="15" customHeight="1" x14ac:dyDescent="0.35">
      <c r="A207" s="377"/>
      <c r="B207" s="377"/>
      <c r="C207" s="454" t="s">
        <v>1567</v>
      </c>
      <c r="D207" s="454"/>
      <c r="E207" s="454"/>
      <c r="F207" s="377"/>
      <c r="G207" s="377"/>
    </row>
    <row r="210" ht="15" customHeight="1" x14ac:dyDescent="0.25"/>
  </sheetData>
  <mergeCells count="31">
    <mergeCell ref="B182:G182"/>
    <mergeCell ref="A173:G175"/>
    <mergeCell ref="B190:G190"/>
    <mergeCell ref="A193:G194"/>
    <mergeCell ref="B184:G184"/>
    <mergeCell ref="B185:F185"/>
    <mergeCell ref="B186:G186"/>
    <mergeCell ref="B187:G187"/>
    <mergeCell ref="B188:G188"/>
    <mergeCell ref="B189:G189"/>
    <mergeCell ref="A5:G5"/>
    <mergeCell ref="A7:G7"/>
    <mergeCell ref="A8:G8"/>
    <mergeCell ref="A9:G9"/>
    <mergeCell ref="B11:G11"/>
    <mergeCell ref="C207:E207"/>
    <mergeCell ref="C206:E206"/>
    <mergeCell ref="C205:E205"/>
    <mergeCell ref="C204:E204"/>
    <mergeCell ref="A13:G13"/>
    <mergeCell ref="B183:G183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</mergeCells>
  <hyperlinks>
    <hyperlink ref="C207" r:id="rId1"/>
  </hyperlink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2"/>
  <headerFooter>
    <oddHeader>&amp;L&amp;G&amp;R&amp;G</oddHeader>
    <oddFooter>&amp;L&amp;G&amp;R&amp;G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exportar">
                <anchor moveWithCells="1">
                  <from>
                    <xdr:col>4</xdr:col>
                    <xdr:colOff>962025</xdr:colOff>
                    <xdr:row>1</xdr:row>
                    <xdr:rowOff>152400</xdr:rowOff>
                  </from>
                  <to>
                    <xdr:col>5</xdr:col>
                    <xdr:colOff>371475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00"/>
  <sheetViews>
    <sheetView topLeftCell="A33" workbookViewId="0">
      <selection activeCell="D37" sqref="D37"/>
    </sheetView>
  </sheetViews>
  <sheetFormatPr baseColWidth="10" defaultRowHeight="15" x14ac:dyDescent="0.25"/>
  <cols>
    <col min="2" max="2" width="30" customWidth="1"/>
    <col min="5" max="5" width="11.42578125" style="64"/>
    <col min="6" max="6" width="18.28515625" customWidth="1"/>
    <col min="7" max="7" width="13.42578125" style="55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1492</v>
      </c>
    </row>
    <row r="4" spans="1:9" ht="28.5" x14ac:dyDescent="0.45">
      <c r="B4" s="474" t="s">
        <v>1494</v>
      </c>
      <c r="C4" s="474"/>
      <c r="D4" s="474"/>
      <c r="E4" s="474"/>
      <c r="F4" s="474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339" t="s">
        <v>1447</v>
      </c>
      <c r="B7" s="340" t="s">
        <v>1448</v>
      </c>
      <c r="C7" s="340" t="s">
        <v>4</v>
      </c>
      <c r="D7" s="341" t="s">
        <v>7</v>
      </c>
      <c r="E7" s="341" t="s">
        <v>5</v>
      </c>
      <c r="F7" s="341" t="s">
        <v>1491</v>
      </c>
      <c r="G7" s="341" t="s">
        <v>1449</v>
      </c>
    </row>
    <row r="8" spans="1:9" ht="15.75" thickBot="1" x14ac:dyDescent="0.3">
      <c r="A8" s="348">
        <v>1</v>
      </c>
      <c r="B8" s="471" t="s">
        <v>1450</v>
      </c>
      <c r="C8" s="472"/>
      <c r="D8" s="472"/>
      <c r="E8" s="472"/>
      <c r="F8" s="473"/>
      <c r="G8" s="342">
        <f>G9</f>
        <v>0</v>
      </c>
    </row>
    <row r="9" spans="1:9" ht="15.75" thickBot="1" x14ac:dyDescent="0.3">
      <c r="A9" s="349">
        <v>1.2</v>
      </c>
      <c r="B9" s="475" t="s">
        <v>1451</v>
      </c>
      <c r="C9" s="476"/>
      <c r="D9" s="476"/>
      <c r="E9" s="476"/>
      <c r="F9" s="477"/>
      <c r="G9" s="343">
        <f>SUM(G10:G14)</f>
        <v>0</v>
      </c>
    </row>
    <row r="10" spans="1:9" x14ac:dyDescent="0.25">
      <c r="A10" s="351"/>
      <c r="B10" s="352" t="s">
        <v>1343</v>
      </c>
      <c r="C10" s="353"/>
      <c r="D10" s="354"/>
      <c r="E10" s="355">
        <f t="shared" ref="E10:E74" si="0">+D10*C10</f>
        <v>0</v>
      </c>
      <c r="F10" s="356" t="s">
        <v>14</v>
      </c>
      <c r="G10" s="344">
        <f>IF(F10="FACTURA",E10*1,IF(F10=$I$3,E10/0.845,))</f>
        <v>0</v>
      </c>
    </row>
    <row r="11" spans="1:9" x14ac:dyDescent="0.25">
      <c r="A11" s="351"/>
      <c r="B11" s="352"/>
      <c r="C11" s="353"/>
      <c r="D11" s="354"/>
      <c r="E11" s="355">
        <f t="shared" si="0"/>
        <v>0</v>
      </c>
      <c r="F11" s="357" t="s">
        <v>1492</v>
      </c>
      <c r="G11" s="344">
        <f>IF(F11="FACTURA",E11*1,IF(F11=$I$3,E11/0.845,))</f>
        <v>0</v>
      </c>
    </row>
    <row r="12" spans="1:9" x14ac:dyDescent="0.25">
      <c r="A12" s="351"/>
      <c r="B12" s="352"/>
      <c r="C12" s="353"/>
      <c r="D12" s="354"/>
      <c r="E12" s="355">
        <f t="shared" si="0"/>
        <v>0</v>
      </c>
      <c r="F12" s="357" t="s">
        <v>1492</v>
      </c>
      <c r="G12" s="344">
        <f>IF(F12="FACTURA",E12*1,IF(F12=$I$3,E12/0.845,))</f>
        <v>0</v>
      </c>
    </row>
    <row r="13" spans="1:9" x14ac:dyDescent="0.25">
      <c r="A13" s="351"/>
      <c r="B13" s="352"/>
      <c r="C13" s="353"/>
      <c r="D13" s="354"/>
      <c r="E13" s="355">
        <f t="shared" si="0"/>
        <v>0</v>
      </c>
      <c r="F13" s="357" t="s">
        <v>1492</v>
      </c>
      <c r="G13" s="344">
        <f>IF(F13="FACTURA",E13*1,IF(F13=$I$3,E13/0.845,))</f>
        <v>0</v>
      </c>
    </row>
    <row r="14" spans="1:9" ht="15.75" thickBot="1" x14ac:dyDescent="0.3">
      <c r="A14" s="358"/>
      <c r="B14" s="359"/>
      <c r="C14" s="353"/>
      <c r="D14" s="354"/>
      <c r="E14" s="360">
        <f t="shared" si="0"/>
        <v>0</v>
      </c>
      <c r="F14" s="361" t="s">
        <v>1492</v>
      </c>
      <c r="G14" s="344">
        <f>IF(F14="FACTURA",E14*1,IF(F14=$I$3,E14/0.845,))</f>
        <v>0</v>
      </c>
    </row>
    <row r="15" spans="1:9" ht="15.75" thickBot="1" x14ac:dyDescent="0.3">
      <c r="A15" s="348">
        <v>2</v>
      </c>
      <c r="B15" s="471" t="s">
        <v>1343</v>
      </c>
      <c r="C15" s="472"/>
      <c r="D15" s="472"/>
      <c r="E15" s="472"/>
      <c r="F15" s="473"/>
      <c r="G15" s="342">
        <f>G16+G22+G28</f>
        <v>0</v>
      </c>
    </row>
    <row r="16" spans="1:9" ht="15.75" thickBot="1" x14ac:dyDescent="0.3">
      <c r="A16" s="350">
        <v>2.1</v>
      </c>
      <c r="B16" s="475" t="s">
        <v>1452</v>
      </c>
      <c r="C16" s="476"/>
      <c r="D16" s="476"/>
      <c r="E16" s="476"/>
      <c r="F16" s="477"/>
      <c r="G16" s="342">
        <f>SUM(G17:G21)</f>
        <v>0</v>
      </c>
    </row>
    <row r="17" spans="1:7" x14ac:dyDescent="0.25">
      <c r="A17" s="351"/>
      <c r="B17" s="352" t="s">
        <v>1453</v>
      </c>
      <c r="C17" s="353"/>
      <c r="D17" s="354"/>
      <c r="E17" s="354">
        <f t="shared" si="0"/>
        <v>0</v>
      </c>
      <c r="F17" s="356" t="s">
        <v>1492</v>
      </c>
      <c r="G17" s="344">
        <f>IF(F17="FACTURA",E17*1,IF(F17=$I$3,E17/0.845,))</f>
        <v>0</v>
      </c>
    </row>
    <row r="18" spans="1:7" x14ac:dyDescent="0.25">
      <c r="A18" s="362"/>
      <c r="B18" s="352"/>
      <c r="C18" s="353"/>
      <c r="D18" s="354"/>
      <c r="E18" s="355">
        <f t="shared" si="0"/>
        <v>0</v>
      </c>
      <c r="F18" s="357" t="s">
        <v>1492</v>
      </c>
      <c r="G18" s="344">
        <f>IF(F18="FACTURA",E18*1,IF(F18=$I$3,E18/0.845,))</f>
        <v>0</v>
      </c>
    </row>
    <row r="19" spans="1:7" x14ac:dyDescent="0.25">
      <c r="A19" s="362"/>
      <c r="B19" s="352"/>
      <c r="C19" s="353"/>
      <c r="D19" s="354"/>
      <c r="E19" s="355">
        <f t="shared" si="0"/>
        <v>0</v>
      </c>
      <c r="F19" s="357" t="s">
        <v>1492</v>
      </c>
      <c r="G19" s="344">
        <f>IF(F19="FACTURA",E19*1,IF(F19=$I$3,E19/0.845,))</f>
        <v>0</v>
      </c>
    </row>
    <row r="20" spans="1:7" x14ac:dyDescent="0.25">
      <c r="A20" s="362"/>
      <c r="B20" s="352"/>
      <c r="C20" s="353"/>
      <c r="D20" s="354"/>
      <c r="E20" s="355">
        <f t="shared" si="0"/>
        <v>0</v>
      </c>
      <c r="F20" s="357" t="s">
        <v>1492</v>
      </c>
      <c r="G20" s="344">
        <f>IF(F20="FACTURA",E20*1,IF(F20=$I$3,E20/0.845,))</f>
        <v>0</v>
      </c>
    </row>
    <row r="21" spans="1:7" ht="15.75" thickBot="1" x14ac:dyDescent="0.3">
      <c r="A21" s="363"/>
      <c r="B21" s="359"/>
      <c r="C21" s="353"/>
      <c r="D21" s="354"/>
      <c r="E21" s="360">
        <f t="shared" si="0"/>
        <v>0</v>
      </c>
      <c r="F21" s="361" t="s">
        <v>1492</v>
      </c>
      <c r="G21" s="344">
        <f>IF(F21="FACTURA",E21*1,IF(F21=$I$3,E21/0.845,))</f>
        <v>0</v>
      </c>
    </row>
    <row r="22" spans="1:7" ht="15.75" thickBot="1" x14ac:dyDescent="0.3">
      <c r="A22" s="350">
        <v>2.2000000000000002</v>
      </c>
      <c r="B22" s="475" t="s">
        <v>1454</v>
      </c>
      <c r="C22" s="476"/>
      <c r="D22" s="476"/>
      <c r="E22" s="476"/>
      <c r="F22" s="477"/>
      <c r="G22" s="345">
        <f>SUM(G23:G27)</f>
        <v>0</v>
      </c>
    </row>
    <row r="23" spans="1:7" x14ac:dyDescent="0.25">
      <c r="A23" s="351"/>
      <c r="B23" s="352" t="s">
        <v>1455</v>
      </c>
      <c r="C23" s="353"/>
      <c r="D23" s="354"/>
      <c r="E23" s="354">
        <f t="shared" si="0"/>
        <v>0</v>
      </c>
      <c r="F23" s="356" t="s">
        <v>1492</v>
      </c>
      <c r="G23" s="346">
        <f>IF(F23="FACTURA",E23*0.1,IF(F23=$I$3,E23/0.845,))</f>
        <v>0</v>
      </c>
    </row>
    <row r="24" spans="1:7" x14ac:dyDescent="0.25">
      <c r="A24" s="362"/>
      <c r="B24" s="352"/>
      <c r="C24" s="353"/>
      <c r="D24" s="354"/>
      <c r="E24" s="355">
        <f t="shared" si="0"/>
        <v>0</v>
      </c>
      <c r="F24" s="357" t="s">
        <v>1492</v>
      </c>
      <c r="G24" s="346">
        <f>IF(F24="FACTURA",E24*0.1,IF(F24=$I$3,E24/0.845,))</f>
        <v>0</v>
      </c>
    </row>
    <row r="25" spans="1:7" x14ac:dyDescent="0.25">
      <c r="A25" s="362"/>
      <c r="B25" s="352"/>
      <c r="C25" s="353"/>
      <c r="D25" s="354"/>
      <c r="E25" s="355">
        <f t="shared" si="0"/>
        <v>0</v>
      </c>
      <c r="F25" s="357" t="s">
        <v>1492</v>
      </c>
      <c r="G25" s="346">
        <f>IF(F25="FACTURA",E25*0.1,IF(F25=$I$3,E25/0.845,))</f>
        <v>0</v>
      </c>
    </row>
    <row r="26" spans="1:7" x14ac:dyDescent="0.25">
      <c r="A26" s="362"/>
      <c r="B26" s="352"/>
      <c r="C26" s="353"/>
      <c r="D26" s="354"/>
      <c r="E26" s="355">
        <f t="shared" si="0"/>
        <v>0</v>
      </c>
      <c r="F26" s="357" t="s">
        <v>1492</v>
      </c>
      <c r="G26" s="346">
        <f>IF(F26="FACTURA",E26*0.1,IF(F26=$I$3,E26/0.845,))</f>
        <v>0</v>
      </c>
    </row>
    <row r="27" spans="1:7" ht="15.75" thickBot="1" x14ac:dyDescent="0.3">
      <c r="A27" s="363"/>
      <c r="B27" s="359"/>
      <c r="C27" s="353"/>
      <c r="D27" s="354"/>
      <c r="E27" s="360">
        <f t="shared" si="0"/>
        <v>0</v>
      </c>
      <c r="F27" s="361" t="s">
        <v>1492</v>
      </c>
      <c r="G27" s="346">
        <f>IF(F27="FACTURA",E27*0.1,IF(F27=$I$3,E27/0.845,))</f>
        <v>0</v>
      </c>
    </row>
    <row r="28" spans="1:7" ht="15.75" thickBot="1" x14ac:dyDescent="0.3">
      <c r="A28" s="350">
        <v>2.2999999999999998</v>
      </c>
      <c r="B28" s="475" t="s">
        <v>1493</v>
      </c>
      <c r="C28" s="476"/>
      <c r="D28" s="476"/>
      <c r="E28" s="476"/>
      <c r="F28" s="477"/>
      <c r="G28" s="343">
        <f>SUM(G29:G33)</f>
        <v>0</v>
      </c>
    </row>
    <row r="29" spans="1:7" x14ac:dyDescent="0.25">
      <c r="A29" s="364"/>
      <c r="B29" s="352"/>
      <c r="C29" s="353"/>
      <c r="D29" s="354"/>
      <c r="E29" s="354">
        <f t="shared" si="0"/>
        <v>0</v>
      </c>
      <c r="F29" s="356" t="s">
        <v>1492</v>
      </c>
      <c r="G29" s="344">
        <f>IF(F29="FACTURA",E29*1,IF(F29=$I$3,E29/0.845,))</f>
        <v>0</v>
      </c>
    </row>
    <row r="30" spans="1:7" x14ac:dyDescent="0.25">
      <c r="A30" s="365"/>
      <c r="B30" s="352"/>
      <c r="C30" s="353"/>
      <c r="D30" s="354"/>
      <c r="E30" s="355">
        <f t="shared" si="0"/>
        <v>0</v>
      </c>
      <c r="F30" s="357" t="s">
        <v>1492</v>
      </c>
      <c r="G30" s="344">
        <f>IF(F30="FACTURA",E30*1,IF(F30=$I$3,E30/0.845,))</f>
        <v>0</v>
      </c>
    </row>
    <row r="31" spans="1:7" x14ac:dyDescent="0.25">
      <c r="A31" s="365"/>
      <c r="B31" s="352"/>
      <c r="C31" s="353"/>
      <c r="D31" s="354"/>
      <c r="E31" s="355">
        <f t="shared" si="0"/>
        <v>0</v>
      </c>
      <c r="F31" s="357" t="s">
        <v>1492</v>
      </c>
      <c r="G31" s="344">
        <f>IF(F31="FACTURA",E31*1,IF(F31=$I$3,E31/0.845,))</f>
        <v>0</v>
      </c>
    </row>
    <row r="32" spans="1:7" x14ac:dyDescent="0.25">
      <c r="A32" s="365"/>
      <c r="B32" s="352"/>
      <c r="C32" s="353"/>
      <c r="D32" s="354"/>
      <c r="E32" s="355">
        <f t="shared" si="0"/>
        <v>0</v>
      </c>
      <c r="F32" s="357" t="s">
        <v>1492</v>
      </c>
      <c r="G32" s="344">
        <f>IF(F32="FACTURA",E32*1,IF(F32=$I$3,E32/0.845,))</f>
        <v>0</v>
      </c>
    </row>
    <row r="33" spans="1:8" ht="15.75" thickBot="1" x14ac:dyDescent="0.3">
      <c r="A33" s="366"/>
      <c r="B33" s="359"/>
      <c r="C33" s="353"/>
      <c r="D33" s="354"/>
      <c r="E33" s="360">
        <f t="shared" si="0"/>
        <v>0</v>
      </c>
      <c r="F33" s="361" t="s">
        <v>1492</v>
      </c>
      <c r="G33" s="344">
        <f>IF(F33="FACTURA",E33*1,IF(F33=$I$3,E33/0.845,))</f>
        <v>0</v>
      </c>
    </row>
    <row r="34" spans="1:8" ht="15.75" thickBot="1" x14ac:dyDescent="0.3">
      <c r="A34" s="348">
        <v>3</v>
      </c>
      <c r="B34" s="471" t="s">
        <v>1357</v>
      </c>
      <c r="C34" s="472"/>
      <c r="D34" s="472"/>
      <c r="E34" s="472"/>
      <c r="F34" s="473"/>
      <c r="G34" s="342">
        <f>G35+G41+G47+G53</f>
        <v>33.301775147928993</v>
      </c>
    </row>
    <row r="35" spans="1:8" ht="15.75" thickBot="1" x14ac:dyDescent="0.3">
      <c r="A35" s="350">
        <v>3.1</v>
      </c>
      <c r="B35" s="475" t="s">
        <v>1456</v>
      </c>
      <c r="C35" s="476"/>
      <c r="D35" s="476"/>
      <c r="E35" s="476"/>
      <c r="F35" s="477"/>
      <c r="G35" s="342">
        <f>SUM(G36:G40)</f>
        <v>33.301775147928993</v>
      </c>
    </row>
    <row r="36" spans="1:8" x14ac:dyDescent="0.25">
      <c r="A36" s="351"/>
      <c r="B36" s="352" t="s">
        <v>1576</v>
      </c>
      <c r="C36" s="353">
        <v>1</v>
      </c>
      <c r="D36" s="354">
        <v>28.14</v>
      </c>
      <c r="E36" s="354">
        <f t="shared" si="0"/>
        <v>28.14</v>
      </c>
      <c r="F36" s="356" t="s">
        <v>1492</v>
      </c>
      <c r="G36" s="344">
        <f>IF(F36="FACTURA",E36*1,IF(F36=$I$3,E36/0.845,))</f>
        <v>33.301775147928993</v>
      </c>
      <c r="H36" s="10">
        <f>+H85</f>
        <v>0</v>
      </c>
    </row>
    <row r="37" spans="1:8" x14ac:dyDescent="0.25">
      <c r="A37" s="362"/>
      <c r="B37" s="352"/>
      <c r="C37" s="353"/>
      <c r="D37" s="354"/>
      <c r="E37" s="355">
        <f t="shared" si="0"/>
        <v>0</v>
      </c>
      <c r="F37" s="357" t="s">
        <v>14</v>
      </c>
      <c r="G37" s="344">
        <f>IF(F37="FACTURA",E37*1,IF(F37=$I$3,E37/0.845,))</f>
        <v>0</v>
      </c>
    </row>
    <row r="38" spans="1:8" x14ac:dyDescent="0.25">
      <c r="A38" s="362"/>
      <c r="B38" s="352"/>
      <c r="C38" s="353"/>
      <c r="D38" s="354"/>
      <c r="E38" s="355">
        <f t="shared" si="0"/>
        <v>0</v>
      </c>
      <c r="F38" s="357" t="s">
        <v>14</v>
      </c>
      <c r="G38" s="344">
        <f>IF(F38="FACTURA",E38*1,IF(F38=$I$3,E38/0.845,))</f>
        <v>0</v>
      </c>
    </row>
    <row r="39" spans="1:8" x14ac:dyDescent="0.25">
      <c r="A39" s="362"/>
      <c r="B39" s="352"/>
      <c r="C39" s="353"/>
      <c r="D39" s="354"/>
      <c r="E39" s="355">
        <f t="shared" si="0"/>
        <v>0</v>
      </c>
      <c r="F39" s="357" t="s">
        <v>1492</v>
      </c>
      <c r="G39" s="344">
        <f>IF(F39="FACTURA",E39*1,IF(F39=$I$3,E39/0.845,))</f>
        <v>0</v>
      </c>
    </row>
    <row r="40" spans="1:8" ht="15.75" thickBot="1" x14ac:dyDescent="0.3">
      <c r="A40" s="363"/>
      <c r="B40" s="359"/>
      <c r="C40" s="353"/>
      <c r="D40" s="354"/>
      <c r="E40" s="360">
        <f t="shared" si="0"/>
        <v>0</v>
      </c>
      <c r="F40" s="361" t="s">
        <v>14</v>
      </c>
      <c r="G40" s="344">
        <f>IF(F40="FACTURA",E40*1,IF(F40=$I$3,E40/0.845,))</f>
        <v>0</v>
      </c>
    </row>
    <row r="41" spans="1:8" ht="15.75" thickBot="1" x14ac:dyDescent="0.3">
      <c r="A41" s="350">
        <v>3.2</v>
      </c>
      <c r="B41" s="475" t="s">
        <v>1457</v>
      </c>
      <c r="C41" s="476"/>
      <c r="D41" s="476"/>
      <c r="E41" s="476"/>
      <c r="F41" s="477"/>
      <c r="G41" s="342">
        <f>SUM(G42:G46)</f>
        <v>0</v>
      </c>
    </row>
    <row r="42" spans="1:8" x14ac:dyDescent="0.25">
      <c r="A42" s="351"/>
      <c r="B42" s="352"/>
      <c r="C42" s="353"/>
      <c r="D42" s="354"/>
      <c r="E42" s="354">
        <f t="shared" si="0"/>
        <v>0</v>
      </c>
      <c r="F42" s="356" t="s">
        <v>14</v>
      </c>
      <c r="G42" s="344">
        <f>IF(F42="FACTURA",E42*1,IF(F42=$I$3,E42/0.845,))</f>
        <v>0</v>
      </c>
    </row>
    <row r="43" spans="1:8" x14ac:dyDescent="0.25">
      <c r="A43" s="362"/>
      <c r="B43" s="352"/>
      <c r="C43" s="353"/>
      <c r="D43" s="354"/>
      <c r="E43" s="355">
        <f t="shared" si="0"/>
        <v>0</v>
      </c>
      <c r="F43" s="357" t="s">
        <v>14</v>
      </c>
      <c r="G43" s="344">
        <f>IF(F43="FACTURA",E43*1,IF(F43=$I$3,E43/0.845,))</f>
        <v>0</v>
      </c>
    </row>
    <row r="44" spans="1:8" x14ac:dyDescent="0.25">
      <c r="A44" s="362"/>
      <c r="B44" s="352"/>
      <c r="C44" s="353"/>
      <c r="D44" s="354"/>
      <c r="E44" s="355">
        <f t="shared" si="0"/>
        <v>0</v>
      </c>
      <c r="F44" s="357" t="s">
        <v>1492</v>
      </c>
      <c r="G44" s="344">
        <f>IF(F44="FACTURA",E44*1,IF(F44=$I$3,E44/0.845,))</f>
        <v>0</v>
      </c>
    </row>
    <row r="45" spans="1:8" x14ac:dyDescent="0.25">
      <c r="A45" s="362"/>
      <c r="B45" s="352"/>
      <c r="C45" s="353"/>
      <c r="D45" s="354"/>
      <c r="E45" s="355">
        <f t="shared" si="0"/>
        <v>0</v>
      </c>
      <c r="F45" s="357" t="s">
        <v>14</v>
      </c>
      <c r="G45" s="344">
        <f>IF(F45="FACTURA",E45*1,IF(F45=$I$3,E45/0.845,))</f>
        <v>0</v>
      </c>
    </row>
    <row r="46" spans="1:8" ht="15.75" thickBot="1" x14ac:dyDescent="0.3">
      <c r="A46" s="363"/>
      <c r="B46" s="359"/>
      <c r="C46" s="353"/>
      <c r="D46" s="354"/>
      <c r="E46" s="360">
        <f t="shared" si="0"/>
        <v>0</v>
      </c>
      <c r="F46" s="361" t="s">
        <v>14</v>
      </c>
      <c r="G46" s="344">
        <f>IF(F46="FACTURA",E46*1,IF(F46=$I$3,E46/0.845,))</f>
        <v>0</v>
      </c>
    </row>
    <row r="47" spans="1:8" ht="15.75" thickBot="1" x14ac:dyDescent="0.3">
      <c r="A47" s="350">
        <v>3.3</v>
      </c>
      <c r="B47" s="475" t="s">
        <v>1458</v>
      </c>
      <c r="C47" s="476"/>
      <c r="D47" s="476"/>
      <c r="E47" s="476"/>
      <c r="F47" s="477"/>
      <c r="G47" s="342">
        <f>SUM(G48:G52)</f>
        <v>0</v>
      </c>
    </row>
    <row r="48" spans="1:8" x14ac:dyDescent="0.25">
      <c r="A48" s="351"/>
      <c r="B48" s="352"/>
      <c r="C48" s="353"/>
      <c r="D48" s="354"/>
      <c r="E48" s="354">
        <f t="shared" si="0"/>
        <v>0</v>
      </c>
      <c r="F48" s="356" t="s">
        <v>14</v>
      </c>
      <c r="G48" s="344">
        <f>IF(F48="FACTURA",E48*1,IF(F48=$I$3,E48/0.845,))</f>
        <v>0</v>
      </c>
    </row>
    <row r="49" spans="1:7" x14ac:dyDescent="0.25">
      <c r="A49" s="362"/>
      <c r="B49" s="352"/>
      <c r="C49" s="353"/>
      <c r="D49" s="354"/>
      <c r="E49" s="355">
        <f t="shared" si="0"/>
        <v>0</v>
      </c>
      <c r="F49" s="357" t="s">
        <v>14</v>
      </c>
      <c r="G49" s="344">
        <f>IF(F49="FACTURA",E49*1,IF(F49=$I$3,E49/0.845,))</f>
        <v>0</v>
      </c>
    </row>
    <row r="50" spans="1:7" x14ac:dyDescent="0.25">
      <c r="A50" s="362"/>
      <c r="B50" s="352"/>
      <c r="C50" s="353"/>
      <c r="D50" s="354"/>
      <c r="E50" s="355">
        <f t="shared" si="0"/>
        <v>0</v>
      </c>
      <c r="F50" s="357" t="s">
        <v>1492</v>
      </c>
      <c r="G50" s="344">
        <f>IF(F50="FACTURA",E50*1,IF(F50=$I$3,E50/0.845,))</f>
        <v>0</v>
      </c>
    </row>
    <row r="51" spans="1:7" x14ac:dyDescent="0.25">
      <c r="A51" s="362"/>
      <c r="B51" s="352"/>
      <c r="C51" s="353"/>
      <c r="D51" s="354"/>
      <c r="E51" s="355">
        <f t="shared" si="0"/>
        <v>0</v>
      </c>
      <c r="F51" s="357" t="s">
        <v>14</v>
      </c>
      <c r="G51" s="344">
        <f>IF(F51="FACTURA",E51*1,IF(F51=$I$3,E51/0.845,))</f>
        <v>0</v>
      </c>
    </row>
    <row r="52" spans="1:7" ht="15.75" thickBot="1" x14ac:dyDescent="0.3">
      <c r="A52" s="363"/>
      <c r="B52" s="359"/>
      <c r="C52" s="353"/>
      <c r="D52" s="354"/>
      <c r="E52" s="360">
        <f t="shared" si="0"/>
        <v>0</v>
      </c>
      <c r="F52" s="361" t="s">
        <v>14</v>
      </c>
      <c r="G52" s="344">
        <f>IF(F52="FACTURA",E52*1,IF(F52=$I$3,E52/0.845,))</f>
        <v>0</v>
      </c>
    </row>
    <row r="53" spans="1:7" ht="15.75" thickBot="1" x14ac:dyDescent="0.3">
      <c r="A53" s="350">
        <v>3.4</v>
      </c>
      <c r="B53" s="475" t="s">
        <v>1459</v>
      </c>
      <c r="C53" s="476"/>
      <c r="D53" s="476"/>
      <c r="E53" s="476"/>
      <c r="F53" s="477"/>
      <c r="G53" s="342">
        <f>SUM(G54:G58)</f>
        <v>0</v>
      </c>
    </row>
    <row r="54" spans="1:7" x14ac:dyDescent="0.25">
      <c r="A54" s="364"/>
      <c r="B54" s="367" t="s">
        <v>1460</v>
      </c>
      <c r="C54" s="368"/>
      <c r="D54" s="369"/>
      <c r="E54" s="354">
        <f t="shared" si="0"/>
        <v>0</v>
      </c>
      <c r="F54" s="356" t="s">
        <v>14</v>
      </c>
      <c r="G54" s="344">
        <f>IF(F54="FACTURA",E54*1,IF(F54=$I$3,E54/0.845,))</f>
        <v>0</v>
      </c>
    </row>
    <row r="55" spans="1:7" x14ac:dyDescent="0.25">
      <c r="A55" s="365"/>
      <c r="B55" s="370" t="s">
        <v>1461</v>
      </c>
      <c r="C55" s="368"/>
      <c r="D55" s="369"/>
      <c r="E55" s="355">
        <f t="shared" si="0"/>
        <v>0</v>
      </c>
      <c r="F55" s="357" t="s">
        <v>1492</v>
      </c>
      <c r="G55" s="344">
        <f>IF(F55="FACTURA",E55*1,IF(F55=$I$3,E55/0.845,))</f>
        <v>0</v>
      </c>
    </row>
    <row r="56" spans="1:7" x14ac:dyDescent="0.25">
      <c r="A56" s="365"/>
      <c r="B56" s="370"/>
      <c r="C56" s="368"/>
      <c r="D56" s="369"/>
      <c r="E56" s="355">
        <f t="shared" si="0"/>
        <v>0</v>
      </c>
      <c r="F56" s="357" t="s">
        <v>14</v>
      </c>
      <c r="G56" s="344">
        <f>IF(F56="FACTURA",E56*1,IF(F56=$I$3,E56/0.845,))</f>
        <v>0</v>
      </c>
    </row>
    <row r="57" spans="1:7" x14ac:dyDescent="0.25">
      <c r="A57" s="365"/>
      <c r="B57" s="370"/>
      <c r="C57" s="368"/>
      <c r="D57" s="369"/>
      <c r="E57" s="355">
        <f t="shared" si="0"/>
        <v>0</v>
      </c>
      <c r="F57" s="357" t="s">
        <v>1492</v>
      </c>
      <c r="G57" s="344">
        <f>IF(F57="FACTURA",E57*1,IF(F57=$I$3,E57/0.845,))</f>
        <v>0</v>
      </c>
    </row>
    <row r="58" spans="1:7" ht="15.75" thickBot="1" x14ac:dyDescent="0.3">
      <c r="A58" s="366"/>
      <c r="B58" s="371"/>
      <c r="C58" s="368"/>
      <c r="D58" s="369"/>
      <c r="E58" s="360">
        <f t="shared" si="0"/>
        <v>0</v>
      </c>
      <c r="F58" s="361" t="s">
        <v>14</v>
      </c>
      <c r="G58" s="344">
        <f>IF(F58="FACTURA",E58*1,IF(F58=$I$3,E58/0.845,))</f>
        <v>0</v>
      </c>
    </row>
    <row r="59" spans="1:7" ht="15.75" thickBot="1" x14ac:dyDescent="0.3">
      <c r="A59" s="348">
        <v>4</v>
      </c>
      <c r="B59" s="471" t="s">
        <v>1462</v>
      </c>
      <c r="C59" s="472"/>
      <c r="D59" s="472"/>
      <c r="E59" s="472"/>
      <c r="F59" s="473"/>
      <c r="G59" s="342">
        <f>G60+G66+G72+G78+G84</f>
        <v>0</v>
      </c>
    </row>
    <row r="60" spans="1:7" ht="15.75" thickBot="1" x14ac:dyDescent="0.3">
      <c r="A60" s="350">
        <v>4.0999999999999996</v>
      </c>
      <c r="B60" s="475" t="s">
        <v>1463</v>
      </c>
      <c r="C60" s="476"/>
      <c r="D60" s="476"/>
      <c r="E60" s="476"/>
      <c r="F60" s="477"/>
      <c r="G60" s="342">
        <f>SUM(G61:G65)</f>
        <v>0</v>
      </c>
    </row>
    <row r="61" spans="1:7" x14ac:dyDescent="0.25">
      <c r="A61" s="351"/>
      <c r="B61" s="352"/>
      <c r="C61" s="353"/>
      <c r="D61" s="354"/>
      <c r="E61" s="354">
        <f t="shared" si="0"/>
        <v>0</v>
      </c>
      <c r="F61" s="356" t="s">
        <v>14</v>
      </c>
      <c r="G61" s="344">
        <f>IF(F61="FACTURA",E61*1,IF(F61=$I$3,E61/0.845,))</f>
        <v>0</v>
      </c>
    </row>
    <row r="62" spans="1:7" x14ac:dyDescent="0.25">
      <c r="A62" s="362"/>
      <c r="B62" s="352"/>
      <c r="C62" s="353"/>
      <c r="D62" s="354"/>
      <c r="E62" s="355">
        <f t="shared" si="0"/>
        <v>0</v>
      </c>
      <c r="F62" s="357" t="s">
        <v>14</v>
      </c>
      <c r="G62" s="344">
        <f>IF(F62="FACTURA",E62*1,IF(F62=$I$3,E62/0.845,))</f>
        <v>0</v>
      </c>
    </row>
    <row r="63" spans="1:7" x14ac:dyDescent="0.25">
      <c r="A63" s="362"/>
      <c r="B63" s="352"/>
      <c r="C63" s="353"/>
      <c r="D63" s="354"/>
      <c r="E63" s="355">
        <f t="shared" si="0"/>
        <v>0</v>
      </c>
      <c r="F63" s="357" t="s">
        <v>1492</v>
      </c>
      <c r="G63" s="344">
        <f>IF(F63="FACTURA",E63*1,IF(F63=$I$3,E63/0.845,))</f>
        <v>0</v>
      </c>
    </row>
    <row r="64" spans="1:7" x14ac:dyDescent="0.25">
      <c r="A64" s="362"/>
      <c r="B64" s="352"/>
      <c r="C64" s="353"/>
      <c r="D64" s="354"/>
      <c r="E64" s="355">
        <f t="shared" si="0"/>
        <v>0</v>
      </c>
      <c r="F64" s="357" t="s">
        <v>14</v>
      </c>
      <c r="G64" s="344">
        <f>IF(F64="FACTURA",E64*1,IF(F64=$I$3,E64/0.845,))</f>
        <v>0</v>
      </c>
    </row>
    <row r="65" spans="1:7" ht="15.75" thickBot="1" x14ac:dyDescent="0.3">
      <c r="A65" s="363"/>
      <c r="B65" s="359"/>
      <c r="C65" s="353"/>
      <c r="D65" s="354"/>
      <c r="E65" s="360">
        <f t="shared" si="0"/>
        <v>0</v>
      </c>
      <c r="F65" s="361" t="s">
        <v>14</v>
      </c>
      <c r="G65" s="344">
        <f>IF(F65="FACTURA",E65*1,IF(F65=$I$3,E65/0.845,))</f>
        <v>0</v>
      </c>
    </row>
    <row r="66" spans="1:7" ht="15.75" thickBot="1" x14ac:dyDescent="0.3">
      <c r="A66" s="350">
        <v>4.2</v>
      </c>
      <c r="B66" s="475" t="s">
        <v>1464</v>
      </c>
      <c r="C66" s="476"/>
      <c r="D66" s="476"/>
      <c r="E66" s="476"/>
      <c r="F66" s="477"/>
      <c r="G66" s="342">
        <f>SUM(G67:G71)</f>
        <v>0</v>
      </c>
    </row>
    <row r="67" spans="1:7" x14ac:dyDescent="0.25">
      <c r="A67" s="351"/>
      <c r="B67" s="352"/>
      <c r="C67" s="353"/>
      <c r="D67" s="354"/>
      <c r="E67" s="354">
        <f t="shared" si="0"/>
        <v>0</v>
      </c>
      <c r="F67" s="356" t="s">
        <v>14</v>
      </c>
      <c r="G67" s="344">
        <f>IF(F67="FACTURA",E67*1,IF(F67=$I$3,E67/0.845,))</f>
        <v>0</v>
      </c>
    </row>
    <row r="68" spans="1:7" x14ac:dyDescent="0.25">
      <c r="A68" s="362"/>
      <c r="B68" s="352"/>
      <c r="C68" s="353"/>
      <c r="D68" s="354"/>
      <c r="E68" s="355">
        <f t="shared" si="0"/>
        <v>0</v>
      </c>
      <c r="F68" s="357" t="s">
        <v>14</v>
      </c>
      <c r="G68" s="344">
        <f>IF(F68="FACTURA",E68*1,IF(F68=$I$3,E68/0.845,))</f>
        <v>0</v>
      </c>
    </row>
    <row r="69" spans="1:7" x14ac:dyDescent="0.25">
      <c r="A69" s="362"/>
      <c r="B69" s="352"/>
      <c r="C69" s="353"/>
      <c r="D69" s="354"/>
      <c r="E69" s="355">
        <f t="shared" si="0"/>
        <v>0</v>
      </c>
      <c r="F69" s="357" t="s">
        <v>1492</v>
      </c>
      <c r="G69" s="344">
        <f>IF(F69="FACTURA",E69*1,IF(F69=$I$3,E69/0.845,))</f>
        <v>0</v>
      </c>
    </row>
    <row r="70" spans="1:7" x14ac:dyDescent="0.25">
      <c r="A70" s="362"/>
      <c r="B70" s="352"/>
      <c r="C70" s="353"/>
      <c r="D70" s="354"/>
      <c r="E70" s="355">
        <f t="shared" si="0"/>
        <v>0</v>
      </c>
      <c r="F70" s="357" t="s">
        <v>14</v>
      </c>
      <c r="G70" s="344">
        <f>IF(F70="FACTURA",E70*1,IF(F70=$I$3,E70/0.845,))</f>
        <v>0</v>
      </c>
    </row>
    <row r="71" spans="1:7" ht="15.75" thickBot="1" x14ac:dyDescent="0.3">
      <c r="A71" s="363"/>
      <c r="B71" s="359"/>
      <c r="C71" s="353"/>
      <c r="D71" s="354"/>
      <c r="E71" s="360">
        <f t="shared" si="0"/>
        <v>0</v>
      </c>
      <c r="F71" s="361" t="s">
        <v>14</v>
      </c>
      <c r="G71" s="344">
        <f>IF(F71="FACTURA",E71*1,IF(F71=$I$3,E71/0.845,))</f>
        <v>0</v>
      </c>
    </row>
    <row r="72" spans="1:7" ht="15.75" thickBot="1" x14ac:dyDescent="0.3">
      <c r="A72" s="350">
        <v>4.3</v>
      </c>
      <c r="B72" s="475" t="s">
        <v>1465</v>
      </c>
      <c r="C72" s="476"/>
      <c r="D72" s="476"/>
      <c r="E72" s="476"/>
      <c r="F72" s="477"/>
      <c r="G72" s="342">
        <f>SUM(G73:G77)</f>
        <v>0</v>
      </c>
    </row>
    <row r="73" spans="1:7" x14ac:dyDescent="0.25">
      <c r="A73" s="351"/>
      <c r="B73" s="352"/>
      <c r="C73" s="353"/>
      <c r="D73" s="354"/>
      <c r="E73" s="354">
        <f t="shared" si="0"/>
        <v>0</v>
      </c>
      <c r="F73" s="356" t="s">
        <v>14</v>
      </c>
      <c r="G73" s="344">
        <f>IF(F73="FACTURA",E73*1,IF(F73=$I$3,E73/0.845,))</f>
        <v>0</v>
      </c>
    </row>
    <row r="74" spans="1:7" x14ac:dyDescent="0.25">
      <c r="A74" s="362"/>
      <c r="B74" s="352"/>
      <c r="C74" s="353"/>
      <c r="D74" s="354"/>
      <c r="E74" s="355">
        <f t="shared" si="0"/>
        <v>0</v>
      </c>
      <c r="F74" s="357" t="s">
        <v>1492</v>
      </c>
      <c r="G74" s="344">
        <f>IF(F74="FACTURA",E74*1,IF(F74=$I$3,E74/0.845,))</f>
        <v>0</v>
      </c>
    </row>
    <row r="75" spans="1:7" x14ac:dyDescent="0.25">
      <c r="A75" s="362"/>
      <c r="B75" s="352"/>
      <c r="C75" s="353"/>
      <c r="D75" s="354"/>
      <c r="E75" s="355">
        <f t="shared" ref="E75:E138" si="1">+D75*C75</f>
        <v>0</v>
      </c>
      <c r="F75" s="357" t="s">
        <v>14</v>
      </c>
      <c r="G75" s="344">
        <f>IF(F75="FACTURA",E75*1,IF(F75=$I$3,E75/0.845,))</f>
        <v>0</v>
      </c>
    </row>
    <row r="76" spans="1:7" x14ac:dyDescent="0.25">
      <c r="A76" s="362"/>
      <c r="B76" s="352"/>
      <c r="C76" s="353"/>
      <c r="D76" s="354"/>
      <c r="E76" s="355">
        <f t="shared" si="1"/>
        <v>0</v>
      </c>
      <c r="F76" s="357" t="s">
        <v>1492</v>
      </c>
      <c r="G76" s="344">
        <f>IF(F76="FACTURA",E76*1,IF(F76=$I$3,E76/0.845,))</f>
        <v>0</v>
      </c>
    </row>
    <row r="77" spans="1:7" ht="15.75" thickBot="1" x14ac:dyDescent="0.3">
      <c r="A77" s="363"/>
      <c r="B77" s="359"/>
      <c r="C77" s="353"/>
      <c r="D77" s="354"/>
      <c r="E77" s="360">
        <f t="shared" si="1"/>
        <v>0</v>
      </c>
      <c r="F77" s="361" t="s">
        <v>14</v>
      </c>
      <c r="G77" s="344">
        <f>IF(F77="FACTURA",E77*1,IF(F77=$I$3,E77/0.845,))</f>
        <v>0</v>
      </c>
    </row>
    <row r="78" spans="1:7" ht="15.75" thickBot="1" x14ac:dyDescent="0.3">
      <c r="A78" s="350">
        <v>4.4000000000000004</v>
      </c>
      <c r="B78" s="475" t="s">
        <v>1466</v>
      </c>
      <c r="C78" s="476"/>
      <c r="D78" s="476"/>
      <c r="E78" s="476"/>
      <c r="F78" s="477"/>
      <c r="G78" s="342">
        <f>SUM(G79:G83)</f>
        <v>0</v>
      </c>
    </row>
    <row r="79" spans="1:7" x14ac:dyDescent="0.25">
      <c r="A79" s="351"/>
      <c r="B79" s="352"/>
      <c r="C79" s="353"/>
      <c r="D79" s="354"/>
      <c r="E79" s="354">
        <f t="shared" si="1"/>
        <v>0</v>
      </c>
      <c r="F79" s="356" t="s">
        <v>1492</v>
      </c>
      <c r="G79" s="344">
        <f>IF(F79="FACTURA",E79*1,IF(F79=$I$3,E79/0.845,))</f>
        <v>0</v>
      </c>
    </row>
    <row r="80" spans="1:7" x14ac:dyDescent="0.25">
      <c r="A80" s="362"/>
      <c r="B80" s="352"/>
      <c r="C80" s="353"/>
      <c r="D80" s="354"/>
      <c r="E80" s="355">
        <f t="shared" si="1"/>
        <v>0</v>
      </c>
      <c r="F80" s="357" t="s">
        <v>14</v>
      </c>
      <c r="G80" s="344">
        <f>IF(F80="FACTURA",E80*1,IF(F80=$I$3,E80/0.845,))</f>
        <v>0</v>
      </c>
    </row>
    <row r="81" spans="1:8" x14ac:dyDescent="0.25">
      <c r="A81" s="362"/>
      <c r="B81" s="352"/>
      <c r="C81" s="353"/>
      <c r="D81" s="354"/>
      <c r="E81" s="355">
        <f t="shared" si="1"/>
        <v>0</v>
      </c>
      <c r="F81" s="357" t="s">
        <v>14</v>
      </c>
      <c r="G81" s="344">
        <f>IF(F81="FACTURA",E81*1,IF(F81=$I$3,E81/0.845,))</f>
        <v>0</v>
      </c>
    </row>
    <row r="82" spans="1:8" x14ac:dyDescent="0.25">
      <c r="A82" s="362"/>
      <c r="B82" s="352"/>
      <c r="C82" s="353"/>
      <c r="D82" s="354"/>
      <c r="E82" s="355">
        <f t="shared" si="1"/>
        <v>0</v>
      </c>
      <c r="F82" s="357" t="s">
        <v>1492</v>
      </c>
      <c r="G82" s="344">
        <f>IF(F82="FACTURA",E82*1,IF(F82=$I$3,E82/0.845,))</f>
        <v>0</v>
      </c>
    </row>
    <row r="83" spans="1:8" ht="15.75" thickBot="1" x14ac:dyDescent="0.3">
      <c r="A83" s="363"/>
      <c r="B83" s="359"/>
      <c r="C83" s="353"/>
      <c r="D83" s="354"/>
      <c r="E83" s="360">
        <f t="shared" si="1"/>
        <v>0</v>
      </c>
      <c r="F83" s="361" t="s">
        <v>14</v>
      </c>
      <c r="G83" s="344">
        <f>IF(F83="FACTURA",E83*1,IF(F83=$I$3,E83/0.845,))</f>
        <v>0</v>
      </c>
    </row>
    <row r="84" spans="1:8" ht="15.75" thickBot="1" x14ac:dyDescent="0.3">
      <c r="A84" s="350">
        <v>4.5</v>
      </c>
      <c r="B84" s="475" t="s">
        <v>1467</v>
      </c>
      <c r="C84" s="476"/>
      <c r="D84" s="476"/>
      <c r="E84" s="476"/>
      <c r="F84" s="477"/>
      <c r="G84" s="342">
        <f>SUM(G85:G89)</f>
        <v>0</v>
      </c>
    </row>
    <row r="85" spans="1:8" x14ac:dyDescent="0.25">
      <c r="A85" s="364"/>
      <c r="B85" s="352"/>
      <c r="C85" s="353"/>
      <c r="D85" s="354"/>
      <c r="E85" s="354">
        <f t="shared" si="1"/>
        <v>0</v>
      </c>
      <c r="F85" s="356" t="s">
        <v>14</v>
      </c>
      <c r="G85" s="344">
        <f>IF(F85="FACTURA",E85*1,IF(F85=$I$3,E85/0.845,))</f>
        <v>0</v>
      </c>
      <c r="H85" s="10">
        <f>+'Carta PDF'!E44</f>
        <v>0</v>
      </c>
    </row>
    <row r="86" spans="1:8" x14ac:dyDescent="0.25">
      <c r="A86" s="365"/>
      <c r="B86" s="352"/>
      <c r="C86" s="353"/>
      <c r="D86" s="354"/>
      <c r="E86" s="355">
        <f t="shared" si="1"/>
        <v>0</v>
      </c>
      <c r="F86" s="357" t="s">
        <v>1492</v>
      </c>
      <c r="G86" s="344">
        <f>IF(F86="FACTURA",E86*1,IF(F86=$I$3,E86/0.845,))</f>
        <v>0</v>
      </c>
    </row>
    <row r="87" spans="1:8" x14ac:dyDescent="0.25">
      <c r="A87" s="365"/>
      <c r="B87" s="352"/>
      <c r="C87" s="353"/>
      <c r="D87" s="354"/>
      <c r="E87" s="355">
        <f t="shared" si="1"/>
        <v>0</v>
      </c>
      <c r="F87" s="357" t="s">
        <v>14</v>
      </c>
      <c r="G87" s="344">
        <f>IF(F87="FACTURA",E87*1,IF(F87=$I$3,E87/0.845,))</f>
        <v>0</v>
      </c>
    </row>
    <row r="88" spans="1:8" x14ac:dyDescent="0.25">
      <c r="A88" s="365"/>
      <c r="B88" s="352"/>
      <c r="C88" s="353"/>
      <c r="D88" s="354"/>
      <c r="E88" s="355">
        <f t="shared" si="1"/>
        <v>0</v>
      </c>
      <c r="F88" s="357" t="s">
        <v>1492</v>
      </c>
      <c r="G88" s="344">
        <f>IF(F88="FACTURA",E88*1,IF(F88=$I$3,E88/0.845,))</f>
        <v>0</v>
      </c>
    </row>
    <row r="89" spans="1:8" ht="15.75" thickBot="1" x14ac:dyDescent="0.3">
      <c r="A89" s="366"/>
      <c r="B89" s="359"/>
      <c r="C89" s="353"/>
      <c r="D89" s="354"/>
      <c r="E89" s="360">
        <f t="shared" si="1"/>
        <v>0</v>
      </c>
      <c r="F89" s="361" t="s">
        <v>14</v>
      </c>
      <c r="G89" s="344">
        <f>IF(F89="FACTURA",E89*1,IF(F89=$I$3,E89/0.845,))</f>
        <v>0</v>
      </c>
    </row>
    <row r="90" spans="1:8" ht="15.75" thickBot="1" x14ac:dyDescent="0.3">
      <c r="A90" s="348">
        <v>5</v>
      </c>
      <c r="B90" s="471" t="s">
        <v>1468</v>
      </c>
      <c r="C90" s="472"/>
      <c r="D90" s="472"/>
      <c r="E90" s="472"/>
      <c r="F90" s="473"/>
      <c r="G90" s="342">
        <f>G91</f>
        <v>0</v>
      </c>
    </row>
    <row r="91" spans="1:8" ht="15.75" thickBot="1" x14ac:dyDescent="0.3">
      <c r="A91" s="350">
        <v>5.0999999999999996</v>
      </c>
      <c r="B91" s="475" t="s">
        <v>1469</v>
      </c>
      <c r="C91" s="476"/>
      <c r="D91" s="476"/>
      <c r="E91" s="476"/>
      <c r="F91" s="477"/>
      <c r="G91" s="342">
        <f>SUM(G92:G96)</f>
        <v>0</v>
      </c>
    </row>
    <row r="92" spans="1:8" x14ac:dyDescent="0.25">
      <c r="A92" s="364"/>
      <c r="B92" s="352"/>
      <c r="C92" s="353"/>
      <c r="D92" s="354"/>
      <c r="E92" s="354">
        <f t="shared" si="1"/>
        <v>0</v>
      </c>
      <c r="F92" s="356" t="s">
        <v>14</v>
      </c>
      <c r="G92" s="344">
        <f>IF(F92="FACTURA",E92*1,IF(F92=$I$3,E92/0.845,))</f>
        <v>0</v>
      </c>
    </row>
    <row r="93" spans="1:8" x14ac:dyDescent="0.25">
      <c r="A93" s="365"/>
      <c r="B93" s="352"/>
      <c r="C93" s="353"/>
      <c r="D93" s="354"/>
      <c r="E93" s="355">
        <f t="shared" si="1"/>
        <v>0</v>
      </c>
      <c r="F93" s="357" t="s">
        <v>14</v>
      </c>
      <c r="G93" s="344">
        <f>IF(F93="FACTURA",E93*1,IF(F93=$I$3,E93/0.845,))</f>
        <v>0</v>
      </c>
    </row>
    <row r="94" spans="1:8" x14ac:dyDescent="0.25">
      <c r="A94" s="365"/>
      <c r="B94" s="352"/>
      <c r="C94" s="353"/>
      <c r="D94" s="354"/>
      <c r="E94" s="355">
        <f t="shared" si="1"/>
        <v>0</v>
      </c>
      <c r="F94" s="357" t="s">
        <v>1492</v>
      </c>
      <c r="G94" s="344">
        <f>IF(F94="FACTURA",E94*1,IF(F94=$I$3,E94/0.845,))</f>
        <v>0</v>
      </c>
    </row>
    <row r="95" spans="1:8" x14ac:dyDescent="0.25">
      <c r="A95" s="365"/>
      <c r="B95" s="352"/>
      <c r="C95" s="353"/>
      <c r="D95" s="354"/>
      <c r="E95" s="355">
        <f t="shared" si="1"/>
        <v>0</v>
      </c>
      <c r="F95" s="357" t="s">
        <v>14</v>
      </c>
      <c r="G95" s="344">
        <f>IF(F95="FACTURA",E95*1,IF(F95=$I$3,E95/0.845,))</f>
        <v>0</v>
      </c>
    </row>
    <row r="96" spans="1:8" ht="15.75" thickBot="1" x14ac:dyDescent="0.3">
      <c r="A96" s="366"/>
      <c r="B96" s="359"/>
      <c r="C96" s="353"/>
      <c r="D96" s="354"/>
      <c r="E96" s="360">
        <f t="shared" si="1"/>
        <v>0</v>
      </c>
      <c r="F96" s="361" t="s">
        <v>14</v>
      </c>
      <c r="G96" s="344">
        <f>IF(F96="FACTURA",E96*1,IF(F96=$I$3,E96/0.845,))</f>
        <v>0</v>
      </c>
    </row>
    <row r="97" spans="1:7" ht="15.75" thickBot="1" x14ac:dyDescent="0.3">
      <c r="A97" s="348">
        <v>6</v>
      </c>
      <c r="B97" s="471" t="s">
        <v>1</v>
      </c>
      <c r="C97" s="472"/>
      <c r="D97" s="472"/>
      <c r="E97" s="472"/>
      <c r="F97" s="473"/>
      <c r="G97" s="342">
        <f>G98+G104+G110+G116+G122+G128+G134</f>
        <v>10.760869565217391</v>
      </c>
    </row>
    <row r="98" spans="1:7" ht="15.75" thickBot="1" x14ac:dyDescent="0.3">
      <c r="A98" s="350">
        <v>6.1</v>
      </c>
      <c r="B98" s="475" t="s">
        <v>1470</v>
      </c>
      <c r="C98" s="476"/>
      <c r="D98" s="476"/>
      <c r="E98" s="476"/>
      <c r="F98" s="477"/>
      <c r="G98" s="342">
        <f>SUM(G99:G103)</f>
        <v>0</v>
      </c>
    </row>
    <row r="99" spans="1:7" x14ac:dyDescent="0.25">
      <c r="A99" s="351"/>
      <c r="B99" s="352"/>
      <c r="C99" s="353"/>
      <c r="D99" s="354"/>
      <c r="E99" s="354">
        <f t="shared" si="1"/>
        <v>0</v>
      </c>
      <c r="F99" s="356" t="s">
        <v>14</v>
      </c>
      <c r="G99" s="344">
        <f>IF(F99="FACTURA",E99*1,IF(F99=$I$3,E99/0.92,))</f>
        <v>0</v>
      </c>
    </row>
    <row r="100" spans="1:7" x14ac:dyDescent="0.25">
      <c r="A100" s="362"/>
      <c r="B100" s="352"/>
      <c r="C100" s="353"/>
      <c r="D100" s="354"/>
      <c r="E100" s="355">
        <f t="shared" si="1"/>
        <v>0</v>
      </c>
      <c r="F100" s="357" t="s">
        <v>14</v>
      </c>
      <c r="G100" s="344">
        <f>IF(F100="FACTURA",E100*1,IF(F100=$I$3,E100/0.92,))</f>
        <v>0</v>
      </c>
    </row>
    <row r="101" spans="1:7" x14ac:dyDescent="0.25">
      <c r="A101" s="362"/>
      <c r="B101" s="352"/>
      <c r="C101" s="353"/>
      <c r="D101" s="354"/>
      <c r="E101" s="355">
        <f t="shared" si="1"/>
        <v>0</v>
      </c>
      <c r="F101" s="357" t="s">
        <v>1492</v>
      </c>
      <c r="G101" s="344">
        <f>IF(F101="FACTURA",E101*1,IF(F101=$I$3,E101/0.92,))</f>
        <v>0</v>
      </c>
    </row>
    <row r="102" spans="1:7" x14ac:dyDescent="0.25">
      <c r="A102" s="362"/>
      <c r="B102" s="352"/>
      <c r="C102" s="353"/>
      <c r="D102" s="354"/>
      <c r="E102" s="355">
        <f t="shared" si="1"/>
        <v>0</v>
      </c>
      <c r="F102" s="357" t="s">
        <v>14</v>
      </c>
      <c r="G102" s="344">
        <f>IF(F102="FACTURA",E102*1,IF(F102=$I$3,E102/0.92,))</f>
        <v>0</v>
      </c>
    </row>
    <row r="103" spans="1:7" ht="15.75" thickBot="1" x14ac:dyDescent="0.3">
      <c r="A103" s="363"/>
      <c r="B103" s="359"/>
      <c r="C103" s="353"/>
      <c r="D103" s="354"/>
      <c r="E103" s="360">
        <f t="shared" si="1"/>
        <v>0</v>
      </c>
      <c r="F103" s="361" t="s">
        <v>14</v>
      </c>
      <c r="G103" s="344">
        <f>IF(F103="FACTURA",E103*1,IF(F103=$I$3,E103/0.92,))</f>
        <v>0</v>
      </c>
    </row>
    <row r="104" spans="1:7" ht="15.75" thickBot="1" x14ac:dyDescent="0.3">
      <c r="A104" s="350">
        <v>6.2</v>
      </c>
      <c r="B104" s="475" t="s">
        <v>1471</v>
      </c>
      <c r="C104" s="476"/>
      <c r="D104" s="476"/>
      <c r="E104" s="476"/>
      <c r="F104" s="477"/>
      <c r="G104" s="342">
        <f>SUM(G105:G109)</f>
        <v>10.760869565217391</v>
      </c>
    </row>
    <row r="105" spans="1:7" x14ac:dyDescent="0.25">
      <c r="A105" s="351"/>
      <c r="B105" s="352" t="s">
        <v>1574</v>
      </c>
      <c r="C105" s="353">
        <v>1</v>
      </c>
      <c r="D105" s="354">
        <v>9.9</v>
      </c>
      <c r="E105" s="354">
        <f t="shared" si="1"/>
        <v>9.9</v>
      </c>
      <c r="F105" s="356" t="s">
        <v>1492</v>
      </c>
      <c r="G105" s="344">
        <f>IF(F105="FACTURA",E105*1,IF(F105=$I$3,E105/0.92,))</f>
        <v>10.760869565217391</v>
      </c>
    </row>
    <row r="106" spans="1:7" x14ac:dyDescent="0.25">
      <c r="A106" s="362"/>
      <c r="B106" s="352"/>
      <c r="C106" s="353"/>
      <c r="D106" s="354"/>
      <c r="E106" s="355">
        <f t="shared" si="1"/>
        <v>0</v>
      </c>
      <c r="F106" s="357" t="s">
        <v>14</v>
      </c>
      <c r="G106" s="344">
        <f>IF(F106="FACTURA",E106*1,IF(F106=$I$3,E106/0.92,))</f>
        <v>0</v>
      </c>
    </row>
    <row r="107" spans="1:7" x14ac:dyDescent="0.25">
      <c r="A107" s="362"/>
      <c r="B107" s="352"/>
      <c r="C107" s="353"/>
      <c r="D107" s="354"/>
      <c r="E107" s="355">
        <f t="shared" si="1"/>
        <v>0</v>
      </c>
      <c r="F107" s="357" t="s">
        <v>14</v>
      </c>
      <c r="G107" s="344">
        <f>IF(F107="FACTURA",E107*1,IF(F107=$I$3,E107/0.92,))</f>
        <v>0</v>
      </c>
    </row>
    <row r="108" spans="1:7" x14ac:dyDescent="0.25">
      <c r="A108" s="362"/>
      <c r="B108" s="352"/>
      <c r="C108" s="353"/>
      <c r="D108" s="354"/>
      <c r="E108" s="355">
        <f t="shared" si="1"/>
        <v>0</v>
      </c>
      <c r="F108" s="357" t="s">
        <v>1492</v>
      </c>
      <c r="G108" s="344">
        <f>IF(F108="FACTURA",E108*1,IF(F108=$I$3,E108/0.92,))</f>
        <v>0</v>
      </c>
    </row>
    <row r="109" spans="1:7" ht="15.75" thickBot="1" x14ac:dyDescent="0.3">
      <c r="A109" s="363"/>
      <c r="B109" s="359"/>
      <c r="C109" s="353"/>
      <c r="D109" s="354"/>
      <c r="E109" s="360">
        <f t="shared" si="1"/>
        <v>0</v>
      </c>
      <c r="F109" s="361" t="s">
        <v>14</v>
      </c>
      <c r="G109" s="344">
        <f>IF(F109="FACTURA",E109*1,IF(F109=$I$3,E109/0.92,))</f>
        <v>0</v>
      </c>
    </row>
    <row r="110" spans="1:7" ht="15.75" thickBot="1" x14ac:dyDescent="0.3">
      <c r="A110" s="350">
        <v>6.3</v>
      </c>
      <c r="B110" s="475" t="s">
        <v>1402</v>
      </c>
      <c r="C110" s="476"/>
      <c r="D110" s="476"/>
      <c r="E110" s="476"/>
      <c r="F110" s="477"/>
      <c r="G110" s="342">
        <f>SUM(G111:G115)</f>
        <v>0</v>
      </c>
    </row>
    <row r="111" spans="1:7" x14ac:dyDescent="0.25">
      <c r="A111" s="351"/>
      <c r="B111" s="352"/>
      <c r="C111" s="353"/>
      <c r="D111" s="354"/>
      <c r="E111" s="354">
        <f t="shared" si="1"/>
        <v>0</v>
      </c>
      <c r="F111" s="356" t="s">
        <v>14</v>
      </c>
      <c r="G111" s="344">
        <f>IF(F111="FACTURA",E111*1,IF(F111=$I$3,E111/0.92,))</f>
        <v>0</v>
      </c>
    </row>
    <row r="112" spans="1:7" x14ac:dyDescent="0.25">
      <c r="A112" s="362"/>
      <c r="B112" s="352"/>
      <c r="C112" s="353"/>
      <c r="D112" s="354"/>
      <c r="E112" s="355">
        <f t="shared" si="1"/>
        <v>0</v>
      </c>
      <c r="F112" s="357" t="s">
        <v>14</v>
      </c>
      <c r="G112" s="344">
        <f>IF(F112="FACTURA",E112*1,IF(F112=$I$3,E112/0.92,))</f>
        <v>0</v>
      </c>
    </row>
    <row r="113" spans="1:7" x14ac:dyDescent="0.25">
      <c r="A113" s="362"/>
      <c r="B113" s="352"/>
      <c r="C113" s="353"/>
      <c r="D113" s="354"/>
      <c r="E113" s="355">
        <f t="shared" si="1"/>
        <v>0</v>
      </c>
      <c r="F113" s="357" t="s">
        <v>1492</v>
      </c>
      <c r="G113" s="344">
        <f>IF(F113="FACTURA",E113*1,IF(F113=$I$3,E113/0.92,))</f>
        <v>0</v>
      </c>
    </row>
    <row r="114" spans="1:7" x14ac:dyDescent="0.25">
      <c r="A114" s="362"/>
      <c r="B114" s="352"/>
      <c r="C114" s="353"/>
      <c r="D114" s="354"/>
      <c r="E114" s="355">
        <f t="shared" si="1"/>
        <v>0</v>
      </c>
      <c r="F114" s="357" t="s">
        <v>14</v>
      </c>
      <c r="G114" s="344">
        <f>IF(F114="FACTURA",E114*1,IF(F114=$I$3,E114/0.92,))</f>
        <v>0</v>
      </c>
    </row>
    <row r="115" spans="1:7" ht="15.75" thickBot="1" x14ac:dyDescent="0.3">
      <c r="A115" s="363"/>
      <c r="B115" s="359"/>
      <c r="C115" s="353"/>
      <c r="D115" s="354"/>
      <c r="E115" s="360">
        <f t="shared" si="1"/>
        <v>0</v>
      </c>
      <c r="F115" s="361" t="s">
        <v>14</v>
      </c>
      <c r="G115" s="344">
        <f>IF(F115="FACTURA",E115*1,IF(F115=$I$3,E115/0.92,))</f>
        <v>0</v>
      </c>
    </row>
    <row r="116" spans="1:7" ht="15.75" thickBot="1" x14ac:dyDescent="0.3">
      <c r="A116" s="350">
        <v>6.4</v>
      </c>
      <c r="B116" s="475" t="s">
        <v>1472</v>
      </c>
      <c r="C116" s="476"/>
      <c r="D116" s="476"/>
      <c r="E116" s="476"/>
      <c r="F116" s="477"/>
      <c r="G116" s="342">
        <f>SUM(G117:G121)</f>
        <v>0</v>
      </c>
    </row>
    <row r="117" spans="1:7" x14ac:dyDescent="0.25">
      <c r="A117" s="351"/>
      <c r="B117" s="352"/>
      <c r="C117" s="353"/>
      <c r="D117" s="354"/>
      <c r="E117" s="354">
        <f t="shared" si="1"/>
        <v>0</v>
      </c>
      <c r="F117" s="356" t="s">
        <v>14</v>
      </c>
      <c r="G117" s="344">
        <f>IF(F117="FACTURA",E117*1,IF(F117=$I$3,E117/0.92,))</f>
        <v>0</v>
      </c>
    </row>
    <row r="118" spans="1:7" x14ac:dyDescent="0.25">
      <c r="A118" s="362"/>
      <c r="B118" s="352"/>
      <c r="C118" s="353"/>
      <c r="D118" s="354"/>
      <c r="E118" s="355">
        <f t="shared" si="1"/>
        <v>0</v>
      </c>
      <c r="F118" s="357" t="s">
        <v>14</v>
      </c>
      <c r="G118" s="344">
        <f>IF(F118="FACTURA",E118*1,IF(F118=$I$3,E118/0.92,))</f>
        <v>0</v>
      </c>
    </row>
    <row r="119" spans="1:7" x14ac:dyDescent="0.25">
      <c r="A119" s="362"/>
      <c r="B119" s="352"/>
      <c r="C119" s="353"/>
      <c r="D119" s="354"/>
      <c r="E119" s="355">
        <f t="shared" si="1"/>
        <v>0</v>
      </c>
      <c r="F119" s="357" t="s">
        <v>1492</v>
      </c>
      <c r="G119" s="344">
        <f>IF(F119="FACTURA",E119*1,IF(F119=$I$3,E119/0.92,))</f>
        <v>0</v>
      </c>
    </row>
    <row r="120" spans="1:7" x14ac:dyDescent="0.25">
      <c r="A120" s="362"/>
      <c r="B120" s="352"/>
      <c r="C120" s="353"/>
      <c r="D120" s="354"/>
      <c r="E120" s="355">
        <f t="shared" si="1"/>
        <v>0</v>
      </c>
      <c r="F120" s="357" t="s">
        <v>14</v>
      </c>
      <c r="G120" s="344">
        <f>IF(F120="FACTURA",E120*1,IF(F120=$I$3,E120/0.92,))</f>
        <v>0</v>
      </c>
    </row>
    <row r="121" spans="1:7" ht="15.75" thickBot="1" x14ac:dyDescent="0.3">
      <c r="A121" s="363"/>
      <c r="B121" s="359"/>
      <c r="C121" s="372"/>
      <c r="D121" s="354"/>
      <c r="E121" s="360">
        <f t="shared" si="1"/>
        <v>0</v>
      </c>
      <c r="F121" s="361" t="s">
        <v>14</v>
      </c>
      <c r="G121" s="344">
        <f>IF(F121="FACTURA",E121*1,IF(F121=$I$3,E121/0.92,))</f>
        <v>0</v>
      </c>
    </row>
    <row r="122" spans="1:7" ht="15.75" thickBot="1" x14ac:dyDescent="0.3">
      <c r="A122" s="350">
        <v>6.5</v>
      </c>
      <c r="B122" s="475" t="s">
        <v>1473</v>
      </c>
      <c r="C122" s="476"/>
      <c r="D122" s="476"/>
      <c r="E122" s="476"/>
      <c r="F122" s="477"/>
      <c r="G122" s="342">
        <f>SUM(G123:G127)</f>
        <v>0</v>
      </c>
    </row>
    <row r="123" spans="1:7" x14ac:dyDescent="0.25">
      <c r="A123" s="351"/>
      <c r="B123" s="352" t="s">
        <v>1474</v>
      </c>
      <c r="C123" s="353"/>
      <c r="D123" s="354"/>
      <c r="E123" s="354">
        <f t="shared" si="1"/>
        <v>0</v>
      </c>
      <c r="F123" s="356" t="s">
        <v>14</v>
      </c>
      <c r="G123" s="344">
        <f>IF(F123="FACTURA",E123*1,IF(F123=$I$3,E123/0.92,))</f>
        <v>0</v>
      </c>
    </row>
    <row r="124" spans="1:7" x14ac:dyDescent="0.25">
      <c r="A124" s="362"/>
      <c r="B124" s="352"/>
      <c r="C124" s="353"/>
      <c r="D124" s="354"/>
      <c r="E124" s="355">
        <f t="shared" si="1"/>
        <v>0</v>
      </c>
      <c r="F124" s="357" t="s">
        <v>14</v>
      </c>
      <c r="G124" s="344">
        <f>IF(F124="FACTURA",E124*1,IF(F124=$I$3,E124/0.92,))</f>
        <v>0</v>
      </c>
    </row>
    <row r="125" spans="1:7" x14ac:dyDescent="0.25">
      <c r="A125" s="362"/>
      <c r="B125" s="352"/>
      <c r="C125" s="353"/>
      <c r="D125" s="354"/>
      <c r="E125" s="355">
        <f t="shared" si="1"/>
        <v>0</v>
      </c>
      <c r="F125" s="357" t="s">
        <v>1492</v>
      </c>
      <c r="G125" s="344">
        <f>IF(F125="FACTURA",E125*1,IF(F125=$I$3,E125/0.92,))</f>
        <v>0</v>
      </c>
    </row>
    <row r="126" spans="1:7" x14ac:dyDescent="0.25">
      <c r="A126" s="362"/>
      <c r="B126" s="352"/>
      <c r="C126" s="353"/>
      <c r="D126" s="354"/>
      <c r="E126" s="355">
        <f t="shared" si="1"/>
        <v>0</v>
      </c>
      <c r="F126" s="357" t="s">
        <v>14</v>
      </c>
      <c r="G126" s="344">
        <f>IF(F126="FACTURA",E126*1,IF(F126=$I$3,E126/0.92,))</f>
        <v>0</v>
      </c>
    </row>
    <row r="127" spans="1:7" ht="15.75" thickBot="1" x14ac:dyDescent="0.3">
      <c r="A127" s="363"/>
      <c r="B127" s="359"/>
      <c r="C127" s="353"/>
      <c r="D127" s="354"/>
      <c r="E127" s="360">
        <f t="shared" si="1"/>
        <v>0</v>
      </c>
      <c r="F127" s="361" t="s">
        <v>14</v>
      </c>
      <c r="G127" s="344">
        <f>IF(F127="FACTURA",E127*1,IF(F127=$I$3,E127/0.92,))</f>
        <v>0</v>
      </c>
    </row>
    <row r="128" spans="1:7" ht="15.75" thickBot="1" x14ac:dyDescent="0.3">
      <c r="A128" s="350">
        <v>6.6</v>
      </c>
      <c r="B128" s="475" t="s">
        <v>1475</v>
      </c>
      <c r="C128" s="476"/>
      <c r="D128" s="476"/>
      <c r="E128" s="476"/>
      <c r="F128" s="477"/>
      <c r="G128" s="342">
        <f>SUM(G129:G133)</f>
        <v>0</v>
      </c>
    </row>
    <row r="129" spans="1:7" x14ac:dyDescent="0.25">
      <c r="A129" s="351"/>
      <c r="B129" s="352"/>
      <c r="C129" s="353"/>
      <c r="D129" s="354"/>
      <c r="E129" s="354">
        <f t="shared" si="1"/>
        <v>0</v>
      </c>
      <c r="F129" s="356" t="s">
        <v>14</v>
      </c>
      <c r="G129" s="344">
        <f>IF(F129="FACTURA",E129*1,IF(F129=$I$3,E129/0.92,))</f>
        <v>0</v>
      </c>
    </row>
    <row r="130" spans="1:7" x14ac:dyDescent="0.25">
      <c r="A130" s="362"/>
      <c r="B130" s="352"/>
      <c r="C130" s="353"/>
      <c r="D130" s="354"/>
      <c r="E130" s="355">
        <f t="shared" si="1"/>
        <v>0</v>
      </c>
      <c r="F130" s="357" t="s">
        <v>14</v>
      </c>
      <c r="G130" s="344">
        <f>IF(F130="FACTURA",E130*1,IF(F130=$I$3,E130/0.92,))</f>
        <v>0</v>
      </c>
    </row>
    <row r="131" spans="1:7" x14ac:dyDescent="0.25">
      <c r="A131" s="362"/>
      <c r="B131" s="352"/>
      <c r="C131" s="353"/>
      <c r="D131" s="354"/>
      <c r="E131" s="355">
        <f t="shared" si="1"/>
        <v>0</v>
      </c>
      <c r="F131" s="357" t="s">
        <v>1492</v>
      </c>
      <c r="G131" s="344">
        <f>IF(F131="FACTURA",E131*1,IF(F131=$I$3,E131/0.92,))</f>
        <v>0</v>
      </c>
    </row>
    <row r="132" spans="1:7" x14ac:dyDescent="0.25">
      <c r="A132" s="362"/>
      <c r="B132" s="352"/>
      <c r="C132" s="353"/>
      <c r="D132" s="354"/>
      <c r="E132" s="355">
        <f t="shared" si="1"/>
        <v>0</v>
      </c>
      <c r="F132" s="357" t="s">
        <v>14</v>
      </c>
      <c r="G132" s="344">
        <f>IF(F132="FACTURA",E132*1,IF(F132=$I$3,E132/0.92,))</f>
        <v>0</v>
      </c>
    </row>
    <row r="133" spans="1:7" ht="15.75" thickBot="1" x14ac:dyDescent="0.3">
      <c r="A133" s="363"/>
      <c r="B133" s="359"/>
      <c r="C133" s="353"/>
      <c r="D133" s="354"/>
      <c r="E133" s="360">
        <f t="shared" si="1"/>
        <v>0</v>
      </c>
      <c r="F133" s="361" t="s">
        <v>14</v>
      </c>
      <c r="G133" s="344">
        <f>IF(F133="FACTURA",E133*1,IF(F133=$I$3,E133/0.92,))</f>
        <v>0</v>
      </c>
    </row>
    <row r="134" spans="1:7" ht="15.75" thickBot="1" x14ac:dyDescent="0.3">
      <c r="A134" s="350">
        <v>6.7</v>
      </c>
      <c r="B134" s="475" t="s">
        <v>1476</v>
      </c>
      <c r="C134" s="476"/>
      <c r="D134" s="476"/>
      <c r="E134" s="476"/>
      <c r="F134" s="477"/>
      <c r="G134" s="342">
        <f>SUM(G135:G139)</f>
        <v>0</v>
      </c>
    </row>
    <row r="135" spans="1:7" x14ac:dyDescent="0.25">
      <c r="A135" s="364"/>
      <c r="B135" s="352"/>
      <c r="C135" s="353"/>
      <c r="D135" s="354"/>
      <c r="E135" s="354">
        <f t="shared" si="1"/>
        <v>0</v>
      </c>
      <c r="F135" s="356" t="s">
        <v>14</v>
      </c>
      <c r="G135" s="344">
        <f>IF(F135="FACTURA",E135*1,IF(F135=$I$3,E135/0.92,))</f>
        <v>0</v>
      </c>
    </row>
    <row r="136" spans="1:7" x14ac:dyDescent="0.25">
      <c r="A136" s="365"/>
      <c r="B136" s="352"/>
      <c r="C136" s="353"/>
      <c r="D136" s="354"/>
      <c r="E136" s="355">
        <f t="shared" si="1"/>
        <v>0</v>
      </c>
      <c r="F136" s="357" t="s">
        <v>1492</v>
      </c>
      <c r="G136" s="344">
        <f>IF(F136="FACTURA",E136*1,IF(F136=$I$3,E136/0.92,))</f>
        <v>0</v>
      </c>
    </row>
    <row r="137" spans="1:7" x14ac:dyDescent="0.25">
      <c r="A137" s="365"/>
      <c r="B137" s="352"/>
      <c r="C137" s="353"/>
      <c r="D137" s="354"/>
      <c r="E137" s="355">
        <f t="shared" si="1"/>
        <v>0</v>
      </c>
      <c r="F137" s="357" t="s">
        <v>14</v>
      </c>
      <c r="G137" s="344">
        <f>IF(F137="FACTURA",E137*1,IF(F137=$I$3,E137/0.92,))</f>
        <v>0</v>
      </c>
    </row>
    <row r="138" spans="1:7" x14ac:dyDescent="0.25">
      <c r="A138" s="365"/>
      <c r="B138" s="352"/>
      <c r="C138" s="353"/>
      <c r="D138" s="354"/>
      <c r="E138" s="355">
        <f t="shared" si="1"/>
        <v>0</v>
      </c>
      <c r="F138" s="357" t="s">
        <v>14</v>
      </c>
      <c r="G138" s="344">
        <f>IF(F138="FACTURA",E138*1,IF(F138=$I$3,E138/0.92,))</f>
        <v>0</v>
      </c>
    </row>
    <row r="139" spans="1:7" ht="15.75" thickBot="1" x14ac:dyDescent="0.3">
      <c r="A139" s="366"/>
      <c r="B139" s="359"/>
      <c r="C139" s="353"/>
      <c r="D139" s="354"/>
      <c r="E139" s="360">
        <f t="shared" ref="E139:E194" si="2">+D139*C139</f>
        <v>0</v>
      </c>
      <c r="F139" s="361" t="s">
        <v>14</v>
      </c>
      <c r="G139" s="344">
        <f>IF(F139="FACTURA",E139*1,IF(F139=$I$3,E139/0.92,))</f>
        <v>0</v>
      </c>
    </row>
    <row r="140" spans="1:7" ht="15.75" thickBot="1" x14ac:dyDescent="0.3">
      <c r="A140" s="348">
        <v>7</v>
      </c>
      <c r="B140" s="471" t="s">
        <v>1477</v>
      </c>
      <c r="C140" s="472"/>
      <c r="D140" s="472"/>
      <c r="E140" s="472"/>
      <c r="F140" s="473"/>
      <c r="G140" s="342">
        <f>G141+G147+G153+G159+G165+G171+G177+G183+G189</f>
        <v>0</v>
      </c>
    </row>
    <row r="141" spans="1:7" ht="15.75" thickBot="1" x14ac:dyDescent="0.3">
      <c r="A141" s="350">
        <v>7.1</v>
      </c>
      <c r="B141" s="475" t="s">
        <v>1478</v>
      </c>
      <c r="C141" s="476"/>
      <c r="D141" s="476"/>
      <c r="E141" s="476"/>
      <c r="F141" s="477"/>
      <c r="G141" s="342">
        <f>SUM(G142:G146)</f>
        <v>0</v>
      </c>
    </row>
    <row r="142" spans="1:7" x14ac:dyDescent="0.25">
      <c r="A142" s="351"/>
      <c r="B142" s="352"/>
      <c r="C142" s="353"/>
      <c r="D142" s="354"/>
      <c r="E142" s="354">
        <f t="shared" si="2"/>
        <v>0</v>
      </c>
      <c r="F142" s="356" t="s">
        <v>14</v>
      </c>
      <c r="G142" s="344">
        <f>IF(F142="FACTURA",E142*1,IF(F142=$I$3,E142/0.845,))</f>
        <v>0</v>
      </c>
    </row>
    <row r="143" spans="1:7" x14ac:dyDescent="0.25">
      <c r="A143" s="362"/>
      <c r="B143" s="352"/>
      <c r="C143" s="353"/>
      <c r="D143" s="354"/>
      <c r="E143" s="355">
        <f t="shared" si="2"/>
        <v>0</v>
      </c>
      <c r="F143" s="357" t="s">
        <v>14</v>
      </c>
      <c r="G143" s="344">
        <f>IF(F143="FACTURA",E143*1,IF(F143=$I$3,E143/0.845,))</f>
        <v>0</v>
      </c>
    </row>
    <row r="144" spans="1:7" x14ac:dyDescent="0.25">
      <c r="A144" s="362"/>
      <c r="B144" s="352"/>
      <c r="C144" s="353"/>
      <c r="D144" s="354"/>
      <c r="E144" s="355">
        <f t="shared" si="2"/>
        <v>0</v>
      </c>
      <c r="F144" s="357" t="s">
        <v>1492</v>
      </c>
      <c r="G144" s="344">
        <f>IF(F144="FACTURA",E144*1,IF(F144=$I$3,E144/0.845,))</f>
        <v>0</v>
      </c>
    </row>
    <row r="145" spans="1:7" x14ac:dyDescent="0.25">
      <c r="A145" s="362"/>
      <c r="B145" s="352"/>
      <c r="C145" s="353"/>
      <c r="D145" s="354"/>
      <c r="E145" s="355">
        <f t="shared" si="2"/>
        <v>0</v>
      </c>
      <c r="F145" s="357" t="s">
        <v>14</v>
      </c>
      <c r="G145" s="344">
        <f>IF(F145="FACTURA",E145*1,IF(F145=$I$3,E145/0.845,))</f>
        <v>0</v>
      </c>
    </row>
    <row r="146" spans="1:7" ht="15.75" thickBot="1" x14ac:dyDescent="0.3">
      <c r="A146" s="363"/>
      <c r="B146" s="359"/>
      <c r="C146" s="353"/>
      <c r="D146" s="354"/>
      <c r="E146" s="360">
        <f t="shared" si="2"/>
        <v>0</v>
      </c>
      <c r="F146" s="361" t="s">
        <v>14</v>
      </c>
      <c r="G146" s="344">
        <f>IF(F146="FACTURA",E146*1,IF(F146=$I$3,E146/0.845,))</f>
        <v>0</v>
      </c>
    </row>
    <row r="147" spans="1:7" ht="15.75" thickBot="1" x14ac:dyDescent="0.3">
      <c r="A147" s="350">
        <v>7.2</v>
      </c>
      <c r="B147" s="475" t="s">
        <v>1479</v>
      </c>
      <c r="C147" s="476"/>
      <c r="D147" s="476"/>
      <c r="E147" s="476"/>
      <c r="F147" s="477"/>
      <c r="G147" s="342">
        <f>SUM(G148:G152)</f>
        <v>0</v>
      </c>
    </row>
    <row r="148" spans="1:7" x14ac:dyDescent="0.25">
      <c r="A148" s="351"/>
      <c r="B148" s="352"/>
      <c r="C148" s="353"/>
      <c r="D148" s="354"/>
      <c r="E148" s="354">
        <f t="shared" si="2"/>
        <v>0</v>
      </c>
      <c r="F148" s="356" t="s">
        <v>14</v>
      </c>
      <c r="G148" s="344">
        <f>IF(F148="FACTURA",E148*1,IF(F148=$I$3,E148/0.845,))</f>
        <v>0</v>
      </c>
    </row>
    <row r="149" spans="1:7" x14ac:dyDescent="0.25">
      <c r="A149" s="362"/>
      <c r="B149" s="352"/>
      <c r="C149" s="353"/>
      <c r="D149" s="354"/>
      <c r="E149" s="355">
        <f t="shared" si="2"/>
        <v>0</v>
      </c>
      <c r="F149" s="357" t="s">
        <v>14</v>
      </c>
      <c r="G149" s="344">
        <f>IF(F149="FACTURA",E149*1,IF(F149=$I$3,E149/0.845,))</f>
        <v>0</v>
      </c>
    </row>
    <row r="150" spans="1:7" x14ac:dyDescent="0.25">
      <c r="A150" s="362"/>
      <c r="B150" s="352"/>
      <c r="C150" s="353"/>
      <c r="D150" s="354"/>
      <c r="E150" s="355">
        <f t="shared" si="2"/>
        <v>0</v>
      </c>
      <c r="F150" s="357" t="s">
        <v>14</v>
      </c>
      <c r="G150" s="344">
        <f>IF(F150="FACTURA",E150*1,IF(F150=$I$3,E150/0.845,))</f>
        <v>0</v>
      </c>
    </row>
    <row r="151" spans="1:7" x14ac:dyDescent="0.25">
      <c r="A151" s="362"/>
      <c r="B151" s="352"/>
      <c r="C151" s="353"/>
      <c r="D151" s="354"/>
      <c r="E151" s="355">
        <f t="shared" si="2"/>
        <v>0</v>
      </c>
      <c r="F151" s="357" t="s">
        <v>1492</v>
      </c>
      <c r="G151" s="344">
        <f>IF(F151="FACTURA",E151*1,IF(F151=$I$3,E151/0.845,))</f>
        <v>0</v>
      </c>
    </row>
    <row r="152" spans="1:7" ht="15.75" thickBot="1" x14ac:dyDescent="0.3">
      <c r="A152" s="363"/>
      <c r="B152" s="359"/>
      <c r="C152" s="353"/>
      <c r="D152" s="354"/>
      <c r="E152" s="360">
        <f t="shared" si="2"/>
        <v>0</v>
      </c>
      <c r="F152" s="361" t="s">
        <v>14</v>
      </c>
      <c r="G152" s="344">
        <f>IF(F152="FACTURA",E152*1,IF(F152=$I$3,E152/0.845,))</f>
        <v>0</v>
      </c>
    </row>
    <row r="153" spans="1:7" ht="15.75" thickBot="1" x14ac:dyDescent="0.3">
      <c r="A153" s="350">
        <v>7.3</v>
      </c>
      <c r="B153" s="475" t="s">
        <v>1480</v>
      </c>
      <c r="C153" s="476"/>
      <c r="D153" s="476"/>
      <c r="E153" s="476"/>
      <c r="F153" s="477"/>
      <c r="G153" s="342">
        <f>SUM(G154:G158)</f>
        <v>0</v>
      </c>
    </row>
    <row r="154" spans="1:7" x14ac:dyDescent="0.25">
      <c r="A154" s="351"/>
      <c r="B154" s="352"/>
      <c r="C154" s="353"/>
      <c r="D154" s="354"/>
      <c r="E154" s="354">
        <f t="shared" si="2"/>
        <v>0</v>
      </c>
      <c r="F154" s="356" t="s">
        <v>14</v>
      </c>
      <c r="G154" s="344">
        <f>IF(F154="FACTURA",E154*1,IF(F154=$I$3,E154/0.845,))</f>
        <v>0</v>
      </c>
    </row>
    <row r="155" spans="1:7" x14ac:dyDescent="0.25">
      <c r="A155" s="362"/>
      <c r="B155" s="352"/>
      <c r="C155" s="353"/>
      <c r="D155" s="354"/>
      <c r="E155" s="355">
        <f t="shared" si="2"/>
        <v>0</v>
      </c>
      <c r="F155" s="357" t="s">
        <v>14</v>
      </c>
      <c r="G155" s="344">
        <f>IF(F155="FACTURA",E155*1,IF(F155=$I$3,E155/0.845,))</f>
        <v>0</v>
      </c>
    </row>
    <row r="156" spans="1:7" x14ac:dyDescent="0.25">
      <c r="A156" s="362"/>
      <c r="B156" s="352"/>
      <c r="C156" s="353"/>
      <c r="D156" s="354"/>
      <c r="E156" s="355">
        <f t="shared" si="2"/>
        <v>0</v>
      </c>
      <c r="F156" s="357" t="s">
        <v>1492</v>
      </c>
      <c r="G156" s="344">
        <f>IF(F156="FACTURA",E156*1,IF(F156=$I$3,E156/0.845,))</f>
        <v>0</v>
      </c>
    </row>
    <row r="157" spans="1:7" x14ac:dyDescent="0.25">
      <c r="A157" s="362"/>
      <c r="B157" s="352"/>
      <c r="C157" s="353"/>
      <c r="D157" s="354"/>
      <c r="E157" s="355">
        <f t="shared" si="2"/>
        <v>0</v>
      </c>
      <c r="F157" s="357" t="s">
        <v>14</v>
      </c>
      <c r="G157" s="344">
        <f>IF(F157="FACTURA",E157*1,IF(F157=$I$3,E157/0.845,))</f>
        <v>0</v>
      </c>
    </row>
    <row r="158" spans="1:7" ht="15.75" thickBot="1" x14ac:dyDescent="0.3">
      <c r="A158" s="363"/>
      <c r="B158" s="359"/>
      <c r="C158" s="353"/>
      <c r="D158" s="354"/>
      <c r="E158" s="360">
        <f t="shared" si="2"/>
        <v>0</v>
      </c>
      <c r="F158" s="361" t="s">
        <v>14</v>
      </c>
      <c r="G158" s="344">
        <f>IF(F158="FACTURA",E158*1,IF(F158=$I$3,E158/0.845,))</f>
        <v>0</v>
      </c>
    </row>
    <row r="159" spans="1:7" ht="15.75" thickBot="1" x14ac:dyDescent="0.3">
      <c r="A159" s="350">
        <v>7.4</v>
      </c>
      <c r="B159" s="475" t="s">
        <v>1481</v>
      </c>
      <c r="C159" s="476"/>
      <c r="D159" s="476"/>
      <c r="E159" s="476"/>
      <c r="F159" s="477"/>
      <c r="G159" s="342">
        <f>SUM(G160:G164)</f>
        <v>0</v>
      </c>
    </row>
    <row r="160" spans="1:7" x14ac:dyDescent="0.25">
      <c r="A160" s="351"/>
      <c r="B160" s="352"/>
      <c r="C160" s="353"/>
      <c r="D160" s="354"/>
      <c r="E160" s="354">
        <f t="shared" si="2"/>
        <v>0</v>
      </c>
      <c r="F160" s="356" t="s">
        <v>14</v>
      </c>
      <c r="G160" s="344">
        <f>IF(F160="FACTURA",E160*1,IF(F160=$I$3,E160/0.845,))</f>
        <v>0</v>
      </c>
    </row>
    <row r="161" spans="1:7" x14ac:dyDescent="0.25">
      <c r="A161" s="362"/>
      <c r="B161" s="352"/>
      <c r="C161" s="353"/>
      <c r="D161" s="354"/>
      <c r="E161" s="355">
        <f t="shared" si="2"/>
        <v>0</v>
      </c>
      <c r="F161" s="357" t="s">
        <v>14</v>
      </c>
      <c r="G161" s="344">
        <f>IF(F161="FACTURA",E161*1,IF(F161=$I$3,E161/0.845,))</f>
        <v>0</v>
      </c>
    </row>
    <row r="162" spans="1:7" x14ac:dyDescent="0.25">
      <c r="A162" s="362"/>
      <c r="B162" s="352"/>
      <c r="C162" s="353"/>
      <c r="D162" s="354"/>
      <c r="E162" s="355">
        <f t="shared" si="2"/>
        <v>0</v>
      </c>
      <c r="F162" s="357" t="s">
        <v>14</v>
      </c>
      <c r="G162" s="344">
        <f>IF(F162="FACTURA",E162*1,IF(F162=$I$3,E162/0.845,))</f>
        <v>0</v>
      </c>
    </row>
    <row r="163" spans="1:7" x14ac:dyDescent="0.25">
      <c r="A163" s="362"/>
      <c r="B163" s="352"/>
      <c r="C163" s="353"/>
      <c r="D163" s="354"/>
      <c r="E163" s="355">
        <f t="shared" si="2"/>
        <v>0</v>
      </c>
      <c r="F163" s="357" t="s">
        <v>14</v>
      </c>
      <c r="G163" s="344">
        <f>IF(F163="FACTURA",E163*1,IF(F163=$I$3,E163/0.845,))</f>
        <v>0</v>
      </c>
    </row>
    <row r="164" spans="1:7" ht="15.75" thickBot="1" x14ac:dyDescent="0.3">
      <c r="A164" s="363"/>
      <c r="B164" s="359"/>
      <c r="C164" s="353"/>
      <c r="D164" s="354"/>
      <c r="E164" s="360">
        <f t="shared" si="2"/>
        <v>0</v>
      </c>
      <c r="F164" s="361" t="s">
        <v>1492</v>
      </c>
      <c r="G164" s="344">
        <f>IF(F164="FACTURA",E164*1,IF(F164=$I$3,E164/0.845,))</f>
        <v>0</v>
      </c>
    </row>
    <row r="165" spans="1:7" ht="15.75" thickBot="1" x14ac:dyDescent="0.3">
      <c r="A165" s="350">
        <v>7.5</v>
      </c>
      <c r="B165" s="475" t="s">
        <v>1482</v>
      </c>
      <c r="C165" s="476"/>
      <c r="D165" s="476"/>
      <c r="E165" s="476"/>
      <c r="F165" s="477"/>
      <c r="G165" s="342">
        <f>SUM(G166:G170)</f>
        <v>0</v>
      </c>
    </row>
    <row r="166" spans="1:7" x14ac:dyDescent="0.25">
      <c r="A166" s="351"/>
      <c r="B166" s="352"/>
      <c r="C166" s="353"/>
      <c r="D166" s="354"/>
      <c r="E166" s="354">
        <f t="shared" si="2"/>
        <v>0</v>
      </c>
      <c r="F166" s="356" t="s">
        <v>14</v>
      </c>
      <c r="G166" s="344">
        <f>IF(F166="FACTURA",E166*1,IF(F166=$I$3,E166/0.845,))</f>
        <v>0</v>
      </c>
    </row>
    <row r="167" spans="1:7" x14ac:dyDescent="0.25">
      <c r="A167" s="362"/>
      <c r="B167" s="352"/>
      <c r="C167" s="353"/>
      <c r="D167" s="354"/>
      <c r="E167" s="355">
        <f t="shared" si="2"/>
        <v>0</v>
      </c>
      <c r="F167" s="357" t="s">
        <v>14</v>
      </c>
      <c r="G167" s="344">
        <f>IF(F167="FACTURA",E167*1,IF(F167=$I$3,E167/0.845,))</f>
        <v>0</v>
      </c>
    </row>
    <row r="168" spans="1:7" x14ac:dyDescent="0.25">
      <c r="A168" s="362"/>
      <c r="B168" s="352"/>
      <c r="C168" s="353"/>
      <c r="D168" s="354"/>
      <c r="E168" s="355">
        <f t="shared" si="2"/>
        <v>0</v>
      </c>
      <c r="F168" s="357" t="s">
        <v>1492</v>
      </c>
      <c r="G168" s="344">
        <f>IF(F168="FACTURA",E168*1,IF(F168=$I$3,E168/0.845,))</f>
        <v>0</v>
      </c>
    </row>
    <row r="169" spans="1:7" x14ac:dyDescent="0.25">
      <c r="A169" s="362"/>
      <c r="B169" s="352"/>
      <c r="C169" s="353"/>
      <c r="D169" s="354"/>
      <c r="E169" s="355">
        <f t="shared" si="2"/>
        <v>0</v>
      </c>
      <c r="F169" s="357" t="s">
        <v>14</v>
      </c>
      <c r="G169" s="344">
        <f>IF(F169="FACTURA",E169*1,IF(F169=$I$3,E169/0.845,))</f>
        <v>0</v>
      </c>
    </row>
    <row r="170" spans="1:7" ht="15.75" thickBot="1" x14ac:dyDescent="0.3">
      <c r="A170" s="363"/>
      <c r="B170" s="359"/>
      <c r="C170" s="353"/>
      <c r="D170" s="354"/>
      <c r="E170" s="360">
        <f t="shared" si="2"/>
        <v>0</v>
      </c>
      <c r="F170" s="361" t="s">
        <v>14</v>
      </c>
      <c r="G170" s="344">
        <f>IF(F170="FACTURA",E170*1,IF(F170=$I$3,E170/0.845,))</f>
        <v>0</v>
      </c>
    </row>
    <row r="171" spans="1:7" ht="15.75" thickBot="1" x14ac:dyDescent="0.3">
      <c r="A171" s="350">
        <v>7.6</v>
      </c>
      <c r="B171" s="475" t="s">
        <v>1483</v>
      </c>
      <c r="C171" s="476"/>
      <c r="D171" s="476"/>
      <c r="E171" s="476"/>
      <c r="F171" s="477"/>
      <c r="G171" s="342">
        <f>SUM(G172:G176)</f>
        <v>0</v>
      </c>
    </row>
    <row r="172" spans="1:7" x14ac:dyDescent="0.25">
      <c r="A172" s="351"/>
      <c r="B172" s="352"/>
      <c r="C172" s="353"/>
      <c r="D172" s="354"/>
      <c r="E172" s="354">
        <f t="shared" si="2"/>
        <v>0</v>
      </c>
      <c r="F172" s="356" t="s">
        <v>14</v>
      </c>
      <c r="G172" s="344">
        <f>IF(F172="FACTURA",E172*1,IF(F172=$I$3,E172/0.845,))</f>
        <v>0</v>
      </c>
    </row>
    <row r="173" spans="1:7" x14ac:dyDescent="0.25">
      <c r="A173" s="362"/>
      <c r="B173" s="352"/>
      <c r="C173" s="353"/>
      <c r="D173" s="354"/>
      <c r="E173" s="355">
        <f t="shared" si="2"/>
        <v>0</v>
      </c>
      <c r="F173" s="357" t="s">
        <v>14</v>
      </c>
      <c r="G173" s="344">
        <f>IF(F173="FACTURA",E173*1,IF(F173=$I$3,E173/0.845,))</f>
        <v>0</v>
      </c>
    </row>
    <row r="174" spans="1:7" x14ac:dyDescent="0.25">
      <c r="A174" s="362"/>
      <c r="B174" s="352"/>
      <c r="C174" s="353"/>
      <c r="D174" s="354"/>
      <c r="E174" s="355">
        <f t="shared" si="2"/>
        <v>0</v>
      </c>
      <c r="F174" s="357" t="s">
        <v>1492</v>
      </c>
      <c r="G174" s="344">
        <f>IF(F174="FACTURA",E174*1,IF(F174=$I$3,E174/0.845,))</f>
        <v>0</v>
      </c>
    </row>
    <row r="175" spans="1:7" x14ac:dyDescent="0.25">
      <c r="A175" s="362"/>
      <c r="B175" s="352"/>
      <c r="C175" s="353"/>
      <c r="D175" s="354"/>
      <c r="E175" s="355">
        <f t="shared" si="2"/>
        <v>0</v>
      </c>
      <c r="F175" s="357" t="s">
        <v>14</v>
      </c>
      <c r="G175" s="344">
        <f>IF(F175="FACTURA",E175*1,IF(F175=$I$3,E175/0.845,))</f>
        <v>0</v>
      </c>
    </row>
    <row r="176" spans="1:7" ht="15.75" thickBot="1" x14ac:dyDescent="0.3">
      <c r="A176" s="363"/>
      <c r="B176" s="359"/>
      <c r="C176" s="353"/>
      <c r="D176" s="354"/>
      <c r="E176" s="360">
        <f t="shared" si="2"/>
        <v>0</v>
      </c>
      <c r="F176" s="361" t="s">
        <v>14</v>
      </c>
      <c r="G176" s="344">
        <f>IF(F176="FACTURA",E176*1,IF(F176=$I$3,E176/0.845,))</f>
        <v>0</v>
      </c>
    </row>
    <row r="177" spans="1:7" ht="15.75" thickBot="1" x14ac:dyDescent="0.3">
      <c r="A177" s="350">
        <v>7.7</v>
      </c>
      <c r="B177" s="475" t="s">
        <v>1484</v>
      </c>
      <c r="C177" s="476"/>
      <c r="D177" s="476"/>
      <c r="E177" s="476"/>
      <c r="F177" s="477"/>
      <c r="G177" s="342">
        <f>SUM(G178:G182)</f>
        <v>0</v>
      </c>
    </row>
    <row r="178" spans="1:7" x14ac:dyDescent="0.25">
      <c r="A178" s="351"/>
      <c r="B178" s="352"/>
      <c r="C178" s="353"/>
      <c r="D178" s="354"/>
      <c r="E178" s="354">
        <f t="shared" si="2"/>
        <v>0</v>
      </c>
      <c r="F178" s="356" t="s">
        <v>14</v>
      </c>
      <c r="G178" s="344">
        <f>IF(F178="FACTURA",E178*1,IF(F178=$I$3,E178/0.845,))</f>
        <v>0</v>
      </c>
    </row>
    <row r="179" spans="1:7" x14ac:dyDescent="0.25">
      <c r="A179" s="362"/>
      <c r="B179" s="352"/>
      <c r="C179" s="353"/>
      <c r="D179" s="354"/>
      <c r="E179" s="355">
        <f t="shared" si="2"/>
        <v>0</v>
      </c>
      <c r="F179" s="357" t="s">
        <v>14</v>
      </c>
      <c r="G179" s="344">
        <f>IF(F179="FACTURA",E179*1,IF(F179=$I$3,E179/0.845,))</f>
        <v>0</v>
      </c>
    </row>
    <row r="180" spans="1:7" x14ac:dyDescent="0.25">
      <c r="A180" s="362"/>
      <c r="B180" s="352"/>
      <c r="C180" s="353"/>
      <c r="D180" s="354"/>
      <c r="E180" s="355">
        <f t="shared" si="2"/>
        <v>0</v>
      </c>
      <c r="F180" s="357" t="s">
        <v>1492</v>
      </c>
      <c r="G180" s="344">
        <f>IF(F180="FACTURA",E180*1,IF(F180=$I$3,E180/0.845,))</f>
        <v>0</v>
      </c>
    </row>
    <row r="181" spans="1:7" x14ac:dyDescent="0.25">
      <c r="A181" s="362"/>
      <c r="B181" s="352"/>
      <c r="C181" s="353"/>
      <c r="D181" s="354"/>
      <c r="E181" s="355">
        <f t="shared" si="2"/>
        <v>0</v>
      </c>
      <c r="F181" s="357" t="s">
        <v>14</v>
      </c>
      <c r="G181" s="344">
        <f>IF(F181="FACTURA",E181*1,IF(F181=$I$3,E181/0.845,))</f>
        <v>0</v>
      </c>
    </row>
    <row r="182" spans="1:7" ht="15.75" thickBot="1" x14ac:dyDescent="0.3">
      <c r="A182" s="363"/>
      <c r="B182" s="359"/>
      <c r="C182" s="353"/>
      <c r="D182" s="354"/>
      <c r="E182" s="360">
        <f t="shared" si="2"/>
        <v>0</v>
      </c>
      <c r="F182" s="361" t="s">
        <v>14</v>
      </c>
      <c r="G182" s="344">
        <f>IF(F182="FACTURA",E182*1,IF(F182=$I$3,E182/0.845,))</f>
        <v>0</v>
      </c>
    </row>
    <row r="183" spans="1:7" ht="15.75" thickBot="1" x14ac:dyDescent="0.3">
      <c r="A183" s="350">
        <v>7.8</v>
      </c>
      <c r="B183" s="475" t="s">
        <v>1485</v>
      </c>
      <c r="C183" s="476"/>
      <c r="D183" s="476"/>
      <c r="E183" s="476"/>
      <c r="F183" s="477"/>
      <c r="G183" s="342">
        <f>SUM(G184:G188)</f>
        <v>0</v>
      </c>
    </row>
    <row r="184" spans="1:7" x14ac:dyDescent="0.25">
      <c r="A184" s="351"/>
      <c r="B184" s="352"/>
      <c r="C184" s="353"/>
      <c r="D184" s="354"/>
      <c r="E184" s="354">
        <f t="shared" si="2"/>
        <v>0</v>
      </c>
      <c r="F184" s="356" t="s">
        <v>14</v>
      </c>
      <c r="G184" s="344">
        <f>IF(F184="FACTURA",E184*1,IF(F184=$I$3,E184/0.845,))</f>
        <v>0</v>
      </c>
    </row>
    <row r="185" spans="1:7" x14ac:dyDescent="0.25">
      <c r="A185" s="362"/>
      <c r="B185" s="352"/>
      <c r="C185" s="353"/>
      <c r="D185" s="354"/>
      <c r="E185" s="355">
        <f t="shared" si="2"/>
        <v>0</v>
      </c>
      <c r="F185" s="357" t="s">
        <v>14</v>
      </c>
      <c r="G185" s="344">
        <f>IF(F185="FACTURA",E185*1,IF(F185=$I$3,E185/0.845,))</f>
        <v>0</v>
      </c>
    </row>
    <row r="186" spans="1:7" x14ac:dyDescent="0.25">
      <c r="A186" s="362"/>
      <c r="B186" s="352"/>
      <c r="C186" s="353"/>
      <c r="D186" s="354"/>
      <c r="E186" s="355">
        <f t="shared" si="2"/>
        <v>0</v>
      </c>
      <c r="F186" s="357" t="s">
        <v>1492</v>
      </c>
      <c r="G186" s="344">
        <f>IF(F186="FACTURA",E186*1,IF(F186=$I$3,E186/0.845,))</f>
        <v>0</v>
      </c>
    </row>
    <row r="187" spans="1:7" x14ac:dyDescent="0.25">
      <c r="A187" s="362"/>
      <c r="B187" s="352"/>
      <c r="C187" s="353"/>
      <c r="D187" s="354"/>
      <c r="E187" s="355">
        <f t="shared" si="2"/>
        <v>0</v>
      </c>
      <c r="F187" s="357" t="s">
        <v>14</v>
      </c>
      <c r="G187" s="344">
        <f>IF(F187="FACTURA",E187*1,IF(F187=$I$3,E187/0.845,))</f>
        <v>0</v>
      </c>
    </row>
    <row r="188" spans="1:7" ht="15.75" thickBot="1" x14ac:dyDescent="0.3">
      <c r="A188" s="363"/>
      <c r="B188" s="359"/>
      <c r="C188" s="353"/>
      <c r="D188" s="354"/>
      <c r="E188" s="360">
        <f t="shared" si="2"/>
        <v>0</v>
      </c>
      <c r="F188" s="361" t="s">
        <v>14</v>
      </c>
      <c r="G188" s="344">
        <f>IF(F188="FACTURA",E188*1,IF(F188=$I$3,E188/0.845,))</f>
        <v>0</v>
      </c>
    </row>
    <row r="189" spans="1:7" ht="15.75" thickBot="1" x14ac:dyDescent="0.3">
      <c r="A189" s="350">
        <v>1</v>
      </c>
      <c r="B189" s="475" t="s">
        <v>1486</v>
      </c>
      <c r="C189" s="476"/>
      <c r="D189" s="476"/>
      <c r="E189" s="476"/>
      <c r="F189" s="477"/>
      <c r="G189" s="342">
        <f>SUM(G190:G194)</f>
        <v>0</v>
      </c>
    </row>
    <row r="190" spans="1:7" x14ac:dyDescent="0.25">
      <c r="A190" s="351"/>
      <c r="B190" s="352"/>
      <c r="C190" s="353"/>
      <c r="D190" s="354"/>
      <c r="E190" s="354">
        <f t="shared" si="2"/>
        <v>0</v>
      </c>
      <c r="F190" s="356" t="s">
        <v>14</v>
      </c>
      <c r="G190" s="344">
        <f>IF(F190="FACTURA",E190*1,IF(F190=$I$3,E190/0.845,))</f>
        <v>0</v>
      </c>
    </row>
    <row r="191" spans="1:7" x14ac:dyDescent="0.25">
      <c r="A191" s="362"/>
      <c r="B191" s="352"/>
      <c r="C191" s="353"/>
      <c r="D191" s="354"/>
      <c r="E191" s="355">
        <f t="shared" si="2"/>
        <v>0</v>
      </c>
      <c r="F191" s="357" t="s">
        <v>14</v>
      </c>
      <c r="G191" s="344">
        <f>IF(F191="FACTURA",E191*1,IF(F191=$I$3,E191/0.845,))</f>
        <v>0</v>
      </c>
    </row>
    <row r="192" spans="1:7" x14ac:dyDescent="0.25">
      <c r="A192" s="362"/>
      <c r="B192" s="352"/>
      <c r="C192" s="353"/>
      <c r="D192" s="354"/>
      <c r="E192" s="355">
        <f t="shared" si="2"/>
        <v>0</v>
      </c>
      <c r="F192" s="357" t="s">
        <v>1492</v>
      </c>
      <c r="G192" s="344">
        <f>IF(F192="FACTURA",E192*1,IF(F192=$I$3,E192/0.845,))</f>
        <v>0</v>
      </c>
    </row>
    <row r="193" spans="1:7" x14ac:dyDescent="0.25">
      <c r="A193" s="362"/>
      <c r="B193" s="352"/>
      <c r="C193" s="353"/>
      <c r="D193" s="354"/>
      <c r="E193" s="355">
        <f t="shared" si="2"/>
        <v>0</v>
      </c>
      <c r="F193" s="357" t="s">
        <v>14</v>
      </c>
      <c r="G193" s="344">
        <f>IF(F193="FACTURA",E193*1,IF(F193=$I$3,E193/0.845,))</f>
        <v>0</v>
      </c>
    </row>
    <row r="194" spans="1:7" ht="15.75" thickBot="1" x14ac:dyDescent="0.3">
      <c r="A194" s="374"/>
      <c r="B194" s="375"/>
      <c r="C194" s="376"/>
      <c r="D194" s="354"/>
      <c r="E194" s="355">
        <f t="shared" si="2"/>
        <v>0</v>
      </c>
      <c r="F194" s="357" t="s">
        <v>14</v>
      </c>
      <c r="G194" s="344">
        <f>IF(F194="FACTURA",E194*1,IF(F194=$I$3,E194/0.845,))</f>
        <v>0</v>
      </c>
    </row>
    <row r="195" spans="1:7" ht="15.75" thickBot="1" x14ac:dyDescent="0.3">
      <c r="G195" s="347">
        <f>G8+G15+G34+G59+G90+G97+G140</f>
        <v>44.062644713146383</v>
      </c>
    </row>
    <row r="197" spans="1:7" hidden="1" x14ac:dyDescent="0.25">
      <c r="G197" s="55">
        <f>+'HOJA D TRABAJO'!D256</f>
        <v>0.17</v>
      </c>
    </row>
    <row r="198" spans="1:7" hidden="1" x14ac:dyDescent="0.25">
      <c r="G198" s="55">
        <f>+G195*G197</f>
        <v>7.4906496012348853</v>
      </c>
    </row>
    <row r="199" spans="1:7" hidden="1" x14ac:dyDescent="0.25">
      <c r="G199" s="100">
        <f>+G195+G198</f>
        <v>51.553294314381269</v>
      </c>
    </row>
    <row r="200" spans="1:7" x14ac:dyDescent="0.25">
      <c r="A200" s="373"/>
    </row>
  </sheetData>
  <mergeCells count="38"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  <mergeCell ref="B122:F122"/>
    <mergeCell ref="B116:F116"/>
    <mergeCell ref="B110:F110"/>
    <mergeCell ref="B104:F104"/>
    <mergeCell ref="B97:F97"/>
    <mergeCell ref="B98:F98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8:F8"/>
    <mergeCell ref="B4:F4"/>
    <mergeCell ref="B34:F34"/>
    <mergeCell ref="B28:F28"/>
    <mergeCell ref="B22:F22"/>
    <mergeCell ref="B16:F16"/>
    <mergeCell ref="B15:F15"/>
    <mergeCell ref="B9:F9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16"/>
  <sheetViews>
    <sheetView zoomScaleNormal="100" workbookViewId="0">
      <selection activeCell="G20" sqref="G20"/>
    </sheetView>
  </sheetViews>
  <sheetFormatPr baseColWidth="10" defaultRowHeight="14.25" outlineLevelRow="2" x14ac:dyDescent="0.2"/>
  <cols>
    <col min="1" max="7" width="12.7109375" style="22" customWidth="1"/>
    <col min="8" max="8" width="3.140625" style="27" customWidth="1"/>
    <col min="9" max="15" width="12.7109375" style="22" customWidth="1"/>
    <col min="16" max="16384" width="11.42578125" style="22"/>
  </cols>
  <sheetData>
    <row r="2" spans="1:18" ht="27" x14ac:dyDescent="0.35">
      <c r="E2" s="478" t="str">
        <f>+'HOJA D TRABAJO'!D27</f>
        <v xml:space="preserve">COCHABAMBA </v>
      </c>
      <c r="F2" s="478"/>
      <c r="G2" s="478"/>
      <c r="H2" s="478"/>
      <c r="I2" s="478"/>
      <c r="J2" s="478"/>
      <c r="K2" s="478"/>
    </row>
    <row r="4" spans="1:18" ht="15" x14ac:dyDescent="0.25">
      <c r="A4" s="480" t="s">
        <v>1421</v>
      </c>
      <c r="B4" s="480"/>
      <c r="C4" s="480"/>
      <c r="D4" s="480"/>
      <c r="E4" s="480"/>
      <c r="F4" s="480"/>
      <c r="G4" s="480"/>
      <c r="H4" s="56"/>
      <c r="I4" s="480" t="s">
        <v>1421</v>
      </c>
      <c r="J4" s="480"/>
      <c r="K4" s="480"/>
      <c r="L4" s="480"/>
      <c r="M4" s="480"/>
      <c r="N4" s="480"/>
      <c r="O4" s="480"/>
    </row>
    <row r="5" spans="1:18" ht="15" x14ac:dyDescent="0.25">
      <c r="A5" s="58"/>
      <c r="B5" s="58" t="s">
        <v>1377</v>
      </c>
      <c r="C5" s="480" t="str">
        <f>+'HOJA D TRABAJO'!B29</f>
        <v xml:space="preserve">IMPULSADORA SUPERMERCADO HIPERMAXI SACABA </v>
      </c>
      <c r="D5" s="480"/>
      <c r="E5" s="480"/>
      <c r="F5" s="57" t="s">
        <v>2</v>
      </c>
      <c r="G5" s="57">
        <f>+'HOJA D TRABAJO'!D29</f>
        <v>2</v>
      </c>
      <c r="H5" s="56"/>
      <c r="I5" s="58"/>
      <c r="J5" s="58" t="s">
        <v>1377</v>
      </c>
      <c r="K5" s="480">
        <f>+'HOJA D TRABAJO'!B30</f>
        <v>0</v>
      </c>
      <c r="L5" s="480"/>
      <c r="M5" s="480"/>
      <c r="N5" s="57" t="s">
        <v>2</v>
      </c>
      <c r="O5" s="57">
        <f>+'HOJA D TRABAJO'!D30</f>
        <v>0</v>
      </c>
    </row>
    <row r="6" spans="1:18" x14ac:dyDescent="0.2">
      <c r="A6" s="479" t="s">
        <v>1378</v>
      </c>
      <c r="B6" s="479"/>
      <c r="C6" s="479"/>
      <c r="D6" s="479"/>
      <c r="E6" s="479"/>
      <c r="F6" s="479"/>
      <c r="G6" s="479"/>
      <c r="H6" s="23"/>
      <c r="I6" s="479" t="s">
        <v>1378</v>
      </c>
      <c r="J6" s="479"/>
      <c r="K6" s="479"/>
      <c r="L6" s="479"/>
      <c r="M6" s="479"/>
      <c r="N6" s="479"/>
      <c r="O6" s="479"/>
    </row>
    <row r="7" spans="1:18" x14ac:dyDescent="0.2">
      <c r="A7" s="28"/>
      <c r="B7" s="28"/>
      <c r="C7" s="28"/>
      <c r="D7" s="28"/>
      <c r="E7" s="28"/>
      <c r="F7" s="28"/>
      <c r="G7" s="28"/>
      <c r="H7" s="24"/>
      <c r="I7" s="28"/>
      <c r="J7" s="28"/>
      <c r="K7" s="28"/>
      <c r="L7" s="28"/>
      <c r="M7" s="28"/>
      <c r="N7" s="28"/>
      <c r="O7" s="28"/>
    </row>
    <row r="8" spans="1:18" x14ac:dyDescent="0.2">
      <c r="A8" s="481" t="str">
        <f>+"Costo líquido por " &amp; C5 &amp;  "(líquido pagable Bs.)"</f>
        <v>Costo líquido por IMPULSADORA SUPERMERCADO HIPERMAXI SACABA (líquido pagable Bs.)</v>
      </c>
      <c r="B8" s="481"/>
      <c r="C8" s="481"/>
      <c r="D8" s="481"/>
      <c r="E8" s="481"/>
      <c r="F8" s="481"/>
      <c r="G8" s="30">
        <f>+'HOJA D TRABAJO'!E29</f>
        <v>70</v>
      </c>
      <c r="H8" s="25"/>
      <c r="I8" s="481" t="str">
        <f>+"Costo líquido por " &amp; K5 &amp;  "(líquido pagable Bs.)"</f>
        <v>Costo líquido por 0(líquido pagable Bs.)</v>
      </c>
      <c r="J8" s="481"/>
      <c r="K8" s="481"/>
      <c r="L8" s="481"/>
      <c r="M8" s="481"/>
      <c r="N8" s="481"/>
      <c r="O8" s="30">
        <f>+'HOJA D TRABAJO'!E30</f>
        <v>0</v>
      </c>
      <c r="Q8" s="19"/>
    </row>
    <row r="9" spans="1:18" x14ac:dyDescent="0.2">
      <c r="A9" s="32" t="s">
        <v>1405</v>
      </c>
      <c r="B9" s="28"/>
      <c r="C9" s="28"/>
      <c r="D9" s="28"/>
      <c r="E9" s="28"/>
      <c r="F9" s="28"/>
      <c r="G9" s="30"/>
      <c r="H9" s="25"/>
      <c r="I9" s="32" t="s">
        <v>1376</v>
      </c>
      <c r="J9" s="28"/>
      <c r="K9" s="28"/>
      <c r="L9" s="28"/>
      <c r="M9" s="28"/>
      <c r="N9" s="28"/>
      <c r="O9" s="30"/>
      <c r="P9" s="19"/>
      <c r="Q9" s="20"/>
    </row>
    <row r="10" spans="1:18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82.84023668639054</v>
      </c>
      <c r="H10" s="25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  <c r="Q10" s="20"/>
    </row>
    <row r="11" spans="1:18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25"/>
      <c r="I11" s="35" t="s">
        <v>1397</v>
      </c>
      <c r="J11" s="28"/>
      <c r="K11" s="28"/>
      <c r="L11" s="28"/>
      <c r="M11" s="36">
        <v>0.125</v>
      </c>
      <c r="N11" s="28"/>
      <c r="O11" s="30"/>
      <c r="Q11" s="20"/>
    </row>
    <row r="12" spans="1:18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25"/>
      <c r="I12" s="35" t="s">
        <v>1398</v>
      </c>
      <c r="J12" s="28"/>
      <c r="K12" s="28"/>
      <c r="L12" s="28"/>
      <c r="M12" s="36">
        <v>0.03</v>
      </c>
      <c r="N12" s="28"/>
      <c r="O12" s="30"/>
      <c r="Q12" s="20"/>
    </row>
    <row r="13" spans="1:18" x14ac:dyDescent="0.2">
      <c r="A13" s="37" t="s">
        <v>1406</v>
      </c>
      <c r="B13" s="28"/>
      <c r="C13" s="28"/>
      <c r="D13" s="28"/>
      <c r="E13" s="36"/>
      <c r="F13" s="28"/>
      <c r="G13" s="30">
        <f>+(('HOJA D TRABAJO'!$H$23+'HOJA D TRABAJO'!$E$256)*'HOJA D TRABAJO'!F29)</f>
        <v>39.859487393877025</v>
      </c>
      <c r="H13" s="25"/>
      <c r="I13" s="37" t="s">
        <v>1375</v>
      </c>
      <c r="J13" s="28"/>
      <c r="K13" s="28"/>
      <c r="L13" s="28"/>
      <c r="M13" s="36"/>
      <c r="N13" s="28"/>
      <c r="O13" s="30">
        <f>+(('HOJA D TRABAJO'!$H$23+'HOJA D TRABAJO'!$E$256)*'HOJA D TRABAJO'!F30)</f>
        <v>0</v>
      </c>
      <c r="Q13" s="19"/>
    </row>
    <row r="14" spans="1:18" x14ac:dyDescent="0.2">
      <c r="A14" s="37" t="s">
        <v>1388</v>
      </c>
      <c r="B14" s="28"/>
      <c r="C14" s="28"/>
      <c r="D14" s="28"/>
      <c r="E14" s="102">
        <f>('HOJA D TRABAJO'!D259)</f>
        <v>5.4487179487179495E-4</v>
      </c>
      <c r="F14" s="28"/>
      <c r="G14" s="30">
        <f>+'HOJA D TRABAJO'!$E$259*'HOJA D TRABAJO'!$F$29</f>
        <v>2.3657959513714357</v>
      </c>
      <c r="H14" s="25"/>
      <c r="I14" s="37" t="s">
        <v>1387</v>
      </c>
      <c r="J14" s="28"/>
      <c r="K14" s="28"/>
      <c r="L14" s="28"/>
      <c r="M14" s="34">
        <f>$E$14</f>
        <v>5.4487179487179495E-4</v>
      </c>
      <c r="N14" s="28"/>
      <c r="O14" s="30">
        <f>+'HOJA D TRABAJO'!$E$259*'HOJA D TRABAJO'!$F$30</f>
        <v>0</v>
      </c>
      <c r="Q14" s="19"/>
    </row>
    <row r="15" spans="1:18" x14ac:dyDescent="0.2">
      <c r="A15" s="38" t="s">
        <v>1407</v>
      </c>
      <c r="B15" s="39"/>
      <c r="C15" s="39"/>
      <c r="D15" s="39"/>
      <c r="E15" s="40">
        <f>IF(OR('HOJA D TRABAJO'!H262="",'HOJA D TRABAJO'!H262=0),'HOJA D TRABAJO'!C262,'HOJA D TRABAJO'!H262)</f>
        <v>0.13</v>
      </c>
      <c r="F15" s="39"/>
      <c r="G15" s="41">
        <f>+(G10+G13+G14)*E15</f>
        <v>16.258517604113074</v>
      </c>
      <c r="H15" s="25"/>
      <c r="I15" s="38" t="s">
        <v>1374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  <c r="Q15" s="19"/>
      <c r="R15" s="19"/>
    </row>
    <row r="16" spans="1:18" ht="15" x14ac:dyDescent="0.25">
      <c r="A16" s="43" t="s">
        <v>1408</v>
      </c>
      <c r="B16" s="44"/>
      <c r="C16" s="44"/>
      <c r="D16" s="44"/>
      <c r="E16" s="44"/>
      <c r="F16" s="44"/>
      <c r="G16" s="45">
        <f>+SUM(G10:G15)</f>
        <v>141.32403763575209</v>
      </c>
      <c r="H16" s="26"/>
      <c r="I16" s="43" t="s">
        <v>1373</v>
      </c>
      <c r="J16" s="44"/>
      <c r="K16" s="44"/>
      <c r="L16" s="44"/>
      <c r="M16" s="44"/>
      <c r="N16" s="44"/>
      <c r="O16" s="45">
        <f>+SUM(O10:O15)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26.918864311571838</v>
      </c>
      <c r="H17" s="25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25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25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168.24290194732393</v>
      </c>
      <c r="H20" s="2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2" spans="1:15" outlineLevel="1" x14ac:dyDescent="0.2">
      <c r="E22" s="19"/>
    </row>
    <row r="23" spans="1:15" ht="15" outlineLevel="1" x14ac:dyDescent="0.25">
      <c r="A23" s="480" t="s">
        <v>1421</v>
      </c>
      <c r="B23" s="480"/>
      <c r="C23" s="480"/>
      <c r="D23" s="480"/>
      <c r="E23" s="480"/>
      <c r="F23" s="480"/>
      <c r="G23" s="480"/>
      <c r="H23" s="54"/>
      <c r="I23" s="480" t="s">
        <v>1421</v>
      </c>
      <c r="J23" s="480"/>
      <c r="K23" s="480"/>
      <c r="L23" s="480"/>
      <c r="M23" s="480"/>
      <c r="N23" s="480"/>
      <c r="O23" s="480"/>
    </row>
    <row r="24" spans="1:15" ht="15" outlineLevel="1" x14ac:dyDescent="0.25">
      <c r="A24" s="58"/>
      <c r="B24" s="58" t="s">
        <v>1377</v>
      </c>
      <c r="C24" s="480">
        <f>+'HOJA D TRABAJO'!B31</f>
        <v>0</v>
      </c>
      <c r="D24" s="480"/>
      <c r="E24" s="480"/>
      <c r="F24" s="57" t="s">
        <v>2</v>
      </c>
      <c r="G24" s="57">
        <f>+'HOJA D TRABAJO'!D31</f>
        <v>0</v>
      </c>
      <c r="H24" s="29"/>
      <c r="I24" s="58"/>
      <c r="J24" s="58" t="s">
        <v>1377</v>
      </c>
      <c r="K24" s="480">
        <f>+'HOJA D TRABAJO'!B32</f>
        <v>0</v>
      </c>
      <c r="L24" s="480"/>
      <c r="M24" s="480"/>
      <c r="N24" s="57" t="s">
        <v>2</v>
      </c>
      <c r="O24" s="57">
        <f>+'HOJA D TRABAJO'!D32</f>
        <v>0</v>
      </c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TRABAJO'!E31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TRABAJO'!E32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ht="15" customHeight="1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TRABAJO'!F31)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TRABAJO'!F32)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$E$14</f>
        <v>5.4487179487179495E-4</v>
      </c>
      <c r="F32" s="28"/>
      <c r="G32" s="30">
        <f>+'HOJA D TRABAJO'!$E$259*'HOJA D TRABAJO'!$F$31</f>
        <v>0</v>
      </c>
      <c r="H32" s="31"/>
      <c r="I32" s="37" t="s">
        <v>1387</v>
      </c>
      <c r="J32" s="28"/>
      <c r="K32" s="28"/>
      <c r="L32" s="28"/>
      <c r="M32" s="34">
        <f>$E$14</f>
        <v>5.4487179487179495E-4</v>
      </c>
      <c r="N32" s="28"/>
      <c r="O32" s="30">
        <f>+'HOJA D TRABAJO'!$E$259*'HOJA D TRABAJO'!$F$32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480" t="s">
        <v>1421</v>
      </c>
      <c r="B42" s="480"/>
      <c r="C42" s="480"/>
      <c r="D42" s="480"/>
      <c r="E42" s="480"/>
      <c r="F42" s="480"/>
      <c r="G42" s="480"/>
      <c r="I42" s="480" t="s">
        <v>1421</v>
      </c>
      <c r="J42" s="480"/>
      <c r="K42" s="480"/>
      <c r="L42" s="480"/>
      <c r="M42" s="480"/>
      <c r="N42" s="480"/>
      <c r="O42" s="480"/>
    </row>
    <row r="43" spans="1:15" ht="15" outlineLevel="2" x14ac:dyDescent="0.25">
      <c r="A43" s="58"/>
      <c r="B43" s="58" t="s">
        <v>1377</v>
      </c>
      <c r="C43" s="480">
        <f>+'HOJA D TRABAJO'!B33</f>
        <v>0</v>
      </c>
      <c r="D43" s="480"/>
      <c r="E43" s="480"/>
      <c r="F43" s="57" t="s">
        <v>2</v>
      </c>
      <c r="G43" s="57">
        <f>+'HOJA D TRABAJO'!D33</f>
        <v>0</v>
      </c>
      <c r="I43" s="58"/>
      <c r="J43" s="58" t="s">
        <v>1377</v>
      </c>
      <c r="K43" s="480">
        <f>+'HOJA D TRABAJO'!B34</f>
        <v>0</v>
      </c>
      <c r="L43" s="480"/>
      <c r="M43" s="480"/>
      <c r="N43" s="57" t="s">
        <v>2</v>
      </c>
      <c r="O43" s="104">
        <f>+'HOJA D TRABAJO'!D34</f>
        <v>0</v>
      </c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TRABAJO'!E33</f>
        <v>0</v>
      </c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TRABAJO'!E34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8" customHeight="1" outlineLevel="2" x14ac:dyDescent="0.2">
      <c r="A50" s="35" t="s">
        <v>1410</v>
      </c>
      <c r="B50" s="28"/>
      <c r="C50" s="28"/>
      <c r="D50" s="28"/>
      <c r="E50" s="36">
        <v>0.03</v>
      </c>
      <c r="F50" s="28"/>
      <c r="G50" s="30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TRABAJO'!F33)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TRABAJO'!F34)</f>
        <v>0</v>
      </c>
    </row>
    <row r="52" spans="1:15" ht="18" customHeight="1" outlineLevel="2" x14ac:dyDescent="0.2">
      <c r="A52" s="37" t="s">
        <v>1387</v>
      </c>
      <c r="B52" s="28"/>
      <c r="C52" s="28"/>
      <c r="D52" s="28"/>
      <c r="E52" s="34">
        <f>$E$14</f>
        <v>5.4487179487179495E-4</v>
      </c>
      <c r="F52" s="28"/>
      <c r="G52" s="30">
        <f>+'HOJA D TRABAJO'!$E$259*'HOJA D TRABAJO'!$F$33</f>
        <v>0</v>
      </c>
      <c r="I52" s="37" t="s">
        <v>1387</v>
      </c>
      <c r="J52" s="28"/>
      <c r="K52" s="28"/>
      <c r="L52" s="28"/>
      <c r="M52" s="34">
        <f>$E$14</f>
        <v>5.4487179487179495E-4</v>
      </c>
      <c r="N52" s="28"/>
      <c r="O52" s="30">
        <f>+'HOJA D TRABAJO'!$E$259*'HOJA D TRABAJO'!$F$34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"/>
    <row r="60" spans="1:15" outlineLevel="1" x14ac:dyDescent="0.2">
      <c r="H60" s="31"/>
      <c r="I60" s="19"/>
    </row>
    <row r="61" spans="1:15" ht="15" x14ac:dyDescent="0.25">
      <c r="A61" s="480" t="s">
        <v>1421</v>
      </c>
      <c r="B61" s="480"/>
      <c r="C61" s="480"/>
      <c r="D61" s="480"/>
      <c r="E61" s="480"/>
      <c r="F61" s="480"/>
      <c r="G61" s="480"/>
      <c r="H61" s="56"/>
      <c r="I61" s="480" t="s">
        <v>1421</v>
      </c>
      <c r="J61" s="480"/>
      <c r="K61" s="480"/>
      <c r="L61" s="480"/>
      <c r="M61" s="480"/>
      <c r="N61" s="480"/>
      <c r="O61" s="480"/>
    </row>
    <row r="62" spans="1:15" ht="15" x14ac:dyDescent="0.25">
      <c r="A62" s="101"/>
      <c r="B62" s="101" t="s">
        <v>1377</v>
      </c>
      <c r="C62" s="480">
        <f>+'HOJA D TRABAJO'!B35:B35</f>
        <v>0</v>
      </c>
      <c r="D62" s="480"/>
      <c r="E62" s="480"/>
      <c r="F62" s="57" t="s">
        <v>2</v>
      </c>
      <c r="G62" s="104">
        <f>+'HOJA D TRABAJO'!D35</f>
        <v>0</v>
      </c>
      <c r="H62" s="56"/>
      <c r="I62" s="101"/>
      <c r="J62" s="101" t="s">
        <v>1377</v>
      </c>
      <c r="K62" s="480">
        <f>+'HOJA D TRABAJO'!B36</f>
        <v>0</v>
      </c>
      <c r="L62" s="480"/>
      <c r="M62" s="480"/>
      <c r="N62" s="57" t="s">
        <v>2</v>
      </c>
      <c r="O62" s="104">
        <f>+'HOJA D TRABAJO'!D36</f>
        <v>0</v>
      </c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3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4"/>
      <c r="I64" s="28"/>
      <c r="J64" s="28"/>
      <c r="K64" s="28"/>
      <c r="L64" s="28"/>
      <c r="M64" s="28"/>
      <c r="N64" s="28"/>
      <c r="O64" s="28"/>
    </row>
    <row r="65" spans="1:16" x14ac:dyDescent="0.2">
      <c r="A65" s="481" t="str">
        <f>+"Costo líquido por " &amp; C62 &amp;  "(líquido pagable Bs.)"</f>
        <v>Costo líquido por 0(líquido pagable Bs.)</v>
      </c>
      <c r="B65" s="481"/>
      <c r="C65" s="481"/>
      <c r="D65" s="481"/>
      <c r="E65" s="481"/>
      <c r="F65" s="481"/>
      <c r="G65" s="30">
        <f>+'HOJA D TRABAJO'!E35</f>
        <v>0</v>
      </c>
      <c r="H65" s="25"/>
      <c r="I65" s="481" t="str">
        <f>+"Costo líquido por " &amp; K62 &amp;  "(líquido pagable Bs.)"</f>
        <v>Costo líquido por 0(líquido pagable Bs.)</v>
      </c>
      <c r="J65" s="481"/>
      <c r="K65" s="481"/>
      <c r="L65" s="481"/>
      <c r="M65" s="481"/>
      <c r="N65" s="481"/>
      <c r="O65" s="30">
        <f>+'HOJA D TRABAJO'!E36</f>
        <v>0</v>
      </c>
    </row>
    <row r="66" spans="1:16" x14ac:dyDescent="0.2">
      <c r="A66" s="32" t="s">
        <v>1405</v>
      </c>
      <c r="B66" s="28"/>
      <c r="C66" s="28"/>
      <c r="D66" s="28"/>
      <c r="E66" s="28"/>
      <c r="F66" s="28"/>
      <c r="G66" s="30"/>
      <c r="H66" s="25"/>
      <c r="I66" s="32" t="s">
        <v>1376</v>
      </c>
      <c r="J66" s="28"/>
      <c r="K66" s="28"/>
      <c r="L66" s="28"/>
      <c r="M66" s="28"/>
      <c r="N66" s="28"/>
      <c r="O66" s="30"/>
      <c r="P66" s="52"/>
    </row>
    <row r="67" spans="1:16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25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6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25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6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25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6" x14ac:dyDescent="0.2">
      <c r="A70" s="37" t="s">
        <v>1406</v>
      </c>
      <c r="B70" s="28"/>
      <c r="C70" s="28"/>
      <c r="D70" s="28"/>
      <c r="E70" s="36"/>
      <c r="F70" s="28"/>
      <c r="G70" s="30">
        <f>+(('HOJA D TRABAJO'!$H$23+'HOJA D TRABAJO'!$E$256)*'HOJA D TRABAJO'!F35)</f>
        <v>0</v>
      </c>
      <c r="H70" s="25"/>
      <c r="I70" s="37" t="s">
        <v>1375</v>
      </c>
      <c r="J70" s="28"/>
      <c r="K70" s="28"/>
      <c r="L70" s="28"/>
      <c r="M70" s="36"/>
      <c r="N70" s="28"/>
      <c r="O70" s="30">
        <f>+(('HOJA D TRABAJO'!$H$23+'HOJA D TRABAJO'!$E$256)*'HOJA D TRABAJO'!F36)</f>
        <v>0</v>
      </c>
    </row>
    <row r="71" spans="1:16" x14ac:dyDescent="0.2">
      <c r="A71" s="37" t="s">
        <v>1388</v>
      </c>
      <c r="B71" s="28"/>
      <c r="C71" s="28"/>
      <c r="D71" s="28"/>
      <c r="E71" s="34">
        <f>$E$14</f>
        <v>5.4487179487179495E-4</v>
      </c>
      <c r="F71" s="28"/>
      <c r="G71" s="30">
        <f>+'HOJA D TRABAJO'!$E$259*'HOJA D TRABAJO'!$F$35</f>
        <v>0</v>
      </c>
      <c r="H71" s="25"/>
      <c r="I71" s="37" t="s">
        <v>1387</v>
      </c>
      <c r="J71" s="28"/>
      <c r="K71" s="28"/>
      <c r="L71" s="28"/>
      <c r="M71" s="34">
        <f>$E$14</f>
        <v>5.4487179487179495E-4</v>
      </c>
      <c r="N71" s="28"/>
      <c r="O71" s="30">
        <f>+'HOJA D TRABAJO'!$E$259*'HOJA D TRABAJO'!$F$36</f>
        <v>0</v>
      </c>
    </row>
    <row r="72" spans="1:16" x14ac:dyDescent="0.2">
      <c r="A72" s="38" t="s">
        <v>1407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25"/>
      <c r="I72" s="38" t="s">
        <v>1374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6" ht="15" x14ac:dyDescent="0.25">
      <c r="A73" s="43" t="s">
        <v>1408</v>
      </c>
      <c r="B73" s="44"/>
      <c r="C73" s="44"/>
      <c r="D73" s="44"/>
      <c r="E73" s="44"/>
      <c r="F73" s="44"/>
      <c r="G73" s="45">
        <f>+SUM(G67:G72)</f>
        <v>0</v>
      </c>
      <c r="H73" s="26"/>
      <c r="I73" s="43" t="s">
        <v>1373</v>
      </c>
      <c r="J73" s="44"/>
      <c r="K73" s="44"/>
      <c r="L73" s="44"/>
      <c r="M73" s="44"/>
      <c r="N73" s="44"/>
      <c r="O73" s="45">
        <f>+SUM(O67:O72)</f>
        <v>0</v>
      </c>
    </row>
    <row r="74" spans="1:16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25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6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25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6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25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6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2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81" spans="1:15" ht="15" x14ac:dyDescent="0.25">
      <c r="A81" s="480" t="s">
        <v>1421</v>
      </c>
      <c r="B81" s="480"/>
      <c r="C81" s="480"/>
      <c r="D81" s="480"/>
      <c r="E81" s="480"/>
      <c r="F81" s="480"/>
      <c r="G81" s="480"/>
      <c r="H81" s="56"/>
      <c r="I81" s="480" t="s">
        <v>1421</v>
      </c>
      <c r="J81" s="480"/>
      <c r="K81" s="480"/>
      <c r="L81" s="480"/>
      <c r="M81" s="480"/>
      <c r="N81" s="480"/>
      <c r="O81" s="480"/>
    </row>
    <row r="82" spans="1:15" ht="15" x14ac:dyDescent="0.25">
      <c r="A82" s="101"/>
      <c r="B82" s="101" t="s">
        <v>1377</v>
      </c>
      <c r="C82" s="480">
        <f>+'HOJA D TRABAJO'!B37</f>
        <v>0</v>
      </c>
      <c r="D82" s="480"/>
      <c r="E82" s="480"/>
      <c r="F82" s="57" t="s">
        <v>2</v>
      </c>
      <c r="G82" s="104">
        <f>+'HOJA D TRABAJO'!D37</f>
        <v>0</v>
      </c>
      <c r="H82" s="56"/>
      <c r="I82" s="101"/>
      <c r="J82" s="101" t="s">
        <v>1377</v>
      </c>
      <c r="K82" s="480">
        <f>+'HOJA D TRABAJO'!B38</f>
        <v>0</v>
      </c>
      <c r="L82" s="480"/>
      <c r="M82" s="480"/>
      <c r="N82" s="57" t="s">
        <v>2</v>
      </c>
      <c r="O82" s="104">
        <f>+'HOJA D TRABAJO'!D38</f>
        <v>0</v>
      </c>
    </row>
    <row r="83" spans="1:15" x14ac:dyDescent="0.2">
      <c r="A83" s="479" t="s">
        <v>1378</v>
      </c>
      <c r="B83" s="479"/>
      <c r="C83" s="479"/>
      <c r="D83" s="479"/>
      <c r="E83" s="479"/>
      <c r="F83" s="479"/>
      <c r="G83" s="479"/>
      <c r="H83" s="23"/>
      <c r="I83" s="479" t="s">
        <v>1378</v>
      </c>
      <c r="J83" s="479"/>
      <c r="K83" s="479"/>
      <c r="L83" s="479"/>
      <c r="M83" s="479"/>
      <c r="N83" s="479"/>
      <c r="O83" s="479"/>
    </row>
    <row r="84" spans="1:15" x14ac:dyDescent="0.2">
      <c r="A84" s="28"/>
      <c r="B84" s="28"/>
      <c r="C84" s="28"/>
      <c r="D84" s="28"/>
      <c r="E84" s="28"/>
      <c r="F84" s="28"/>
      <c r="G84" s="28"/>
      <c r="H84" s="24"/>
      <c r="I84" s="28"/>
      <c r="J84" s="28"/>
      <c r="K84" s="28"/>
      <c r="L84" s="28"/>
      <c r="M84" s="28"/>
      <c r="N84" s="28"/>
      <c r="O84" s="28"/>
    </row>
    <row r="85" spans="1:15" x14ac:dyDescent="0.2">
      <c r="A85" s="481" t="str">
        <f>+"Costo líquido por " &amp; C82 &amp;  "(líquido pagable Bs.)"</f>
        <v>Costo líquido por 0(líquido pagable Bs.)</v>
      </c>
      <c r="B85" s="481"/>
      <c r="C85" s="481"/>
      <c r="D85" s="481"/>
      <c r="E85" s="481"/>
      <c r="F85" s="481"/>
      <c r="G85" s="30">
        <f>+'HOJA D TRABAJO'!E37</f>
        <v>0</v>
      </c>
      <c r="H85" s="25"/>
      <c r="I85" s="481" t="str">
        <f>+"Costo líquido por " &amp; K82 &amp;  "(líquido pagable Bs.)"</f>
        <v>Costo líquido por 0(líquido pagable Bs.)</v>
      </c>
      <c r="J85" s="481"/>
      <c r="K85" s="481"/>
      <c r="L85" s="481"/>
      <c r="M85" s="481"/>
      <c r="N85" s="481"/>
      <c r="O85" s="30">
        <f>+'HOJA D TRABAJO'!E38</f>
        <v>0</v>
      </c>
    </row>
    <row r="86" spans="1:15" x14ac:dyDescent="0.2">
      <c r="A86" s="32" t="s">
        <v>1405</v>
      </c>
      <c r="B86" s="28"/>
      <c r="C86" s="28"/>
      <c r="D86" s="28"/>
      <c r="E86" s="28"/>
      <c r="F86" s="28"/>
      <c r="G86" s="30"/>
      <c r="H86" s="25"/>
      <c r="I86" s="32" t="s">
        <v>1376</v>
      </c>
      <c r="J86" s="28"/>
      <c r="K86" s="28"/>
      <c r="L86" s="28"/>
      <c r="M86" s="28"/>
      <c r="N86" s="28"/>
      <c r="O86" s="30"/>
    </row>
    <row r="87" spans="1:15" ht="15" x14ac:dyDescent="0.25">
      <c r="A87" s="33" t="s">
        <v>1396</v>
      </c>
      <c r="B87" s="28"/>
      <c r="C87" s="28"/>
      <c r="D87" s="28"/>
      <c r="E87" s="28"/>
      <c r="F87" s="34">
        <f>+SUM(E88:E89)</f>
        <v>0.155</v>
      </c>
      <c r="G87" s="30">
        <f>+G85/0.845</f>
        <v>0</v>
      </c>
      <c r="H87" s="25"/>
      <c r="I87" s="33" t="s">
        <v>1396</v>
      </c>
      <c r="J87" s="28"/>
      <c r="K87" s="28"/>
      <c r="L87" s="28"/>
      <c r="M87" s="28"/>
      <c r="N87" s="34">
        <f>+SUM(M88:M89)</f>
        <v>0.155</v>
      </c>
      <c r="O87" s="30">
        <f>+O85/0.845</f>
        <v>0</v>
      </c>
    </row>
    <row r="88" spans="1:15" x14ac:dyDescent="0.2">
      <c r="A88" s="35" t="s">
        <v>1397</v>
      </c>
      <c r="B88" s="28"/>
      <c r="C88" s="28"/>
      <c r="D88" s="28"/>
      <c r="E88" s="36">
        <v>0.125</v>
      </c>
      <c r="F88" s="28"/>
      <c r="G88" s="30"/>
      <c r="H88" s="25"/>
      <c r="I88" s="35" t="s">
        <v>1397</v>
      </c>
      <c r="J88" s="28"/>
      <c r="K88" s="28"/>
      <c r="L88" s="28"/>
      <c r="M88" s="36">
        <v>0.125</v>
      </c>
      <c r="N88" s="28"/>
      <c r="O88" s="30"/>
    </row>
    <row r="89" spans="1:15" x14ac:dyDescent="0.2">
      <c r="A89" s="35" t="s">
        <v>1398</v>
      </c>
      <c r="B89" s="28"/>
      <c r="C89" s="28"/>
      <c r="D89" s="28"/>
      <c r="E89" s="36">
        <v>0.03</v>
      </c>
      <c r="F89" s="28"/>
      <c r="G89" s="30"/>
      <c r="H89" s="25"/>
      <c r="I89" s="35" t="s">
        <v>1398</v>
      </c>
      <c r="J89" s="28"/>
      <c r="K89" s="28"/>
      <c r="L89" s="28"/>
      <c r="M89" s="36">
        <v>0.03</v>
      </c>
      <c r="N89" s="28"/>
      <c r="O89" s="30"/>
    </row>
    <row r="90" spans="1:15" x14ac:dyDescent="0.2">
      <c r="A90" s="37" t="s">
        <v>1406</v>
      </c>
      <c r="B90" s="28"/>
      <c r="C90" s="28"/>
      <c r="D90" s="28"/>
      <c r="E90" s="36"/>
      <c r="F90" s="28"/>
      <c r="G90" s="30">
        <f>+(('HOJA D TRABAJO'!$H$23+'HOJA D TRABAJO'!$E$256)*'HOJA D TRABAJO'!F37)</f>
        <v>0</v>
      </c>
      <c r="H90" s="25"/>
      <c r="I90" s="37" t="s">
        <v>1375</v>
      </c>
      <c r="J90" s="28"/>
      <c r="K90" s="28"/>
      <c r="L90" s="28"/>
      <c r="M90" s="36"/>
      <c r="N90" s="28"/>
      <c r="O90" s="30">
        <f>+(('HOJA D TRABAJO'!$H$23+'HOJA D TRABAJO'!$E$256)*'HOJA D TRABAJO'!F38)</f>
        <v>0</v>
      </c>
    </row>
    <row r="91" spans="1:15" x14ac:dyDescent="0.2">
      <c r="A91" s="37" t="s">
        <v>1388</v>
      </c>
      <c r="B91" s="28"/>
      <c r="C91" s="28"/>
      <c r="D91" s="28"/>
      <c r="E91" s="34">
        <f>$E$14</f>
        <v>5.4487179487179495E-4</v>
      </c>
      <c r="F91" s="28"/>
      <c r="G91" s="30">
        <f>+'HOJA D TRABAJO'!$E$259*'HOJA D TRABAJO'!$F$37</f>
        <v>0</v>
      </c>
      <c r="H91" s="25"/>
      <c r="I91" s="37" t="s">
        <v>1387</v>
      </c>
      <c r="J91" s="28"/>
      <c r="K91" s="28"/>
      <c r="L91" s="28"/>
      <c r="M91" s="34">
        <f>$E$14</f>
        <v>5.4487179487179495E-4</v>
      </c>
      <c r="N91" s="28"/>
      <c r="O91" s="30">
        <f>+'HOJA D TRABAJO'!$E$259*'HOJA D TRABAJO'!$F$38</f>
        <v>0</v>
      </c>
    </row>
    <row r="92" spans="1:15" x14ac:dyDescent="0.2">
      <c r="A92" s="38" t="s">
        <v>1407</v>
      </c>
      <c r="B92" s="39"/>
      <c r="C92" s="39"/>
      <c r="D92" s="39"/>
      <c r="E92" s="40">
        <f>+$E$15</f>
        <v>0.13</v>
      </c>
      <c r="F92" s="39"/>
      <c r="G92" s="41">
        <f>+E92*(SUM(G87:G91))</f>
        <v>0</v>
      </c>
      <c r="H92" s="25"/>
      <c r="I92" s="38" t="s">
        <v>1374</v>
      </c>
      <c r="J92" s="39"/>
      <c r="K92" s="39"/>
      <c r="L92" s="39"/>
      <c r="M92" s="40">
        <f>+$E$15</f>
        <v>0.13</v>
      </c>
      <c r="N92" s="39"/>
      <c r="O92" s="41">
        <f>+M92*(SUM(O87:O91))</f>
        <v>0</v>
      </c>
    </row>
    <row r="93" spans="1:15" ht="15" x14ac:dyDescent="0.25">
      <c r="A93" s="43" t="s">
        <v>1408</v>
      </c>
      <c r="B93" s="44"/>
      <c r="C93" s="44"/>
      <c r="D93" s="44"/>
      <c r="E93" s="44"/>
      <c r="F93" s="44"/>
      <c r="G93" s="45">
        <f>+SUM(G87:G92)</f>
        <v>0</v>
      </c>
      <c r="H93" s="26"/>
      <c r="I93" s="43" t="s">
        <v>1373</v>
      </c>
      <c r="J93" s="44"/>
      <c r="K93" s="44"/>
      <c r="L93" s="44"/>
      <c r="M93" s="44"/>
      <c r="N93" s="44"/>
      <c r="O93" s="45">
        <f>+SUM(O87:O92)</f>
        <v>0</v>
      </c>
    </row>
    <row r="94" spans="1:15" x14ac:dyDescent="0.2">
      <c r="A94" s="37" t="s">
        <v>1372</v>
      </c>
      <c r="B94" s="28"/>
      <c r="C94" s="28"/>
      <c r="D94" s="28"/>
      <c r="E94" s="34">
        <f>+B95+B96</f>
        <v>0.16</v>
      </c>
      <c r="F94" s="28"/>
      <c r="G94" s="30">
        <f>+G97-G93</f>
        <v>0</v>
      </c>
      <c r="H94" s="25"/>
      <c r="I94" s="37" t="s">
        <v>1372</v>
      </c>
      <c r="J94" s="28"/>
      <c r="K94" s="28"/>
      <c r="L94" s="28"/>
      <c r="M94" s="34">
        <f>+J95+J96</f>
        <v>0.16</v>
      </c>
      <c r="N94" s="28"/>
      <c r="O94" s="30">
        <f>+O97-O93</f>
        <v>0</v>
      </c>
    </row>
    <row r="95" spans="1:15" x14ac:dyDescent="0.2">
      <c r="A95" s="47" t="s">
        <v>1371</v>
      </c>
      <c r="B95" s="48">
        <v>0.13</v>
      </c>
      <c r="C95" s="28"/>
      <c r="D95" s="28"/>
      <c r="E95" s="36"/>
      <c r="F95" s="28"/>
      <c r="G95" s="30"/>
      <c r="H95" s="25"/>
      <c r="I95" s="47" t="s">
        <v>1371</v>
      </c>
      <c r="J95" s="48">
        <v>0.13</v>
      </c>
      <c r="K95" s="28"/>
      <c r="L95" s="28"/>
      <c r="M95" s="36"/>
      <c r="N95" s="28"/>
      <c r="O95" s="30"/>
    </row>
    <row r="96" spans="1:15" x14ac:dyDescent="0.2">
      <c r="A96" s="49" t="s">
        <v>1370</v>
      </c>
      <c r="B96" s="50">
        <v>0.03</v>
      </c>
      <c r="C96" s="39"/>
      <c r="D96" s="39"/>
      <c r="E96" s="51"/>
      <c r="F96" s="39"/>
      <c r="G96" s="41"/>
      <c r="H96" s="25"/>
      <c r="I96" s="49" t="s">
        <v>1370</v>
      </c>
      <c r="J96" s="50">
        <v>0.03</v>
      </c>
      <c r="K96" s="39"/>
      <c r="L96" s="39"/>
      <c r="M96" s="51"/>
      <c r="N96" s="39"/>
      <c r="O96" s="41"/>
    </row>
    <row r="97" spans="1:15" ht="15" x14ac:dyDescent="0.25">
      <c r="A97" s="43" t="s">
        <v>1409</v>
      </c>
      <c r="B97" s="44"/>
      <c r="C97" s="44"/>
      <c r="D97" s="44"/>
      <c r="E97" s="44"/>
      <c r="F97" s="44"/>
      <c r="G97" s="45">
        <f>IFERROR((G93/0.84),0)</f>
        <v>0</v>
      </c>
      <c r="H97" s="26"/>
      <c r="I97" s="43" t="s">
        <v>1409</v>
      </c>
      <c r="J97" s="44"/>
      <c r="K97" s="44"/>
      <c r="L97" s="44"/>
      <c r="M97" s="44"/>
      <c r="N97" s="44"/>
      <c r="O97" s="45">
        <f>IFERROR((O93/0.84),0)</f>
        <v>0</v>
      </c>
    </row>
    <row r="100" spans="1:15" ht="15" x14ac:dyDescent="0.25">
      <c r="A100" s="480" t="s">
        <v>1421</v>
      </c>
      <c r="B100" s="480"/>
      <c r="C100" s="480"/>
      <c r="D100" s="480"/>
      <c r="E100" s="480"/>
      <c r="F100" s="480"/>
      <c r="G100" s="480"/>
      <c r="H100" s="56"/>
      <c r="I100" s="480" t="s">
        <v>1421</v>
      </c>
      <c r="J100" s="480"/>
      <c r="K100" s="480"/>
      <c r="L100" s="480"/>
      <c r="M100" s="480"/>
      <c r="N100" s="480"/>
      <c r="O100" s="480"/>
    </row>
    <row r="101" spans="1:15" ht="19.5" x14ac:dyDescent="0.25">
      <c r="A101" s="101"/>
      <c r="B101" s="101" t="s">
        <v>1377</v>
      </c>
      <c r="C101" s="480">
        <f>+'HOJA D TRABAJO'!B39</f>
        <v>0</v>
      </c>
      <c r="D101" s="480"/>
      <c r="E101" s="480"/>
      <c r="F101" s="57" t="s">
        <v>2</v>
      </c>
      <c r="G101" s="106">
        <f>+'HOJA D TRABAJO'!D39</f>
        <v>0</v>
      </c>
      <c r="H101" s="56"/>
      <c r="I101" s="101"/>
      <c r="J101" s="101" t="s">
        <v>1377</v>
      </c>
      <c r="K101" s="480">
        <f>+'HOJA D TRABAJO'!B40</f>
        <v>0</v>
      </c>
      <c r="L101" s="480"/>
      <c r="M101" s="480"/>
      <c r="N101" s="57" t="s">
        <v>2</v>
      </c>
      <c r="O101" s="104">
        <f>+'HOJA D TRABAJO'!D40</f>
        <v>0</v>
      </c>
    </row>
    <row r="102" spans="1:15" x14ac:dyDescent="0.2">
      <c r="A102" s="479" t="s">
        <v>1378</v>
      </c>
      <c r="B102" s="479"/>
      <c r="C102" s="479"/>
      <c r="D102" s="479"/>
      <c r="E102" s="479"/>
      <c r="F102" s="479"/>
      <c r="G102" s="479"/>
      <c r="H102" s="23"/>
      <c r="I102" s="479" t="s">
        <v>1378</v>
      </c>
      <c r="J102" s="479"/>
      <c r="K102" s="479"/>
      <c r="L102" s="479"/>
      <c r="M102" s="479"/>
      <c r="N102" s="479"/>
      <c r="O102" s="479"/>
    </row>
    <row r="103" spans="1:15" x14ac:dyDescent="0.2">
      <c r="A103" s="28"/>
      <c r="B103" s="28"/>
      <c r="C103" s="28"/>
      <c r="D103" s="28"/>
      <c r="E103" s="28"/>
      <c r="F103" s="28"/>
      <c r="G103" s="28"/>
      <c r="H103" s="24"/>
      <c r="I103" s="28"/>
      <c r="J103" s="28"/>
      <c r="K103" s="28"/>
      <c r="L103" s="28"/>
      <c r="M103" s="28"/>
      <c r="N103" s="28"/>
      <c r="O103" s="28"/>
    </row>
    <row r="104" spans="1:15" x14ac:dyDescent="0.2">
      <c r="A104" s="481" t="str">
        <f>+"Costo líquido por " &amp; C101 &amp;  "(líquido pagable Bs.)"</f>
        <v>Costo líquido por 0(líquido pagable Bs.)</v>
      </c>
      <c r="B104" s="481"/>
      <c r="C104" s="481"/>
      <c r="D104" s="481"/>
      <c r="E104" s="481"/>
      <c r="F104" s="481"/>
      <c r="G104" s="30">
        <f>+'HOJA D TRABAJO'!E39</f>
        <v>0</v>
      </c>
      <c r="H104" s="25"/>
      <c r="I104" s="481" t="str">
        <f>+"Costo líquido por " &amp; K101 &amp;  "(líquido pagable Bs.)"</f>
        <v>Costo líquido por 0(líquido pagable Bs.)</v>
      </c>
      <c r="J104" s="481"/>
      <c r="K104" s="481"/>
      <c r="L104" s="481"/>
      <c r="M104" s="481"/>
      <c r="N104" s="481"/>
      <c r="O104" s="30">
        <f>+'HOJA D TRABAJO'!E40</f>
        <v>0</v>
      </c>
    </row>
    <row r="105" spans="1:15" x14ac:dyDescent="0.2">
      <c r="A105" s="32" t="s">
        <v>1405</v>
      </c>
      <c r="B105" s="28"/>
      <c r="C105" s="28"/>
      <c r="D105" s="28"/>
      <c r="E105" s="105"/>
      <c r="F105" s="28"/>
      <c r="G105" s="30"/>
      <c r="H105" s="25"/>
      <c r="I105" s="32" t="s">
        <v>1376</v>
      </c>
      <c r="J105" s="28"/>
      <c r="K105" s="28"/>
      <c r="L105" s="28"/>
      <c r="M105" s="28"/>
      <c r="N105" s="28"/>
      <c r="O105" s="30"/>
    </row>
    <row r="106" spans="1:15" ht="15" x14ac:dyDescent="0.25">
      <c r="A106" s="33" t="s">
        <v>1396</v>
      </c>
      <c r="B106" s="28"/>
      <c r="C106" s="28"/>
      <c r="D106" s="28"/>
      <c r="E106" s="28"/>
      <c r="F106" s="34">
        <f>+SUM(E107:E108)</f>
        <v>0.155</v>
      </c>
      <c r="G106" s="30">
        <f>+G104/0.845</f>
        <v>0</v>
      </c>
      <c r="H106" s="25"/>
      <c r="I106" s="33" t="s">
        <v>1396</v>
      </c>
      <c r="J106" s="28"/>
      <c r="K106" s="28"/>
      <c r="L106" s="28"/>
      <c r="M106" s="28"/>
      <c r="N106" s="34">
        <f>+SUM(M107:M108)</f>
        <v>0.155</v>
      </c>
      <c r="O106" s="30">
        <f>+O104/0.845</f>
        <v>0</v>
      </c>
    </row>
    <row r="107" spans="1:15" x14ac:dyDescent="0.2">
      <c r="A107" s="35" t="s">
        <v>1397</v>
      </c>
      <c r="B107" s="28"/>
      <c r="C107" s="28"/>
      <c r="D107" s="28"/>
      <c r="E107" s="36">
        <v>0.125</v>
      </c>
      <c r="F107" s="28"/>
      <c r="G107" s="30"/>
      <c r="H107" s="25"/>
      <c r="I107" s="35" t="s">
        <v>1397</v>
      </c>
      <c r="J107" s="28"/>
      <c r="K107" s="28"/>
      <c r="L107" s="28"/>
      <c r="M107" s="36">
        <v>0.125</v>
      </c>
      <c r="N107" s="28"/>
      <c r="O107" s="30"/>
    </row>
    <row r="108" spans="1:15" x14ac:dyDescent="0.2">
      <c r="A108" s="35" t="s">
        <v>1398</v>
      </c>
      <c r="B108" s="28"/>
      <c r="C108" s="28"/>
      <c r="D108" s="28"/>
      <c r="E108" s="36">
        <v>0.03</v>
      </c>
      <c r="F108" s="28"/>
      <c r="G108" s="30"/>
      <c r="H108" s="25"/>
      <c r="I108" s="35" t="s">
        <v>1398</v>
      </c>
      <c r="J108" s="28"/>
      <c r="K108" s="28"/>
      <c r="L108" s="28"/>
      <c r="M108" s="36">
        <v>0.03</v>
      </c>
      <c r="N108" s="28"/>
      <c r="O108" s="30"/>
    </row>
    <row r="109" spans="1:15" x14ac:dyDescent="0.2">
      <c r="A109" s="37" t="s">
        <v>1406</v>
      </c>
      <c r="B109" s="28"/>
      <c r="C109" s="28"/>
      <c r="D109" s="28"/>
      <c r="E109" s="36"/>
      <c r="F109" s="28"/>
      <c r="G109" s="30">
        <f>+(('HOJA D TRABAJO'!$H$23+'HOJA D TRABAJO'!$E$256)*'HOJA D TRABAJO'!F39)</f>
        <v>0</v>
      </c>
      <c r="H109" s="25"/>
      <c r="I109" s="37" t="s">
        <v>1375</v>
      </c>
      <c r="J109" s="28"/>
      <c r="K109" s="28"/>
      <c r="L109" s="28"/>
      <c r="M109" s="36"/>
      <c r="N109" s="28"/>
      <c r="O109" s="30">
        <f>+(('HOJA D TRABAJO'!$H$23+'HOJA D TRABAJO'!$E$256)*'HOJA D TRABAJO'!F40)</f>
        <v>0</v>
      </c>
    </row>
    <row r="110" spans="1:15" x14ac:dyDescent="0.2">
      <c r="A110" s="37" t="s">
        <v>1388</v>
      </c>
      <c r="B110" s="28"/>
      <c r="C110" s="28"/>
      <c r="D110" s="28"/>
      <c r="E110" s="34">
        <f>$E$14</f>
        <v>5.4487179487179495E-4</v>
      </c>
      <c r="F110" s="28"/>
      <c r="G110" s="30">
        <f>+'HOJA D TRABAJO'!$E$259*'HOJA D TRABAJO'!$F$39</f>
        <v>0</v>
      </c>
      <c r="H110" s="25"/>
      <c r="I110" s="37" t="s">
        <v>1387</v>
      </c>
      <c r="J110" s="28"/>
      <c r="K110" s="28"/>
      <c r="L110" s="28"/>
      <c r="M110" s="34">
        <f>$E$14</f>
        <v>5.4487179487179495E-4</v>
      </c>
      <c r="N110" s="28"/>
      <c r="O110" s="30">
        <f>+'HOJA D TRABAJO'!$E$259*'HOJA D TRABAJO'!$F$40</f>
        <v>0</v>
      </c>
    </row>
    <row r="111" spans="1:15" x14ac:dyDescent="0.2">
      <c r="A111" s="38" t="s">
        <v>1407</v>
      </c>
      <c r="B111" s="39"/>
      <c r="C111" s="39"/>
      <c r="D111" s="39"/>
      <c r="E111" s="40">
        <f>+$E$15</f>
        <v>0.13</v>
      </c>
      <c r="F111" s="39"/>
      <c r="G111" s="41">
        <f>+E111*(SUM(G106:G110))</f>
        <v>0</v>
      </c>
      <c r="H111" s="25"/>
      <c r="I111" s="38" t="s">
        <v>1374</v>
      </c>
      <c r="J111" s="39"/>
      <c r="K111" s="39"/>
      <c r="L111" s="39"/>
      <c r="M111" s="40">
        <f>+$E$15</f>
        <v>0.13</v>
      </c>
      <c r="N111" s="39"/>
      <c r="O111" s="41">
        <f>+M111*(SUM(O106:O110))</f>
        <v>0</v>
      </c>
    </row>
    <row r="112" spans="1:15" ht="15" x14ac:dyDescent="0.25">
      <c r="A112" s="43" t="s">
        <v>1408</v>
      </c>
      <c r="B112" s="44"/>
      <c r="C112" s="44"/>
      <c r="D112" s="44"/>
      <c r="E112" s="44"/>
      <c r="F112" s="44"/>
      <c r="G112" s="45">
        <f>+SUM(G106:G111)</f>
        <v>0</v>
      </c>
      <c r="H112" s="26"/>
      <c r="I112" s="43" t="s">
        <v>1373</v>
      </c>
      <c r="J112" s="44"/>
      <c r="K112" s="44"/>
      <c r="L112" s="44"/>
      <c r="M112" s="44"/>
      <c r="N112" s="44"/>
      <c r="O112" s="45">
        <f>+SUM(O106:O111)</f>
        <v>0</v>
      </c>
    </row>
    <row r="113" spans="1:15" x14ac:dyDescent="0.2">
      <c r="A113" s="37" t="s">
        <v>1372</v>
      </c>
      <c r="B113" s="28"/>
      <c r="C113" s="28"/>
      <c r="D113" s="28"/>
      <c r="E113" s="34">
        <f>+B114+B115</f>
        <v>0.16</v>
      </c>
      <c r="F113" s="28"/>
      <c r="G113" s="30">
        <f>+G116-G112</f>
        <v>0</v>
      </c>
      <c r="H113" s="25"/>
      <c r="I113" s="37" t="s">
        <v>1372</v>
      </c>
      <c r="J113" s="28"/>
      <c r="K113" s="28"/>
      <c r="L113" s="28"/>
      <c r="M113" s="34">
        <f>+J114+J115</f>
        <v>0.16</v>
      </c>
      <c r="N113" s="28"/>
      <c r="O113" s="30">
        <f>+O116-O112</f>
        <v>0</v>
      </c>
    </row>
    <row r="114" spans="1:15" x14ac:dyDescent="0.2">
      <c r="A114" s="47" t="s">
        <v>1371</v>
      </c>
      <c r="B114" s="48">
        <v>0.13</v>
      </c>
      <c r="C114" s="28"/>
      <c r="D114" s="28"/>
      <c r="E114" s="36"/>
      <c r="F114" s="28"/>
      <c r="G114" s="30"/>
      <c r="H114" s="25"/>
      <c r="I114" s="47" t="s">
        <v>1371</v>
      </c>
      <c r="J114" s="48">
        <v>0.13</v>
      </c>
      <c r="K114" s="28"/>
      <c r="L114" s="28"/>
      <c r="M114" s="36"/>
      <c r="N114" s="28"/>
      <c r="O114" s="30"/>
    </row>
    <row r="115" spans="1:15" x14ac:dyDescent="0.2">
      <c r="A115" s="49" t="s">
        <v>1370</v>
      </c>
      <c r="B115" s="50">
        <v>0.03</v>
      </c>
      <c r="C115" s="39"/>
      <c r="D115" s="39"/>
      <c r="E115" s="51"/>
      <c r="F115" s="39"/>
      <c r="G115" s="41"/>
      <c r="H115" s="25"/>
      <c r="I115" s="49" t="s">
        <v>1370</v>
      </c>
      <c r="J115" s="50">
        <v>0.03</v>
      </c>
      <c r="K115" s="39"/>
      <c r="L115" s="39"/>
      <c r="M115" s="51"/>
      <c r="N115" s="39"/>
      <c r="O115" s="41"/>
    </row>
    <row r="116" spans="1:15" ht="15" x14ac:dyDescent="0.25">
      <c r="A116" s="43" t="s">
        <v>1409</v>
      </c>
      <c r="B116" s="44"/>
      <c r="C116" s="44"/>
      <c r="D116" s="44"/>
      <c r="E116" s="44"/>
      <c r="F116" s="44"/>
      <c r="G116" s="45">
        <f>IFERROR((G112/0.84),0)</f>
        <v>0</v>
      </c>
      <c r="H116" s="26"/>
      <c r="I116" s="43" t="s">
        <v>1409</v>
      </c>
      <c r="J116" s="44"/>
      <c r="K116" s="44"/>
      <c r="L116" s="44"/>
      <c r="M116" s="44"/>
      <c r="N116" s="44"/>
      <c r="O116" s="45">
        <f>IFERROR((O112/0.84),0)</f>
        <v>0</v>
      </c>
    </row>
  </sheetData>
  <mergeCells count="45">
    <mergeCell ref="I100:O100"/>
    <mergeCell ref="A100:G100"/>
    <mergeCell ref="A81:G81"/>
    <mergeCell ref="I81:O81"/>
    <mergeCell ref="I61:O61"/>
    <mergeCell ref="A61:G61"/>
    <mergeCell ref="C82:E82"/>
    <mergeCell ref="K82:M82"/>
    <mergeCell ref="A83:G83"/>
    <mergeCell ref="I83:O83"/>
    <mergeCell ref="A85:F85"/>
    <mergeCell ref="I85:N85"/>
    <mergeCell ref="C62:E62"/>
    <mergeCell ref="K62:M62"/>
    <mergeCell ref="A63:G63"/>
    <mergeCell ref="I63:O63"/>
    <mergeCell ref="C101:E101"/>
    <mergeCell ref="K101:M101"/>
    <mergeCell ref="A102:G102"/>
    <mergeCell ref="I102:O102"/>
    <mergeCell ref="A104:F104"/>
    <mergeCell ref="I104:N104"/>
    <mergeCell ref="A65:F65"/>
    <mergeCell ref="I65:N65"/>
    <mergeCell ref="A8:F8"/>
    <mergeCell ref="I8:N8"/>
    <mergeCell ref="A25:G25"/>
    <mergeCell ref="I25:O25"/>
    <mergeCell ref="C43:E43"/>
    <mergeCell ref="I23:O23"/>
    <mergeCell ref="A23:G23"/>
    <mergeCell ref="A42:G42"/>
    <mergeCell ref="I42:O42"/>
    <mergeCell ref="A44:G44"/>
    <mergeCell ref="C24:E24"/>
    <mergeCell ref="K24:M24"/>
    <mergeCell ref="K43:M43"/>
    <mergeCell ref="I44:O44"/>
    <mergeCell ref="E2:K2"/>
    <mergeCell ref="A6:G6"/>
    <mergeCell ref="I6:O6"/>
    <mergeCell ref="C5:E5"/>
    <mergeCell ref="K5:M5"/>
    <mergeCell ref="A4:G4"/>
    <mergeCell ref="I4:O4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482" t="str">
        <f>+'HOJA D TRABAJO'!D43</f>
        <v>CHAPARE</v>
      </c>
      <c r="F2" s="482"/>
      <c r="G2" s="482"/>
      <c r="H2" s="482"/>
      <c r="I2" s="482"/>
      <c r="J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TRABAJO'!D45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TRABAJO'!D46</f>
        <v>0</v>
      </c>
    </row>
    <row r="5" spans="1:16" s="22" customFormat="1" x14ac:dyDescent="0.25">
      <c r="A5" s="58"/>
      <c r="B5" s="58" t="s">
        <v>1377</v>
      </c>
      <c r="C5" s="480">
        <f>+'HOJA D TRABAJO'!B45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TRABAJO'!B46</f>
        <v>0</v>
      </c>
      <c r="L5" s="480"/>
      <c r="M5" s="480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TRABAJO'!E45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TRABAJO'!E46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TRABAJO'!$E$256)*'HOJA D TRABAJO'!$F$45)</f>
        <v>0</v>
      </c>
      <c r="H13" s="31"/>
      <c r="I13" s="37" t="s">
        <v>1411</v>
      </c>
      <c r="J13" s="28"/>
      <c r="K13" s="28"/>
      <c r="L13" s="28"/>
      <c r="M13" s="36">
        <f>IFERROR((O13/(#REF!+O10+O8)),0)</f>
        <v>0</v>
      </c>
      <c r="N13" s="28"/>
      <c r="O13" s="30">
        <f>+(('HOJA D TRABAJO'!$H$23+'HOJA D TRABAJO'!$E$256)*'HOJA D TRABAJO'!$F$46)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TRABAJO'!$F$45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TRABAJO'!$F$46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59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TRABAJO'!D47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TRABAJO'!D48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TRABAJO'!B47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TRABAJO'!B48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TRABAJO'!E47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TRABAJO'!E48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TRABAJO'!$E$256)*'HOJA D TRABAJO'!$F$47)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TRABAJO'!$E$256)*'HOJA D TRABAJO'!$F$48)</f>
        <v>0</v>
      </c>
    </row>
    <row r="32" spans="1:15" s="22" customFormat="1" ht="15" customHeight="1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TRABAJO'!$F$47</f>
        <v>0</v>
      </c>
      <c r="H32" s="31"/>
      <c r="I32" s="37" t="s">
        <v>1387</v>
      </c>
      <c r="J32" s="28"/>
      <c r="K32" s="28"/>
      <c r="L32" s="28"/>
      <c r="M32" s="34">
        <f>+M14</f>
        <v>5.4487179487179495E-4</v>
      </c>
      <c r="N32" s="28"/>
      <c r="O32" s="30">
        <f>+'HOJA D TRABAJO'!$E$259*'HOJA D TRABAJO'!$F$48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TRABAJO'!D49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TRABAJO'!D50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TRABAJO'!$B$49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TRABAJO'!$B$50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TRABAJO'!E49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TRABAJO'!E50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TRABAJO'!$E$256)*'HOJA D TRABAJO'!$F$49)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TRABAJO'!$E$256)*'HOJA D TRABAJO'!$F$50)</f>
        <v>0</v>
      </c>
    </row>
    <row r="52" spans="1:15" s="22" customFormat="1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TRABAJO'!$F$49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TRABAJO'!$F$50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1" x14ac:dyDescent="0.25"/>
    <row r="60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TRABAJO'!D51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TRABAJO'!D52</f>
        <v>0</v>
      </c>
    </row>
    <row r="62" spans="1:15" x14ac:dyDescent="0.25">
      <c r="A62" s="101"/>
      <c r="B62" s="101" t="s">
        <v>1377</v>
      </c>
      <c r="C62" s="480">
        <f>+'HOJA D TRABAJO'!$B$51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TRABAJO'!$B$52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TRABAJO'!E51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TRABAJO'!E52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TRABAJO'!$E$256)*'HOJA D TRABAJO'!$F$51)</f>
        <v>0</v>
      </c>
      <c r="H70" s="31"/>
      <c r="I70" s="37" t="s">
        <v>1411</v>
      </c>
      <c r="J70" s="28"/>
      <c r="K70" s="28"/>
      <c r="L70" s="28"/>
      <c r="M70" s="36">
        <f>IFERROR((O70/(#REF!+O67+O65)),0)</f>
        <v>0</v>
      </c>
      <c r="N70" s="28"/>
      <c r="O70" s="30">
        <f>+(('HOJA D TRABAJO'!$H$23+'HOJA D TRABAJO'!$E$256)*'HOJA D TRABAJO'!$F$52)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TRABAJO'!$F$51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TRABAJO'!$F$52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59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TRABAJO'!D53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TRABAJO'!D54</f>
        <v>0</v>
      </c>
    </row>
    <row r="81" spans="1:15" x14ac:dyDescent="0.25">
      <c r="A81" s="101"/>
      <c r="B81" s="101" t="s">
        <v>1377</v>
      </c>
      <c r="C81" s="480">
        <f>+'HOJA D TRABAJO'!$B$53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TRABAJO'!$B$54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TRABAJO'!E53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TRABAJO'!E54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TRABAJO'!$E$256)*'HOJA D TRABAJO'!$F$53)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TRABAJO'!$E$256)*'HOJA D TRABAJO'!$F$54)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TRABAJO'!$F$53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TRABAJO'!$F$54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TRABAJO'!D55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TRABAJO'!D56</f>
        <v>0</v>
      </c>
    </row>
    <row r="100" spans="1:15" x14ac:dyDescent="0.25">
      <c r="A100" s="101"/>
      <c r="B100" s="101" t="s">
        <v>1377</v>
      </c>
      <c r="C100" s="480">
        <f>+'HOJA D TRABAJO'!$B$55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TRABAJO'!$B$56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TRABAJO'!E55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TRABAJO'!E56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TRABAJO'!$E$256)*'HOJA D TRABAJO'!$F$55)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TRABAJO'!$E$256)*'HOJA D TRABAJO'!$F$56)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TRABAJO'!$F$55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TRABAJO'!$F$56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J2"/>
    <mergeCell ref="A25:G25"/>
    <mergeCell ref="I25:O25"/>
    <mergeCell ref="C43:E43"/>
    <mergeCell ref="K43:M43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15"/>
  <sheetViews>
    <sheetView topLeftCell="A22"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482" t="str">
        <f>+'HOJA D TRABAJO'!D59</f>
        <v>LA PAZ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TRABAJO'!D61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TRABAJO'!D62</f>
        <v>0</v>
      </c>
    </row>
    <row r="5" spans="1:15" s="22" customFormat="1" x14ac:dyDescent="0.25">
      <c r="A5" s="58"/>
      <c r="B5" s="58" t="s">
        <v>1377</v>
      </c>
      <c r="C5" s="480">
        <f>+'HOJA D TRABAJO'!B61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TRABAJO'!B62</f>
        <v>0</v>
      </c>
      <c r="L5" s="480"/>
      <c r="M5" s="480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TRABAJO'!E61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TRABAJO'!E62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TRABAJO'!$F$61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TRABAJO'!$F$62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+M14</f>
        <v>5.4487179487179495E-4</v>
      </c>
      <c r="F14" s="28"/>
      <c r="G14" s="30">
        <f>+'HOJA D TRABAJO'!$E$259*'HOJA D TRABAJO'!$F$61</f>
        <v>0</v>
      </c>
      <c r="H14" s="31"/>
      <c r="I14" s="37" t="s">
        <v>1387</v>
      </c>
      <c r="J14" s="28"/>
      <c r="K14" s="28"/>
      <c r="L14" s="28"/>
      <c r="M14" s="34">
        <f>+E32</f>
        <v>5.4487179487179495E-4</v>
      </c>
      <c r="N14" s="28"/>
      <c r="O14" s="30">
        <f>+'HOJA D TRABAJO'!$E$259*'HOJA D TRABAJO'!$F$62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TRABAJO'!D63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TRABAJO'!D64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TRABAJO'!B63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TRABAJO'!B64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TRABAJO'!E63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TRABAJO'!E64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TRABAJO'!$F$63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TRABAJO'!$F$64</f>
        <v>0</v>
      </c>
    </row>
    <row r="32" spans="1:15" s="22" customFormat="1" ht="15.75" customHeight="1" outlineLevel="1" x14ac:dyDescent="0.2">
      <c r="A32" s="37" t="s">
        <v>1387</v>
      </c>
      <c r="B32" s="28"/>
      <c r="C32" s="28"/>
      <c r="D32" s="28"/>
      <c r="E32" s="34">
        <f>+'HOJA 1 AUX'!E14</f>
        <v>5.4487179487179495E-4</v>
      </c>
      <c r="F32" s="28"/>
      <c r="G32" s="30">
        <f>+'HOJA D TRABAJO'!$E$259*'HOJA D TRABAJO'!$F$63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TRABAJO'!$F$64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57">
        <f>+'HOJA D TRABAJO'!D65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TRABAJO'!D66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TRABAJO'!$B65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TRABAJO'!$B$66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TRABAJO'!$E$65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TRABAJO'!$E$66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6.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6.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TRABAJO'!$F$65</f>
        <v>0</v>
      </c>
      <c r="H51" s="31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TRABAJO'!$F$66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TRABAJO'!$F$65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TRABAJO'!$F$66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55" customFormat="1" outlineLevel="2" x14ac:dyDescent="0.25"/>
    <row r="60" spans="1:15" s="55" customFormat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TRABAJO'!D67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TRABAJO'!D68</f>
        <v>0</v>
      </c>
    </row>
    <row r="62" spans="1:15" x14ac:dyDescent="0.25">
      <c r="A62" s="101"/>
      <c r="B62" s="101" t="s">
        <v>1377</v>
      </c>
      <c r="C62" s="480">
        <f>+'HOJA D TRABAJO'!$B$67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TRABAJO'!$B$68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TRABAJO'!$E$67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TRABAJO'!$E$68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TRABAJO'!$F$67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TRABAJO'!$F$68</f>
        <v>0</v>
      </c>
    </row>
    <row r="71" spans="1:15" x14ac:dyDescent="0.25">
      <c r="A71" s="37" t="s">
        <v>1387</v>
      </c>
      <c r="B71" s="28"/>
      <c r="C71" s="28"/>
      <c r="D71" s="28"/>
      <c r="E71" s="34">
        <f>+M71</f>
        <v>5.4487179487179495E-4</v>
      </c>
      <c r="F71" s="28"/>
      <c r="G71" s="30">
        <f>+'HOJA D TRABAJO'!$E$259*'HOJA D TRABAJO'!$F$67</f>
        <v>0</v>
      </c>
      <c r="H71" s="31"/>
      <c r="I71" s="37" t="s">
        <v>1387</v>
      </c>
      <c r="J71" s="28"/>
      <c r="K71" s="28"/>
      <c r="L71" s="28"/>
      <c r="M71" s="34">
        <f>+E89</f>
        <v>5.4487179487179495E-4</v>
      </c>
      <c r="N71" s="28"/>
      <c r="O71" s="30">
        <f>+'HOJA D TRABAJO'!$E$259*'HOJA D TRABAJO'!$F$68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TRABAJO'!D69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TRABAJO'!D70</f>
        <v>0</v>
      </c>
    </row>
    <row r="81" spans="1:15" x14ac:dyDescent="0.25">
      <c r="A81" s="101"/>
      <c r="B81" s="101" t="s">
        <v>1377</v>
      </c>
      <c r="C81" s="480">
        <f>+'HOJA D TRABAJO'!$B$69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TRABAJO'!$B$70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TRABAJO'!$E$69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TRABAJO'!$E$70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TRABAJO'!$F$69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TRABAJO'!$F$70</f>
        <v>0</v>
      </c>
    </row>
    <row r="89" spans="1:15" x14ac:dyDescent="0.25">
      <c r="A89" s="37" t="s">
        <v>1387</v>
      </c>
      <c r="B89" s="28"/>
      <c r="C89" s="28"/>
      <c r="D89" s="28"/>
      <c r="E89" s="34">
        <f>+'HOJA 1 AUX'!E71</f>
        <v>5.4487179487179495E-4</v>
      </c>
      <c r="F89" s="28"/>
      <c r="G89" s="30">
        <f>+'HOJA D TRABAJO'!$E$259*'HOJA D TRABAJO'!$F$69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TRABAJO'!$F$70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TRABAJO'!D71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TRABAJO'!D72</f>
        <v>0</v>
      </c>
    </row>
    <row r="100" spans="1:15" x14ac:dyDescent="0.25">
      <c r="A100" s="101"/>
      <c r="B100" s="101" t="s">
        <v>1377</v>
      </c>
      <c r="C100" s="480">
        <f>+'HOJA D TRABAJO'!$B$71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TRABAJO'!$B$72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TRABAJO'!$E$71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TRABAJO'!$E$72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TRABAJO'!$F$71</f>
        <v>0</v>
      </c>
      <c r="H108" s="31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TRABAJO'!$F$72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TRABAJO'!$F$71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TRABAJO'!$F$72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5"/>
    <col min="8" max="8" width="6.140625" style="55" customWidth="1"/>
    <col min="9" max="16384" width="11.42578125" style="55"/>
  </cols>
  <sheetData>
    <row r="2" spans="1:16" ht="26.25" x14ac:dyDescent="0.4">
      <c r="E2" s="483" t="str">
        <f>+'HOJA D TRABAJO'!D75</f>
        <v>TARIJA</v>
      </c>
      <c r="F2" s="483"/>
      <c r="G2" s="483"/>
      <c r="H2" s="483"/>
      <c r="I2" s="483"/>
      <c r="J2" s="483"/>
      <c r="K2" s="483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TRABAJO'!D77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TRABAJO'!D78</f>
        <v>0</v>
      </c>
    </row>
    <row r="5" spans="1:16" s="22" customFormat="1" x14ac:dyDescent="0.25">
      <c r="A5" s="58"/>
      <c r="B5" s="58" t="s">
        <v>1377</v>
      </c>
      <c r="C5" s="480">
        <f>+'HOJA D TRABAJO'!B77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TRABAJO'!B78</f>
        <v>0</v>
      </c>
      <c r="L5" s="480"/>
      <c r="M5" s="480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TRABAJO'!E77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TRABAJO'!E78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4.2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4.2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TRABAJO'!$F$77</f>
        <v>0</v>
      </c>
      <c r="H13" s="31"/>
      <c r="I13" s="37" t="s">
        <v>1411</v>
      </c>
      <c r="J13" s="28"/>
      <c r="K13" s="28" t="s">
        <v>1395</v>
      </c>
      <c r="L13" s="28"/>
      <c r="M13" s="36"/>
      <c r="N13" s="28"/>
      <c r="O13" s="30">
        <f>+(('HOJA D TRABAJO'!$H$23+'HOJA D TRABAJO'!$E$256))*'HOJA D TRABAJO'!$F$78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TRABAJO'!$F$77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TRABAJO'!$F$78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TRABAJO'!D79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TRABAJO'!D80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TRABAJO'!B79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TRABAJO'!B80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TRABAJO'!E79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TRABAJO'!E80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TRABAJO'!$F$79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TRABAJO'!$F$80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TRABAJO'!$F$79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TRABAJO'!$F$80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TRABAJO'!$D$81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TRABAJO'!$D$82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TRABAJO'!$B$81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TRABAJO'!$B$82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TRABAJO'!$E$81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TRABAJO'!$E$82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TRABAJO'!$F$81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TRABAJO'!$F$82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TRABAJO'!$F$81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TRABAJO'!$F$82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s="22" customFormat="1" ht="14.25" outlineLevel="1" x14ac:dyDescent="0.2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TRABAJO'!$D$83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TRABAJO'!$D$84</f>
        <v>0</v>
      </c>
    </row>
    <row r="62" spans="1:15" x14ac:dyDescent="0.25">
      <c r="A62" s="101"/>
      <c r="B62" s="101" t="s">
        <v>1377</v>
      </c>
      <c r="C62" s="480">
        <f>+'HOJA D TRABAJO'!$B$83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TRABAJO'!$B$84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TRABAJO'!$E$83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TRABAJO'!$E$84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TRABAJO'!$F$83</f>
        <v>0</v>
      </c>
      <c r="H70" s="31"/>
      <c r="I70" s="37" t="s">
        <v>1411</v>
      </c>
      <c r="J70" s="28"/>
      <c r="K70" s="28" t="s">
        <v>1395</v>
      </c>
      <c r="L70" s="28"/>
      <c r="M70" s="36"/>
      <c r="N70" s="28"/>
      <c r="O70" s="30">
        <f>+(('HOJA D TRABAJO'!$H$23+'HOJA D TRABAJO'!$E$256))*'HOJA D TRABAJO'!$F$84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TRABAJO'!$F$83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TRABAJO'!$F$84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TRABAJO'!$D$85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TRABAJO'!$D$86</f>
        <v>0</v>
      </c>
    </row>
    <row r="81" spans="1:15" x14ac:dyDescent="0.25">
      <c r="A81" s="101"/>
      <c r="B81" s="101" t="s">
        <v>1377</v>
      </c>
      <c r="C81" s="480">
        <f>+'HOJA D TRABAJO'!$B$85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TRABAJO'!$B$86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TRABAJO'!$E$85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TRABAJO'!$E$86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TRABAJO'!$F$85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TRABAJO'!$F$86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TRABAJO'!$F$85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TRABAJO'!$F$86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TRABAJO'!$D$87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TRABAJO'!$D$88</f>
        <v>0</v>
      </c>
    </row>
    <row r="100" spans="1:15" x14ac:dyDescent="0.25">
      <c r="A100" s="101"/>
      <c r="B100" s="101" t="s">
        <v>1377</v>
      </c>
      <c r="C100" s="480">
        <f>+'HOJA D TRABAJO'!$B$87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TRABAJO'!$B$87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TRABAJO'!$E$87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TRABAJO'!$E$88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TRABAJO'!$F$87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TRABAJO'!$F$88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TRABAJO'!$F$87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TRABAJO'!$F$88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482" t="str">
        <f>+'HOJA D TRABAJO'!D91</f>
        <v>POTOSI</v>
      </c>
      <c r="F2" s="482"/>
      <c r="G2" s="482"/>
      <c r="H2" s="482"/>
      <c r="I2" s="482"/>
      <c r="J2" s="482"/>
      <c r="K2" s="482"/>
    </row>
    <row r="3" spans="1:16" s="22" customFormat="1" ht="14.25" x14ac:dyDescent="0.2"/>
    <row r="4" spans="1:16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TRABAJO'!D93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TRABAJO'!D94</f>
        <v>0</v>
      </c>
    </row>
    <row r="5" spans="1:16" s="22" customFormat="1" x14ac:dyDescent="0.25">
      <c r="A5" s="58"/>
      <c r="B5" s="58" t="s">
        <v>1377</v>
      </c>
      <c r="C5" s="480">
        <f>+'HOJA D TRABAJO'!B93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TRABAJO'!B94</f>
        <v>0</v>
      </c>
      <c r="L5" s="480"/>
      <c r="M5" s="480"/>
      <c r="N5" s="58"/>
      <c r="O5" s="58"/>
    </row>
    <row r="6" spans="1:16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6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6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TRABAJO'!E93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TRABAJO'!E94</f>
        <v>0</v>
      </c>
    </row>
    <row r="9" spans="1:16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6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6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6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6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TRABAJO'!$F$93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TRABAJO'!$F$94</f>
        <v>0</v>
      </c>
      <c r="P13" s="19"/>
    </row>
    <row r="14" spans="1:16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TRABAJO'!$F$93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TRABAJO'!$F$94</f>
        <v>0</v>
      </c>
    </row>
    <row r="15" spans="1:16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6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6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6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6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6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6" s="22" customFormat="1" ht="14.25" x14ac:dyDescent="0.2">
      <c r="H21" s="27"/>
    </row>
    <row r="22" spans="1:16" s="22" customFormat="1" ht="14.25" x14ac:dyDescent="0.2">
      <c r="H22" s="27"/>
    </row>
    <row r="23" spans="1:16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104">
        <f>+'HOJA D TRABAJO'!D95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107">
        <f>+'HOJA D TRABAJO'!D$96</f>
        <v>0</v>
      </c>
    </row>
    <row r="24" spans="1:16" s="22" customFormat="1" outlineLevel="1" x14ac:dyDescent="0.25">
      <c r="A24" s="58"/>
      <c r="B24" s="58" t="s">
        <v>1377</v>
      </c>
      <c r="C24" s="480">
        <f>+'HOJA D TRABAJO'!B95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TRABAJO'!B96</f>
        <v>0</v>
      </c>
      <c r="L24" s="480"/>
      <c r="M24" s="480"/>
      <c r="N24" s="58"/>
      <c r="O24" s="58"/>
    </row>
    <row r="25" spans="1:16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6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TRABAJO'!E95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TRABAJO'!E96</f>
        <v>0</v>
      </c>
    </row>
    <row r="27" spans="1:16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6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6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6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6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TRABAJO'!$F$95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TRABAJO'!$F$96</f>
        <v>0</v>
      </c>
      <c r="P31" s="19"/>
    </row>
    <row r="32" spans="1:16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TRABAJO'!$F$95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TRABAJO'!$F$96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TRABAJO'!$D$97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TRABAJO'!$D$98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TRABAJO'!$B$97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TRABAJO'!$B$98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TRABAJO'!$E$97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TRABAJO'!$E$98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8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8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TRABAJO'!$F$97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TRABAJO'!$F$98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+E14</f>
        <v>5.4487179487179495E-4</v>
      </c>
      <c r="F52" s="28"/>
      <c r="G52" s="30">
        <f>+'HOJA D TRABAJO'!$E$259*'HOJA D TRABAJO'!$F$97</f>
        <v>0</v>
      </c>
      <c r="H52" s="27"/>
      <c r="I52" s="37" t="s">
        <v>1387</v>
      </c>
      <c r="J52" s="28"/>
      <c r="K52" s="28"/>
      <c r="L52" s="28"/>
      <c r="M52" s="34">
        <f>+E14</f>
        <v>5.4487179487179495E-4</v>
      </c>
      <c r="N52" s="28"/>
      <c r="O52" s="30">
        <f>+'HOJA D TRABAJO'!$E$259*'HOJA D TRABAJO'!$F$98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TRABAJO'!$D$99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TRABAJO'!$D$100</f>
        <v>0</v>
      </c>
    </row>
    <row r="62" spans="1:15" x14ac:dyDescent="0.25">
      <c r="A62" s="101"/>
      <c r="B62" s="101" t="s">
        <v>1377</v>
      </c>
      <c r="C62" s="480">
        <f>+'HOJA D TRABAJO'!$B$99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TRABAJO'!$B$100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TRABAJO'!$E$99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TRABAJO'!$E$100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TRABAJO'!$F$99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TRABAJO'!$F$100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TRABAJO'!$F$99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TRABAJO'!$F$100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TRABAJO'!$D$101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TRABAJO'!$D$102</f>
        <v>0</v>
      </c>
    </row>
    <row r="81" spans="1:15" x14ac:dyDescent="0.25">
      <c r="A81" s="101"/>
      <c r="B81" s="101" t="s">
        <v>1377</v>
      </c>
      <c r="C81" s="480">
        <f>+'HOJA D TRABAJO'!$B$101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TRABAJO'!$B$102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TRABAJO'!$E$101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TRABAJO'!$E$102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TRABAJO'!$F$101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TRABAJO'!$F$102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TRABAJO'!$F$101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TRABAJO'!$F$102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TRABAJO'!$D$103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TRABAJO'!$D$104</f>
        <v>0</v>
      </c>
    </row>
    <row r="100" spans="1:15" x14ac:dyDescent="0.25">
      <c r="A100" s="101"/>
      <c r="B100" s="101" t="s">
        <v>1377</v>
      </c>
      <c r="C100" s="480">
        <f>+'HOJA D TRABAJO'!$B$103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TRABAJO'!$B$104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TRABAJO'!$E$103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TRABAJO'!$E$104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TRABAJO'!$F$103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TRABAJO'!$F$104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+E71</f>
        <v>5.4487179487179495E-4</v>
      </c>
      <c r="F109" s="28"/>
      <c r="G109" s="30">
        <f>+'HOJA D TRABAJO'!$E$259*'HOJA D TRABAJO'!$F$103</f>
        <v>0</v>
      </c>
      <c r="H109" s="27"/>
      <c r="I109" s="37" t="s">
        <v>1387</v>
      </c>
      <c r="J109" s="28"/>
      <c r="K109" s="28"/>
      <c r="L109" s="28"/>
      <c r="M109" s="34">
        <f>+E71</f>
        <v>5.4487179487179495E-4</v>
      </c>
      <c r="N109" s="28"/>
      <c r="O109" s="30">
        <f>+'HOJA D TRABAJO'!$E$259*'HOJA D TRABAJO'!$F$104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482" t="str">
        <f>+'HOJA D TRABAJO'!D107</f>
        <v>SUCRE</v>
      </c>
      <c r="F2" s="482"/>
      <c r="G2" s="482"/>
      <c r="H2" s="482"/>
      <c r="I2" s="482"/>
      <c r="J2" s="482"/>
      <c r="K2" s="482"/>
    </row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TRABAJO'!D109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TRABAJO'!D110</f>
        <v>0</v>
      </c>
    </row>
    <row r="5" spans="1:15" s="22" customFormat="1" x14ac:dyDescent="0.25">
      <c r="A5" s="58"/>
      <c r="B5" s="58" t="s">
        <v>1377</v>
      </c>
      <c r="C5" s="480">
        <f>+'HOJA D TRABAJO'!B109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TRABAJO'!B110</f>
        <v>0</v>
      </c>
      <c r="L5" s="480"/>
      <c r="M5" s="480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TRABAJO'!E109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TRABAJO'!E110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5.75" customHeight="1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.7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.7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TRABAJO'!$F$109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TRABAJO'!$F$110</f>
        <v>0</v>
      </c>
    </row>
    <row r="14" spans="1:15" s="22" customFormat="1" ht="15.75" customHeight="1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TRABAJO'!$F$109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TRABAJO'!$F$110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TRABAJO'!D111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TRABAJO'!D112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TRABAJO'!B111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TRABAJO'!B112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TRABAJO'!E111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TRABAJO'!E112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TRABAJO'!$F$111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TRABAJO'!$F$112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TRABAJO'!$F$111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TRABAJO'!$F$112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TRABAJO'!$D$113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TRABAJO'!$D$114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TRABAJO'!$B$113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TRABAJO'!$B$114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TRABAJO'!$E$113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TRABAJO'!$E$114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TRABAJO'!$F$113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TRABAJO'!$F$114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TRABAJO'!$F$113</f>
        <v>0</v>
      </c>
      <c r="H52" s="27"/>
      <c r="I52" s="37" t="s">
        <v>1387</v>
      </c>
      <c r="J52" s="28"/>
      <c r="K52" s="28"/>
      <c r="L52" s="28"/>
      <c r="M52" s="34">
        <f>+E32</f>
        <v>5.4487179487179495E-4</v>
      </c>
      <c r="N52" s="28"/>
      <c r="O52" s="30">
        <f>+'HOJA D TRABAJO'!$E$259*'HOJA D TRABAJO'!$F$114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TRABAJO'!$D$115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TRABAJO'!$D$116</f>
        <v>0</v>
      </c>
    </row>
    <row r="62" spans="1:15" x14ac:dyDescent="0.25">
      <c r="A62" s="101"/>
      <c r="B62" s="101" t="s">
        <v>1377</v>
      </c>
      <c r="C62" s="480">
        <f>+'HOJA D TRABAJO'!$B$115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TRABAJO'!$B$116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TRABAJO'!$E$115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TRABAJO'!$E$116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TRABAJO'!$F$115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TRABAJO'!$F$116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TRABAJO'!$F$115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TRABAJO'!$F$116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TRABAJO'!$D$117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TRABAJO'!$D$118</f>
        <v>0</v>
      </c>
    </row>
    <row r="81" spans="1:15" x14ac:dyDescent="0.25">
      <c r="A81" s="101"/>
      <c r="B81" s="101" t="s">
        <v>1377</v>
      </c>
      <c r="C81" s="480">
        <f>+'HOJA D TRABAJO'!$B$117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TRABAJO'!$B$118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TRABAJO'!$E$117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TRABAJO'!$E$118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TRABAJO'!$F$117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TRABAJO'!$F$118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TRABAJO'!$F$117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TRABAJO'!$F$118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TRABAJO'!$D$119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TRABAJO'!$D$120</f>
        <v>0</v>
      </c>
    </row>
    <row r="100" spans="1:15" x14ac:dyDescent="0.25">
      <c r="A100" s="101"/>
      <c r="B100" s="101" t="s">
        <v>1377</v>
      </c>
      <c r="C100" s="480">
        <f>+'HOJA D TRABAJO'!$B119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TRABAJO'!$B120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TRABAJO'!$E$119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TRABAJO'!$E$120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TRABAJO'!$F$119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TRABAJO'!$F$120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TRABAJO'!$F$119</f>
        <v>0</v>
      </c>
      <c r="H109" s="27"/>
      <c r="I109" s="37" t="s">
        <v>1387</v>
      </c>
      <c r="J109" s="28"/>
      <c r="K109" s="28"/>
      <c r="L109" s="28"/>
      <c r="M109" s="34">
        <f>+E89</f>
        <v>5.4487179487179495E-4</v>
      </c>
      <c r="N109" s="28"/>
      <c r="O109" s="30">
        <f>+'HOJA D TRABAJO'!$E$259*'HOJA D TRABAJO'!$F$120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482" t="str">
        <f>+'HOJA D TRABAJO'!D123</f>
        <v>ORURO</v>
      </c>
      <c r="F2" s="482"/>
      <c r="G2" s="482"/>
      <c r="H2" s="482"/>
      <c r="I2" s="482"/>
      <c r="J2" s="482"/>
      <c r="K2" s="482"/>
    </row>
    <row r="3" spans="1:15" s="22" customFormat="1" ht="14.25" x14ac:dyDescent="0.2"/>
    <row r="4" spans="1:15" s="22" customFormat="1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TRABAJO'!D125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TRABAJO'!D126</f>
        <v>0</v>
      </c>
    </row>
    <row r="5" spans="1:15" s="22" customFormat="1" x14ac:dyDescent="0.25">
      <c r="A5" s="58"/>
      <c r="B5" s="58" t="s">
        <v>1377</v>
      </c>
      <c r="C5" s="480">
        <f>+'HOJA D TRABAJO'!B125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TRABAJO'!B126</f>
        <v>0</v>
      </c>
      <c r="L5" s="480"/>
      <c r="M5" s="480"/>
      <c r="N5" s="58"/>
      <c r="O5" s="58"/>
    </row>
    <row r="6" spans="1:15" s="22" customFormat="1" ht="14.2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s="22" customFormat="1" ht="14.2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s="22" customFormat="1" ht="14.2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TRABAJO'!E125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TRABAJO'!E126</f>
        <v>0</v>
      </c>
    </row>
    <row r="9" spans="1:15" s="22" customFormat="1" ht="14.2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s="22" customFormat="1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s="22" customFormat="1" ht="14.2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s="22" customFormat="1" ht="15" customHeight="1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s="22" customFormat="1" ht="15" customHeight="1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TRABAJO'!$F125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TRABAJO'!$F126</f>
        <v>0</v>
      </c>
    </row>
    <row r="14" spans="1:15" s="22" customFormat="1" ht="14.2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TRABAJO'!$F$125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TRABAJO'!$F$126</f>
        <v>0</v>
      </c>
    </row>
    <row r="15" spans="1:15" s="22" customFormat="1" ht="14.2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s="22" customFormat="1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s="22" customFormat="1" ht="14.2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s="22" customFormat="1" ht="14.2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s="22" customFormat="1" ht="14.2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s="22" customFormat="1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s="22" customFormat="1" ht="14.25" x14ac:dyDescent="0.2">
      <c r="H21" s="27"/>
    </row>
    <row r="22" spans="1:15" s="22" customFormat="1" ht="14.25" x14ac:dyDescent="0.2">
      <c r="H22" s="27"/>
    </row>
    <row r="23" spans="1:15" s="22" customFormat="1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TRABAJO'!D127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TRABAJO'!D128</f>
        <v>0</v>
      </c>
    </row>
    <row r="24" spans="1:15" s="22" customFormat="1" outlineLevel="1" x14ac:dyDescent="0.25">
      <c r="A24" s="58"/>
      <c r="B24" s="58" t="s">
        <v>1377</v>
      </c>
      <c r="C24" s="480">
        <f>+'HOJA D TRABAJO'!B127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TRABAJO'!B128</f>
        <v>0</v>
      </c>
      <c r="L24" s="480"/>
      <c r="M24" s="480"/>
      <c r="N24" s="58"/>
      <c r="O24" s="58"/>
    </row>
    <row r="25" spans="1:15" s="22" customFormat="1" ht="14.2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s="22" customFormat="1" ht="14.2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TRABAJO'!E127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TRABAJO'!E128</f>
        <v>0</v>
      </c>
    </row>
    <row r="27" spans="1:15" s="22" customFormat="1" ht="14.2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s="22" customFormat="1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s="22" customFormat="1" ht="14.2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s="22" customFormat="1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s="22" customFormat="1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TRABAJO'!$F127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TRABAJO'!$F128</f>
        <v>0</v>
      </c>
    </row>
    <row r="32" spans="1:15" s="22" customFormat="1" ht="14.2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TRABAJO'!$F$127</f>
        <v>0</v>
      </c>
      <c r="H32" s="31"/>
      <c r="I32" s="37" t="s">
        <v>1387</v>
      </c>
      <c r="J32" s="28"/>
      <c r="K32" s="28"/>
      <c r="L32" s="28"/>
      <c r="M32" s="34">
        <f>+E32</f>
        <v>5.4487179487179495E-4</v>
      </c>
      <c r="N32" s="28"/>
      <c r="O32" s="30">
        <f>+'HOJA D TRABAJO'!$E$259*'HOJA D TRABAJO'!$F$128</f>
        <v>0</v>
      </c>
    </row>
    <row r="33" spans="1:15" s="22" customFormat="1" ht="14.2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s="22" customFormat="1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s="22" customFormat="1" ht="14.2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s="22" customFormat="1" ht="14.2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s="22" customFormat="1" ht="14.2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s="22" customFormat="1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s="22" customFormat="1" ht="14.25" outlineLevel="1" x14ac:dyDescent="0.2">
      <c r="H39" s="27"/>
    </row>
    <row r="40" spans="1:15" s="22" customFormat="1" ht="14.25" outlineLevel="1" x14ac:dyDescent="0.2">
      <c r="H40" s="27"/>
    </row>
    <row r="41" spans="1:15" s="22" customFormat="1" ht="14.25" outlineLevel="1" x14ac:dyDescent="0.2">
      <c r="H41" s="27"/>
    </row>
    <row r="42" spans="1:15" s="22" customFormat="1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TRABAJO'!$D$129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TRABAJO'!$D$130</f>
        <v>0</v>
      </c>
    </row>
    <row r="43" spans="1:15" s="22" customFormat="1" outlineLevel="2" x14ac:dyDescent="0.25">
      <c r="A43" s="58"/>
      <c r="B43" s="58" t="s">
        <v>1377</v>
      </c>
      <c r="C43" s="480">
        <f>+'HOJA D TRABAJO'!$B$129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TRABAJO'!$B$130</f>
        <v>0</v>
      </c>
      <c r="L43" s="480"/>
      <c r="M43" s="480"/>
      <c r="N43" s="58"/>
      <c r="O43" s="58"/>
    </row>
    <row r="44" spans="1:15" s="22" customFormat="1" ht="14.2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s="22" customFormat="1" ht="14.2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s="22" customFormat="1" ht="14.2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TRABAJO'!$E$129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TRABAJO'!$E$130</f>
        <v>0</v>
      </c>
    </row>
    <row r="47" spans="1:15" s="22" customFormat="1" ht="14.2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s="22" customForma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s="22" customFormat="1" ht="14.2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s="22" customFormat="1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s="22" customFormat="1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TRABAJO'!$F129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TRABAJO'!$F130</f>
        <v>0</v>
      </c>
    </row>
    <row r="52" spans="1:15" s="22" customFormat="1" ht="14.25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TRABAJO'!$F$129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TRABAJO'!$F$130</f>
        <v>0</v>
      </c>
    </row>
    <row r="53" spans="1:15" s="22" customFormat="1" ht="14.2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s="22" customFormat="1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s="22" customFormat="1" ht="14.2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s="22" customFormat="1" ht="14.2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s="22" customFormat="1" ht="14.2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s="22" customFormat="1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2" x14ac:dyDescent="0.25"/>
    <row r="61" spans="1: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TRABAJO'!$D$131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TRABAJO'!$D$132</f>
        <v>0</v>
      </c>
    </row>
    <row r="62" spans="1:15" x14ac:dyDescent="0.25">
      <c r="A62" s="101"/>
      <c r="B62" s="101" t="s">
        <v>1377</v>
      </c>
      <c r="C62" s="480">
        <f>+'HOJA D TRABAJO'!$B$131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TRABAJO'!$B$132</f>
        <v>0</v>
      </c>
      <c r="L62" s="480"/>
      <c r="M62" s="480"/>
      <c r="N62" s="101"/>
      <c r="O62" s="101"/>
    </row>
    <row r="63" spans="1:15" x14ac:dyDescent="0.25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5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5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TRABAJO'!$E$131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TRABAJO'!$E$132</f>
        <v>0</v>
      </c>
    </row>
    <row r="66" spans="1:15" x14ac:dyDescent="0.25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5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5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5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TRABAJO'!$F131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TRABAJO'!$F132</f>
        <v>0</v>
      </c>
    </row>
    <row r="71" spans="1:15" x14ac:dyDescent="0.25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TRABAJO'!$F$131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TRABAJO'!$F$132</f>
        <v>0</v>
      </c>
    </row>
    <row r="72" spans="1:15" x14ac:dyDescent="0.25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5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5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5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5">
      <c r="A78" s="22"/>
      <c r="B78" s="22"/>
      <c r="C78" s="22"/>
      <c r="D78" s="22"/>
      <c r="E78" s="22"/>
      <c r="F78" s="22"/>
      <c r="G78" s="22"/>
      <c r="H78" s="27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7"/>
      <c r="I79" s="22"/>
      <c r="J79" s="22"/>
      <c r="K79" s="22"/>
      <c r="L79" s="22"/>
      <c r="M79" s="22"/>
      <c r="N79" s="22"/>
      <c r="O79" s="22"/>
    </row>
    <row r="80" spans="1: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TRABAJO'!$D$133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TRABAJO'!$D$134</f>
        <v>0</v>
      </c>
    </row>
    <row r="81" spans="1:15" x14ac:dyDescent="0.25">
      <c r="A81" s="101"/>
      <c r="B81" s="101" t="s">
        <v>1377</v>
      </c>
      <c r="C81" s="480">
        <f>+'HOJA D TRABAJO'!$B$133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TRABAJO'!$B$134</f>
        <v>0</v>
      </c>
      <c r="L81" s="480"/>
      <c r="M81" s="480"/>
      <c r="N81" s="101"/>
      <c r="O81" s="101"/>
    </row>
    <row r="82" spans="1:15" x14ac:dyDescent="0.25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5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TRABAJO'!$E$133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TRABAJO'!$E$134</f>
        <v>0</v>
      </c>
    </row>
    <row r="84" spans="1:15" x14ac:dyDescent="0.25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5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5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5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TRABAJO'!$F133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TRABAJO'!$F134</f>
        <v>0</v>
      </c>
    </row>
    <row r="89" spans="1:15" x14ac:dyDescent="0.25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TRABAJO'!$F$133</f>
        <v>0</v>
      </c>
      <c r="H89" s="31"/>
      <c r="I89" s="37" t="s">
        <v>1387</v>
      </c>
      <c r="J89" s="28"/>
      <c r="K89" s="28"/>
      <c r="L89" s="28"/>
      <c r="M89" s="34">
        <f>+E89</f>
        <v>5.4487179487179495E-4</v>
      </c>
      <c r="N89" s="28"/>
      <c r="O89" s="30">
        <f>+'HOJA D TRABAJO'!$E$259*'HOJA D TRABAJO'!$F$134</f>
        <v>0</v>
      </c>
    </row>
    <row r="90" spans="1:15" x14ac:dyDescent="0.25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5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5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5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5">
      <c r="A96" s="22"/>
      <c r="B96" s="22"/>
      <c r="C96" s="22"/>
      <c r="D96" s="22"/>
      <c r="E96" s="22"/>
      <c r="F96" s="22"/>
      <c r="G96" s="22"/>
      <c r="H96" s="27"/>
      <c r="I96" s="22"/>
      <c r="J96" s="22"/>
      <c r="K96" s="22"/>
      <c r="L96" s="22"/>
      <c r="M96" s="22"/>
      <c r="N96" s="22"/>
      <c r="O96" s="22"/>
    </row>
    <row r="97" spans="1:15" x14ac:dyDescent="0.25">
      <c r="A97" s="22"/>
      <c r="B97" s="22"/>
      <c r="C97" s="22"/>
      <c r="D97" s="22"/>
      <c r="E97" s="22"/>
      <c r="F97" s="22"/>
      <c r="G97" s="22"/>
      <c r="H97" s="27"/>
      <c r="I97" s="22"/>
      <c r="J97" s="22"/>
      <c r="K97" s="22"/>
      <c r="L97" s="22"/>
      <c r="M97" s="22"/>
      <c r="N97" s="22"/>
      <c r="O97" s="22"/>
    </row>
    <row r="98" spans="1:15" x14ac:dyDescent="0.25">
      <c r="A98" s="22"/>
      <c r="B98" s="22"/>
      <c r="C98" s="22"/>
      <c r="D98" s="22"/>
      <c r="E98" s="22"/>
      <c r="F98" s="22"/>
      <c r="G98" s="22"/>
      <c r="H98" s="27"/>
      <c r="I98" s="22"/>
      <c r="J98" s="22"/>
      <c r="K98" s="22"/>
      <c r="L98" s="22"/>
      <c r="M98" s="22"/>
      <c r="N98" s="22"/>
      <c r="O98" s="22"/>
    </row>
    <row r="99" spans="1: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TRABAJO'!$D$135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TRABAJO'!$D$136</f>
        <v>0</v>
      </c>
    </row>
    <row r="100" spans="1:15" x14ac:dyDescent="0.25">
      <c r="A100" s="101"/>
      <c r="B100" s="101" t="s">
        <v>1377</v>
      </c>
      <c r="C100" s="480">
        <f>+'HOJA D TRABAJO'!$B$135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TRABAJO'!$B$136</f>
        <v>0</v>
      </c>
      <c r="L100" s="480"/>
      <c r="M100" s="480"/>
      <c r="N100" s="101"/>
      <c r="O100" s="101"/>
    </row>
    <row r="101" spans="1:15" x14ac:dyDescent="0.25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5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5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TRABAJO'!$E$135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TRABAJO'!$E$136</f>
        <v>0</v>
      </c>
    </row>
    <row r="104" spans="1:15" x14ac:dyDescent="0.25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5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5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5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TRABAJO'!$F135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TRABAJO'!$F136</f>
        <v>0</v>
      </c>
    </row>
    <row r="109" spans="1:15" x14ac:dyDescent="0.25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TRABAJO'!$F$135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TRABAJO'!$F$136</f>
        <v>0</v>
      </c>
    </row>
    <row r="110" spans="1:15" x14ac:dyDescent="0.25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5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5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5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4" style="22" customWidth="1"/>
    <col min="9" max="16384" width="11.42578125" style="22"/>
  </cols>
  <sheetData>
    <row r="1" spans="1:15" customFormat="1" ht="15" x14ac:dyDescent="0.25"/>
    <row r="2" spans="1:15" customFormat="1" ht="28.5" x14ac:dyDescent="0.45">
      <c r="E2" s="482" t="str">
        <f>+'HOJA D TRABAJO'!D139</f>
        <v>EL ALTO</v>
      </c>
      <c r="F2" s="482"/>
      <c r="G2" s="482"/>
      <c r="H2" s="482"/>
      <c r="I2" s="482"/>
      <c r="J2" s="482"/>
      <c r="K2" s="482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TRABAJO'!D141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TRABAJO'!D142</f>
        <v>0</v>
      </c>
    </row>
    <row r="5" spans="1:15" ht="15" x14ac:dyDescent="0.25">
      <c r="A5" s="58"/>
      <c r="B5" s="58" t="s">
        <v>1377</v>
      </c>
      <c r="C5" s="480">
        <f>+'HOJA D TRABAJO'!B141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TRABAJO'!B142</f>
        <v>0</v>
      </c>
      <c r="L5" s="480"/>
      <c r="M5" s="480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TRABAJO'!E141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TRABAJO'!E142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TRABAJO'!$F$141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TRABAJO'!$F$142</f>
        <v>0</v>
      </c>
    </row>
    <row r="14" spans="1:15" x14ac:dyDescent="0.2">
      <c r="A14" s="37" t="s">
        <v>1387</v>
      </c>
      <c r="B14" s="28"/>
      <c r="C14" s="28"/>
      <c r="D14" s="28"/>
      <c r="E14" s="34">
        <f>+'HOJA 1 AUX'!E14</f>
        <v>5.4487179487179495E-4</v>
      </c>
      <c r="F14" s="28"/>
      <c r="G14" s="30">
        <f>+'HOJA D TRABAJO'!$E$259*'HOJA D TRABAJO'!$F$141</f>
        <v>0</v>
      </c>
      <c r="H14" s="31"/>
      <c r="I14" s="37" t="s">
        <v>1387</v>
      </c>
      <c r="J14" s="28"/>
      <c r="K14" s="28"/>
      <c r="L14" s="28"/>
      <c r="M14" s="34">
        <f>+E14</f>
        <v>5.4487179487179495E-4</v>
      </c>
      <c r="N14" s="28"/>
      <c r="O14" s="30">
        <f>+'HOJA D TRABAJO'!$E$259*'HOJA D TRABAJO'!$F$142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TRABAJO'!D143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TRABAJO'!D144</f>
        <v>0</v>
      </c>
    </row>
    <row r="24" spans="1:15" ht="15" outlineLevel="1" x14ac:dyDescent="0.25">
      <c r="A24" s="58"/>
      <c r="B24" s="58" t="s">
        <v>1377</v>
      </c>
      <c r="C24" s="480">
        <f>+'HOJA D TRABAJO'!B143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TRABAJO'!B144</f>
        <v>0</v>
      </c>
      <c r="L24" s="480"/>
      <c r="M24" s="480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TRABAJO'!E143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TRABAJO'!E144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.7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.7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TRABAJO'!$F$143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TRABAJO'!$F$144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+E14</f>
        <v>5.4487179487179495E-4</v>
      </c>
      <c r="F32" s="28"/>
      <c r="G32" s="30">
        <f>+'HOJA D TRABAJO'!$E$259*'HOJA D TRABAJO'!$F$143</f>
        <v>0</v>
      </c>
      <c r="H32" s="31"/>
      <c r="I32" s="37" t="s">
        <v>1387</v>
      </c>
      <c r="J32" s="28"/>
      <c r="K32" s="28"/>
      <c r="L32" s="28"/>
      <c r="M32" s="34">
        <f>+E14</f>
        <v>5.4487179487179495E-4</v>
      </c>
      <c r="N32" s="28"/>
      <c r="O32" s="30">
        <f>+'HOJA D TRABAJO'!$E$259*'HOJA D TRABAJO'!$F$144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27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TRABAJO'!$D$145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TRABAJO'!$D$146</f>
        <v>0</v>
      </c>
    </row>
    <row r="43" spans="1:15" ht="15" outlineLevel="2" x14ac:dyDescent="0.25">
      <c r="A43" s="58"/>
      <c r="B43" s="58" t="s">
        <v>1377</v>
      </c>
      <c r="C43" s="480">
        <f>+'HOJA D TRABAJO'!$B$145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TRABAJO'!$B$146</f>
        <v>0</v>
      </c>
      <c r="L43" s="480"/>
      <c r="M43" s="480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TRABAJO'!$E$145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TRABAJO'!$E$146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3.5" customHeight="1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ht="17.25" customHeight="1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7.2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7.2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TRABAJO'!$F$145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TRABAJO'!$F$146</f>
        <v>0</v>
      </c>
    </row>
    <row r="52" spans="1:15" ht="16.5" customHeight="1" outlineLevel="2" x14ac:dyDescent="0.2">
      <c r="A52" s="37" t="s">
        <v>1387</v>
      </c>
      <c r="B52" s="28"/>
      <c r="C52" s="28"/>
      <c r="D52" s="28"/>
      <c r="E52" s="34">
        <f>+E32</f>
        <v>5.4487179487179495E-4</v>
      </c>
      <c r="F52" s="28"/>
      <c r="G52" s="30">
        <f>+'HOJA D TRABAJO'!$E$259*'HOJA D TRABAJO'!$F$145</f>
        <v>0</v>
      </c>
      <c r="H52" s="27"/>
      <c r="I52" s="37" t="s">
        <v>1387</v>
      </c>
      <c r="J52" s="28"/>
      <c r="K52" s="28"/>
      <c r="L52" s="28"/>
      <c r="M52" s="34">
        <f>+E52</f>
        <v>5.4487179487179495E-4</v>
      </c>
      <c r="N52" s="28"/>
      <c r="O52" s="30">
        <f>+'HOJA D TRABAJO'!$E$259*'HOJA D TRABAJO'!$F$146</f>
        <v>0</v>
      </c>
    </row>
    <row r="53" spans="1:15" ht="16.5" customHeight="1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TRABAJO'!$D$147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TRABAJO'!$D$148</f>
        <v>0</v>
      </c>
    </row>
    <row r="62" spans="1:15" ht="15" x14ac:dyDescent="0.25">
      <c r="A62" s="101"/>
      <c r="B62" s="101" t="s">
        <v>1377</v>
      </c>
      <c r="C62" s="480">
        <f>+'HOJA D TRABAJO'!$B$147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TRABAJO'!$B$148</f>
        <v>0</v>
      </c>
      <c r="L62" s="480"/>
      <c r="M62" s="480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TRABAJO'!$E$147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TRABAJO'!$E$148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TRABAJO'!$F$147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TRABAJO'!$F$148</f>
        <v>0</v>
      </c>
    </row>
    <row r="71" spans="1:15" x14ac:dyDescent="0.2">
      <c r="A71" s="37" t="s">
        <v>1387</v>
      </c>
      <c r="B71" s="28"/>
      <c r="C71" s="28"/>
      <c r="D71" s="28"/>
      <c r="E71" s="34">
        <f>+'HOJA 1 AUX'!E71</f>
        <v>5.4487179487179495E-4</v>
      </c>
      <c r="F71" s="28"/>
      <c r="G71" s="30">
        <f>+'HOJA D TRABAJO'!$E$259*'HOJA D TRABAJO'!$F$147</f>
        <v>0</v>
      </c>
      <c r="H71" s="31"/>
      <c r="I71" s="37" t="s">
        <v>1387</v>
      </c>
      <c r="J71" s="28"/>
      <c r="K71" s="28"/>
      <c r="L71" s="28"/>
      <c r="M71" s="34">
        <f>+E71</f>
        <v>5.4487179487179495E-4</v>
      </c>
      <c r="N71" s="28"/>
      <c r="O71" s="30">
        <f>+'HOJA D TRABAJO'!$E$259*'HOJA D TRABAJO'!$F$148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TRABAJO'!$D$149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TRABAJO'!$D$150</f>
        <v>0</v>
      </c>
    </row>
    <row r="81" spans="1:15" ht="15" x14ac:dyDescent="0.25">
      <c r="A81" s="101"/>
      <c r="B81" s="101" t="s">
        <v>1377</v>
      </c>
      <c r="C81" s="480">
        <f>+'HOJA D TRABAJO'!$B$149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TRABAJO'!$B$150</f>
        <v>0</v>
      </c>
      <c r="L81" s="480"/>
      <c r="M81" s="480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TRABAJO'!$E$149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TRABAJO'!$E$150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TRABAJO'!$F$149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TRABAJO'!$F$150</f>
        <v>0</v>
      </c>
    </row>
    <row r="89" spans="1:15" x14ac:dyDescent="0.2">
      <c r="A89" s="37" t="s">
        <v>1387</v>
      </c>
      <c r="B89" s="28"/>
      <c r="C89" s="28"/>
      <c r="D89" s="28"/>
      <c r="E89" s="34">
        <f>+E71</f>
        <v>5.4487179487179495E-4</v>
      </c>
      <c r="F89" s="28"/>
      <c r="G89" s="30">
        <f>+'HOJA D TRABAJO'!$E$259*'HOJA D TRABAJO'!$F$149</f>
        <v>0</v>
      </c>
      <c r="H89" s="31"/>
      <c r="I89" s="37" t="s">
        <v>1387</v>
      </c>
      <c r="J89" s="28"/>
      <c r="K89" s="28"/>
      <c r="L89" s="28"/>
      <c r="M89" s="34">
        <f>+E71</f>
        <v>5.4487179487179495E-4</v>
      </c>
      <c r="N89" s="28"/>
      <c r="O89" s="30">
        <f>+'HOJA D TRABAJO'!$E$259*'HOJA D TRABAJO'!$F$150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27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TRABAJO'!$D$151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TRABAJO'!$D$152</f>
        <v>0</v>
      </c>
    </row>
    <row r="100" spans="1:15" ht="15" x14ac:dyDescent="0.25">
      <c r="A100" s="101"/>
      <c r="B100" s="101" t="s">
        <v>1377</v>
      </c>
      <c r="C100" s="480">
        <f>+'HOJA D TRABAJO'!$B$151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TRABAJO'!$B$152</f>
        <v>0</v>
      </c>
      <c r="L100" s="480"/>
      <c r="M100" s="480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TRABAJO'!$E$151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TRABAJO'!$E$152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TRABAJO'!$F$151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TRABAJO'!$F$152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TRABAJO'!$F$151</f>
        <v>0</v>
      </c>
      <c r="H109" s="27"/>
      <c r="I109" s="37" t="s">
        <v>1387</v>
      </c>
      <c r="J109" s="28"/>
      <c r="K109" s="28"/>
      <c r="L109" s="28"/>
      <c r="M109" s="34">
        <f>+E109</f>
        <v>5.4487179487179495E-4</v>
      </c>
      <c r="N109" s="28"/>
      <c r="O109" s="30">
        <f>+'HOJA D TRABAJO'!$E$259*'HOJA D TRABAJO'!$F$152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2"/>
    <col min="8" max="8" width="5.28515625" style="22" customWidth="1"/>
    <col min="9" max="16384" width="11.42578125" style="22"/>
  </cols>
  <sheetData>
    <row r="2" spans="1:15" ht="25.5" x14ac:dyDescent="0.35">
      <c r="E2" s="484" t="str">
        <f>+'HOJA D TRABAJO'!D155</f>
        <v>PANDO</v>
      </c>
      <c r="F2" s="484"/>
      <c r="G2" s="484"/>
      <c r="H2" s="484"/>
      <c r="I2" s="484"/>
      <c r="J2" s="484"/>
      <c r="K2" s="484"/>
    </row>
    <row r="4" spans="1:15" ht="15" x14ac:dyDescent="0.25">
      <c r="A4" s="57" t="s">
        <v>1421</v>
      </c>
      <c r="B4" s="57"/>
      <c r="C4" s="57"/>
      <c r="D4" s="57"/>
      <c r="E4" s="28"/>
      <c r="F4" s="57" t="s">
        <v>2</v>
      </c>
      <c r="G4" s="57">
        <f>+'HOJA D TRABAJO'!D157</f>
        <v>0</v>
      </c>
      <c r="H4" s="54"/>
      <c r="I4" s="57" t="s">
        <v>1421</v>
      </c>
      <c r="J4" s="57"/>
      <c r="K4" s="57"/>
      <c r="L4" s="57"/>
      <c r="M4" s="57"/>
      <c r="N4" s="57" t="s">
        <v>2</v>
      </c>
      <c r="O4" s="57">
        <f>+'HOJA D TRABAJO'!D158</f>
        <v>0</v>
      </c>
    </row>
    <row r="5" spans="1:15" ht="15" x14ac:dyDescent="0.25">
      <c r="A5" s="58"/>
      <c r="B5" s="58" t="s">
        <v>1377</v>
      </c>
      <c r="C5" s="480">
        <f>+'HOJA D TRABAJO'!B157</f>
        <v>0</v>
      </c>
      <c r="D5" s="480"/>
      <c r="E5" s="480"/>
      <c r="F5" s="58"/>
      <c r="G5" s="58"/>
      <c r="H5" s="54"/>
      <c r="I5" s="58"/>
      <c r="J5" s="58" t="s">
        <v>1377</v>
      </c>
      <c r="K5" s="480">
        <f>+'HOJA D TRABAJO'!B158</f>
        <v>0</v>
      </c>
      <c r="L5" s="480"/>
      <c r="M5" s="480"/>
      <c r="N5" s="58"/>
      <c r="O5" s="58"/>
    </row>
    <row r="6" spans="1:15" x14ac:dyDescent="0.2">
      <c r="A6" s="479" t="s">
        <v>1378</v>
      </c>
      <c r="B6" s="479"/>
      <c r="C6" s="479"/>
      <c r="D6" s="479"/>
      <c r="E6" s="479"/>
      <c r="F6" s="479"/>
      <c r="G6" s="479"/>
      <c r="H6" s="29"/>
      <c r="I6" s="479" t="s">
        <v>1378</v>
      </c>
      <c r="J6" s="479"/>
      <c r="K6" s="479"/>
      <c r="L6" s="479"/>
      <c r="M6" s="479"/>
      <c r="N6" s="479"/>
      <c r="O6" s="479"/>
    </row>
    <row r="7" spans="1:15" x14ac:dyDescent="0.2">
      <c r="A7" s="28"/>
      <c r="B7" s="28"/>
      <c r="C7" s="28"/>
      <c r="D7" s="28"/>
      <c r="E7" s="28"/>
      <c r="F7" s="28"/>
      <c r="G7" s="28"/>
      <c r="H7" s="27"/>
      <c r="I7" s="28"/>
      <c r="J7" s="28"/>
      <c r="K7" s="28"/>
      <c r="L7" s="28"/>
      <c r="M7" s="28"/>
      <c r="N7" s="28"/>
      <c r="O7" s="28"/>
    </row>
    <row r="8" spans="1:15" x14ac:dyDescent="0.2">
      <c r="A8" s="28" t="str">
        <f>"Costo líquido por " &amp; C5 &amp; " (líquido pagable Bs.)"</f>
        <v>Costo líquido por 0 (líquido pagable Bs.)</v>
      </c>
      <c r="B8" s="28"/>
      <c r="C8" s="28"/>
      <c r="D8" s="28"/>
      <c r="E8" s="28"/>
      <c r="F8" s="28"/>
      <c r="G8" s="30">
        <f>+'HOJA D TRABAJO'!E157</f>
        <v>0</v>
      </c>
      <c r="H8" s="31"/>
      <c r="I8" s="28" t="str">
        <f>"Costo líquido por " &amp; K5 &amp; " (líquido pagable Bs.)"</f>
        <v>Costo líquido por 0 (líquido pagable Bs.)</v>
      </c>
      <c r="J8" s="28"/>
      <c r="K8" s="28"/>
      <c r="L8" s="28"/>
      <c r="M8" s="28"/>
      <c r="N8" s="28"/>
      <c r="O8" s="30">
        <f>+'HOJA D TRABAJO'!E158</f>
        <v>0</v>
      </c>
    </row>
    <row r="9" spans="1:15" x14ac:dyDescent="0.2">
      <c r="A9" s="32" t="s">
        <v>1405</v>
      </c>
      <c r="B9" s="28"/>
      <c r="C9" s="28"/>
      <c r="D9" s="28"/>
      <c r="E9" s="28"/>
      <c r="F9" s="28"/>
      <c r="G9" s="30"/>
      <c r="H9" s="31"/>
      <c r="I9" s="32" t="s">
        <v>1405</v>
      </c>
      <c r="J9" s="28"/>
      <c r="K9" s="28"/>
      <c r="L9" s="28"/>
      <c r="M9" s="28"/>
      <c r="N9" s="28"/>
      <c r="O9" s="30"/>
    </row>
    <row r="10" spans="1:15" ht="15" x14ac:dyDescent="0.25">
      <c r="A10" s="33" t="s">
        <v>1396</v>
      </c>
      <c r="B10" s="28"/>
      <c r="C10" s="28"/>
      <c r="D10" s="28"/>
      <c r="E10" s="28"/>
      <c r="F10" s="34">
        <f>+SUM(E11:E12)</f>
        <v>0.155</v>
      </c>
      <c r="G10" s="30">
        <f>+G8/0.845</f>
        <v>0</v>
      </c>
      <c r="H10" s="31"/>
      <c r="I10" s="33" t="s">
        <v>1396</v>
      </c>
      <c r="J10" s="28"/>
      <c r="K10" s="28"/>
      <c r="L10" s="28"/>
      <c r="M10" s="28"/>
      <c r="N10" s="34">
        <f>+SUM(M11:M12)</f>
        <v>0.155</v>
      </c>
      <c r="O10" s="30">
        <f>+O8/0.845</f>
        <v>0</v>
      </c>
    </row>
    <row r="11" spans="1:15" x14ac:dyDescent="0.2">
      <c r="A11" s="35" t="s">
        <v>1397</v>
      </c>
      <c r="B11" s="28"/>
      <c r="C11" s="28"/>
      <c r="D11" s="28"/>
      <c r="E11" s="36">
        <v>0.125</v>
      </c>
      <c r="F11" s="28"/>
      <c r="G11" s="30"/>
      <c r="H11" s="31"/>
      <c r="I11" s="35" t="s">
        <v>1397</v>
      </c>
      <c r="J11" s="28"/>
      <c r="K11" s="28"/>
      <c r="L11" s="28"/>
      <c r="M11" s="36">
        <v>0.125</v>
      </c>
      <c r="N11" s="28"/>
      <c r="O11" s="30"/>
    </row>
    <row r="12" spans="1:15" x14ac:dyDescent="0.2">
      <c r="A12" s="35" t="s">
        <v>1398</v>
      </c>
      <c r="B12" s="28"/>
      <c r="C12" s="28"/>
      <c r="D12" s="28"/>
      <c r="E12" s="36">
        <v>0.03</v>
      </c>
      <c r="F12" s="28"/>
      <c r="G12" s="30"/>
      <c r="H12" s="31"/>
      <c r="I12" s="35" t="s">
        <v>1398</v>
      </c>
      <c r="J12" s="28"/>
      <c r="K12" s="28"/>
      <c r="L12" s="28"/>
      <c r="M12" s="36">
        <v>0.03</v>
      </c>
      <c r="N12" s="28"/>
      <c r="O12" s="30"/>
    </row>
    <row r="13" spans="1:15" x14ac:dyDescent="0.2">
      <c r="A13" s="37" t="s">
        <v>1411</v>
      </c>
      <c r="B13" s="28"/>
      <c r="C13" s="28"/>
      <c r="D13" s="28"/>
      <c r="E13" s="36"/>
      <c r="F13" s="28"/>
      <c r="G13" s="30">
        <f>+(('HOJA D TRABAJO'!$H$23+'HOJA D TRABAJO'!$E$256))*'HOJA D TRABAJO'!$F$157</f>
        <v>0</v>
      </c>
      <c r="H13" s="31"/>
      <c r="I13" s="37" t="s">
        <v>1411</v>
      </c>
      <c r="J13" s="28"/>
      <c r="K13" s="28"/>
      <c r="L13" s="28"/>
      <c r="M13" s="36"/>
      <c r="N13" s="28"/>
      <c r="O13" s="30">
        <f>+(('HOJA D TRABAJO'!$H$23+'HOJA D TRABAJO'!$E$256))*'HOJA D TRABAJO'!$F$158</f>
        <v>0</v>
      </c>
    </row>
    <row r="14" spans="1:15" x14ac:dyDescent="0.2">
      <c r="A14" s="37" t="s">
        <v>1387</v>
      </c>
      <c r="B14" s="28"/>
      <c r="C14" s="28"/>
      <c r="D14" s="28"/>
      <c r="E14" s="102">
        <f>+'HOJA 1 AUX'!E14</f>
        <v>5.4487179487179495E-4</v>
      </c>
      <c r="F14" s="28"/>
      <c r="G14" s="30">
        <f>+'HOJA D TRABAJO'!$E$259*'HOJA D TRABAJO'!$F$157</f>
        <v>0</v>
      </c>
      <c r="H14" s="31"/>
      <c r="I14" s="37" t="s">
        <v>1387</v>
      </c>
      <c r="J14" s="28"/>
      <c r="K14" s="28"/>
      <c r="L14" s="28"/>
      <c r="M14" s="34">
        <f>+'HOJA 1 AUX'!M14</f>
        <v>5.4487179487179495E-4</v>
      </c>
      <c r="N14" s="28"/>
      <c r="O14" s="30">
        <f>+'HOJA D TRABAJO'!$E$259*'HOJA D TRABAJO'!$F$158</f>
        <v>0</v>
      </c>
    </row>
    <row r="15" spans="1:15" x14ac:dyDescent="0.2">
      <c r="A15" s="38" t="s">
        <v>1412</v>
      </c>
      <c r="B15" s="39"/>
      <c r="C15" s="39"/>
      <c r="D15" s="39"/>
      <c r="E15" s="40">
        <f>+'HOJA 1 AUX'!E15</f>
        <v>0.13</v>
      </c>
      <c r="F15" s="39"/>
      <c r="G15" s="41">
        <f>+E15*(SUM(G10:G14))</f>
        <v>0</v>
      </c>
      <c r="H15" s="42"/>
      <c r="I15" s="38" t="s">
        <v>1412</v>
      </c>
      <c r="J15" s="39"/>
      <c r="K15" s="39"/>
      <c r="L15" s="39"/>
      <c r="M15" s="40">
        <f>+$E$15</f>
        <v>0.13</v>
      </c>
      <c r="N15" s="39"/>
      <c r="O15" s="41">
        <f>+M15*(SUM(O10:O14))</f>
        <v>0</v>
      </c>
    </row>
    <row r="16" spans="1:15" ht="15" x14ac:dyDescent="0.25">
      <c r="A16" s="43" t="s">
        <v>1413</v>
      </c>
      <c r="B16" s="44"/>
      <c r="C16" s="44"/>
      <c r="D16" s="44"/>
      <c r="E16" s="44"/>
      <c r="F16" s="44"/>
      <c r="G16" s="45">
        <f>+SUM(G9:G15)</f>
        <v>0</v>
      </c>
      <c r="H16" s="46"/>
      <c r="I16" s="43" t="s">
        <v>1413</v>
      </c>
      <c r="J16" s="44"/>
      <c r="K16" s="44"/>
      <c r="L16" s="44"/>
      <c r="M16" s="44"/>
      <c r="N16" s="44"/>
      <c r="O16" s="45">
        <f>+SUM(O9:O15)</f>
        <v>0</v>
      </c>
    </row>
    <row r="17" spans="1:15" x14ac:dyDescent="0.2">
      <c r="A17" s="37" t="s">
        <v>1372</v>
      </c>
      <c r="B17" s="28"/>
      <c r="C17" s="28"/>
      <c r="D17" s="28"/>
      <c r="E17" s="34">
        <f>+B18+B19</f>
        <v>0.16</v>
      </c>
      <c r="F17" s="28"/>
      <c r="G17" s="30">
        <f>+G20-G16</f>
        <v>0</v>
      </c>
      <c r="H17" s="31"/>
      <c r="I17" s="37" t="s">
        <v>1372</v>
      </c>
      <c r="J17" s="28"/>
      <c r="K17" s="28"/>
      <c r="L17" s="28"/>
      <c r="M17" s="34">
        <f>+J18+J19</f>
        <v>0.16</v>
      </c>
      <c r="N17" s="28"/>
      <c r="O17" s="30">
        <f>+O20-O16</f>
        <v>0</v>
      </c>
    </row>
    <row r="18" spans="1:15" x14ac:dyDescent="0.2">
      <c r="A18" s="47" t="s">
        <v>1371</v>
      </c>
      <c r="B18" s="48">
        <v>0.13</v>
      </c>
      <c r="C18" s="28"/>
      <c r="D18" s="28"/>
      <c r="E18" s="36"/>
      <c r="F18" s="28"/>
      <c r="G18" s="30"/>
      <c r="H18" s="31"/>
      <c r="I18" s="47" t="s">
        <v>1371</v>
      </c>
      <c r="J18" s="48">
        <v>0.13</v>
      </c>
      <c r="K18" s="28"/>
      <c r="L18" s="28"/>
      <c r="M18" s="36"/>
      <c r="N18" s="28"/>
      <c r="O18" s="30"/>
    </row>
    <row r="19" spans="1:15" x14ac:dyDescent="0.2">
      <c r="A19" s="49" t="s">
        <v>1370</v>
      </c>
      <c r="B19" s="50">
        <v>0.03</v>
      </c>
      <c r="C19" s="39"/>
      <c r="D19" s="39"/>
      <c r="E19" s="51"/>
      <c r="F19" s="39"/>
      <c r="G19" s="41"/>
      <c r="H19" s="42"/>
      <c r="I19" s="49" t="s">
        <v>1370</v>
      </c>
      <c r="J19" s="50">
        <v>0.03</v>
      </c>
      <c r="K19" s="39"/>
      <c r="L19" s="39"/>
      <c r="M19" s="51"/>
      <c r="N19" s="39"/>
      <c r="O19" s="41"/>
    </row>
    <row r="20" spans="1:15" ht="15" x14ac:dyDescent="0.25">
      <c r="A20" s="43" t="s">
        <v>1409</v>
      </c>
      <c r="B20" s="44"/>
      <c r="C20" s="44"/>
      <c r="D20" s="44"/>
      <c r="E20" s="44"/>
      <c r="F20" s="44"/>
      <c r="G20" s="45">
        <f>IFERROR((G16/0.84),0)</f>
        <v>0</v>
      </c>
      <c r="H20" s="46"/>
      <c r="I20" s="43" t="s">
        <v>1409</v>
      </c>
      <c r="J20" s="44"/>
      <c r="K20" s="44"/>
      <c r="L20" s="44"/>
      <c r="M20" s="44"/>
      <c r="N20" s="44"/>
      <c r="O20" s="45">
        <f>IFERROR((O16/0.84),0)</f>
        <v>0</v>
      </c>
    </row>
    <row r="21" spans="1:15" x14ac:dyDescent="0.2">
      <c r="H21" s="27"/>
    </row>
    <row r="22" spans="1:15" x14ac:dyDescent="0.2">
      <c r="H22" s="27"/>
    </row>
    <row r="23" spans="1:15" ht="15" outlineLevel="1" x14ac:dyDescent="0.25">
      <c r="A23" s="57" t="s">
        <v>1421</v>
      </c>
      <c r="B23" s="57"/>
      <c r="C23" s="57"/>
      <c r="D23" s="57"/>
      <c r="E23" s="28"/>
      <c r="F23" s="57" t="s">
        <v>2</v>
      </c>
      <c r="G23" s="57">
        <f>+'HOJA D TRABAJO'!D159</f>
        <v>0</v>
      </c>
      <c r="H23" s="54"/>
      <c r="I23" s="57" t="s">
        <v>1421</v>
      </c>
      <c r="J23" s="57"/>
      <c r="K23" s="57"/>
      <c r="L23" s="57"/>
      <c r="M23" s="28"/>
      <c r="N23" s="57" t="s">
        <v>2</v>
      </c>
      <c r="O23" s="57">
        <f>+'HOJA D TRABAJO'!D160</f>
        <v>0</v>
      </c>
    </row>
    <row r="24" spans="1:15" ht="15" outlineLevel="1" x14ac:dyDescent="0.25">
      <c r="A24" s="58"/>
      <c r="B24" s="58" t="s">
        <v>1377</v>
      </c>
      <c r="C24" s="480">
        <f>+'HOJA D TRABAJO'!B159</f>
        <v>0</v>
      </c>
      <c r="D24" s="480"/>
      <c r="E24" s="480"/>
      <c r="F24" s="58"/>
      <c r="G24" s="58"/>
      <c r="H24" s="29"/>
      <c r="I24" s="58"/>
      <c r="J24" s="58" t="s">
        <v>1377</v>
      </c>
      <c r="K24" s="480">
        <f>+'HOJA D TRABAJO'!B160</f>
        <v>0</v>
      </c>
      <c r="L24" s="480"/>
      <c r="M24" s="480"/>
      <c r="N24" s="58"/>
      <c r="O24" s="58"/>
    </row>
    <row r="25" spans="1:15" outlineLevel="1" x14ac:dyDescent="0.2">
      <c r="A25" s="479" t="s">
        <v>1378</v>
      </c>
      <c r="B25" s="479"/>
      <c r="C25" s="479"/>
      <c r="D25" s="479"/>
      <c r="E25" s="479"/>
      <c r="F25" s="479"/>
      <c r="G25" s="479"/>
      <c r="H25" s="27"/>
      <c r="I25" s="479" t="s">
        <v>1378</v>
      </c>
      <c r="J25" s="479"/>
      <c r="K25" s="479"/>
      <c r="L25" s="479"/>
      <c r="M25" s="479"/>
      <c r="N25" s="479"/>
      <c r="O25" s="479"/>
    </row>
    <row r="26" spans="1:15" outlineLevel="1" x14ac:dyDescent="0.2">
      <c r="A26" s="28" t="str">
        <f>"Costo líquido por " &amp; C24 &amp; " (líquido pagable Bs.)"</f>
        <v>Costo líquido por 0 (líquido pagable Bs.)</v>
      </c>
      <c r="B26" s="28"/>
      <c r="C26" s="28"/>
      <c r="D26" s="28"/>
      <c r="E26" s="28"/>
      <c r="F26" s="28"/>
      <c r="G26" s="30">
        <f>+'HOJA D TRABAJO'!E159</f>
        <v>0</v>
      </c>
      <c r="H26" s="31"/>
      <c r="I26" s="28" t="str">
        <f>"Costo líquido por " &amp; K24 &amp; " (líquido pagable Bs.)"</f>
        <v>Costo líquido por 0 (líquido pagable Bs.)</v>
      </c>
      <c r="J26" s="28"/>
      <c r="K26" s="28"/>
      <c r="L26" s="28"/>
      <c r="M26" s="28"/>
      <c r="N26" s="28"/>
      <c r="O26" s="30">
        <f>+'HOJA D TRABAJO'!E160</f>
        <v>0</v>
      </c>
    </row>
    <row r="27" spans="1:15" outlineLevel="1" x14ac:dyDescent="0.2">
      <c r="A27" s="32" t="s">
        <v>1405</v>
      </c>
      <c r="B27" s="28"/>
      <c r="C27" s="28"/>
      <c r="D27" s="28"/>
      <c r="E27" s="28"/>
      <c r="F27" s="28"/>
      <c r="G27" s="30"/>
      <c r="H27" s="31"/>
      <c r="I27" s="32" t="s">
        <v>1405</v>
      </c>
      <c r="J27" s="28"/>
      <c r="K27" s="28"/>
      <c r="L27" s="28"/>
      <c r="M27" s="28"/>
      <c r="N27" s="28"/>
      <c r="O27" s="30"/>
    </row>
    <row r="28" spans="1:15" ht="15" outlineLevel="1" x14ac:dyDescent="0.25">
      <c r="A28" s="33" t="s">
        <v>1396</v>
      </c>
      <c r="B28" s="28"/>
      <c r="C28" s="28"/>
      <c r="D28" s="28"/>
      <c r="E28" s="28"/>
      <c r="F28" s="34">
        <f>+SUM(E29:E30)</f>
        <v>0.155</v>
      </c>
      <c r="G28" s="30">
        <f>+G26/0.845</f>
        <v>0</v>
      </c>
      <c r="H28" s="31"/>
      <c r="I28" s="33" t="s">
        <v>1396</v>
      </c>
      <c r="J28" s="28"/>
      <c r="K28" s="28"/>
      <c r="L28" s="28"/>
      <c r="M28" s="28"/>
      <c r="N28" s="34">
        <f>+SUM(M29:M30)</f>
        <v>0.155</v>
      </c>
      <c r="O28" s="30">
        <f>+O26/0.845</f>
        <v>0</v>
      </c>
    </row>
    <row r="29" spans="1:15" outlineLevel="1" x14ac:dyDescent="0.2">
      <c r="A29" s="35" t="s">
        <v>1397</v>
      </c>
      <c r="B29" s="28"/>
      <c r="C29" s="28"/>
      <c r="D29" s="28"/>
      <c r="E29" s="36">
        <v>0.125</v>
      </c>
      <c r="F29" s="28"/>
      <c r="G29" s="30"/>
      <c r="H29" s="31"/>
      <c r="I29" s="35" t="s">
        <v>1397</v>
      </c>
      <c r="J29" s="28"/>
      <c r="K29" s="28"/>
      <c r="L29" s="28"/>
      <c r="M29" s="36">
        <v>0.125</v>
      </c>
      <c r="N29" s="28"/>
      <c r="O29" s="30"/>
    </row>
    <row r="30" spans="1:15" ht="15" customHeight="1" outlineLevel="1" x14ac:dyDescent="0.2">
      <c r="A30" s="35" t="s">
        <v>1398</v>
      </c>
      <c r="B30" s="28"/>
      <c r="C30" s="28"/>
      <c r="D30" s="28"/>
      <c r="E30" s="36">
        <v>0.03</v>
      </c>
      <c r="F30" s="28"/>
      <c r="G30" s="30"/>
      <c r="H30" s="31"/>
      <c r="I30" s="35" t="s">
        <v>1398</v>
      </c>
      <c r="J30" s="28"/>
      <c r="K30" s="28"/>
      <c r="L30" s="28"/>
      <c r="M30" s="36">
        <v>0.03</v>
      </c>
      <c r="N30" s="28"/>
      <c r="O30" s="30"/>
    </row>
    <row r="31" spans="1:15" ht="15" customHeight="1" outlineLevel="1" x14ac:dyDescent="0.2">
      <c r="A31" s="37" t="s">
        <v>1411</v>
      </c>
      <c r="B31" s="28"/>
      <c r="C31" s="28"/>
      <c r="D31" s="28"/>
      <c r="E31" s="36"/>
      <c r="F31" s="28"/>
      <c r="G31" s="30">
        <f>+(('HOJA D TRABAJO'!$H$23+'HOJA D TRABAJO'!$E$256))*'HOJA D TRABAJO'!$F$159</f>
        <v>0</v>
      </c>
      <c r="H31" s="31"/>
      <c r="I31" s="37" t="s">
        <v>1411</v>
      </c>
      <c r="J31" s="28"/>
      <c r="K31" s="28"/>
      <c r="L31" s="28"/>
      <c r="M31" s="36"/>
      <c r="N31" s="28"/>
      <c r="O31" s="30">
        <f>+(('HOJA D TRABAJO'!$H$23+'HOJA D TRABAJO'!$E$256))*'HOJA D TRABAJO'!$F$160</f>
        <v>0</v>
      </c>
    </row>
    <row r="32" spans="1:15" outlineLevel="1" x14ac:dyDescent="0.2">
      <c r="A32" s="37" t="s">
        <v>1387</v>
      </c>
      <c r="B32" s="28"/>
      <c r="C32" s="28"/>
      <c r="D32" s="28"/>
      <c r="E32" s="34">
        <f>+'HOJA 1 AUX'!E32</f>
        <v>5.4487179487179495E-4</v>
      </c>
      <c r="F32" s="28"/>
      <c r="G32" s="30">
        <f>+'HOJA D TRABAJO'!$E$259*'HOJA D TRABAJO'!$F$159</f>
        <v>0</v>
      </c>
      <c r="H32" s="31"/>
      <c r="I32" s="37" t="s">
        <v>1387</v>
      </c>
      <c r="J32" s="28"/>
      <c r="K32" s="28"/>
      <c r="L32" s="28"/>
      <c r="M32" s="34">
        <f>+'HOJA 1 AUX'!M32</f>
        <v>5.4487179487179495E-4</v>
      </c>
      <c r="N32" s="28"/>
      <c r="O32" s="30">
        <f>+'HOJA D TRABAJO'!$E$259*'HOJA D TRABAJO'!$F$160</f>
        <v>0</v>
      </c>
    </row>
    <row r="33" spans="1:15" outlineLevel="1" x14ac:dyDescent="0.2">
      <c r="A33" s="38" t="s">
        <v>1412</v>
      </c>
      <c r="B33" s="39"/>
      <c r="C33" s="39"/>
      <c r="D33" s="39"/>
      <c r="E33" s="40">
        <f>+$E$15</f>
        <v>0.13</v>
      </c>
      <c r="F33" s="39"/>
      <c r="G33" s="41">
        <f>+E33*(SUM(G28:G32))</f>
        <v>0</v>
      </c>
      <c r="H33" s="42"/>
      <c r="I33" s="38" t="s">
        <v>1412</v>
      </c>
      <c r="J33" s="39"/>
      <c r="K33" s="39"/>
      <c r="L33" s="39"/>
      <c r="M33" s="40">
        <f>+$E$15</f>
        <v>0.13</v>
      </c>
      <c r="N33" s="39"/>
      <c r="O33" s="41">
        <f>+M33*(SUM(O28:O32))</f>
        <v>0</v>
      </c>
    </row>
    <row r="34" spans="1:15" ht="15" outlineLevel="1" x14ac:dyDescent="0.25">
      <c r="A34" s="43" t="s">
        <v>1413</v>
      </c>
      <c r="B34" s="44"/>
      <c r="C34" s="44"/>
      <c r="D34" s="44"/>
      <c r="E34" s="44"/>
      <c r="F34" s="44"/>
      <c r="G34" s="45">
        <f>+SUM(G28:G33)</f>
        <v>0</v>
      </c>
      <c r="H34" s="46"/>
      <c r="I34" s="43" t="s">
        <v>1413</v>
      </c>
      <c r="J34" s="44"/>
      <c r="K34" s="44"/>
      <c r="L34" s="44"/>
      <c r="M34" s="44"/>
      <c r="N34" s="44"/>
      <c r="O34" s="45">
        <f>+SUM(O28:O33)</f>
        <v>0</v>
      </c>
    </row>
    <row r="35" spans="1:15" outlineLevel="1" x14ac:dyDescent="0.2">
      <c r="A35" s="37" t="s">
        <v>1372</v>
      </c>
      <c r="B35" s="28"/>
      <c r="C35" s="28"/>
      <c r="D35" s="28"/>
      <c r="E35" s="34">
        <f>+B36+B37</f>
        <v>0.16</v>
      </c>
      <c r="F35" s="28"/>
      <c r="G35" s="30">
        <f>+G38-G34</f>
        <v>0</v>
      </c>
      <c r="H35" s="31"/>
      <c r="I35" s="37" t="s">
        <v>1372</v>
      </c>
      <c r="J35" s="28"/>
      <c r="K35" s="28"/>
      <c r="L35" s="28"/>
      <c r="M35" s="34">
        <f>+J36+J37</f>
        <v>0.16</v>
      </c>
      <c r="N35" s="28"/>
      <c r="O35" s="30">
        <f>+O38-O34</f>
        <v>0</v>
      </c>
    </row>
    <row r="36" spans="1:15" outlineLevel="1" x14ac:dyDescent="0.2">
      <c r="A36" s="47" t="s">
        <v>1371</v>
      </c>
      <c r="B36" s="48">
        <v>0.13</v>
      </c>
      <c r="C36" s="28"/>
      <c r="D36" s="28"/>
      <c r="E36" s="36"/>
      <c r="F36" s="28"/>
      <c r="G36" s="30"/>
      <c r="H36" s="31"/>
      <c r="I36" s="47" t="s">
        <v>1371</v>
      </c>
      <c r="J36" s="48">
        <v>0.13</v>
      </c>
      <c r="K36" s="28"/>
      <c r="L36" s="28"/>
      <c r="M36" s="36"/>
      <c r="N36" s="28"/>
      <c r="O36" s="30"/>
    </row>
    <row r="37" spans="1:15" outlineLevel="1" x14ac:dyDescent="0.2">
      <c r="A37" s="49" t="s">
        <v>1370</v>
      </c>
      <c r="B37" s="50">
        <v>0.03</v>
      </c>
      <c r="C37" s="39"/>
      <c r="D37" s="39"/>
      <c r="E37" s="51"/>
      <c r="F37" s="39"/>
      <c r="G37" s="41"/>
      <c r="H37" s="42"/>
      <c r="I37" s="49" t="s">
        <v>1370</v>
      </c>
      <c r="J37" s="50">
        <v>0.03</v>
      </c>
      <c r="K37" s="39"/>
      <c r="L37" s="39"/>
      <c r="M37" s="51"/>
      <c r="N37" s="39"/>
      <c r="O37" s="41"/>
    </row>
    <row r="38" spans="1:15" ht="15" outlineLevel="1" x14ac:dyDescent="0.25">
      <c r="A38" s="43" t="s">
        <v>1409</v>
      </c>
      <c r="B38" s="44"/>
      <c r="C38" s="44"/>
      <c r="D38" s="44"/>
      <c r="E38" s="44"/>
      <c r="F38" s="44"/>
      <c r="G38" s="45">
        <f>IFERROR((G34/0.84),0)</f>
        <v>0</v>
      </c>
      <c r="H38" s="46"/>
      <c r="I38" s="43" t="s">
        <v>1409</v>
      </c>
      <c r="J38" s="44"/>
      <c r="K38" s="44"/>
      <c r="L38" s="44"/>
      <c r="M38" s="44"/>
      <c r="N38" s="44"/>
      <c r="O38" s="45">
        <f>IFERROR((O34/0.84),0)</f>
        <v>0</v>
      </c>
    </row>
    <row r="39" spans="1:15" outlineLevel="1" x14ac:dyDescent="0.2">
      <c r="H39" s="31"/>
    </row>
    <row r="40" spans="1:15" outlineLevel="1" x14ac:dyDescent="0.2">
      <c r="H40" s="27"/>
    </row>
    <row r="41" spans="1:15" outlineLevel="1" x14ac:dyDescent="0.2">
      <c r="H41" s="27"/>
    </row>
    <row r="42" spans="1:15" ht="15" outlineLevel="2" x14ac:dyDescent="0.25">
      <c r="A42" s="57" t="s">
        <v>1421</v>
      </c>
      <c r="B42" s="57"/>
      <c r="C42" s="57"/>
      <c r="D42" s="57"/>
      <c r="E42" s="28"/>
      <c r="F42" s="57" t="s">
        <v>2</v>
      </c>
      <c r="G42" s="104">
        <f>+'HOJA D TRABAJO'!$D$161</f>
        <v>0</v>
      </c>
      <c r="H42" s="27"/>
      <c r="I42" s="57" t="s">
        <v>1421</v>
      </c>
      <c r="J42" s="57"/>
      <c r="K42" s="57"/>
      <c r="L42" s="57"/>
      <c r="M42" s="28"/>
      <c r="N42" s="57" t="s">
        <v>2</v>
      </c>
      <c r="O42" s="104">
        <f>+'HOJA D TRABAJO'!$D$162</f>
        <v>0</v>
      </c>
    </row>
    <row r="43" spans="1:15" ht="15" outlineLevel="2" x14ac:dyDescent="0.25">
      <c r="A43" s="58"/>
      <c r="B43" s="58" t="s">
        <v>1377</v>
      </c>
      <c r="C43" s="480">
        <f>+'HOJA D TRABAJO'!$B$161</f>
        <v>0</v>
      </c>
      <c r="D43" s="480"/>
      <c r="E43" s="480"/>
      <c r="F43" s="58"/>
      <c r="G43" s="58"/>
      <c r="H43" s="27"/>
      <c r="I43" s="58"/>
      <c r="J43" s="58" t="s">
        <v>1377</v>
      </c>
      <c r="K43" s="480">
        <f>+'HOJA D TRABAJO'!$B$162</f>
        <v>0</v>
      </c>
      <c r="L43" s="480"/>
      <c r="M43" s="480"/>
      <c r="N43" s="58"/>
      <c r="O43" s="58"/>
    </row>
    <row r="44" spans="1:15" outlineLevel="2" x14ac:dyDescent="0.2">
      <c r="A44" s="479" t="s">
        <v>1378</v>
      </c>
      <c r="B44" s="479"/>
      <c r="C44" s="479"/>
      <c r="D44" s="479"/>
      <c r="E44" s="479"/>
      <c r="F44" s="479"/>
      <c r="G44" s="479"/>
      <c r="H44" s="27"/>
      <c r="I44" s="479" t="s">
        <v>1378</v>
      </c>
      <c r="J44" s="479"/>
      <c r="K44" s="479"/>
      <c r="L44" s="479"/>
      <c r="M44" s="479"/>
      <c r="N44" s="479"/>
      <c r="O44" s="479"/>
    </row>
    <row r="45" spans="1:15" outlineLevel="2" x14ac:dyDescent="0.2">
      <c r="A45" s="28"/>
      <c r="B45" s="28"/>
      <c r="C45" s="28"/>
      <c r="D45" s="28"/>
      <c r="E45" s="28"/>
      <c r="F45" s="28"/>
      <c r="G45" s="28"/>
      <c r="H45" s="27"/>
      <c r="I45" s="28"/>
      <c r="J45" s="28"/>
      <c r="K45" s="28"/>
      <c r="L45" s="28"/>
      <c r="M45" s="28"/>
      <c r="N45" s="28"/>
      <c r="O45" s="28"/>
    </row>
    <row r="46" spans="1:15" outlineLevel="2" x14ac:dyDescent="0.2">
      <c r="A46" s="28" t="str">
        <f>"Costo líquido por " &amp; C43 &amp; " (líquido pagable Bs.)"</f>
        <v>Costo líquido por 0 (líquido pagable Bs.)</v>
      </c>
      <c r="B46" s="28"/>
      <c r="C46" s="28"/>
      <c r="D46" s="28"/>
      <c r="E46" s="28"/>
      <c r="F46" s="28"/>
      <c r="G46" s="30">
        <f>+'HOJA D TRABAJO'!$E$161</f>
        <v>0</v>
      </c>
      <c r="H46" s="27"/>
      <c r="I46" s="28" t="str">
        <f>"Costo líquido por " &amp; K43 &amp; " (líquido pagable Bs.)"</f>
        <v>Costo líquido por 0 (líquido pagable Bs.)</v>
      </c>
      <c r="J46" s="28"/>
      <c r="K46" s="28"/>
      <c r="L46" s="28"/>
      <c r="M46" s="28"/>
      <c r="N46" s="28"/>
      <c r="O46" s="30">
        <f>+'HOJA D TRABAJO'!$E$162</f>
        <v>0</v>
      </c>
    </row>
    <row r="47" spans="1:15" outlineLevel="2" x14ac:dyDescent="0.2">
      <c r="A47" s="32" t="s">
        <v>1405</v>
      </c>
      <c r="B47" s="28"/>
      <c r="C47" s="28"/>
      <c r="D47" s="28"/>
      <c r="E47" s="28"/>
      <c r="F47" s="28"/>
      <c r="G47" s="30"/>
      <c r="H47" s="27"/>
      <c r="I47" s="32" t="s">
        <v>1405</v>
      </c>
      <c r="J47" s="28"/>
      <c r="K47" s="28"/>
      <c r="L47" s="28"/>
      <c r="M47" s="28"/>
      <c r="N47" s="28"/>
      <c r="O47" s="30"/>
    </row>
    <row r="48" spans="1:15" ht="15" outlineLevel="2" x14ac:dyDescent="0.25">
      <c r="A48" s="33" t="s">
        <v>1396</v>
      </c>
      <c r="B48" s="28"/>
      <c r="C48" s="28"/>
      <c r="D48" s="28"/>
      <c r="E48" s="28"/>
      <c r="F48" s="34">
        <f>+SUM(E49:E50)</f>
        <v>0.155</v>
      </c>
      <c r="G48" s="30">
        <f>+G46/0.845</f>
        <v>0</v>
      </c>
      <c r="H48" s="27"/>
      <c r="I48" s="33" t="s">
        <v>1396</v>
      </c>
      <c r="J48" s="28"/>
      <c r="K48" s="28"/>
      <c r="L48" s="28"/>
      <c r="M48" s="28"/>
      <c r="N48" s="34">
        <f>+SUM(M49:M50)</f>
        <v>0.155</v>
      </c>
      <c r="O48" s="30">
        <f>+O46/0.845</f>
        <v>0</v>
      </c>
    </row>
    <row r="49" spans="1:15" outlineLevel="2" x14ac:dyDescent="0.2">
      <c r="A49" s="35" t="s">
        <v>1397</v>
      </c>
      <c r="B49" s="28"/>
      <c r="C49" s="28"/>
      <c r="D49" s="28"/>
      <c r="E49" s="36">
        <v>0.125</v>
      </c>
      <c r="F49" s="28"/>
      <c r="G49" s="30"/>
      <c r="H49" s="27"/>
      <c r="I49" s="35" t="s">
        <v>1397</v>
      </c>
      <c r="J49" s="28"/>
      <c r="K49" s="28"/>
      <c r="L49" s="28"/>
      <c r="M49" s="36">
        <v>0.125</v>
      </c>
      <c r="N49" s="28"/>
      <c r="O49" s="30"/>
    </row>
    <row r="50" spans="1:15" ht="15" customHeight="1" outlineLevel="2" x14ac:dyDescent="0.2">
      <c r="A50" s="35" t="s">
        <v>1398</v>
      </c>
      <c r="B50" s="28"/>
      <c r="C50" s="28"/>
      <c r="D50" s="28"/>
      <c r="E50" s="36">
        <v>0.03</v>
      </c>
      <c r="F50" s="28"/>
      <c r="G50" s="30"/>
      <c r="H50" s="27"/>
      <c r="I50" s="35" t="s">
        <v>1398</v>
      </c>
      <c r="J50" s="28"/>
      <c r="K50" s="28"/>
      <c r="L50" s="28"/>
      <c r="M50" s="36">
        <v>0.03</v>
      </c>
      <c r="N50" s="28"/>
      <c r="O50" s="30"/>
    </row>
    <row r="51" spans="1:15" ht="15" customHeight="1" outlineLevel="2" x14ac:dyDescent="0.2">
      <c r="A51" s="37" t="s">
        <v>1411</v>
      </c>
      <c r="B51" s="28"/>
      <c r="C51" s="28"/>
      <c r="D51" s="28"/>
      <c r="E51" s="36"/>
      <c r="F51" s="28"/>
      <c r="G51" s="30">
        <f>+(('HOJA D TRABAJO'!$H$23+'HOJA D TRABAJO'!$E$256))*'HOJA D TRABAJO'!$F$161</f>
        <v>0</v>
      </c>
      <c r="H51" s="27"/>
      <c r="I51" s="37" t="s">
        <v>1411</v>
      </c>
      <c r="J51" s="28"/>
      <c r="K51" s="28"/>
      <c r="L51" s="28"/>
      <c r="M51" s="36"/>
      <c r="N51" s="28"/>
      <c r="O51" s="30">
        <f>+(('HOJA D TRABAJO'!$H$23+'HOJA D TRABAJO'!$E$256))*'HOJA D TRABAJO'!$F$162</f>
        <v>0</v>
      </c>
    </row>
    <row r="52" spans="1:15" outlineLevel="2" x14ac:dyDescent="0.2">
      <c r="A52" s="37" t="s">
        <v>1387</v>
      </c>
      <c r="B52" s="28"/>
      <c r="C52" s="28"/>
      <c r="D52" s="28"/>
      <c r="E52" s="34">
        <f>+'HOJA 1 AUX'!E52</f>
        <v>5.4487179487179495E-4</v>
      </c>
      <c r="F52" s="28"/>
      <c r="G52" s="30">
        <f>+'HOJA D TRABAJO'!$E$259*'HOJA D TRABAJO'!$F$161</f>
        <v>0</v>
      </c>
      <c r="H52" s="27"/>
      <c r="I52" s="37" t="s">
        <v>1387</v>
      </c>
      <c r="J52" s="28"/>
      <c r="K52" s="28"/>
      <c r="L52" s="28"/>
      <c r="M52" s="34">
        <f>+'HOJA 1 AUX'!M52</f>
        <v>5.4487179487179495E-4</v>
      </c>
      <c r="N52" s="28"/>
      <c r="O52" s="30">
        <f>+'HOJA D TRABAJO'!$E$259*'HOJA D TRABAJO'!$F$162</f>
        <v>0</v>
      </c>
    </row>
    <row r="53" spans="1:15" outlineLevel="2" x14ac:dyDescent="0.2">
      <c r="A53" s="38" t="s">
        <v>1412</v>
      </c>
      <c r="B53" s="39"/>
      <c r="C53" s="39"/>
      <c r="D53" s="39"/>
      <c r="E53" s="40">
        <f>+$E$15</f>
        <v>0.13</v>
      </c>
      <c r="F53" s="39"/>
      <c r="G53" s="41">
        <f>+E53*(SUM(G48:G52))</f>
        <v>0</v>
      </c>
      <c r="H53" s="27"/>
      <c r="I53" s="38" t="s">
        <v>1412</v>
      </c>
      <c r="J53" s="39"/>
      <c r="K53" s="39"/>
      <c r="L53" s="39"/>
      <c r="M53" s="40">
        <f>+$E$15</f>
        <v>0.13</v>
      </c>
      <c r="N53" s="39"/>
      <c r="O53" s="41">
        <f>+M53*(SUM(O48:O52))</f>
        <v>0</v>
      </c>
    </row>
    <row r="54" spans="1:15" ht="15" outlineLevel="2" x14ac:dyDescent="0.25">
      <c r="A54" s="43" t="s">
        <v>1413</v>
      </c>
      <c r="B54" s="44"/>
      <c r="C54" s="44"/>
      <c r="D54" s="44"/>
      <c r="E54" s="44"/>
      <c r="F54" s="44"/>
      <c r="G54" s="45">
        <f>+SUM(G47:G53)</f>
        <v>0</v>
      </c>
      <c r="H54" s="27"/>
      <c r="I54" s="43" t="s">
        <v>1413</v>
      </c>
      <c r="J54" s="44"/>
      <c r="K54" s="44"/>
      <c r="L54" s="44"/>
      <c r="M54" s="44"/>
      <c r="N54" s="44"/>
      <c r="O54" s="45">
        <f>+SUM(O47:O53)</f>
        <v>0</v>
      </c>
    </row>
    <row r="55" spans="1:15" outlineLevel="2" x14ac:dyDescent="0.2">
      <c r="A55" s="37" t="s">
        <v>1372</v>
      </c>
      <c r="B55" s="28"/>
      <c r="C55" s="28"/>
      <c r="D55" s="28"/>
      <c r="E55" s="34">
        <f>+B56+B57</f>
        <v>0.16</v>
      </c>
      <c r="F55" s="28"/>
      <c r="G55" s="30">
        <f>+G58-G54</f>
        <v>0</v>
      </c>
      <c r="H55" s="27"/>
      <c r="I55" s="37" t="s">
        <v>1372</v>
      </c>
      <c r="J55" s="28"/>
      <c r="K55" s="28"/>
      <c r="L55" s="28"/>
      <c r="M55" s="34">
        <f>+J56+J57</f>
        <v>0.16</v>
      </c>
      <c r="N55" s="28"/>
      <c r="O55" s="30">
        <f>+O58-O54</f>
        <v>0</v>
      </c>
    </row>
    <row r="56" spans="1:15" outlineLevel="2" x14ac:dyDescent="0.2">
      <c r="A56" s="47" t="s">
        <v>1371</v>
      </c>
      <c r="B56" s="48">
        <v>0.13</v>
      </c>
      <c r="C56" s="28"/>
      <c r="D56" s="28"/>
      <c r="E56" s="36"/>
      <c r="F56" s="28"/>
      <c r="G56" s="30"/>
      <c r="H56" s="27"/>
      <c r="I56" s="47" t="s">
        <v>1371</v>
      </c>
      <c r="J56" s="48">
        <v>0.13</v>
      </c>
      <c r="K56" s="28"/>
      <c r="L56" s="28"/>
      <c r="M56" s="36"/>
      <c r="N56" s="28"/>
      <c r="O56" s="30"/>
    </row>
    <row r="57" spans="1:15" outlineLevel="2" x14ac:dyDescent="0.2">
      <c r="A57" s="49" t="s">
        <v>1370</v>
      </c>
      <c r="B57" s="50">
        <v>0.03</v>
      </c>
      <c r="C57" s="39"/>
      <c r="D57" s="39"/>
      <c r="E57" s="51"/>
      <c r="F57" s="39"/>
      <c r="G57" s="41"/>
      <c r="H57" s="27"/>
      <c r="I57" s="49" t="s">
        <v>1370</v>
      </c>
      <c r="J57" s="50">
        <v>0.03</v>
      </c>
      <c r="K57" s="39"/>
      <c r="L57" s="39"/>
      <c r="M57" s="51"/>
      <c r="N57" s="39"/>
      <c r="O57" s="41"/>
    </row>
    <row r="58" spans="1:15" ht="15" outlineLevel="2" x14ac:dyDescent="0.25">
      <c r="A58" s="43" t="s">
        <v>1409</v>
      </c>
      <c r="B58" s="44"/>
      <c r="C58" s="44"/>
      <c r="D58" s="44"/>
      <c r="E58" s="44"/>
      <c r="F58" s="44"/>
      <c r="G58" s="45">
        <f>IFERROR((G54/0.84),0)</f>
        <v>0</v>
      </c>
      <c r="H58" s="27"/>
      <c r="I58" s="43" t="s">
        <v>1409</v>
      </c>
      <c r="J58" s="44"/>
      <c r="K58" s="44"/>
      <c r="L58" s="44"/>
      <c r="M58" s="44"/>
      <c r="N58" s="44"/>
      <c r="O58" s="45">
        <f>IFERROR((O54/0.84),0)</f>
        <v>0</v>
      </c>
    </row>
    <row r="59" spans="1:15" outlineLevel="1" x14ac:dyDescent="0.2"/>
    <row r="61" spans="1:15" ht="15" x14ac:dyDescent="0.25">
      <c r="A61" s="57" t="s">
        <v>1421</v>
      </c>
      <c r="B61" s="57"/>
      <c r="C61" s="57"/>
      <c r="D61" s="57"/>
      <c r="E61" s="28"/>
      <c r="F61" s="57" t="s">
        <v>2</v>
      </c>
      <c r="G61" s="104">
        <f>+'HOJA D TRABAJO'!$D$163</f>
        <v>0</v>
      </c>
      <c r="H61" s="54"/>
      <c r="I61" s="57" t="s">
        <v>1421</v>
      </c>
      <c r="J61" s="57"/>
      <c r="K61" s="57"/>
      <c r="L61" s="57"/>
      <c r="M61" s="57"/>
      <c r="N61" s="57" t="s">
        <v>2</v>
      </c>
      <c r="O61" s="104">
        <f>+'HOJA D TRABAJO'!$D$164</f>
        <v>0</v>
      </c>
    </row>
    <row r="62" spans="1:15" ht="15" x14ac:dyDescent="0.25">
      <c r="A62" s="101"/>
      <c r="B62" s="101" t="s">
        <v>1377</v>
      </c>
      <c r="C62" s="480">
        <f>+'HOJA D TRABAJO'!$B$163</f>
        <v>0</v>
      </c>
      <c r="D62" s="480"/>
      <c r="E62" s="480"/>
      <c r="F62" s="101"/>
      <c r="G62" s="101"/>
      <c r="H62" s="54"/>
      <c r="I62" s="101"/>
      <c r="J62" s="101" t="s">
        <v>1377</v>
      </c>
      <c r="K62" s="480">
        <f>+'HOJA D TRABAJO'!$B$164</f>
        <v>0</v>
      </c>
      <c r="L62" s="480"/>
      <c r="M62" s="480"/>
      <c r="N62" s="101"/>
      <c r="O62" s="101"/>
    </row>
    <row r="63" spans="1:15" x14ac:dyDescent="0.2">
      <c r="A63" s="479" t="s">
        <v>1378</v>
      </c>
      <c r="B63" s="479"/>
      <c r="C63" s="479"/>
      <c r="D63" s="479"/>
      <c r="E63" s="479"/>
      <c r="F63" s="479"/>
      <c r="G63" s="479"/>
      <c r="H63" s="29"/>
      <c r="I63" s="479" t="s">
        <v>1378</v>
      </c>
      <c r="J63" s="479"/>
      <c r="K63" s="479"/>
      <c r="L63" s="479"/>
      <c r="M63" s="479"/>
      <c r="N63" s="479"/>
      <c r="O63" s="479"/>
    </row>
    <row r="64" spans="1:15" x14ac:dyDescent="0.2">
      <c r="A64" s="28"/>
      <c r="B64" s="28"/>
      <c r="C64" s="28"/>
      <c r="D64" s="28"/>
      <c r="E64" s="28"/>
      <c r="F64" s="28"/>
      <c r="G64" s="28"/>
      <c r="H64" s="27"/>
      <c r="I64" s="28"/>
      <c r="J64" s="28"/>
      <c r="K64" s="28"/>
      <c r="L64" s="28"/>
      <c r="M64" s="28"/>
      <c r="N64" s="28"/>
      <c r="O64" s="28"/>
    </row>
    <row r="65" spans="1:15" x14ac:dyDescent="0.2">
      <c r="A65" s="28" t="str">
        <f>"Costo líquido por " &amp; C62 &amp; " (líquido pagable Bs.)"</f>
        <v>Costo líquido por 0 (líquido pagable Bs.)</v>
      </c>
      <c r="B65" s="28"/>
      <c r="C65" s="28"/>
      <c r="D65" s="28"/>
      <c r="E65" s="28"/>
      <c r="F65" s="28"/>
      <c r="G65" s="30">
        <f>+'HOJA D TRABAJO'!$E$163</f>
        <v>0</v>
      </c>
      <c r="H65" s="31"/>
      <c r="I65" s="28" t="str">
        <f>"Costo líquido por " &amp; K62 &amp; " (líquido pagable Bs.)"</f>
        <v>Costo líquido por 0 (líquido pagable Bs.)</v>
      </c>
      <c r="J65" s="28"/>
      <c r="K65" s="28"/>
      <c r="L65" s="28"/>
      <c r="M65" s="28"/>
      <c r="N65" s="28"/>
      <c r="O65" s="30">
        <f>+'HOJA D TRABAJO'!$E$164</f>
        <v>0</v>
      </c>
    </row>
    <row r="66" spans="1:15" x14ac:dyDescent="0.2">
      <c r="A66" s="32" t="s">
        <v>1405</v>
      </c>
      <c r="B66" s="28"/>
      <c r="C66" s="28"/>
      <c r="D66" s="28"/>
      <c r="E66" s="28"/>
      <c r="F66" s="28"/>
      <c r="G66" s="30"/>
      <c r="H66" s="31"/>
      <c r="I66" s="32" t="s">
        <v>1405</v>
      </c>
      <c r="J66" s="28"/>
      <c r="K66" s="28"/>
      <c r="L66" s="28"/>
      <c r="M66" s="28"/>
      <c r="N66" s="28"/>
      <c r="O66" s="30"/>
    </row>
    <row r="67" spans="1:15" ht="15" x14ac:dyDescent="0.25">
      <c r="A67" s="33" t="s">
        <v>1396</v>
      </c>
      <c r="B67" s="28"/>
      <c r="C67" s="28"/>
      <c r="D67" s="28"/>
      <c r="E67" s="28"/>
      <c r="F67" s="34">
        <f>+SUM(E68:E69)</f>
        <v>0.155</v>
      </c>
      <c r="G67" s="30">
        <f>+G65/0.845</f>
        <v>0</v>
      </c>
      <c r="H67" s="31"/>
      <c r="I67" s="33" t="s">
        <v>1396</v>
      </c>
      <c r="J67" s="28"/>
      <c r="K67" s="28"/>
      <c r="L67" s="28"/>
      <c r="M67" s="28"/>
      <c r="N67" s="34">
        <f>+SUM(M68:M69)</f>
        <v>0.155</v>
      </c>
      <c r="O67" s="30">
        <f>+O65/0.845</f>
        <v>0</v>
      </c>
    </row>
    <row r="68" spans="1:15" x14ac:dyDescent="0.2">
      <c r="A68" s="35" t="s">
        <v>1397</v>
      </c>
      <c r="B68" s="28"/>
      <c r="C68" s="28"/>
      <c r="D68" s="28"/>
      <c r="E68" s="36">
        <v>0.125</v>
      </c>
      <c r="F68" s="28"/>
      <c r="G68" s="30"/>
      <c r="H68" s="31"/>
      <c r="I68" s="35" t="s">
        <v>1397</v>
      </c>
      <c r="J68" s="28"/>
      <c r="K68" s="28"/>
      <c r="L68" s="28"/>
      <c r="M68" s="36">
        <v>0.125</v>
      </c>
      <c r="N68" s="28"/>
      <c r="O68" s="30"/>
    </row>
    <row r="69" spans="1:15" x14ac:dyDescent="0.2">
      <c r="A69" s="35" t="s">
        <v>1398</v>
      </c>
      <c r="B69" s="28"/>
      <c r="C69" s="28"/>
      <c r="D69" s="28"/>
      <c r="E69" s="36">
        <v>0.03</v>
      </c>
      <c r="F69" s="28"/>
      <c r="G69" s="30"/>
      <c r="H69" s="31"/>
      <c r="I69" s="35" t="s">
        <v>1398</v>
      </c>
      <c r="J69" s="28"/>
      <c r="K69" s="28"/>
      <c r="L69" s="28"/>
      <c r="M69" s="36">
        <v>0.03</v>
      </c>
      <c r="N69" s="28"/>
      <c r="O69" s="30"/>
    </row>
    <row r="70" spans="1:15" x14ac:dyDescent="0.2">
      <c r="A70" s="37" t="s">
        <v>1411</v>
      </c>
      <c r="B70" s="28"/>
      <c r="C70" s="28"/>
      <c r="D70" s="28"/>
      <c r="E70" s="36"/>
      <c r="F70" s="28"/>
      <c r="G70" s="30">
        <f>+(('HOJA D TRABAJO'!$H$23+'HOJA D TRABAJO'!$E$256))*'HOJA D TRABAJO'!$F$163</f>
        <v>0</v>
      </c>
      <c r="H70" s="31"/>
      <c r="I70" s="37" t="s">
        <v>1411</v>
      </c>
      <c r="J70" s="28"/>
      <c r="K70" s="28"/>
      <c r="L70" s="28"/>
      <c r="M70" s="36"/>
      <c r="N70" s="28"/>
      <c r="O70" s="30">
        <f>+(('HOJA D TRABAJO'!$H$23+'HOJA D TRABAJO'!$E$256))*'HOJA D TRABAJO'!$F$164</f>
        <v>0</v>
      </c>
    </row>
    <row r="71" spans="1:15" x14ac:dyDescent="0.2">
      <c r="A71" s="37" t="s">
        <v>1387</v>
      </c>
      <c r="B71" s="28"/>
      <c r="C71" s="28"/>
      <c r="D71" s="28"/>
      <c r="E71" s="102">
        <f>+'HOJA 1 AUX'!E71</f>
        <v>5.4487179487179495E-4</v>
      </c>
      <c r="F71" s="28"/>
      <c r="G71" s="30">
        <f>+'HOJA D TRABAJO'!$E$259*'HOJA D TRABAJO'!$F$163</f>
        <v>0</v>
      </c>
      <c r="H71" s="31"/>
      <c r="I71" s="37" t="s">
        <v>1387</v>
      </c>
      <c r="J71" s="28"/>
      <c r="K71" s="28"/>
      <c r="L71" s="28"/>
      <c r="M71" s="34">
        <f>+'HOJA 1 AUX'!M71</f>
        <v>5.4487179487179495E-4</v>
      </c>
      <c r="N71" s="28"/>
      <c r="O71" s="30">
        <f>+'HOJA D TRABAJO'!$E$259*'HOJA D TRABAJO'!$F$164</f>
        <v>0</v>
      </c>
    </row>
    <row r="72" spans="1:15" x14ac:dyDescent="0.2">
      <c r="A72" s="38" t="s">
        <v>1412</v>
      </c>
      <c r="B72" s="39"/>
      <c r="C72" s="39"/>
      <c r="D72" s="39"/>
      <c r="E72" s="40">
        <f>+$E$15</f>
        <v>0.13</v>
      </c>
      <c r="F72" s="39"/>
      <c r="G72" s="41">
        <f>+E72*(SUM(G67:G71))</f>
        <v>0</v>
      </c>
      <c r="H72" s="42"/>
      <c r="I72" s="38" t="s">
        <v>1412</v>
      </c>
      <c r="J72" s="39"/>
      <c r="K72" s="39"/>
      <c r="L72" s="39"/>
      <c r="M72" s="40">
        <f>+$E$15</f>
        <v>0.13</v>
      </c>
      <c r="N72" s="39"/>
      <c r="O72" s="41">
        <f>+M72*(SUM(O67:O71))</f>
        <v>0</v>
      </c>
    </row>
    <row r="73" spans="1:15" ht="15" x14ac:dyDescent="0.25">
      <c r="A73" s="43" t="s">
        <v>1413</v>
      </c>
      <c r="B73" s="44"/>
      <c r="C73" s="44"/>
      <c r="D73" s="44"/>
      <c r="E73" s="44"/>
      <c r="F73" s="44"/>
      <c r="G73" s="45">
        <f>+SUM(G66:G72)</f>
        <v>0</v>
      </c>
      <c r="H73" s="46"/>
      <c r="I73" s="43" t="s">
        <v>1413</v>
      </c>
      <c r="J73" s="44"/>
      <c r="K73" s="44"/>
      <c r="L73" s="44"/>
      <c r="M73" s="44"/>
      <c r="N73" s="44"/>
      <c r="O73" s="45">
        <f>+SUM(O66:O72)</f>
        <v>0</v>
      </c>
    </row>
    <row r="74" spans="1:15" x14ac:dyDescent="0.2">
      <c r="A74" s="37" t="s">
        <v>1372</v>
      </c>
      <c r="B74" s="28"/>
      <c r="C74" s="28"/>
      <c r="D74" s="28"/>
      <c r="E74" s="34">
        <f>+B75+B76</f>
        <v>0.16</v>
      </c>
      <c r="F74" s="28"/>
      <c r="G74" s="30">
        <f>+G77-G73</f>
        <v>0</v>
      </c>
      <c r="H74" s="31"/>
      <c r="I74" s="37" t="s">
        <v>1372</v>
      </c>
      <c r="J74" s="28"/>
      <c r="K74" s="28"/>
      <c r="L74" s="28"/>
      <c r="M74" s="34">
        <f>+J75+J76</f>
        <v>0.16</v>
      </c>
      <c r="N74" s="28"/>
      <c r="O74" s="30">
        <f>+O77-O73</f>
        <v>0</v>
      </c>
    </row>
    <row r="75" spans="1:15" x14ac:dyDescent="0.2">
      <c r="A75" s="47" t="s">
        <v>1371</v>
      </c>
      <c r="B75" s="48">
        <v>0.13</v>
      </c>
      <c r="C75" s="28"/>
      <c r="D75" s="28"/>
      <c r="E75" s="36"/>
      <c r="F75" s="28"/>
      <c r="G75" s="30"/>
      <c r="H75" s="31"/>
      <c r="I75" s="47" t="s">
        <v>1371</v>
      </c>
      <c r="J75" s="48">
        <v>0.13</v>
      </c>
      <c r="K75" s="28"/>
      <c r="L75" s="28"/>
      <c r="M75" s="36"/>
      <c r="N75" s="28"/>
      <c r="O75" s="30"/>
    </row>
    <row r="76" spans="1:15" x14ac:dyDescent="0.2">
      <c r="A76" s="49" t="s">
        <v>1370</v>
      </c>
      <c r="B76" s="50">
        <v>0.03</v>
      </c>
      <c r="C76" s="39"/>
      <c r="D76" s="39"/>
      <c r="E76" s="51"/>
      <c r="F76" s="39"/>
      <c r="G76" s="41"/>
      <c r="H76" s="42"/>
      <c r="I76" s="49" t="s">
        <v>1370</v>
      </c>
      <c r="J76" s="50">
        <v>0.03</v>
      </c>
      <c r="K76" s="39"/>
      <c r="L76" s="39"/>
      <c r="M76" s="51"/>
      <c r="N76" s="39"/>
      <c r="O76" s="41"/>
    </row>
    <row r="77" spans="1:15" ht="15" x14ac:dyDescent="0.25">
      <c r="A77" s="43" t="s">
        <v>1409</v>
      </c>
      <c r="B77" s="44"/>
      <c r="C77" s="44"/>
      <c r="D77" s="44"/>
      <c r="E77" s="44"/>
      <c r="F77" s="44"/>
      <c r="G77" s="45">
        <f>IFERROR((G73/0.84),0)</f>
        <v>0</v>
      </c>
      <c r="H77" s="46"/>
      <c r="I77" s="43" t="s">
        <v>1409</v>
      </c>
      <c r="J77" s="44"/>
      <c r="K77" s="44"/>
      <c r="L77" s="44"/>
      <c r="M77" s="44"/>
      <c r="N77" s="44"/>
      <c r="O77" s="45">
        <f>IFERROR((O73/0.84),0)</f>
        <v>0</v>
      </c>
    </row>
    <row r="78" spans="1:15" x14ac:dyDescent="0.2">
      <c r="H78" s="27"/>
    </row>
    <row r="79" spans="1:15" x14ac:dyDescent="0.2">
      <c r="H79" s="27"/>
    </row>
    <row r="80" spans="1:15" ht="15" x14ac:dyDescent="0.25">
      <c r="A80" s="57" t="s">
        <v>1421</v>
      </c>
      <c r="B80" s="57"/>
      <c r="C80" s="57"/>
      <c r="D80" s="57"/>
      <c r="E80" s="28"/>
      <c r="F80" s="57" t="s">
        <v>2</v>
      </c>
      <c r="G80" s="104">
        <f>+'HOJA D TRABAJO'!$D$165</f>
        <v>0</v>
      </c>
      <c r="H80" s="54"/>
      <c r="I80" s="57" t="s">
        <v>1421</v>
      </c>
      <c r="J80" s="57"/>
      <c r="K80" s="57"/>
      <c r="L80" s="57"/>
      <c r="M80" s="28"/>
      <c r="N80" s="57" t="s">
        <v>2</v>
      </c>
      <c r="O80" s="104">
        <f>+'HOJA D TRABAJO'!$D$166</f>
        <v>0</v>
      </c>
    </row>
    <row r="81" spans="1:15" ht="15" x14ac:dyDescent="0.25">
      <c r="A81" s="101"/>
      <c r="B81" s="101" t="s">
        <v>1377</v>
      </c>
      <c r="C81" s="480">
        <f>+'HOJA D TRABAJO'!$B$165</f>
        <v>0</v>
      </c>
      <c r="D81" s="480"/>
      <c r="E81" s="480"/>
      <c r="F81" s="101"/>
      <c r="G81" s="101"/>
      <c r="H81" s="29"/>
      <c r="I81" s="101"/>
      <c r="J81" s="101" t="s">
        <v>1377</v>
      </c>
      <c r="K81" s="480">
        <f>+'HOJA D TRABAJO'!$B$166</f>
        <v>0</v>
      </c>
      <c r="L81" s="480"/>
      <c r="M81" s="480"/>
      <c r="N81" s="101"/>
      <c r="O81" s="101"/>
    </row>
    <row r="82" spans="1:15" x14ac:dyDescent="0.2">
      <c r="A82" s="479" t="s">
        <v>1378</v>
      </c>
      <c r="B82" s="479"/>
      <c r="C82" s="479"/>
      <c r="D82" s="479"/>
      <c r="E82" s="479"/>
      <c r="F82" s="479"/>
      <c r="G82" s="479"/>
      <c r="H82" s="27"/>
      <c r="I82" s="479" t="s">
        <v>1378</v>
      </c>
      <c r="J82" s="479"/>
      <c r="K82" s="479"/>
      <c r="L82" s="479"/>
      <c r="M82" s="479"/>
      <c r="N82" s="479"/>
      <c r="O82" s="479"/>
    </row>
    <row r="83" spans="1:15" x14ac:dyDescent="0.2">
      <c r="A83" s="28" t="str">
        <f>"Costo líquido por " &amp; C81 &amp; " (líquido pagable Bs.)"</f>
        <v>Costo líquido por 0 (líquido pagable Bs.)</v>
      </c>
      <c r="B83" s="28"/>
      <c r="C83" s="28"/>
      <c r="D83" s="28"/>
      <c r="E83" s="28"/>
      <c r="F83" s="28"/>
      <c r="G83" s="30">
        <f>+'HOJA D TRABAJO'!$E$165</f>
        <v>0</v>
      </c>
      <c r="H83" s="31"/>
      <c r="I83" s="28" t="str">
        <f>"Costo líquido por " &amp; K81 &amp; " (líquido pagable Bs.)"</f>
        <v>Costo líquido por 0 (líquido pagable Bs.)</v>
      </c>
      <c r="J83" s="28"/>
      <c r="K83" s="28"/>
      <c r="L83" s="28"/>
      <c r="M83" s="28"/>
      <c r="N83" s="28"/>
      <c r="O83" s="30">
        <f>+'HOJA D TRABAJO'!$E$166</f>
        <v>0</v>
      </c>
    </row>
    <row r="84" spans="1:15" x14ac:dyDescent="0.2">
      <c r="A84" s="32" t="s">
        <v>1405</v>
      </c>
      <c r="B84" s="28"/>
      <c r="C84" s="28"/>
      <c r="D84" s="28"/>
      <c r="E84" s="28"/>
      <c r="F84" s="28"/>
      <c r="G84" s="30"/>
      <c r="H84" s="31"/>
      <c r="I84" s="32" t="s">
        <v>1405</v>
      </c>
      <c r="J84" s="28"/>
      <c r="K84" s="28"/>
      <c r="L84" s="28"/>
      <c r="M84" s="28"/>
      <c r="N84" s="28"/>
      <c r="O84" s="30"/>
    </row>
    <row r="85" spans="1:15" ht="15" x14ac:dyDescent="0.25">
      <c r="A85" s="33" t="s">
        <v>1396</v>
      </c>
      <c r="B85" s="28"/>
      <c r="C85" s="28"/>
      <c r="D85" s="28"/>
      <c r="E85" s="28"/>
      <c r="F85" s="34">
        <f>+SUM(E86:E87)</f>
        <v>0.155</v>
      </c>
      <c r="G85" s="30">
        <f>+G83/0.845</f>
        <v>0</v>
      </c>
      <c r="H85" s="31"/>
      <c r="I85" s="33" t="s">
        <v>1396</v>
      </c>
      <c r="J85" s="28"/>
      <c r="K85" s="28"/>
      <c r="L85" s="28"/>
      <c r="M85" s="28"/>
      <c r="N85" s="34">
        <f>+SUM(M86:M87)</f>
        <v>0.155</v>
      </c>
      <c r="O85" s="30">
        <f>+O83/0.845</f>
        <v>0</v>
      </c>
    </row>
    <row r="86" spans="1:15" x14ac:dyDescent="0.2">
      <c r="A86" s="35" t="s">
        <v>1397</v>
      </c>
      <c r="B86" s="28"/>
      <c r="C86" s="28"/>
      <c r="D86" s="28"/>
      <c r="E86" s="36">
        <v>0.125</v>
      </c>
      <c r="F86" s="28"/>
      <c r="G86" s="30"/>
      <c r="H86" s="31"/>
      <c r="I86" s="35" t="s">
        <v>1397</v>
      </c>
      <c r="J86" s="28"/>
      <c r="K86" s="28"/>
      <c r="L86" s="28"/>
      <c r="M86" s="36">
        <v>0.125</v>
      </c>
      <c r="N86" s="28"/>
      <c r="O86" s="30"/>
    </row>
    <row r="87" spans="1:15" x14ac:dyDescent="0.2">
      <c r="A87" s="35" t="s">
        <v>1398</v>
      </c>
      <c r="B87" s="28"/>
      <c r="C87" s="28"/>
      <c r="D87" s="28"/>
      <c r="E87" s="36">
        <v>0.03</v>
      </c>
      <c r="F87" s="28"/>
      <c r="G87" s="30"/>
      <c r="H87" s="31"/>
      <c r="I87" s="35" t="s">
        <v>1398</v>
      </c>
      <c r="J87" s="28"/>
      <c r="K87" s="28"/>
      <c r="L87" s="28"/>
      <c r="M87" s="36">
        <v>0.03</v>
      </c>
      <c r="N87" s="28"/>
      <c r="O87" s="30"/>
    </row>
    <row r="88" spans="1:15" x14ac:dyDescent="0.2">
      <c r="A88" s="37" t="s">
        <v>1411</v>
      </c>
      <c r="B88" s="28"/>
      <c r="C88" s="28"/>
      <c r="D88" s="28"/>
      <c r="E88" s="36"/>
      <c r="F88" s="28"/>
      <c r="G88" s="30">
        <f>+(('HOJA D TRABAJO'!$H$23+'HOJA D TRABAJO'!$E$256))*'HOJA D TRABAJO'!$F$165</f>
        <v>0</v>
      </c>
      <c r="H88" s="31"/>
      <c r="I88" s="37" t="s">
        <v>1411</v>
      </c>
      <c r="J88" s="28"/>
      <c r="K88" s="28"/>
      <c r="L88" s="28"/>
      <c r="M88" s="36"/>
      <c r="N88" s="28"/>
      <c r="O88" s="30">
        <f>+(('HOJA D TRABAJO'!$H$23+'HOJA D TRABAJO'!$E$256))*'HOJA D TRABAJO'!$F$166</f>
        <v>0</v>
      </c>
    </row>
    <row r="89" spans="1:15" x14ac:dyDescent="0.2">
      <c r="A89" s="37" t="s">
        <v>1387</v>
      </c>
      <c r="B89" s="28"/>
      <c r="C89" s="28"/>
      <c r="D89" s="28"/>
      <c r="E89" s="34">
        <f>+M71</f>
        <v>5.4487179487179495E-4</v>
      </c>
      <c r="F89" s="28"/>
      <c r="G89" s="30">
        <f>+'HOJA D TRABAJO'!$E$259*'HOJA D TRABAJO'!$F$165</f>
        <v>0</v>
      </c>
      <c r="H89" s="31"/>
      <c r="I89" s="37" t="s">
        <v>1387</v>
      </c>
      <c r="J89" s="28"/>
      <c r="K89" s="28"/>
      <c r="L89" s="28"/>
      <c r="M89" s="34">
        <f>+M71</f>
        <v>5.4487179487179495E-4</v>
      </c>
      <c r="N89" s="28"/>
      <c r="O89" s="30">
        <f>+'HOJA D TRABAJO'!$E$259*'HOJA D TRABAJO'!$F$166</f>
        <v>0</v>
      </c>
    </row>
    <row r="90" spans="1:15" x14ac:dyDescent="0.2">
      <c r="A90" s="38" t="s">
        <v>1412</v>
      </c>
      <c r="B90" s="39"/>
      <c r="C90" s="39"/>
      <c r="D90" s="39"/>
      <c r="E90" s="40">
        <f>+$E$15</f>
        <v>0.13</v>
      </c>
      <c r="F90" s="39"/>
      <c r="G90" s="41">
        <f>+E90*(SUM(G85:G89))</f>
        <v>0</v>
      </c>
      <c r="H90" s="42"/>
      <c r="I90" s="38" t="s">
        <v>1412</v>
      </c>
      <c r="J90" s="39"/>
      <c r="K90" s="39"/>
      <c r="L90" s="39"/>
      <c r="M90" s="40">
        <f>+$E$15</f>
        <v>0.13</v>
      </c>
      <c r="N90" s="39"/>
      <c r="O90" s="41">
        <f>+M90*(SUM(O85:O89))</f>
        <v>0</v>
      </c>
    </row>
    <row r="91" spans="1:15" ht="15" x14ac:dyDescent="0.25">
      <c r="A91" s="43" t="s">
        <v>1413</v>
      </c>
      <c r="B91" s="44"/>
      <c r="C91" s="44"/>
      <c r="D91" s="44"/>
      <c r="E91" s="44"/>
      <c r="F91" s="44"/>
      <c r="G91" s="45">
        <f>+SUM(G85:G90)</f>
        <v>0</v>
      </c>
      <c r="H91" s="46"/>
      <c r="I91" s="43" t="s">
        <v>1413</v>
      </c>
      <c r="J91" s="44"/>
      <c r="K91" s="44"/>
      <c r="L91" s="44"/>
      <c r="M91" s="44"/>
      <c r="N91" s="44"/>
      <c r="O91" s="45">
        <f>+SUM(O85:O90)</f>
        <v>0</v>
      </c>
    </row>
    <row r="92" spans="1:15" x14ac:dyDescent="0.2">
      <c r="A92" s="37" t="s">
        <v>1372</v>
      </c>
      <c r="B92" s="28"/>
      <c r="C92" s="28"/>
      <c r="D92" s="28"/>
      <c r="E92" s="34">
        <f>+B93+B94</f>
        <v>0.16</v>
      </c>
      <c r="F92" s="28"/>
      <c r="G92" s="30">
        <f>+G95-G91</f>
        <v>0</v>
      </c>
      <c r="H92" s="31"/>
      <c r="I92" s="37" t="s">
        <v>1372</v>
      </c>
      <c r="J92" s="28"/>
      <c r="K92" s="28"/>
      <c r="L92" s="28"/>
      <c r="M92" s="34">
        <f>+J93+J94</f>
        <v>0.16</v>
      </c>
      <c r="N92" s="28"/>
      <c r="O92" s="30">
        <f>+O95-O91</f>
        <v>0</v>
      </c>
    </row>
    <row r="93" spans="1:15" x14ac:dyDescent="0.2">
      <c r="A93" s="47" t="s">
        <v>1371</v>
      </c>
      <c r="B93" s="48">
        <v>0.13</v>
      </c>
      <c r="C93" s="28"/>
      <c r="D93" s="28"/>
      <c r="E93" s="36"/>
      <c r="F93" s="28"/>
      <c r="G93" s="30"/>
      <c r="H93" s="31"/>
      <c r="I93" s="47" t="s">
        <v>1371</v>
      </c>
      <c r="J93" s="48">
        <v>0.13</v>
      </c>
      <c r="K93" s="28"/>
      <c r="L93" s="28"/>
      <c r="M93" s="36"/>
      <c r="N93" s="28"/>
      <c r="O93" s="30"/>
    </row>
    <row r="94" spans="1:15" x14ac:dyDescent="0.2">
      <c r="A94" s="49" t="s">
        <v>1370</v>
      </c>
      <c r="B94" s="50">
        <v>0.03</v>
      </c>
      <c r="C94" s="39"/>
      <c r="D94" s="39"/>
      <c r="E94" s="51"/>
      <c r="F94" s="39"/>
      <c r="G94" s="41"/>
      <c r="H94" s="42"/>
      <c r="I94" s="49" t="s">
        <v>1370</v>
      </c>
      <c r="J94" s="50">
        <v>0.03</v>
      </c>
      <c r="K94" s="39"/>
      <c r="L94" s="39"/>
      <c r="M94" s="51"/>
      <c r="N94" s="39"/>
      <c r="O94" s="41"/>
    </row>
    <row r="95" spans="1:15" ht="15" x14ac:dyDescent="0.25">
      <c r="A95" s="43" t="s">
        <v>1409</v>
      </c>
      <c r="B95" s="44"/>
      <c r="C95" s="44"/>
      <c r="D95" s="44"/>
      <c r="E95" s="44"/>
      <c r="F95" s="44"/>
      <c r="G95" s="45">
        <f>IFERROR((G91/0.84),0)</f>
        <v>0</v>
      </c>
      <c r="H95" s="46"/>
      <c r="I95" s="43" t="s">
        <v>1409</v>
      </c>
      <c r="J95" s="44"/>
      <c r="K95" s="44"/>
      <c r="L95" s="44"/>
      <c r="M95" s="44"/>
      <c r="N95" s="44"/>
      <c r="O95" s="45">
        <f>IFERROR((O91/0.84),0)</f>
        <v>0</v>
      </c>
    </row>
    <row r="96" spans="1:15" x14ac:dyDescent="0.2">
      <c r="H96" s="31"/>
    </row>
    <row r="97" spans="1:15" x14ac:dyDescent="0.2">
      <c r="H97" s="27"/>
    </row>
    <row r="98" spans="1:15" x14ac:dyDescent="0.2">
      <c r="H98" s="27"/>
    </row>
    <row r="99" spans="1:15" ht="15" x14ac:dyDescent="0.25">
      <c r="A99" s="57" t="s">
        <v>1421</v>
      </c>
      <c r="B99" s="57"/>
      <c r="C99" s="57"/>
      <c r="D99" s="57"/>
      <c r="E99" s="28"/>
      <c r="F99" s="57" t="s">
        <v>2</v>
      </c>
      <c r="G99" s="104">
        <f>+'HOJA D TRABAJO'!$D$167</f>
        <v>0</v>
      </c>
      <c r="H99" s="27"/>
      <c r="I99" s="57" t="s">
        <v>1421</v>
      </c>
      <c r="J99" s="57"/>
      <c r="K99" s="57"/>
      <c r="L99" s="57"/>
      <c r="M99" s="28"/>
      <c r="N99" s="57" t="s">
        <v>2</v>
      </c>
      <c r="O99" s="104">
        <f>+'HOJA D TRABAJO'!$D$168</f>
        <v>0</v>
      </c>
    </row>
    <row r="100" spans="1:15" ht="15" x14ac:dyDescent="0.25">
      <c r="A100" s="101"/>
      <c r="B100" s="101" t="s">
        <v>1377</v>
      </c>
      <c r="C100" s="480">
        <f>+'HOJA D TRABAJO'!$B$167</f>
        <v>0</v>
      </c>
      <c r="D100" s="480"/>
      <c r="E100" s="480"/>
      <c r="F100" s="101"/>
      <c r="G100" s="101"/>
      <c r="H100" s="27"/>
      <c r="I100" s="101"/>
      <c r="J100" s="101" t="s">
        <v>1377</v>
      </c>
      <c r="K100" s="480">
        <f>+'HOJA D TRABAJO'!$B$168</f>
        <v>0</v>
      </c>
      <c r="L100" s="480"/>
      <c r="M100" s="480"/>
      <c r="N100" s="101"/>
      <c r="O100" s="101"/>
    </row>
    <row r="101" spans="1:15" x14ac:dyDescent="0.2">
      <c r="A101" s="479" t="s">
        <v>1378</v>
      </c>
      <c r="B101" s="479"/>
      <c r="C101" s="479"/>
      <c r="D101" s="479"/>
      <c r="E101" s="479"/>
      <c r="F101" s="479"/>
      <c r="G101" s="479"/>
      <c r="H101" s="27"/>
      <c r="I101" s="479" t="s">
        <v>1378</v>
      </c>
      <c r="J101" s="479"/>
      <c r="K101" s="479"/>
      <c r="L101" s="479"/>
      <c r="M101" s="479"/>
      <c r="N101" s="479"/>
      <c r="O101" s="479"/>
    </row>
    <row r="102" spans="1:15" x14ac:dyDescent="0.2">
      <c r="A102" s="28"/>
      <c r="B102" s="28"/>
      <c r="C102" s="28"/>
      <c r="D102" s="28"/>
      <c r="E102" s="28"/>
      <c r="F102" s="28"/>
      <c r="G102" s="28"/>
      <c r="H102" s="27"/>
      <c r="I102" s="28"/>
      <c r="J102" s="28"/>
      <c r="K102" s="28"/>
      <c r="L102" s="28"/>
      <c r="M102" s="28"/>
      <c r="N102" s="28"/>
      <c r="O102" s="28"/>
    </row>
    <row r="103" spans="1:15" x14ac:dyDescent="0.2">
      <c r="A103" s="28" t="str">
        <f>"Costo líquido por " &amp; C100 &amp; " (líquido pagable Bs.)"</f>
        <v>Costo líquido por 0 (líquido pagable Bs.)</v>
      </c>
      <c r="B103" s="28"/>
      <c r="C103" s="28"/>
      <c r="D103" s="28"/>
      <c r="E103" s="28"/>
      <c r="F103" s="28"/>
      <c r="G103" s="30">
        <f>+'HOJA D TRABAJO'!$E$167</f>
        <v>0</v>
      </c>
      <c r="H103" s="27"/>
      <c r="I103" s="28" t="str">
        <f>"Costo líquido por " &amp; K100 &amp; " (líquido pagable Bs.)"</f>
        <v>Costo líquido por 0 (líquido pagable Bs.)</v>
      </c>
      <c r="J103" s="28"/>
      <c r="K103" s="28"/>
      <c r="L103" s="28"/>
      <c r="M103" s="28"/>
      <c r="N103" s="28"/>
      <c r="O103" s="30">
        <f>+'HOJA D TRABAJO'!$E$168</f>
        <v>0</v>
      </c>
    </row>
    <row r="104" spans="1:15" x14ac:dyDescent="0.2">
      <c r="A104" s="32" t="s">
        <v>1405</v>
      </c>
      <c r="B104" s="28"/>
      <c r="C104" s="28"/>
      <c r="D104" s="28"/>
      <c r="E104" s="28"/>
      <c r="F104" s="28"/>
      <c r="G104" s="30"/>
      <c r="H104" s="27"/>
      <c r="I104" s="32" t="s">
        <v>1405</v>
      </c>
      <c r="J104" s="28"/>
      <c r="K104" s="28"/>
      <c r="L104" s="28"/>
      <c r="M104" s="28"/>
      <c r="N104" s="28"/>
      <c r="O104" s="30"/>
    </row>
    <row r="105" spans="1:15" ht="15" x14ac:dyDescent="0.25">
      <c r="A105" s="33" t="s">
        <v>1396</v>
      </c>
      <c r="B105" s="28"/>
      <c r="C105" s="28"/>
      <c r="D105" s="28"/>
      <c r="E105" s="28"/>
      <c r="F105" s="34">
        <f>+SUM(E106:E107)</f>
        <v>0.155</v>
      </c>
      <c r="G105" s="30">
        <f>+G103/0.845</f>
        <v>0</v>
      </c>
      <c r="H105" s="27"/>
      <c r="I105" s="33" t="s">
        <v>1396</v>
      </c>
      <c r="J105" s="28"/>
      <c r="K105" s="28"/>
      <c r="L105" s="28"/>
      <c r="M105" s="28"/>
      <c r="N105" s="34">
        <f>+SUM(M106:M107)</f>
        <v>0.155</v>
      </c>
      <c r="O105" s="30">
        <f>+O103/0.845</f>
        <v>0</v>
      </c>
    </row>
    <row r="106" spans="1:15" x14ac:dyDescent="0.2">
      <c r="A106" s="35" t="s">
        <v>1397</v>
      </c>
      <c r="B106" s="28"/>
      <c r="C106" s="28"/>
      <c r="D106" s="28"/>
      <c r="E106" s="36">
        <v>0.125</v>
      </c>
      <c r="F106" s="28"/>
      <c r="G106" s="30"/>
      <c r="H106" s="27"/>
      <c r="I106" s="35" t="s">
        <v>1397</v>
      </c>
      <c r="J106" s="28"/>
      <c r="K106" s="28"/>
      <c r="L106" s="28"/>
      <c r="M106" s="36">
        <v>0.125</v>
      </c>
      <c r="N106" s="28"/>
      <c r="O106" s="30"/>
    </row>
    <row r="107" spans="1:15" x14ac:dyDescent="0.2">
      <c r="A107" s="35" t="s">
        <v>1398</v>
      </c>
      <c r="B107" s="28"/>
      <c r="C107" s="28"/>
      <c r="D107" s="28"/>
      <c r="E107" s="36">
        <v>0.03</v>
      </c>
      <c r="F107" s="28"/>
      <c r="G107" s="30"/>
      <c r="H107" s="27"/>
      <c r="I107" s="35" t="s">
        <v>1398</v>
      </c>
      <c r="J107" s="28"/>
      <c r="K107" s="28"/>
      <c r="L107" s="28"/>
      <c r="M107" s="36">
        <v>0.03</v>
      </c>
      <c r="N107" s="28"/>
      <c r="O107" s="30"/>
    </row>
    <row r="108" spans="1:15" x14ac:dyDescent="0.2">
      <c r="A108" s="37" t="s">
        <v>1411</v>
      </c>
      <c r="B108" s="28"/>
      <c r="C108" s="28"/>
      <c r="D108" s="28"/>
      <c r="E108" s="36"/>
      <c r="F108" s="28"/>
      <c r="G108" s="30">
        <f>+(('HOJA D TRABAJO'!$H$23+'HOJA D TRABAJO'!$E$256))*'HOJA D TRABAJO'!$F$167</f>
        <v>0</v>
      </c>
      <c r="H108" s="27"/>
      <c r="I108" s="37" t="s">
        <v>1411</v>
      </c>
      <c r="J108" s="28"/>
      <c r="K108" s="28"/>
      <c r="L108" s="28"/>
      <c r="M108" s="36"/>
      <c r="N108" s="28"/>
      <c r="O108" s="30">
        <f>+(('HOJA D TRABAJO'!$H$23+'HOJA D TRABAJO'!$E$256))*'HOJA D TRABAJO'!$F$168</f>
        <v>0</v>
      </c>
    </row>
    <row r="109" spans="1:15" x14ac:dyDescent="0.2">
      <c r="A109" s="37" t="s">
        <v>1387</v>
      </c>
      <c r="B109" s="28"/>
      <c r="C109" s="28"/>
      <c r="D109" s="28"/>
      <c r="E109" s="34">
        <f>+E89</f>
        <v>5.4487179487179495E-4</v>
      </c>
      <c r="F109" s="28"/>
      <c r="G109" s="30">
        <f>+'HOJA D TRABAJO'!$E$259*'HOJA D TRABAJO'!$F$167</f>
        <v>0</v>
      </c>
      <c r="H109" s="27"/>
      <c r="I109" s="37" t="s">
        <v>1387</v>
      </c>
      <c r="J109" s="28"/>
      <c r="K109" s="28"/>
      <c r="L109" s="28"/>
      <c r="M109" s="34">
        <f>+M89</f>
        <v>5.4487179487179495E-4</v>
      </c>
      <c r="N109" s="28"/>
      <c r="O109" s="30">
        <f>+'HOJA D TRABAJO'!$E$259*'HOJA D TRABAJO'!$F$168</f>
        <v>0</v>
      </c>
    </row>
    <row r="110" spans="1:15" x14ac:dyDescent="0.2">
      <c r="A110" s="38" t="s">
        <v>1412</v>
      </c>
      <c r="B110" s="39"/>
      <c r="C110" s="39"/>
      <c r="D110" s="39"/>
      <c r="E110" s="40">
        <f>+$E$15</f>
        <v>0.13</v>
      </c>
      <c r="F110" s="39"/>
      <c r="G110" s="41">
        <f>+E110*(SUM(G105:G109))</f>
        <v>0</v>
      </c>
      <c r="H110" s="27"/>
      <c r="I110" s="38" t="s">
        <v>1412</v>
      </c>
      <c r="J110" s="39"/>
      <c r="K110" s="39"/>
      <c r="L110" s="39"/>
      <c r="M110" s="40">
        <f>+$E$15</f>
        <v>0.13</v>
      </c>
      <c r="N110" s="39"/>
      <c r="O110" s="41">
        <f>+M110*(SUM(O105:O109))</f>
        <v>0</v>
      </c>
    </row>
    <row r="111" spans="1:15" ht="15" x14ac:dyDescent="0.25">
      <c r="A111" s="43" t="s">
        <v>1413</v>
      </c>
      <c r="B111" s="44"/>
      <c r="C111" s="44"/>
      <c r="D111" s="44"/>
      <c r="E111" s="44"/>
      <c r="F111" s="44"/>
      <c r="G111" s="45">
        <f>+SUM(G104:G110)</f>
        <v>0</v>
      </c>
      <c r="H111" s="27"/>
      <c r="I111" s="43" t="s">
        <v>1413</v>
      </c>
      <c r="J111" s="44"/>
      <c r="K111" s="44"/>
      <c r="L111" s="44"/>
      <c r="M111" s="44"/>
      <c r="N111" s="44"/>
      <c r="O111" s="45">
        <f>+SUM(O104:O110)</f>
        <v>0</v>
      </c>
    </row>
    <row r="112" spans="1:15" x14ac:dyDescent="0.2">
      <c r="A112" s="37" t="s">
        <v>1372</v>
      </c>
      <c r="B112" s="28"/>
      <c r="C112" s="28"/>
      <c r="D112" s="28"/>
      <c r="E112" s="34">
        <f>+B113+B114</f>
        <v>0.16</v>
      </c>
      <c r="F112" s="28"/>
      <c r="G112" s="30">
        <f>+G115-G111</f>
        <v>0</v>
      </c>
      <c r="H112" s="27"/>
      <c r="I112" s="37" t="s">
        <v>1372</v>
      </c>
      <c r="J112" s="28"/>
      <c r="K112" s="28"/>
      <c r="L112" s="28"/>
      <c r="M112" s="34">
        <f>+J113+J114</f>
        <v>0.16</v>
      </c>
      <c r="N112" s="28"/>
      <c r="O112" s="30">
        <f>+O115-O111</f>
        <v>0</v>
      </c>
    </row>
    <row r="113" spans="1:15" x14ac:dyDescent="0.2">
      <c r="A113" s="47" t="s">
        <v>1371</v>
      </c>
      <c r="B113" s="48">
        <v>0.13</v>
      </c>
      <c r="C113" s="28"/>
      <c r="D113" s="28"/>
      <c r="E113" s="36"/>
      <c r="F113" s="28"/>
      <c r="G113" s="30"/>
      <c r="H113" s="27"/>
      <c r="I113" s="47" t="s">
        <v>1371</v>
      </c>
      <c r="J113" s="48">
        <v>0.13</v>
      </c>
      <c r="K113" s="28"/>
      <c r="L113" s="28"/>
      <c r="M113" s="36"/>
      <c r="N113" s="28"/>
      <c r="O113" s="30"/>
    </row>
    <row r="114" spans="1:15" x14ac:dyDescent="0.2">
      <c r="A114" s="49" t="s">
        <v>1370</v>
      </c>
      <c r="B114" s="50">
        <v>0.03</v>
      </c>
      <c r="C114" s="39"/>
      <c r="D114" s="39"/>
      <c r="E114" s="51"/>
      <c r="F114" s="39"/>
      <c r="G114" s="41"/>
      <c r="H114" s="27"/>
      <c r="I114" s="49" t="s">
        <v>1370</v>
      </c>
      <c r="J114" s="50">
        <v>0.03</v>
      </c>
      <c r="K114" s="39"/>
      <c r="L114" s="39"/>
      <c r="M114" s="51"/>
      <c r="N114" s="39"/>
      <c r="O114" s="41"/>
    </row>
    <row r="115" spans="1:15" ht="15" x14ac:dyDescent="0.25">
      <c r="A115" s="43" t="s">
        <v>1409</v>
      </c>
      <c r="B115" s="44"/>
      <c r="C115" s="44"/>
      <c r="D115" s="44"/>
      <c r="E115" s="44"/>
      <c r="F115" s="44"/>
      <c r="G115" s="45">
        <f>IFERROR((G111/0.84),0)</f>
        <v>0</v>
      </c>
      <c r="H115" s="27"/>
      <c r="I115" s="43" t="s">
        <v>1409</v>
      </c>
      <c r="J115" s="44"/>
      <c r="K115" s="44"/>
      <c r="L115" s="44"/>
      <c r="M115" s="44"/>
      <c r="N115" s="44"/>
      <c r="O115" s="45">
        <f>IFERROR((O111/0.84),0)</f>
        <v>0</v>
      </c>
    </row>
  </sheetData>
  <mergeCells count="25">
    <mergeCell ref="A82:G82"/>
    <mergeCell ref="I82:O82"/>
    <mergeCell ref="C100:E100"/>
    <mergeCell ref="K100:M100"/>
    <mergeCell ref="A101:G101"/>
    <mergeCell ref="I101:O101"/>
    <mergeCell ref="C62:E62"/>
    <mergeCell ref="K62:M62"/>
    <mergeCell ref="A63:G63"/>
    <mergeCell ref="I63:O63"/>
    <mergeCell ref="C81:E81"/>
    <mergeCell ref="K81:M81"/>
    <mergeCell ref="A44:G44"/>
    <mergeCell ref="I44:O44"/>
    <mergeCell ref="C5:E5"/>
    <mergeCell ref="K5:M5"/>
    <mergeCell ref="A6:G6"/>
    <mergeCell ref="I6:O6"/>
    <mergeCell ref="C24:E24"/>
    <mergeCell ref="K24:M24"/>
    <mergeCell ref="E2:K2"/>
    <mergeCell ref="A25:G25"/>
    <mergeCell ref="I25:O25"/>
    <mergeCell ref="C43:E43"/>
    <mergeCell ref="K43:M43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2019-01-29T21:55:09Z</cp:lastPrinted>
  <dcterms:created xsi:type="dcterms:W3CDTF">2016-10-17T20:34:40Z</dcterms:created>
  <dcterms:modified xsi:type="dcterms:W3CDTF">2019-02-04T21:06:35Z</dcterms:modified>
</cp:coreProperties>
</file>