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\\DESKTOP-88viqu3\carpetas compartidas\Cobranzas\btl\PROYECTOS 2019\ENERO\COD 4201660117 IMPULSO BIC IC NORTE-AIDISA\"/>
    </mc:Choice>
  </mc:AlternateContent>
  <xr:revisionPtr revIDLastSave="0" documentId="13_ncr:1_{5415DDC9-3BE1-4336-BF79-E6E4174C50AA}" xr6:coauthVersionLast="40" xr6:coauthVersionMax="40" xr10:uidLastSave="{00000000-0000-0000-0000-000000000000}"/>
  <bookViews>
    <workbookView xWindow="-120" yWindow="-120" windowWidth="20730" windowHeight="11160" tabRatio="795" xr2:uid="{00000000-000D-0000-FFFF-FFFF00000000}"/>
  </bookViews>
  <sheets>
    <sheet name="HOJA D TRABAJO" sheetId="8" r:id="rId1"/>
    <sheet name="Hoja2" sheetId="11" state="hidden" r:id="rId2"/>
    <sheet name="Carta PDF" sheetId="40" r:id="rId3"/>
    <sheet name="GASTO AUX " sheetId="43" r:id="rId4"/>
    <sheet name="HOJA 1 AUX" sheetId="30" r:id="rId5"/>
    <sheet name="HOJA 2 AUX" sheetId="31" r:id="rId6"/>
    <sheet name="HOJA 3 AUX" sheetId="32" r:id="rId7"/>
    <sheet name="HOJA 4 AUX" sheetId="33" r:id="rId8"/>
    <sheet name="HOJA 5 AUX" sheetId="34" r:id="rId9"/>
    <sheet name="HOJA 6 AUX" sheetId="35" r:id="rId10"/>
    <sheet name="HOJA 7 AUX" sheetId="36" r:id="rId11"/>
    <sheet name="HOJA 8 AUX" sheetId="37" r:id="rId12"/>
    <sheet name="HOJA 9 AUX" sheetId="38" r:id="rId13"/>
  </sheets>
  <externalReferences>
    <externalReference r:id="rId14"/>
  </externalReferences>
  <definedNames>
    <definedName name="_xlnm._FilterDatabase">#REF!</definedName>
    <definedName name="Carga">#REF!</definedName>
    <definedName name="DEPENDE">[1]Hoja3!$A$2:$A$4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5" i="40" l="1"/>
  <c r="B44" i="40"/>
  <c r="C204" i="40" l="1"/>
  <c r="C206" i="40" s="1"/>
  <c r="C205" i="40" l="1"/>
  <c r="I250" i="8"/>
  <c r="L190" i="8" l="1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04" i="8" l="1"/>
  <c r="L227" i="8"/>
  <c r="C168" i="40" l="1"/>
  <c r="C167" i="40"/>
  <c r="B168" i="40"/>
  <c r="B167" i="40"/>
  <c r="B55" i="40"/>
  <c r="B67" i="40"/>
  <c r="B79" i="40"/>
  <c r="B91" i="40"/>
  <c r="B103" i="40"/>
  <c r="B127" i="40"/>
  <c r="B115" i="40"/>
  <c r="B43" i="40"/>
  <c r="B30" i="40"/>
  <c r="B31" i="40"/>
  <c r="C169" i="8" l="1"/>
  <c r="C153" i="8"/>
  <c r="C137" i="8"/>
  <c r="C121" i="8"/>
  <c r="C105" i="8"/>
  <c r="C89" i="8"/>
  <c r="C73" i="8"/>
  <c r="C57" i="8"/>
  <c r="C41" i="8" l="1"/>
  <c r="K100" i="38"/>
  <c r="C100" i="38"/>
  <c r="K81" i="38"/>
  <c r="C81" i="38"/>
  <c r="K62" i="38"/>
  <c r="C62" i="38"/>
  <c r="K43" i="38"/>
  <c r="C43" i="38"/>
  <c r="K24" i="38"/>
  <c r="C24" i="38"/>
  <c r="K5" i="38"/>
  <c r="C5" i="38"/>
  <c r="K100" i="37"/>
  <c r="C100" i="37"/>
  <c r="K81" i="37"/>
  <c r="C81" i="37"/>
  <c r="K62" i="37"/>
  <c r="C62" i="37"/>
  <c r="K43" i="37"/>
  <c r="C43" i="37"/>
  <c r="K24" i="37"/>
  <c r="C24" i="37"/>
  <c r="K5" i="37"/>
  <c r="C5" i="37"/>
  <c r="K100" i="36"/>
  <c r="C100" i="36"/>
  <c r="K81" i="36"/>
  <c r="C81" i="36"/>
  <c r="K62" i="36"/>
  <c r="C62" i="36"/>
  <c r="K43" i="36"/>
  <c r="C43" i="36"/>
  <c r="K24" i="36"/>
  <c r="C24" i="36"/>
  <c r="K5" i="36"/>
  <c r="C5" i="36"/>
  <c r="K100" i="35"/>
  <c r="C100" i="35"/>
  <c r="K81" i="35"/>
  <c r="C81" i="35"/>
  <c r="K62" i="35"/>
  <c r="C62" i="35"/>
  <c r="K43" i="35"/>
  <c r="C43" i="35"/>
  <c r="K24" i="35"/>
  <c r="C24" i="35"/>
  <c r="K5" i="35"/>
  <c r="C5" i="35"/>
  <c r="K100" i="34"/>
  <c r="C100" i="34"/>
  <c r="K81" i="34"/>
  <c r="C81" i="34"/>
  <c r="K62" i="34"/>
  <c r="C62" i="34"/>
  <c r="K43" i="34"/>
  <c r="C43" i="34"/>
  <c r="K24" i="34"/>
  <c r="C24" i="34"/>
  <c r="K5" i="34"/>
  <c r="C5" i="34"/>
  <c r="K100" i="33"/>
  <c r="C100" i="33"/>
  <c r="K81" i="33"/>
  <c r="C81" i="33"/>
  <c r="K62" i="33"/>
  <c r="C62" i="33"/>
  <c r="K43" i="33"/>
  <c r="C43" i="33"/>
  <c r="K24" i="33"/>
  <c r="C24" i="33"/>
  <c r="K5" i="33"/>
  <c r="C5" i="33"/>
  <c r="K100" i="32"/>
  <c r="C100" i="32"/>
  <c r="K81" i="32"/>
  <c r="C81" i="32"/>
  <c r="K62" i="32"/>
  <c r="C62" i="32"/>
  <c r="K43" i="32"/>
  <c r="C43" i="32"/>
  <c r="K24" i="32"/>
  <c r="C24" i="32"/>
  <c r="K5" i="32"/>
  <c r="C5" i="32"/>
  <c r="K100" i="31"/>
  <c r="C100" i="31"/>
  <c r="K81" i="31"/>
  <c r="C81" i="31"/>
  <c r="K62" i="31"/>
  <c r="C62" i="31"/>
  <c r="K43" i="31"/>
  <c r="C43" i="31"/>
  <c r="K24" i="31"/>
  <c r="C24" i="31"/>
  <c r="K5" i="31"/>
  <c r="C5" i="31"/>
  <c r="K101" i="30"/>
  <c r="I249" i="8"/>
  <c r="G251" i="8"/>
  <c r="H251" i="8"/>
  <c r="D169" i="8"/>
  <c r="E169" i="8"/>
  <c r="E167" i="40" l="1"/>
  <c r="D167" i="40" s="1"/>
  <c r="E168" i="40"/>
  <c r="D168" i="40" s="1"/>
  <c r="I251" i="8"/>
  <c r="G22" i="8"/>
  <c r="E15" i="30" l="1"/>
  <c r="E15" i="38" s="1"/>
  <c r="E15" i="35" l="1"/>
  <c r="E15" i="36"/>
  <c r="E15" i="37"/>
  <c r="C273" i="8"/>
  <c r="E10" i="43" l="1"/>
  <c r="A173" i="40"/>
  <c r="A8" i="40"/>
  <c r="B163" i="40"/>
  <c r="B165" i="40"/>
  <c r="B166" i="40"/>
  <c r="B164" i="40"/>
  <c r="C166" i="40"/>
  <c r="C165" i="40"/>
  <c r="C164" i="40"/>
  <c r="C163" i="40"/>
  <c r="D117" i="40"/>
  <c r="D118" i="40"/>
  <c r="D119" i="40"/>
  <c r="D120" i="40"/>
  <c r="D121" i="40"/>
  <c r="D122" i="40"/>
  <c r="D123" i="40"/>
  <c r="D124" i="40"/>
  <c r="D125" i="40"/>
  <c r="D126" i="40"/>
  <c r="D127" i="40"/>
  <c r="D116" i="40"/>
  <c r="D105" i="40"/>
  <c r="D106" i="40"/>
  <c r="D107" i="40"/>
  <c r="D108" i="40"/>
  <c r="D109" i="40"/>
  <c r="D110" i="40"/>
  <c r="D111" i="40"/>
  <c r="D112" i="40"/>
  <c r="D113" i="40"/>
  <c r="D114" i="40"/>
  <c r="D115" i="40"/>
  <c r="D104" i="40"/>
  <c r="D93" i="40"/>
  <c r="D94" i="40"/>
  <c r="D95" i="40"/>
  <c r="D96" i="40"/>
  <c r="D97" i="40"/>
  <c r="D98" i="40"/>
  <c r="D99" i="40"/>
  <c r="D100" i="40"/>
  <c r="D101" i="40"/>
  <c r="D102" i="40"/>
  <c r="D103" i="40"/>
  <c r="D92" i="40"/>
  <c r="D81" i="40"/>
  <c r="D82" i="40"/>
  <c r="D83" i="40"/>
  <c r="D84" i="40"/>
  <c r="D85" i="40"/>
  <c r="D86" i="40"/>
  <c r="D87" i="40"/>
  <c r="D88" i="40"/>
  <c r="D89" i="40"/>
  <c r="D90" i="40"/>
  <c r="D91" i="40"/>
  <c r="D80" i="40"/>
  <c r="D69" i="40"/>
  <c r="D70" i="40"/>
  <c r="D71" i="40"/>
  <c r="D72" i="40"/>
  <c r="D73" i="40"/>
  <c r="D74" i="40"/>
  <c r="D75" i="40"/>
  <c r="D76" i="40"/>
  <c r="D77" i="40"/>
  <c r="D78" i="40"/>
  <c r="D79" i="40"/>
  <c r="D68" i="40"/>
  <c r="D57" i="40"/>
  <c r="D58" i="40"/>
  <c r="D59" i="40"/>
  <c r="D60" i="40"/>
  <c r="D61" i="40"/>
  <c r="D62" i="40"/>
  <c r="D63" i="40"/>
  <c r="D64" i="40"/>
  <c r="D65" i="40"/>
  <c r="D66" i="40"/>
  <c r="D67" i="40"/>
  <c r="D56" i="40"/>
  <c r="D45" i="40"/>
  <c r="D46" i="40"/>
  <c r="D47" i="40"/>
  <c r="D48" i="40"/>
  <c r="D49" i="40"/>
  <c r="D50" i="40"/>
  <c r="D51" i="40"/>
  <c r="D52" i="40"/>
  <c r="D53" i="40"/>
  <c r="D54" i="40"/>
  <c r="D55" i="40"/>
  <c r="D44" i="40"/>
  <c r="D33" i="40"/>
  <c r="D34" i="40"/>
  <c r="D35" i="40"/>
  <c r="D36" i="40"/>
  <c r="D37" i="40"/>
  <c r="D38" i="40"/>
  <c r="D39" i="40"/>
  <c r="D40" i="40"/>
  <c r="D41" i="40"/>
  <c r="D42" i="40"/>
  <c r="D43" i="40"/>
  <c r="D32" i="40"/>
  <c r="C117" i="40"/>
  <c r="C118" i="40"/>
  <c r="C119" i="40"/>
  <c r="C120" i="40"/>
  <c r="C121" i="40"/>
  <c r="C122" i="40"/>
  <c r="C123" i="40"/>
  <c r="C124" i="40"/>
  <c r="C125" i="40"/>
  <c r="C126" i="40"/>
  <c r="C127" i="40"/>
  <c r="C116" i="40"/>
  <c r="C105" i="40"/>
  <c r="C106" i="40"/>
  <c r="C107" i="40"/>
  <c r="C108" i="40"/>
  <c r="C109" i="40"/>
  <c r="C110" i="40"/>
  <c r="C111" i="40"/>
  <c r="C112" i="40"/>
  <c r="C113" i="40"/>
  <c r="C114" i="40"/>
  <c r="C115" i="40"/>
  <c r="C104" i="40"/>
  <c r="C93" i="40"/>
  <c r="C94" i="40"/>
  <c r="C95" i="40"/>
  <c r="C96" i="40"/>
  <c r="C97" i="40"/>
  <c r="C98" i="40"/>
  <c r="C99" i="40"/>
  <c r="C100" i="40"/>
  <c r="C101" i="40"/>
  <c r="C102" i="40"/>
  <c r="C103" i="40"/>
  <c r="C92" i="40"/>
  <c r="C81" i="40"/>
  <c r="C82" i="40"/>
  <c r="C83" i="40"/>
  <c r="C84" i="40"/>
  <c r="C85" i="40"/>
  <c r="C86" i="40"/>
  <c r="C87" i="40"/>
  <c r="C88" i="40"/>
  <c r="C89" i="40"/>
  <c r="C90" i="40"/>
  <c r="C91" i="40"/>
  <c r="C80" i="40"/>
  <c r="C69" i="40"/>
  <c r="C70" i="40"/>
  <c r="C71" i="40"/>
  <c r="C72" i="40"/>
  <c r="C73" i="40"/>
  <c r="C74" i="40"/>
  <c r="C75" i="40"/>
  <c r="C76" i="40"/>
  <c r="C77" i="40"/>
  <c r="C78" i="40"/>
  <c r="C79" i="40"/>
  <c r="C68" i="40"/>
  <c r="C57" i="40"/>
  <c r="C58" i="40"/>
  <c r="C59" i="40"/>
  <c r="C60" i="40"/>
  <c r="C61" i="40"/>
  <c r="C62" i="40"/>
  <c r="C63" i="40"/>
  <c r="C64" i="40"/>
  <c r="C65" i="40"/>
  <c r="C66" i="40"/>
  <c r="C67" i="40"/>
  <c r="C56" i="40"/>
  <c r="C45" i="40"/>
  <c r="C46" i="40"/>
  <c r="C47" i="40"/>
  <c r="C48" i="40"/>
  <c r="C49" i="40"/>
  <c r="C50" i="40"/>
  <c r="C51" i="40"/>
  <c r="C52" i="40"/>
  <c r="C53" i="40"/>
  <c r="C54" i="40"/>
  <c r="C55" i="40"/>
  <c r="C44" i="40"/>
  <c r="C33" i="40"/>
  <c r="C34" i="40"/>
  <c r="C35" i="40"/>
  <c r="C36" i="40"/>
  <c r="C37" i="40"/>
  <c r="C38" i="40"/>
  <c r="C39" i="40"/>
  <c r="C40" i="40"/>
  <c r="C41" i="40"/>
  <c r="C42" i="40"/>
  <c r="C43" i="40"/>
  <c r="C32" i="40"/>
  <c r="C21" i="40"/>
  <c r="C22" i="40"/>
  <c r="C23" i="40"/>
  <c r="C24" i="40"/>
  <c r="C25" i="40"/>
  <c r="C26" i="40"/>
  <c r="C27" i="40"/>
  <c r="C28" i="40"/>
  <c r="C29" i="40"/>
  <c r="C30" i="40"/>
  <c r="C31" i="40"/>
  <c r="B126" i="40"/>
  <c r="B125" i="40"/>
  <c r="B124" i="40"/>
  <c r="B123" i="40"/>
  <c r="B122" i="40"/>
  <c r="B121" i="40"/>
  <c r="B120" i="40"/>
  <c r="B119" i="40"/>
  <c r="B118" i="40"/>
  <c r="B117" i="40"/>
  <c r="B116" i="40"/>
  <c r="B114" i="40"/>
  <c r="B113" i="40"/>
  <c r="B112" i="40"/>
  <c r="B111" i="40"/>
  <c r="B110" i="40"/>
  <c r="B109" i="40"/>
  <c r="B108" i="40"/>
  <c r="B107" i="40"/>
  <c r="B106" i="40"/>
  <c r="B105" i="40"/>
  <c r="B104" i="40"/>
  <c r="B102" i="40"/>
  <c r="B101" i="40"/>
  <c r="B100" i="40"/>
  <c r="B99" i="40"/>
  <c r="B98" i="40"/>
  <c r="B97" i="40"/>
  <c r="B96" i="40"/>
  <c r="B95" i="40"/>
  <c r="B94" i="40"/>
  <c r="B93" i="40"/>
  <c r="B92" i="40"/>
  <c r="B90" i="40"/>
  <c r="B89" i="40"/>
  <c r="B88" i="40"/>
  <c r="B87" i="40"/>
  <c r="B86" i="40"/>
  <c r="B85" i="40"/>
  <c r="B84" i="40"/>
  <c r="B83" i="40"/>
  <c r="B82" i="40"/>
  <c r="B81" i="40"/>
  <c r="B80" i="40"/>
  <c r="B78" i="40"/>
  <c r="B77" i="40"/>
  <c r="B76" i="40"/>
  <c r="B75" i="40"/>
  <c r="B74" i="40"/>
  <c r="B73" i="40"/>
  <c r="B72" i="40"/>
  <c r="B71" i="40"/>
  <c r="B70" i="40"/>
  <c r="B69" i="40"/>
  <c r="B68" i="40"/>
  <c r="B66" i="40"/>
  <c r="B65" i="40"/>
  <c r="B64" i="40"/>
  <c r="B63" i="40"/>
  <c r="B62" i="40"/>
  <c r="B61" i="40"/>
  <c r="B60" i="40"/>
  <c r="B59" i="40"/>
  <c r="B58" i="40"/>
  <c r="B57" i="40"/>
  <c r="B56" i="40"/>
  <c r="B54" i="40"/>
  <c r="B53" i="40"/>
  <c r="B52" i="40"/>
  <c r="B51" i="40"/>
  <c r="B50" i="40"/>
  <c r="B49" i="40"/>
  <c r="B48" i="40"/>
  <c r="B47" i="40"/>
  <c r="B46" i="40"/>
  <c r="B42" i="40"/>
  <c r="B41" i="40"/>
  <c r="B40" i="40"/>
  <c r="B39" i="40"/>
  <c r="B38" i="40"/>
  <c r="B37" i="40"/>
  <c r="B36" i="40"/>
  <c r="B35" i="40"/>
  <c r="B34" i="40"/>
  <c r="B33" i="40"/>
  <c r="B32" i="40"/>
  <c r="B29" i="40"/>
  <c r="B28" i="40"/>
  <c r="B27" i="40"/>
  <c r="B26" i="40"/>
  <c r="B25" i="40"/>
  <c r="B24" i="40"/>
  <c r="B23" i="40"/>
  <c r="B22" i="40"/>
  <c r="B21" i="40"/>
  <c r="O103" i="38"/>
  <c r="G103" i="38"/>
  <c r="O83" i="38"/>
  <c r="G83" i="38"/>
  <c r="O65" i="38"/>
  <c r="G65" i="38"/>
  <c r="O46" i="38"/>
  <c r="G46" i="38"/>
  <c r="O99" i="38"/>
  <c r="G99" i="38"/>
  <c r="O80" i="38"/>
  <c r="G80" i="38"/>
  <c r="O61" i="38"/>
  <c r="G61" i="38"/>
  <c r="O42" i="38"/>
  <c r="G42" i="38"/>
  <c r="O103" i="37"/>
  <c r="G103" i="37"/>
  <c r="O83" i="37"/>
  <c r="G83" i="37"/>
  <c r="O65" i="37"/>
  <c r="G65" i="37"/>
  <c r="O46" i="37"/>
  <c r="G46" i="37"/>
  <c r="O99" i="37"/>
  <c r="G99" i="37"/>
  <c r="O80" i="37"/>
  <c r="G80" i="37"/>
  <c r="O61" i="37"/>
  <c r="G61" i="37"/>
  <c r="O42" i="37"/>
  <c r="G42" i="37"/>
  <c r="O103" i="36"/>
  <c r="G103" i="36"/>
  <c r="O83" i="36"/>
  <c r="G83" i="36"/>
  <c r="O65" i="36"/>
  <c r="G65" i="36"/>
  <c r="O46" i="36"/>
  <c r="G46" i="36"/>
  <c r="O99" i="36"/>
  <c r="G99" i="36"/>
  <c r="O80" i="36"/>
  <c r="G80" i="36"/>
  <c r="O61" i="36"/>
  <c r="G61" i="36"/>
  <c r="O42" i="36"/>
  <c r="G42" i="36"/>
  <c r="O103" i="35"/>
  <c r="G103" i="35"/>
  <c r="O83" i="35"/>
  <c r="G83" i="35"/>
  <c r="O65" i="35"/>
  <c r="G65" i="35"/>
  <c r="O46" i="35"/>
  <c r="G46" i="35"/>
  <c r="O99" i="35"/>
  <c r="G99" i="35"/>
  <c r="O80" i="35"/>
  <c r="G80" i="35"/>
  <c r="O61" i="35"/>
  <c r="G61" i="35"/>
  <c r="O42" i="35"/>
  <c r="G42" i="35"/>
  <c r="O103" i="34"/>
  <c r="G103" i="34"/>
  <c r="O83" i="34"/>
  <c r="G83" i="34"/>
  <c r="O65" i="34"/>
  <c r="G65" i="34"/>
  <c r="O46" i="34"/>
  <c r="G46" i="34"/>
  <c r="O99" i="34"/>
  <c r="G99" i="34"/>
  <c r="O80" i="34"/>
  <c r="G80" i="34"/>
  <c r="O61" i="34"/>
  <c r="G61" i="34"/>
  <c r="O42" i="34"/>
  <c r="O23" i="34"/>
  <c r="G23" i="34"/>
  <c r="G42" i="34"/>
  <c r="O103" i="33" l="1"/>
  <c r="O105" i="33" s="1"/>
  <c r="G88" i="8" s="1"/>
  <c r="H88" i="8" s="1"/>
  <c r="G103" i="33"/>
  <c r="G105" i="33" s="1"/>
  <c r="G87" i="8" s="1"/>
  <c r="H87" i="8" s="1"/>
  <c r="O83" i="33"/>
  <c r="O85" i="33" s="1"/>
  <c r="G86" i="8" s="1"/>
  <c r="H86" i="8" s="1"/>
  <c r="G83" i="33"/>
  <c r="G85" i="33" s="1"/>
  <c r="G85" i="8" s="1"/>
  <c r="H85" i="8" s="1"/>
  <c r="O65" i="33"/>
  <c r="O67" i="33" s="1"/>
  <c r="G84" i="8" s="1"/>
  <c r="H84" i="8" s="1"/>
  <c r="G65" i="33"/>
  <c r="G67" i="33" s="1"/>
  <c r="G83" i="8" s="1"/>
  <c r="H83" i="8" s="1"/>
  <c r="O46" i="33"/>
  <c r="G46" i="33"/>
  <c r="O99" i="33"/>
  <c r="G99" i="33"/>
  <c r="O80" i="33"/>
  <c r="G80" i="33"/>
  <c r="O61" i="33"/>
  <c r="G61" i="33"/>
  <c r="O42" i="33"/>
  <c r="G42" i="33"/>
  <c r="O103" i="32"/>
  <c r="O105" i="32" s="1"/>
  <c r="G72" i="8" s="1"/>
  <c r="H72" i="8" s="1"/>
  <c r="G103" i="32"/>
  <c r="G105" i="32" s="1"/>
  <c r="G71" i="8" s="1"/>
  <c r="H71" i="8" s="1"/>
  <c r="O83" i="32"/>
  <c r="O85" i="32" s="1"/>
  <c r="G70" i="8" s="1"/>
  <c r="H70" i="8" s="1"/>
  <c r="G83" i="32"/>
  <c r="G85" i="32" s="1"/>
  <c r="G69" i="8" s="1"/>
  <c r="H69" i="8" s="1"/>
  <c r="O65" i="32"/>
  <c r="O67" i="32" s="1"/>
  <c r="G68" i="8" s="1"/>
  <c r="H68" i="8" s="1"/>
  <c r="G65" i="32"/>
  <c r="G67" i="32" s="1"/>
  <c r="G67" i="8" s="1"/>
  <c r="H67" i="8" s="1"/>
  <c r="O46" i="32"/>
  <c r="G46" i="32"/>
  <c r="O99" i="32"/>
  <c r="G99" i="32"/>
  <c r="O80" i="32"/>
  <c r="G80" i="32"/>
  <c r="O61" i="32"/>
  <c r="G61" i="32"/>
  <c r="O42" i="32"/>
  <c r="I103" i="38"/>
  <c r="A103" i="38"/>
  <c r="I83" i="38"/>
  <c r="A83" i="38"/>
  <c r="I65" i="38"/>
  <c r="A65" i="38"/>
  <c r="I103" i="37"/>
  <c r="A103" i="37"/>
  <c r="I83" i="37"/>
  <c r="A83" i="37"/>
  <c r="I65" i="37"/>
  <c r="A65" i="37"/>
  <c r="I103" i="36"/>
  <c r="A103" i="36"/>
  <c r="I83" i="36"/>
  <c r="A83" i="36"/>
  <c r="I65" i="36"/>
  <c r="A65" i="36"/>
  <c r="I103" i="35"/>
  <c r="A103" i="35"/>
  <c r="I83" i="35"/>
  <c r="A83" i="35"/>
  <c r="I65" i="35"/>
  <c r="A65" i="35"/>
  <c r="I103" i="34"/>
  <c r="A103" i="34"/>
  <c r="I83" i="34"/>
  <c r="A83" i="34"/>
  <c r="I65" i="34"/>
  <c r="A65" i="34"/>
  <c r="I103" i="33"/>
  <c r="A103" i="33"/>
  <c r="I83" i="33"/>
  <c r="A83" i="33"/>
  <c r="I65" i="33"/>
  <c r="A65" i="33"/>
  <c r="I103" i="32"/>
  <c r="A103" i="32"/>
  <c r="I83" i="32"/>
  <c r="A83" i="32"/>
  <c r="I65" i="32"/>
  <c r="A65" i="32"/>
  <c r="M112" i="38"/>
  <c r="E112" i="38"/>
  <c r="N105" i="38"/>
  <c r="F105" i="38"/>
  <c r="O105" i="38"/>
  <c r="G168" i="8" s="1"/>
  <c r="G105" i="38"/>
  <c r="G167" i="8" s="1"/>
  <c r="M92" i="38"/>
  <c r="E92" i="38"/>
  <c r="N85" i="38"/>
  <c r="F85" i="38"/>
  <c r="O85" i="38"/>
  <c r="G166" i="8" s="1"/>
  <c r="G85" i="38"/>
  <c r="G165" i="8" s="1"/>
  <c r="M74" i="38"/>
  <c r="E74" i="38"/>
  <c r="N67" i="38"/>
  <c r="F67" i="38"/>
  <c r="O67" i="38"/>
  <c r="G164" i="8" s="1"/>
  <c r="G67" i="38"/>
  <c r="G163" i="8" s="1"/>
  <c r="M112" i="37"/>
  <c r="E112" i="37"/>
  <c r="N105" i="37"/>
  <c r="F105" i="37"/>
  <c r="O105" i="37"/>
  <c r="G152" i="8" s="1"/>
  <c r="H152" i="8" s="1"/>
  <c r="G105" i="37"/>
  <c r="G151" i="8" s="1"/>
  <c r="H151" i="8" s="1"/>
  <c r="M92" i="37"/>
  <c r="E92" i="37"/>
  <c r="N85" i="37"/>
  <c r="F85" i="37"/>
  <c r="O85" i="37"/>
  <c r="G150" i="8" s="1"/>
  <c r="H150" i="8" s="1"/>
  <c r="G85" i="37"/>
  <c r="G149" i="8" s="1"/>
  <c r="H149" i="8" s="1"/>
  <c r="M74" i="37"/>
  <c r="E74" i="37"/>
  <c r="N67" i="37"/>
  <c r="F67" i="37"/>
  <c r="O67" i="37"/>
  <c r="G148" i="8" s="1"/>
  <c r="H148" i="8" s="1"/>
  <c r="G67" i="37"/>
  <c r="G147" i="8" s="1"/>
  <c r="H147" i="8" s="1"/>
  <c r="M112" i="36"/>
  <c r="E112" i="36"/>
  <c r="N105" i="36"/>
  <c r="F105" i="36"/>
  <c r="O105" i="36"/>
  <c r="G136" i="8" s="1"/>
  <c r="H136" i="8" s="1"/>
  <c r="G105" i="36"/>
  <c r="G135" i="8" s="1"/>
  <c r="H135" i="8" s="1"/>
  <c r="M92" i="36"/>
  <c r="E92" i="36"/>
  <c r="N85" i="36"/>
  <c r="G85" i="36"/>
  <c r="G133" i="8" s="1"/>
  <c r="H133" i="8" s="1"/>
  <c r="F85" i="36"/>
  <c r="O85" i="36"/>
  <c r="G134" i="8" s="1"/>
  <c r="H134" i="8" s="1"/>
  <c r="M74" i="36"/>
  <c r="E74" i="36"/>
  <c r="N67" i="36"/>
  <c r="F67" i="36"/>
  <c r="O67" i="36"/>
  <c r="G132" i="8" s="1"/>
  <c r="H132" i="8" s="1"/>
  <c r="G67" i="36"/>
  <c r="G131" i="8" s="1"/>
  <c r="H131" i="8" s="1"/>
  <c r="M112" i="35"/>
  <c r="E112" i="35"/>
  <c r="N105" i="35"/>
  <c r="F105" i="35"/>
  <c r="O105" i="35"/>
  <c r="G120" i="8" s="1"/>
  <c r="H120" i="8" s="1"/>
  <c r="G105" i="35"/>
  <c r="G119" i="8" s="1"/>
  <c r="H119" i="8" s="1"/>
  <c r="M92" i="35"/>
  <c r="E92" i="35"/>
  <c r="N85" i="35"/>
  <c r="F85" i="35"/>
  <c r="O85" i="35"/>
  <c r="G118" i="8" s="1"/>
  <c r="H118" i="8" s="1"/>
  <c r="G85" i="35"/>
  <c r="G117" i="8" s="1"/>
  <c r="H117" i="8" s="1"/>
  <c r="M74" i="35"/>
  <c r="E74" i="35"/>
  <c r="N67" i="35"/>
  <c r="F67" i="35"/>
  <c r="O67" i="35"/>
  <c r="G116" i="8" s="1"/>
  <c r="H116" i="8" s="1"/>
  <c r="G67" i="35"/>
  <c r="G115" i="8" s="1"/>
  <c r="H115" i="8" s="1"/>
  <c r="M112" i="34"/>
  <c r="E112" i="34"/>
  <c r="N105" i="34"/>
  <c r="F105" i="34"/>
  <c r="O105" i="34"/>
  <c r="G104" i="8" s="1"/>
  <c r="G105" i="34"/>
  <c r="G103" i="8" s="1"/>
  <c r="M92" i="34"/>
  <c r="E92" i="34"/>
  <c r="N85" i="34"/>
  <c r="F85" i="34"/>
  <c r="O85" i="34"/>
  <c r="G102" i="8" s="1"/>
  <c r="G85" i="34"/>
  <c r="G101" i="8" s="1"/>
  <c r="M74" i="34"/>
  <c r="E74" i="34"/>
  <c r="N67" i="34"/>
  <c r="F67" i="34"/>
  <c r="O67" i="34"/>
  <c r="G100" i="8" s="1"/>
  <c r="G67" i="34"/>
  <c r="G99" i="8" s="1"/>
  <c r="M112" i="33"/>
  <c r="E112" i="33"/>
  <c r="N105" i="33"/>
  <c r="F105" i="33"/>
  <c r="M92" i="33"/>
  <c r="E92" i="33"/>
  <c r="N85" i="33"/>
  <c r="F85" i="33"/>
  <c r="M74" i="33"/>
  <c r="E74" i="33"/>
  <c r="N67" i="33"/>
  <c r="F67" i="33"/>
  <c r="M112" i="32"/>
  <c r="E112" i="32"/>
  <c r="N105" i="32"/>
  <c r="F105" i="32"/>
  <c r="M92" i="32"/>
  <c r="E92" i="32"/>
  <c r="N85" i="32"/>
  <c r="F85" i="32"/>
  <c r="M74" i="32"/>
  <c r="E74" i="32"/>
  <c r="N67" i="32"/>
  <c r="F67" i="32"/>
  <c r="I103" i="31"/>
  <c r="A103" i="31"/>
  <c r="I83" i="31"/>
  <c r="A83" i="31"/>
  <c r="I65" i="31"/>
  <c r="A65" i="31"/>
  <c r="O103" i="31"/>
  <c r="O105" i="31" s="1"/>
  <c r="G56" i="8" s="1"/>
  <c r="H56" i="8" s="1"/>
  <c r="G103" i="31"/>
  <c r="G105" i="31" s="1"/>
  <c r="G55" i="8" s="1"/>
  <c r="H55" i="8" s="1"/>
  <c r="O83" i="31"/>
  <c r="O85" i="31" s="1"/>
  <c r="G54" i="8" s="1"/>
  <c r="H54" i="8" s="1"/>
  <c r="G83" i="31"/>
  <c r="G85" i="31" s="1"/>
  <c r="G53" i="8" s="1"/>
  <c r="H53" i="8" s="1"/>
  <c r="O65" i="31"/>
  <c r="O67" i="31" s="1"/>
  <c r="G52" i="8" s="1"/>
  <c r="H52" i="8" s="1"/>
  <c r="G65" i="31"/>
  <c r="G67" i="31" s="1"/>
  <c r="G51" i="8" s="1"/>
  <c r="H51" i="8" s="1"/>
  <c r="O46" i="31"/>
  <c r="O99" i="31"/>
  <c r="G99" i="31"/>
  <c r="O80" i="31"/>
  <c r="G80" i="31"/>
  <c r="O61" i="31"/>
  <c r="G61" i="31"/>
  <c r="O42" i="31"/>
  <c r="M112" i="31"/>
  <c r="E112" i="31"/>
  <c r="N105" i="31"/>
  <c r="F105" i="31"/>
  <c r="M92" i="31"/>
  <c r="E92" i="31"/>
  <c r="N85" i="31"/>
  <c r="F85" i="31"/>
  <c r="M74" i="31"/>
  <c r="E74" i="31"/>
  <c r="N67" i="31"/>
  <c r="F67" i="31"/>
  <c r="C177" i="8"/>
  <c r="C178" i="8"/>
  <c r="C179" i="8"/>
  <c r="C180" i="8"/>
  <c r="C181" i="8"/>
  <c r="C182" i="8"/>
  <c r="C183" i="8"/>
  <c r="B176" i="8"/>
  <c r="B177" i="8"/>
  <c r="B178" i="8"/>
  <c r="B179" i="8"/>
  <c r="B180" i="8"/>
  <c r="B181" i="8"/>
  <c r="B182" i="8"/>
  <c r="B183" i="8"/>
  <c r="O104" i="30"/>
  <c r="O106" i="30" s="1"/>
  <c r="G40" i="8" s="1"/>
  <c r="H40" i="8" s="1"/>
  <c r="G104" i="30"/>
  <c r="G106" i="30" s="1"/>
  <c r="G39" i="8" s="1"/>
  <c r="H39" i="8" s="1"/>
  <c r="O85" i="30"/>
  <c r="O87" i="30" s="1"/>
  <c r="G38" i="8" s="1"/>
  <c r="H38" i="8" s="1"/>
  <c r="G85" i="30"/>
  <c r="G87" i="30" s="1"/>
  <c r="G37" i="8" s="1"/>
  <c r="H37" i="8" s="1"/>
  <c r="O65" i="30"/>
  <c r="O67" i="30" s="1"/>
  <c r="G36" i="8" s="1"/>
  <c r="H36" i="8" s="1"/>
  <c r="G65" i="30"/>
  <c r="G67" i="30" s="1"/>
  <c r="G35" i="8" s="1"/>
  <c r="H35" i="8" s="1"/>
  <c r="O46" i="30"/>
  <c r="O101" i="30"/>
  <c r="D31" i="40" s="1"/>
  <c r="G101" i="30"/>
  <c r="D30" i="40" s="1"/>
  <c r="O82" i="30"/>
  <c r="D29" i="40" s="1"/>
  <c r="G82" i="30"/>
  <c r="D28" i="40" s="1"/>
  <c r="O62" i="30"/>
  <c r="D27" i="40" s="1"/>
  <c r="G62" i="30"/>
  <c r="D26" i="40" s="1"/>
  <c r="O43" i="30"/>
  <c r="D25" i="40" s="1"/>
  <c r="C101" i="30"/>
  <c r="A104" i="30" s="1"/>
  <c r="I104" i="30"/>
  <c r="K82" i="30"/>
  <c r="I85" i="30" s="1"/>
  <c r="C82" i="30"/>
  <c r="A85" i="30" s="1"/>
  <c r="K62" i="30"/>
  <c r="I65" i="30" s="1"/>
  <c r="C62" i="30"/>
  <c r="A65" i="30" s="1"/>
  <c r="K43" i="30"/>
  <c r="M113" i="30"/>
  <c r="E113" i="30"/>
  <c r="N106" i="30"/>
  <c r="F106" i="30"/>
  <c r="M94" i="30"/>
  <c r="E94" i="30"/>
  <c r="N87" i="30"/>
  <c r="F87" i="30"/>
  <c r="M74" i="30"/>
  <c r="E74" i="30"/>
  <c r="N67" i="30"/>
  <c r="F67" i="30"/>
  <c r="H166" i="8" l="1"/>
  <c r="H165" i="8"/>
  <c r="H163" i="8"/>
  <c r="H167" i="8"/>
  <c r="H164" i="8"/>
  <c r="H168" i="8"/>
  <c r="H101" i="8"/>
  <c r="H99" i="8"/>
  <c r="H102" i="8"/>
  <c r="H100" i="8"/>
  <c r="H103" i="8"/>
  <c r="H104" i="8"/>
  <c r="E180" i="8" l="1"/>
  <c r="E182" i="8"/>
  <c r="E183" i="8"/>
  <c r="E178" i="8"/>
  <c r="E179" i="8"/>
  <c r="E181" i="8"/>
  <c r="C259" i="8"/>
  <c r="H244" i="8"/>
  <c r="G244" i="8"/>
  <c r="F244" i="8"/>
  <c r="I243" i="8"/>
  <c r="I242" i="8"/>
  <c r="I236" i="8"/>
  <c r="I235" i="8"/>
  <c r="H237" i="8"/>
  <c r="F237" i="8"/>
  <c r="G237" i="8"/>
  <c r="E163" i="40" l="1"/>
  <c r="D163" i="40" s="1"/>
  <c r="E165" i="40"/>
  <c r="D165" i="40" s="1"/>
  <c r="E166" i="40"/>
  <c r="D166" i="40" s="1"/>
  <c r="E164" i="40"/>
  <c r="D164" i="40" s="1"/>
  <c r="I244" i="8"/>
  <c r="I237" i="8"/>
  <c r="G21" i="8" l="1"/>
  <c r="D12" i="11"/>
  <c r="D23" i="8" l="1"/>
  <c r="E23" i="8"/>
  <c r="H22" i="8"/>
  <c r="G23" i="8" l="1"/>
  <c r="H21" i="8"/>
  <c r="H23" i="8" s="1"/>
  <c r="A5" i="40" l="1"/>
  <c r="E11" i="43" l="1"/>
  <c r="G11" i="43" s="1"/>
  <c r="E12" i="43"/>
  <c r="G12" i="43" s="1"/>
  <c r="E13" i="43"/>
  <c r="G13" i="43" s="1"/>
  <c r="E14" i="43"/>
  <c r="G14" i="43" s="1"/>
  <c r="E17" i="43"/>
  <c r="G17" i="43" s="1"/>
  <c r="E18" i="43"/>
  <c r="G18" i="43" s="1"/>
  <c r="E19" i="43"/>
  <c r="G19" i="43" s="1"/>
  <c r="E20" i="43"/>
  <c r="G20" i="43" s="1"/>
  <c r="E21" i="43"/>
  <c r="G21" i="43" s="1"/>
  <c r="E23" i="43"/>
  <c r="G23" i="43" s="1"/>
  <c r="E24" i="43"/>
  <c r="G24" i="43" s="1"/>
  <c r="E25" i="43"/>
  <c r="G25" i="43" s="1"/>
  <c r="E26" i="43"/>
  <c r="G26" i="43" s="1"/>
  <c r="E27" i="43"/>
  <c r="G27" i="43" s="1"/>
  <c r="E29" i="43"/>
  <c r="G29" i="43" s="1"/>
  <c r="E30" i="43"/>
  <c r="G30" i="43" s="1"/>
  <c r="E31" i="43"/>
  <c r="G31" i="43" s="1"/>
  <c r="E32" i="43"/>
  <c r="G32" i="43" s="1"/>
  <c r="E33" i="43"/>
  <c r="G33" i="43" s="1"/>
  <c r="E36" i="43"/>
  <c r="G36" i="43" s="1"/>
  <c r="E37" i="43"/>
  <c r="G37" i="43" s="1"/>
  <c r="E38" i="43"/>
  <c r="G38" i="43" s="1"/>
  <c r="E39" i="43"/>
  <c r="G39" i="43" s="1"/>
  <c r="E40" i="43"/>
  <c r="G40" i="43" s="1"/>
  <c r="E42" i="43"/>
  <c r="G42" i="43" s="1"/>
  <c r="E43" i="43"/>
  <c r="G43" i="43" s="1"/>
  <c r="E44" i="43"/>
  <c r="G44" i="43" s="1"/>
  <c r="E45" i="43"/>
  <c r="G45" i="43" s="1"/>
  <c r="E46" i="43"/>
  <c r="G46" i="43" s="1"/>
  <c r="E48" i="43"/>
  <c r="G48" i="43" s="1"/>
  <c r="E49" i="43"/>
  <c r="G49" i="43" s="1"/>
  <c r="E50" i="43"/>
  <c r="G50" i="43" s="1"/>
  <c r="E51" i="43"/>
  <c r="G51" i="43" s="1"/>
  <c r="E52" i="43"/>
  <c r="G52" i="43" s="1"/>
  <c r="E54" i="43"/>
  <c r="G54" i="43" s="1"/>
  <c r="E55" i="43"/>
  <c r="G55" i="43" s="1"/>
  <c r="E56" i="43"/>
  <c r="G56" i="43" s="1"/>
  <c r="E57" i="43"/>
  <c r="G57" i="43" s="1"/>
  <c r="E58" i="43"/>
  <c r="G58" i="43" s="1"/>
  <c r="E61" i="43"/>
  <c r="G61" i="43" s="1"/>
  <c r="E62" i="43"/>
  <c r="G62" i="43" s="1"/>
  <c r="E63" i="43"/>
  <c r="G63" i="43" s="1"/>
  <c r="E64" i="43"/>
  <c r="G64" i="43" s="1"/>
  <c r="E65" i="43"/>
  <c r="G65" i="43" s="1"/>
  <c r="E67" i="43"/>
  <c r="G67" i="43" s="1"/>
  <c r="E68" i="43"/>
  <c r="G68" i="43" s="1"/>
  <c r="E69" i="43"/>
  <c r="G69" i="43" s="1"/>
  <c r="E70" i="43"/>
  <c r="G70" i="43" s="1"/>
  <c r="E71" i="43"/>
  <c r="G71" i="43" s="1"/>
  <c r="E73" i="43"/>
  <c r="G73" i="43" s="1"/>
  <c r="E74" i="43"/>
  <c r="G74" i="43" s="1"/>
  <c r="E75" i="43"/>
  <c r="G75" i="43" s="1"/>
  <c r="E76" i="43"/>
  <c r="G76" i="43" s="1"/>
  <c r="E77" i="43"/>
  <c r="G77" i="43" s="1"/>
  <c r="E79" i="43"/>
  <c r="G79" i="43" s="1"/>
  <c r="E80" i="43"/>
  <c r="G80" i="43" s="1"/>
  <c r="E81" i="43"/>
  <c r="G81" i="43" s="1"/>
  <c r="E82" i="43"/>
  <c r="G82" i="43" s="1"/>
  <c r="E83" i="43"/>
  <c r="G83" i="43" s="1"/>
  <c r="E85" i="43"/>
  <c r="G85" i="43" s="1"/>
  <c r="E86" i="43"/>
  <c r="G86" i="43" s="1"/>
  <c r="E87" i="43"/>
  <c r="G87" i="43" s="1"/>
  <c r="E88" i="43"/>
  <c r="G88" i="43" s="1"/>
  <c r="E89" i="43"/>
  <c r="G89" i="43" s="1"/>
  <c r="E92" i="43"/>
  <c r="G92" i="43" s="1"/>
  <c r="E93" i="43"/>
  <c r="G93" i="43" s="1"/>
  <c r="E94" i="43"/>
  <c r="G94" i="43" s="1"/>
  <c r="E95" i="43"/>
  <c r="G95" i="43" s="1"/>
  <c r="E96" i="43"/>
  <c r="G96" i="43" s="1"/>
  <c r="E99" i="43"/>
  <c r="G99" i="43" s="1"/>
  <c r="E100" i="43"/>
  <c r="G100" i="43" s="1"/>
  <c r="E101" i="43"/>
  <c r="G101" i="43" s="1"/>
  <c r="E102" i="43"/>
  <c r="G102" i="43" s="1"/>
  <c r="E103" i="43"/>
  <c r="G103" i="43" s="1"/>
  <c r="E105" i="43"/>
  <c r="G105" i="43" s="1"/>
  <c r="E106" i="43"/>
  <c r="G106" i="43" s="1"/>
  <c r="E107" i="43"/>
  <c r="G107" i="43" s="1"/>
  <c r="E108" i="43"/>
  <c r="G108" i="43" s="1"/>
  <c r="E109" i="43"/>
  <c r="G109" i="43" s="1"/>
  <c r="E111" i="43"/>
  <c r="G111" i="43" s="1"/>
  <c r="E112" i="43"/>
  <c r="G112" i="43" s="1"/>
  <c r="E113" i="43"/>
  <c r="G113" i="43" s="1"/>
  <c r="E114" i="43"/>
  <c r="G114" i="43" s="1"/>
  <c r="E115" i="43"/>
  <c r="G115" i="43" s="1"/>
  <c r="E117" i="43"/>
  <c r="G117" i="43" s="1"/>
  <c r="E118" i="43"/>
  <c r="G118" i="43" s="1"/>
  <c r="E119" i="43"/>
  <c r="G119" i="43" s="1"/>
  <c r="E120" i="43"/>
  <c r="G120" i="43" s="1"/>
  <c r="E121" i="43"/>
  <c r="G121" i="43" s="1"/>
  <c r="E123" i="43"/>
  <c r="G123" i="43" s="1"/>
  <c r="E124" i="43"/>
  <c r="G124" i="43" s="1"/>
  <c r="E125" i="43"/>
  <c r="G125" i="43" s="1"/>
  <c r="E126" i="43"/>
  <c r="G126" i="43" s="1"/>
  <c r="E127" i="43"/>
  <c r="G127" i="43" s="1"/>
  <c r="E129" i="43"/>
  <c r="G129" i="43" s="1"/>
  <c r="E130" i="43"/>
  <c r="G130" i="43" s="1"/>
  <c r="E131" i="43"/>
  <c r="G131" i="43" s="1"/>
  <c r="E132" i="43"/>
  <c r="G132" i="43" s="1"/>
  <c r="E133" i="43"/>
  <c r="G133" i="43" s="1"/>
  <c r="E135" i="43"/>
  <c r="G135" i="43" s="1"/>
  <c r="E136" i="43"/>
  <c r="G136" i="43" s="1"/>
  <c r="E137" i="43"/>
  <c r="G137" i="43" s="1"/>
  <c r="E138" i="43"/>
  <c r="G138" i="43" s="1"/>
  <c r="E139" i="43"/>
  <c r="G139" i="43" s="1"/>
  <c r="E142" i="43"/>
  <c r="G142" i="43" s="1"/>
  <c r="E143" i="43"/>
  <c r="G143" i="43" s="1"/>
  <c r="E144" i="43"/>
  <c r="G144" i="43" s="1"/>
  <c r="E145" i="43"/>
  <c r="G145" i="43" s="1"/>
  <c r="E146" i="43"/>
  <c r="G146" i="43" s="1"/>
  <c r="E148" i="43"/>
  <c r="G148" i="43" s="1"/>
  <c r="E149" i="43"/>
  <c r="G149" i="43" s="1"/>
  <c r="E150" i="43"/>
  <c r="G150" i="43" s="1"/>
  <c r="E151" i="43"/>
  <c r="G151" i="43" s="1"/>
  <c r="E152" i="43"/>
  <c r="G152" i="43" s="1"/>
  <c r="E154" i="43"/>
  <c r="G154" i="43" s="1"/>
  <c r="E155" i="43"/>
  <c r="G155" i="43" s="1"/>
  <c r="E156" i="43"/>
  <c r="G156" i="43" s="1"/>
  <c r="E157" i="43"/>
  <c r="G157" i="43" s="1"/>
  <c r="E158" i="43"/>
  <c r="G158" i="43" s="1"/>
  <c r="E160" i="43"/>
  <c r="G160" i="43" s="1"/>
  <c r="E161" i="43"/>
  <c r="G161" i="43" s="1"/>
  <c r="E162" i="43"/>
  <c r="G162" i="43" s="1"/>
  <c r="E163" i="43"/>
  <c r="G163" i="43" s="1"/>
  <c r="E164" i="43"/>
  <c r="G164" i="43" s="1"/>
  <c r="E166" i="43"/>
  <c r="G166" i="43" s="1"/>
  <c r="E167" i="43"/>
  <c r="G167" i="43" s="1"/>
  <c r="E168" i="43"/>
  <c r="G168" i="43" s="1"/>
  <c r="E169" i="43"/>
  <c r="G169" i="43" s="1"/>
  <c r="E170" i="43"/>
  <c r="G170" i="43" s="1"/>
  <c r="E172" i="43"/>
  <c r="G172" i="43" s="1"/>
  <c r="E173" i="43"/>
  <c r="G173" i="43" s="1"/>
  <c r="E174" i="43"/>
  <c r="G174" i="43" s="1"/>
  <c r="E175" i="43"/>
  <c r="G175" i="43" s="1"/>
  <c r="E176" i="43"/>
  <c r="G176" i="43" s="1"/>
  <c r="E178" i="43"/>
  <c r="G178" i="43" s="1"/>
  <c r="E179" i="43"/>
  <c r="G179" i="43" s="1"/>
  <c r="E180" i="43"/>
  <c r="G180" i="43" s="1"/>
  <c r="E181" i="43"/>
  <c r="G181" i="43" s="1"/>
  <c r="E182" i="43"/>
  <c r="G182" i="43" s="1"/>
  <c r="E184" i="43"/>
  <c r="G184" i="43" s="1"/>
  <c r="E185" i="43"/>
  <c r="G185" i="43" s="1"/>
  <c r="E186" i="43"/>
  <c r="G186" i="43" s="1"/>
  <c r="E187" i="43"/>
  <c r="G187" i="43" s="1"/>
  <c r="E188" i="43"/>
  <c r="G188" i="43" s="1"/>
  <c r="E190" i="43"/>
  <c r="G190" i="43" s="1"/>
  <c r="E191" i="43"/>
  <c r="G191" i="43" s="1"/>
  <c r="E192" i="43"/>
  <c r="G192" i="43" s="1"/>
  <c r="E193" i="43"/>
  <c r="G193" i="43" s="1"/>
  <c r="E194" i="43"/>
  <c r="G194" i="43" s="1"/>
  <c r="G10" i="43"/>
  <c r="G47" i="43" l="1"/>
  <c r="G189" i="43"/>
  <c r="G165" i="43"/>
  <c r="G141" i="43"/>
  <c r="G128" i="43"/>
  <c r="G84" i="43"/>
  <c r="G72" i="43"/>
  <c r="G35" i="43"/>
  <c r="G22" i="43"/>
  <c r="G16" i="43"/>
  <c r="G28" i="43"/>
  <c r="G171" i="43"/>
  <c r="G98" i="43"/>
  <c r="G110" i="43"/>
  <c r="G116" i="43"/>
  <c r="G153" i="43"/>
  <c r="G183" i="43"/>
  <c r="G177" i="43"/>
  <c r="G159" i="43"/>
  <c r="G147" i="43"/>
  <c r="G134" i="43"/>
  <c r="G122" i="43"/>
  <c r="G104" i="43"/>
  <c r="G91" i="43"/>
  <c r="G90" i="43" s="1"/>
  <c r="G78" i="43"/>
  <c r="G66" i="43"/>
  <c r="G60" i="43"/>
  <c r="G53" i="43"/>
  <c r="G41" i="43"/>
  <c r="G9" i="43"/>
  <c r="G8" i="43" s="1"/>
  <c r="G140" i="43" l="1"/>
  <c r="G15" i="43"/>
  <c r="G97" i="43"/>
  <c r="G59" i="43"/>
  <c r="G34" i="43"/>
  <c r="G195" i="43" l="1"/>
  <c r="C149" i="40" l="1"/>
  <c r="C150" i="40"/>
  <c r="C151" i="40"/>
  <c r="C152" i="40"/>
  <c r="C153" i="40"/>
  <c r="C154" i="40"/>
  <c r="C155" i="40"/>
  <c r="C156" i="40"/>
  <c r="C157" i="40"/>
  <c r="C158" i="40"/>
  <c r="C159" i="40"/>
  <c r="C160" i="40"/>
  <c r="C161" i="40"/>
  <c r="C162" i="40"/>
  <c r="C148" i="40"/>
  <c r="C135" i="40"/>
  <c r="C136" i="40"/>
  <c r="C137" i="40"/>
  <c r="C138" i="40"/>
  <c r="C139" i="40"/>
  <c r="C140" i="40"/>
  <c r="C141" i="40"/>
  <c r="C142" i="40"/>
  <c r="C143" i="40"/>
  <c r="C144" i="40"/>
  <c r="C145" i="40"/>
  <c r="C146" i="40"/>
  <c r="C147" i="40"/>
  <c r="C134" i="40"/>
  <c r="B149" i="40"/>
  <c r="B150" i="40"/>
  <c r="B151" i="40"/>
  <c r="B152" i="40"/>
  <c r="B153" i="40"/>
  <c r="B154" i="40"/>
  <c r="B155" i="40"/>
  <c r="B156" i="40"/>
  <c r="B157" i="40"/>
  <c r="B158" i="40"/>
  <c r="B159" i="40"/>
  <c r="B160" i="40"/>
  <c r="B161" i="40"/>
  <c r="B162" i="40"/>
  <c r="B148" i="40"/>
  <c r="B135" i="40"/>
  <c r="B136" i="40"/>
  <c r="B137" i="40"/>
  <c r="B138" i="40"/>
  <c r="B139" i="40"/>
  <c r="B140" i="40"/>
  <c r="B141" i="40"/>
  <c r="B142" i="40"/>
  <c r="B143" i="40"/>
  <c r="B144" i="40"/>
  <c r="B145" i="40"/>
  <c r="B146" i="40"/>
  <c r="B147" i="40"/>
  <c r="B134" i="40"/>
  <c r="B20" i="40"/>
  <c r="C20" i="40"/>
  <c r="C128" i="40" l="1"/>
  <c r="C173" i="8" l="1"/>
  <c r="C174" i="8"/>
  <c r="C175" i="8"/>
  <c r="C176" i="8"/>
  <c r="C172" i="8"/>
  <c r="C184" i="8" l="1"/>
  <c r="I190" i="8" l="1"/>
  <c r="B173" i="8"/>
  <c r="B174" i="8"/>
  <c r="B175" i="8"/>
  <c r="B172" i="8"/>
  <c r="D134" i="40" l="1"/>
  <c r="B184" i="8"/>
  <c r="F28" i="30" l="1"/>
  <c r="E35" i="30"/>
  <c r="I223" i="8" l="1"/>
  <c r="I219" i="8"/>
  <c r="D155" i="40" s="1"/>
  <c r="I215" i="8"/>
  <c r="I226" i="8"/>
  <c r="I222" i="8"/>
  <c r="I218" i="8"/>
  <c r="I214" i="8"/>
  <c r="I225" i="8"/>
  <c r="I221" i="8"/>
  <c r="I217" i="8"/>
  <c r="D153" i="40" s="1"/>
  <c r="I213" i="8"/>
  <c r="I224" i="8"/>
  <c r="I220" i="8"/>
  <c r="I216" i="8"/>
  <c r="I212" i="8"/>
  <c r="D151" i="40"/>
  <c r="D158" i="40"/>
  <c r="D154" i="40"/>
  <c r="D159" i="40"/>
  <c r="D157" i="40"/>
  <c r="D150" i="40"/>
  <c r="D161" i="40" l="1"/>
  <c r="E161" i="40" s="1"/>
  <c r="D160" i="40"/>
  <c r="D162" i="40"/>
  <c r="E162" i="40" s="1"/>
  <c r="D149" i="40"/>
  <c r="E149" i="40" s="1"/>
  <c r="D156" i="40"/>
  <c r="E156" i="40" s="1"/>
  <c r="D152" i="40"/>
  <c r="E152" i="40" s="1"/>
  <c r="I227" i="8"/>
  <c r="D148" i="40"/>
  <c r="E157" i="40"/>
  <c r="E150" i="40"/>
  <c r="E158" i="40"/>
  <c r="E155" i="40"/>
  <c r="E154" i="40"/>
  <c r="E160" i="40"/>
  <c r="E159" i="40"/>
  <c r="E151" i="40"/>
  <c r="E153" i="40"/>
  <c r="N48" i="38" l="1"/>
  <c r="F48" i="38"/>
  <c r="N28" i="38"/>
  <c r="F28" i="38"/>
  <c r="N10" i="38"/>
  <c r="F10" i="38"/>
  <c r="N48" i="37"/>
  <c r="F48" i="37"/>
  <c r="N28" i="37"/>
  <c r="F28" i="37"/>
  <c r="N10" i="37"/>
  <c r="F10" i="37"/>
  <c r="N48" i="36"/>
  <c r="F48" i="36"/>
  <c r="N28" i="36"/>
  <c r="F28" i="36"/>
  <c r="N10" i="36"/>
  <c r="F10" i="36"/>
  <c r="N48" i="35"/>
  <c r="F48" i="35"/>
  <c r="N28" i="35"/>
  <c r="F28" i="35"/>
  <c r="N10" i="35"/>
  <c r="F10" i="35"/>
  <c r="N48" i="34"/>
  <c r="F48" i="34"/>
  <c r="N28" i="34"/>
  <c r="F28" i="34"/>
  <c r="N10" i="34"/>
  <c r="F10" i="34"/>
  <c r="N48" i="33"/>
  <c r="F48" i="33"/>
  <c r="N28" i="33"/>
  <c r="F28" i="33"/>
  <c r="N10" i="33"/>
  <c r="F10" i="33"/>
  <c r="N48" i="32"/>
  <c r="F48" i="32"/>
  <c r="N28" i="32"/>
  <c r="F28" i="32"/>
  <c r="N10" i="32"/>
  <c r="F10" i="32"/>
  <c r="N48" i="31"/>
  <c r="F48" i="31"/>
  <c r="N28" i="31"/>
  <c r="F28" i="31"/>
  <c r="N10" i="31"/>
  <c r="F10" i="31"/>
  <c r="N48" i="30"/>
  <c r="F48" i="30"/>
  <c r="N28" i="30"/>
  <c r="N10" i="30"/>
  <c r="O24" i="30" l="1"/>
  <c r="D23" i="40" s="1"/>
  <c r="A26" i="31" l="1"/>
  <c r="E41" i="8" l="1"/>
  <c r="D57" i="8"/>
  <c r="E57" i="8"/>
  <c r="D89" i="8"/>
  <c r="E89" i="8"/>
  <c r="D105" i="8"/>
  <c r="E105" i="8"/>
  <c r="D121" i="8"/>
  <c r="E121" i="8"/>
  <c r="D137" i="8"/>
  <c r="E137" i="8"/>
  <c r="D153" i="8"/>
  <c r="E153" i="8"/>
  <c r="D41" i="8"/>
  <c r="M55" i="30" l="1"/>
  <c r="E55" i="30"/>
  <c r="M35" i="30"/>
  <c r="M17" i="30"/>
  <c r="E17" i="30"/>
  <c r="M55" i="31"/>
  <c r="E55" i="31"/>
  <c r="M35" i="31"/>
  <c r="E35" i="31"/>
  <c r="M17" i="31"/>
  <c r="E17" i="31"/>
  <c r="M55" i="32"/>
  <c r="E55" i="32"/>
  <c r="M35" i="32"/>
  <c r="E35" i="32"/>
  <c r="M17" i="32"/>
  <c r="E17" i="32"/>
  <c r="M55" i="33"/>
  <c r="E55" i="33"/>
  <c r="M35" i="33"/>
  <c r="E35" i="33"/>
  <c r="M17" i="33"/>
  <c r="E17" i="33"/>
  <c r="M17" i="34"/>
  <c r="E17" i="34"/>
  <c r="M35" i="34"/>
  <c r="E35" i="34"/>
  <c r="M55" i="34"/>
  <c r="E55" i="34"/>
  <c r="M17" i="35"/>
  <c r="E17" i="35"/>
  <c r="M35" i="35"/>
  <c r="E35" i="35"/>
  <c r="M55" i="35"/>
  <c r="E55" i="35"/>
  <c r="M55" i="36"/>
  <c r="E55" i="36"/>
  <c r="M35" i="36"/>
  <c r="E35" i="36"/>
  <c r="M17" i="36"/>
  <c r="E17" i="36"/>
  <c r="M17" i="37"/>
  <c r="E17" i="37"/>
  <c r="M35" i="37"/>
  <c r="E35" i="37"/>
  <c r="M55" i="37"/>
  <c r="E55" i="37"/>
  <c r="M55" i="38"/>
  <c r="E55" i="38"/>
  <c r="M17" i="38"/>
  <c r="E17" i="38"/>
  <c r="M35" i="38"/>
  <c r="E35" i="38"/>
  <c r="I8" i="31" l="1"/>
  <c r="G48" i="38"/>
  <c r="G161" i="8" s="1"/>
  <c r="O26" i="38"/>
  <c r="O28" i="38" s="1"/>
  <c r="G160" i="8" s="1"/>
  <c r="G26" i="38"/>
  <c r="O8" i="38"/>
  <c r="G8" i="38"/>
  <c r="G10" i="38" s="1"/>
  <c r="G157" i="8" s="1"/>
  <c r="O23" i="38"/>
  <c r="G23" i="38"/>
  <c r="O4" i="38"/>
  <c r="G4" i="38"/>
  <c r="I46" i="38"/>
  <c r="I26" i="38"/>
  <c r="I8" i="38"/>
  <c r="A46" i="38"/>
  <c r="A26" i="38"/>
  <c r="A8" i="38"/>
  <c r="O26" i="37"/>
  <c r="O28" i="37" s="1"/>
  <c r="G144" i="8" s="1"/>
  <c r="G26" i="37"/>
  <c r="O8" i="37"/>
  <c r="G8" i="37"/>
  <c r="G10" i="37" s="1"/>
  <c r="G141" i="8" s="1"/>
  <c r="O23" i="37"/>
  <c r="G23" i="37"/>
  <c r="O4" i="37"/>
  <c r="G4" i="37"/>
  <c r="I46" i="37"/>
  <c r="I26" i="37"/>
  <c r="I8" i="37"/>
  <c r="A46" i="37"/>
  <c r="A26" i="37"/>
  <c r="A8" i="37"/>
  <c r="O26" i="36"/>
  <c r="G26" i="36"/>
  <c r="G28" i="36" s="1"/>
  <c r="G127" i="8" s="1"/>
  <c r="O8" i="36"/>
  <c r="G8" i="36"/>
  <c r="O23" i="36"/>
  <c r="G23" i="36"/>
  <c r="O4" i="36"/>
  <c r="G4" i="36"/>
  <c r="I46" i="36"/>
  <c r="I26" i="36"/>
  <c r="I8" i="36"/>
  <c r="A46" i="36"/>
  <c r="A26" i="36"/>
  <c r="A8" i="36"/>
  <c r="I46" i="35"/>
  <c r="I26" i="35"/>
  <c r="I8" i="35"/>
  <c r="G8" i="31"/>
  <c r="E2" i="38"/>
  <c r="E2" i="37"/>
  <c r="E2" i="36"/>
  <c r="O48" i="35"/>
  <c r="G114" i="8" s="1"/>
  <c r="H114" i="8" s="1"/>
  <c r="O26" i="35"/>
  <c r="O28" i="35" s="1"/>
  <c r="G112" i="8" s="1"/>
  <c r="G26" i="35"/>
  <c r="G28" i="35" s="1"/>
  <c r="G111" i="8" s="1"/>
  <c r="O8" i="35"/>
  <c r="G8" i="35"/>
  <c r="O23" i="35"/>
  <c r="G23" i="35"/>
  <c r="O4" i="35"/>
  <c r="G4" i="35"/>
  <c r="A46" i="35"/>
  <c r="A26" i="35"/>
  <c r="A8" i="35"/>
  <c r="O26" i="34"/>
  <c r="G26" i="34"/>
  <c r="O8" i="34"/>
  <c r="G8" i="34"/>
  <c r="O4" i="34"/>
  <c r="G4" i="34"/>
  <c r="I46" i="34"/>
  <c r="I26" i="34"/>
  <c r="I8" i="34"/>
  <c r="A46" i="34"/>
  <c r="A26" i="34"/>
  <c r="A8" i="34"/>
  <c r="O26" i="33"/>
  <c r="G26" i="33"/>
  <c r="G28" i="33" s="1"/>
  <c r="G79" i="8" s="1"/>
  <c r="H79" i="8" s="1"/>
  <c r="O8" i="33"/>
  <c r="G8" i="33"/>
  <c r="O23" i="33"/>
  <c r="G23" i="33"/>
  <c r="O4" i="33"/>
  <c r="G4" i="33"/>
  <c r="I46" i="33"/>
  <c r="I26" i="33"/>
  <c r="I8" i="33"/>
  <c r="A46" i="33"/>
  <c r="A26" i="33"/>
  <c r="A8" i="33"/>
  <c r="O48" i="32"/>
  <c r="G66" i="8" s="1"/>
  <c r="H66" i="8" s="1"/>
  <c r="O26" i="32"/>
  <c r="G26" i="32"/>
  <c r="O8" i="32"/>
  <c r="G42" i="32"/>
  <c r="O23" i="32"/>
  <c r="G23" i="32"/>
  <c r="O4" i="32"/>
  <c r="I8" i="32"/>
  <c r="I26" i="32"/>
  <c r="I46" i="32"/>
  <c r="A46" i="32"/>
  <c r="A26" i="32"/>
  <c r="A8" i="32"/>
  <c r="E2" i="35"/>
  <c r="E2" i="34"/>
  <c r="E2" i="33"/>
  <c r="E2" i="32"/>
  <c r="E2" i="30"/>
  <c r="E2" i="31"/>
  <c r="O48" i="31"/>
  <c r="G46" i="31"/>
  <c r="O26" i="31"/>
  <c r="G26" i="31"/>
  <c r="G28" i="31" s="1"/>
  <c r="O8" i="31"/>
  <c r="G42" i="31"/>
  <c r="O23" i="31"/>
  <c r="G23" i="31"/>
  <c r="O4" i="31"/>
  <c r="G4" i="31"/>
  <c r="I26" i="31"/>
  <c r="I46" i="31"/>
  <c r="A46" i="31"/>
  <c r="A8" i="31"/>
  <c r="G8" i="30"/>
  <c r="G10" i="30" s="1"/>
  <c r="O8" i="30"/>
  <c r="G26" i="30"/>
  <c r="O26" i="30"/>
  <c r="G46" i="30"/>
  <c r="I46" i="30"/>
  <c r="C43" i="30"/>
  <c r="A46" i="30" s="1"/>
  <c r="G43" i="30"/>
  <c r="D24" i="40" s="1"/>
  <c r="K24" i="30"/>
  <c r="I26" i="30" s="1"/>
  <c r="C24" i="30"/>
  <c r="A26" i="30" s="1"/>
  <c r="G24" i="30"/>
  <c r="D22" i="40" s="1"/>
  <c r="K5" i="30"/>
  <c r="I8" i="30" s="1"/>
  <c r="O5" i="30"/>
  <c r="D21" i="40" s="1"/>
  <c r="C5" i="30"/>
  <c r="A8" i="30" s="1"/>
  <c r="G5" i="30"/>
  <c r="D20" i="40" s="1"/>
  <c r="D128" i="40" l="1"/>
  <c r="H160" i="8"/>
  <c r="H157" i="8"/>
  <c r="H161" i="8"/>
  <c r="G50" i="8"/>
  <c r="H50" i="8" s="1"/>
  <c r="G47" i="8"/>
  <c r="H47" i="8" s="1"/>
  <c r="O10" i="32"/>
  <c r="G62" i="8" s="1"/>
  <c r="G28" i="30"/>
  <c r="G31" i="8" s="1"/>
  <c r="H31" i="8" s="1"/>
  <c r="O10" i="38"/>
  <c r="G158" i="8" s="1"/>
  <c r="O48" i="38"/>
  <c r="G162" i="8" s="1"/>
  <c r="G28" i="38"/>
  <c r="G159" i="8" s="1"/>
  <c r="O10" i="37"/>
  <c r="G142" i="8" s="1"/>
  <c r="H144" i="8"/>
  <c r="O48" i="37"/>
  <c r="G146" i="8" s="1"/>
  <c r="H146" i="8" s="1"/>
  <c r="H141" i="8"/>
  <c r="G28" i="37"/>
  <c r="G143" i="8" s="1"/>
  <c r="G48" i="37"/>
  <c r="O10" i="36"/>
  <c r="G126" i="8" s="1"/>
  <c r="O28" i="36"/>
  <c r="G128" i="8" s="1"/>
  <c r="O48" i="36"/>
  <c r="G130" i="8" s="1"/>
  <c r="H130" i="8" s="1"/>
  <c r="G10" i="36"/>
  <c r="G125" i="8" s="1"/>
  <c r="H127" i="8"/>
  <c r="G48" i="36"/>
  <c r="G129" i="8" s="1"/>
  <c r="G10" i="35"/>
  <c r="H111" i="8"/>
  <c r="G48" i="35"/>
  <c r="G113" i="8" s="1"/>
  <c r="O10" i="35"/>
  <c r="H112" i="8"/>
  <c r="G10" i="34"/>
  <c r="G93" i="8" s="1"/>
  <c r="G28" i="34"/>
  <c r="G95" i="8" s="1"/>
  <c r="O10" i="34"/>
  <c r="G94" i="8" s="1"/>
  <c r="O28" i="34"/>
  <c r="G96" i="8" s="1"/>
  <c r="O48" i="34"/>
  <c r="G98" i="8" s="1"/>
  <c r="G48" i="34"/>
  <c r="G97" i="8" s="1"/>
  <c r="O10" i="33"/>
  <c r="G78" i="8" s="1"/>
  <c r="H78" i="8" s="1"/>
  <c r="O28" i="33"/>
  <c r="G80" i="8" s="1"/>
  <c r="H80" i="8" s="1"/>
  <c r="O48" i="33"/>
  <c r="G82" i="8" s="1"/>
  <c r="H82" i="8" s="1"/>
  <c r="G10" i="33"/>
  <c r="G77" i="8" s="1"/>
  <c r="G48" i="33"/>
  <c r="G81" i="8" s="1"/>
  <c r="H81" i="8" s="1"/>
  <c r="O28" i="32"/>
  <c r="G64" i="8" s="1"/>
  <c r="G28" i="32"/>
  <c r="G63" i="8" s="1"/>
  <c r="G48" i="32"/>
  <c r="G65" i="8" s="1"/>
  <c r="H65" i="8" s="1"/>
  <c r="O10" i="31"/>
  <c r="O28" i="31"/>
  <c r="G48" i="31"/>
  <c r="G10" i="31"/>
  <c r="G48" i="30"/>
  <c r="G33" i="8" s="1"/>
  <c r="H33" i="8" s="1"/>
  <c r="O48" i="30"/>
  <c r="G34" i="8" s="1"/>
  <c r="H34" i="8" s="1"/>
  <c r="O28" i="30"/>
  <c r="G32" i="8" s="1"/>
  <c r="H32" i="8" s="1"/>
  <c r="O10" i="30"/>
  <c r="G30" i="8" s="1"/>
  <c r="H30" i="8" s="1"/>
  <c r="G29" i="8"/>
  <c r="G169" i="8" l="1"/>
  <c r="H158" i="8"/>
  <c r="H159" i="8"/>
  <c r="H162" i="8"/>
  <c r="G46" i="8"/>
  <c r="H46" i="8" s="1"/>
  <c r="G49" i="8"/>
  <c r="H49" i="8" s="1"/>
  <c r="G45" i="8"/>
  <c r="H45" i="8" s="1"/>
  <c r="G48" i="8"/>
  <c r="H48" i="8" s="1"/>
  <c r="H98" i="8"/>
  <c r="G145" i="8"/>
  <c r="H145" i="8" s="1"/>
  <c r="G110" i="8"/>
  <c r="H110" i="8" s="1"/>
  <c r="G109" i="8"/>
  <c r="H109" i="8" s="1"/>
  <c r="H62" i="8"/>
  <c r="H29" i="8"/>
  <c r="H64" i="8"/>
  <c r="H143" i="8"/>
  <c r="H142" i="8"/>
  <c r="H129" i="8"/>
  <c r="H125" i="8"/>
  <c r="H128" i="8"/>
  <c r="H126" i="8"/>
  <c r="H113" i="8"/>
  <c r="H97" i="8"/>
  <c r="H93" i="8"/>
  <c r="H96" i="8"/>
  <c r="H94" i="8"/>
  <c r="H95" i="8"/>
  <c r="H77" i="8"/>
  <c r="H63" i="8"/>
  <c r="H169" i="8" l="1"/>
  <c r="E177" i="8"/>
  <c r="H89" i="8"/>
  <c r="H153" i="8"/>
  <c r="H137" i="8"/>
  <c r="H121" i="8"/>
  <c r="H105" i="8"/>
  <c r="G153" i="8"/>
  <c r="G137" i="8"/>
  <c r="G121" i="8"/>
  <c r="G105" i="8"/>
  <c r="G89" i="8"/>
  <c r="F10" i="30"/>
  <c r="E174" i="8" l="1"/>
  <c r="E173" i="8"/>
  <c r="G41" i="8"/>
  <c r="H41" i="8" l="1"/>
  <c r="F21" i="11" l="1"/>
  <c r="E21" i="11"/>
  <c r="I197" i="8" l="1"/>
  <c r="D141" i="40" s="1"/>
  <c r="E141" i="40" s="1"/>
  <c r="I193" i="8"/>
  <c r="D137" i="40" s="1"/>
  <c r="E137" i="40" s="1"/>
  <c r="I199" i="8"/>
  <c r="D143" i="40" s="1"/>
  <c r="E143" i="40" s="1"/>
  <c r="I196" i="8"/>
  <c r="D140" i="40" s="1"/>
  <c r="E140" i="40" s="1"/>
  <c r="I202" i="8"/>
  <c r="I203" i="8"/>
  <c r="I195" i="8"/>
  <c r="I201" i="8"/>
  <c r="I198" i="8"/>
  <c r="I194" i="8"/>
  <c r="I200" i="8"/>
  <c r="D147" i="40"/>
  <c r="E147" i="40" s="1"/>
  <c r="D138" i="40" l="1"/>
  <c r="E138" i="40" s="1"/>
  <c r="D139" i="40"/>
  <c r="E139" i="40" s="1"/>
  <c r="D146" i="40"/>
  <c r="E146" i="40" s="1"/>
  <c r="D142" i="40"/>
  <c r="E142" i="40" s="1"/>
  <c r="D145" i="40"/>
  <c r="E145" i="40" s="1"/>
  <c r="D144" i="40"/>
  <c r="E144" i="40" s="1"/>
  <c r="F139" i="11"/>
  <c r="I191" i="8" l="1"/>
  <c r="I192" i="8"/>
  <c r="D136" i="40" s="1"/>
  <c r="D135" i="40" l="1"/>
  <c r="E135" i="40" s="1"/>
  <c r="E134" i="40"/>
  <c r="E136" i="40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32" i="11"/>
  <c r="D27" i="11" l="1"/>
  <c r="E27" i="11" s="1"/>
  <c r="F27" i="11" s="1"/>
  <c r="D259" i="8" l="1"/>
  <c r="E14" i="30" l="1"/>
  <c r="E110" i="30" l="1"/>
  <c r="E71" i="30"/>
  <c r="E32" i="30"/>
  <c r="E32" i="38" s="1"/>
  <c r="M32" i="30"/>
  <c r="M32" i="38" s="1"/>
  <c r="M91" i="30"/>
  <c r="E52" i="30"/>
  <c r="M14" i="30"/>
  <c r="M14" i="38" s="1"/>
  <c r="M110" i="30"/>
  <c r="E91" i="30"/>
  <c r="M52" i="30"/>
  <c r="M71" i="30"/>
  <c r="M71" i="38" s="1"/>
  <c r="E14" i="37"/>
  <c r="M32" i="37" s="1"/>
  <c r="E14" i="38"/>
  <c r="E32" i="32"/>
  <c r="E52" i="32" s="1"/>
  <c r="M52" i="32" s="1"/>
  <c r="E14" i="35"/>
  <c r="E32" i="35" s="1"/>
  <c r="E14" i="31"/>
  <c r="E32" i="31" s="1"/>
  <c r="E52" i="31" s="1"/>
  <c r="M52" i="31" s="1"/>
  <c r="E14" i="34"/>
  <c r="E52" i="34" s="1"/>
  <c r="E14" i="33"/>
  <c r="M14" i="33" s="1"/>
  <c r="E14" i="36"/>
  <c r="E32" i="36" s="1"/>
  <c r="M89" i="38" l="1"/>
  <c r="M109" i="38" s="1"/>
  <c r="E89" i="38"/>
  <c r="E109" i="38" s="1"/>
  <c r="E71" i="31"/>
  <c r="E71" i="34"/>
  <c r="E89" i="32"/>
  <c r="E71" i="38"/>
  <c r="E71" i="37"/>
  <c r="E71" i="36"/>
  <c r="E71" i="35"/>
  <c r="E71" i="33"/>
  <c r="M14" i="37"/>
  <c r="M14" i="35"/>
  <c r="M32" i="32"/>
  <c r="M14" i="32"/>
  <c r="E14" i="32" s="1"/>
  <c r="E32" i="37"/>
  <c r="E52" i="37" s="1"/>
  <c r="M52" i="37" s="1"/>
  <c r="M14" i="31"/>
  <c r="M32" i="31" s="1"/>
  <c r="M52" i="34"/>
  <c r="M14" i="34"/>
  <c r="E32" i="34"/>
  <c r="M32" i="34" s="1"/>
  <c r="M14" i="36"/>
  <c r="E32" i="33"/>
  <c r="M32" i="33" s="1"/>
  <c r="M32" i="36"/>
  <c r="E52" i="36"/>
  <c r="M52" i="36" s="1"/>
  <c r="M52" i="35"/>
  <c r="M32" i="35"/>
  <c r="E52" i="35"/>
  <c r="M52" i="38"/>
  <c r="E52" i="38"/>
  <c r="M109" i="34" l="1"/>
  <c r="M71" i="34"/>
  <c r="E89" i="34"/>
  <c r="M89" i="34" s="1"/>
  <c r="E109" i="34"/>
  <c r="E89" i="37"/>
  <c r="E109" i="37" s="1"/>
  <c r="M109" i="37" s="1"/>
  <c r="M71" i="37"/>
  <c r="M89" i="37"/>
  <c r="E89" i="31"/>
  <c r="E109" i="31" s="1"/>
  <c r="M109" i="31" s="1"/>
  <c r="M71" i="31"/>
  <c r="M89" i="31" s="1"/>
  <c r="E89" i="33"/>
  <c r="M71" i="33"/>
  <c r="E89" i="36"/>
  <c r="M71" i="36"/>
  <c r="E89" i="35"/>
  <c r="M71" i="35"/>
  <c r="M89" i="32"/>
  <c r="M71" i="32"/>
  <c r="E71" i="32" s="1"/>
  <c r="E109" i="32"/>
  <c r="M109" i="32" s="1"/>
  <c r="E52" i="33"/>
  <c r="M52" i="33" s="1"/>
  <c r="M89" i="36" l="1"/>
  <c r="E109" i="36"/>
  <c r="M109" i="36" s="1"/>
  <c r="M89" i="35"/>
  <c r="M109" i="35"/>
  <c r="E109" i="35"/>
  <c r="M89" i="33"/>
  <c r="E109" i="33"/>
  <c r="M109" i="33" s="1"/>
  <c r="I204" i="8" l="1"/>
  <c r="E148" i="40" l="1"/>
  <c r="E169" i="40" s="1"/>
  <c r="I229" i="8"/>
  <c r="E73" i="8" l="1"/>
  <c r="G4" i="32"/>
  <c r="D73" i="8"/>
  <c r="G8" i="32"/>
  <c r="G10" i="32" l="1"/>
  <c r="G61" i="8" s="1"/>
  <c r="H61" i="8" l="1"/>
  <c r="H73" i="8" l="1"/>
  <c r="E172" i="8"/>
  <c r="G73" i="8"/>
  <c r="E175" i="8" l="1"/>
  <c r="H57" i="8"/>
  <c r="E176" i="8"/>
  <c r="E184" i="8" l="1"/>
  <c r="C256" i="8" s="1"/>
  <c r="F164" i="8" l="1"/>
  <c r="F166" i="8"/>
  <c r="F163" i="8"/>
  <c r="F165" i="8"/>
  <c r="F168" i="8"/>
  <c r="F167" i="8"/>
  <c r="F160" i="8"/>
  <c r="F157" i="8"/>
  <c r="F161" i="8"/>
  <c r="F159" i="8"/>
  <c r="F158" i="8"/>
  <c r="F162" i="8"/>
  <c r="F147" i="8"/>
  <c r="F151" i="8"/>
  <c r="F148" i="8"/>
  <c r="F152" i="8"/>
  <c r="F149" i="8"/>
  <c r="F146" i="8"/>
  <c r="F150" i="8"/>
  <c r="F133" i="8"/>
  <c r="F131" i="8"/>
  <c r="F132" i="8"/>
  <c r="F130" i="8"/>
  <c r="F134" i="8"/>
  <c r="F135" i="8"/>
  <c r="F136" i="8"/>
  <c r="F115" i="8"/>
  <c r="F119" i="8"/>
  <c r="F117" i="8"/>
  <c r="F116" i="8"/>
  <c r="F114" i="8"/>
  <c r="F118" i="8"/>
  <c r="F120" i="8"/>
  <c r="L256" i="8"/>
  <c r="F101" i="8"/>
  <c r="F102" i="8"/>
  <c r="F103" i="8"/>
  <c r="F99" i="8"/>
  <c r="F100" i="8"/>
  <c r="F104" i="8"/>
  <c r="F98" i="8"/>
  <c r="F143" i="8"/>
  <c r="F85" i="8"/>
  <c r="F86" i="8"/>
  <c r="F82" i="8"/>
  <c r="F87" i="8"/>
  <c r="F83" i="8"/>
  <c r="F88" i="8"/>
  <c r="F84" i="8"/>
  <c r="F65" i="8"/>
  <c r="F62" i="8"/>
  <c r="F53" i="8"/>
  <c r="F64" i="8"/>
  <c r="F31" i="8"/>
  <c r="F35" i="8"/>
  <c r="F54" i="8"/>
  <c r="F40" i="8"/>
  <c r="F34" i="8"/>
  <c r="F30" i="8"/>
  <c r="F126" i="8"/>
  <c r="F49" i="8"/>
  <c r="F63" i="8"/>
  <c r="F128" i="8"/>
  <c r="F29" i="8"/>
  <c r="F111" i="8"/>
  <c r="F141" i="8"/>
  <c r="F33" i="8"/>
  <c r="F77" i="8"/>
  <c r="F69" i="8"/>
  <c r="F66" i="8"/>
  <c r="F70" i="8"/>
  <c r="F71" i="8"/>
  <c r="F68" i="8"/>
  <c r="F72" i="8"/>
  <c r="F67" i="8"/>
  <c r="F127" i="8"/>
  <c r="F47" i="8"/>
  <c r="F45" i="8"/>
  <c r="F61" i="8"/>
  <c r="F96" i="8"/>
  <c r="F48" i="8"/>
  <c r="F95" i="8"/>
  <c r="F32" i="8"/>
  <c r="F36" i="8"/>
  <c r="F145" i="8"/>
  <c r="F39" i="8"/>
  <c r="F129" i="8"/>
  <c r="F112" i="8"/>
  <c r="F93" i="8"/>
  <c r="F81" i="8"/>
  <c r="F78" i="8"/>
  <c r="F144" i="8"/>
  <c r="F38" i="8"/>
  <c r="F79" i="8"/>
  <c r="F110" i="8"/>
  <c r="F56" i="8"/>
  <c r="F109" i="8"/>
  <c r="F80" i="8"/>
  <c r="F97" i="8"/>
  <c r="F113" i="8"/>
  <c r="F37" i="8"/>
  <c r="F94" i="8"/>
  <c r="F46" i="8"/>
  <c r="F125" i="8"/>
  <c r="F142" i="8"/>
  <c r="D256" i="8" l="1"/>
  <c r="G197" i="43" s="1"/>
  <c r="G198" i="43" s="1"/>
  <c r="G199" i="43" s="1"/>
  <c r="F169" i="8"/>
  <c r="F153" i="8"/>
  <c r="F137" i="8"/>
  <c r="F121" i="8"/>
  <c r="F105" i="8"/>
  <c r="F89" i="8"/>
  <c r="F73" i="8"/>
  <c r="F41" i="8"/>
  <c r="E256" i="8" l="1"/>
  <c r="O70" i="38" s="1"/>
  <c r="G13" i="33" l="1"/>
  <c r="O90" i="30"/>
  <c r="G51" i="30"/>
  <c r="G88" i="31"/>
  <c r="O31" i="30"/>
  <c r="O13" i="31"/>
  <c r="M13" i="31" s="1"/>
  <c r="O13" i="32"/>
  <c r="G88" i="32"/>
  <c r="O109" i="30"/>
  <c r="G51" i="31"/>
  <c r="O13" i="33"/>
  <c r="O70" i="30"/>
  <c r="G90" i="30"/>
  <c r="G31" i="31"/>
  <c r="O88" i="31"/>
  <c r="O88" i="32"/>
  <c r="G70" i="32"/>
  <c r="G31" i="33"/>
  <c r="O13" i="30"/>
  <c r="G31" i="30"/>
  <c r="G70" i="30"/>
  <c r="O108" i="31"/>
  <c r="G88" i="33"/>
  <c r="O51" i="33"/>
  <c r="G88" i="34"/>
  <c r="G70" i="33"/>
  <c r="O70" i="32"/>
  <c r="O31" i="33"/>
  <c r="G31" i="32"/>
  <c r="G108" i="33"/>
  <c r="O51" i="36"/>
  <c r="G51" i="33"/>
  <c r="O88" i="34"/>
  <c r="G31" i="34"/>
  <c r="O70" i="33"/>
  <c r="O70" i="34"/>
  <c r="O13" i="35"/>
  <c r="O51" i="35"/>
  <c r="O31" i="32"/>
  <c r="G51" i="34"/>
  <c r="O31" i="34"/>
  <c r="G31" i="35"/>
  <c r="G70" i="36"/>
  <c r="O70" i="36"/>
  <c r="G70" i="35"/>
  <c r="O51" i="37"/>
  <c r="O70" i="35"/>
  <c r="G13" i="37"/>
  <c r="G108" i="37"/>
  <c r="G88" i="38"/>
  <c r="G31" i="38"/>
  <c r="E259" i="8"/>
  <c r="O89" i="33" s="1"/>
  <c r="O31" i="38"/>
  <c r="O88" i="38"/>
  <c r="G51" i="38"/>
  <c r="G70" i="37"/>
  <c r="O13" i="37"/>
  <c r="O70" i="37"/>
  <c r="O31" i="36"/>
  <c r="G31" i="36"/>
  <c r="O13" i="36"/>
  <c r="O31" i="35"/>
  <c r="G108" i="38"/>
  <c r="O51" i="38"/>
  <c r="G13" i="38"/>
  <c r="G31" i="37"/>
  <c r="G88" i="37"/>
  <c r="O31" i="37"/>
  <c r="G13" i="36"/>
  <c r="G88" i="36"/>
  <c r="G51" i="36"/>
  <c r="G13" i="35"/>
  <c r="G51" i="35"/>
  <c r="G88" i="35"/>
  <c r="G108" i="34"/>
  <c r="O51" i="34"/>
  <c r="G13" i="34"/>
  <c r="O108" i="32"/>
  <c r="G51" i="32"/>
  <c r="G108" i="32"/>
  <c r="O88" i="33"/>
  <c r="O51" i="32"/>
  <c r="G13" i="32"/>
  <c r="O31" i="31"/>
  <c r="O51" i="30"/>
  <c r="G109" i="30"/>
  <c r="G13" i="31"/>
  <c r="G13" i="30"/>
  <c r="O108" i="38"/>
  <c r="G70" i="38"/>
  <c r="O13" i="38"/>
  <c r="O108" i="37"/>
  <c r="O88" i="37"/>
  <c r="G51" i="37"/>
  <c r="O108" i="36"/>
  <c r="G108" i="36"/>
  <c r="O88" i="36"/>
  <c r="O108" i="35"/>
  <c r="G108" i="35"/>
  <c r="O88" i="35"/>
  <c r="O108" i="34"/>
  <c r="G70" i="34"/>
  <c r="O13" i="34"/>
  <c r="O108" i="33"/>
  <c r="F50" i="8"/>
  <c r="O71" i="35" l="1"/>
  <c r="G52" i="37"/>
  <c r="G14" i="36"/>
  <c r="G15" i="36" s="1"/>
  <c r="G16" i="36" s="1"/>
  <c r="G20" i="36" s="1"/>
  <c r="O52" i="31"/>
  <c r="O52" i="35"/>
  <c r="O32" i="38"/>
  <c r="O109" i="36"/>
  <c r="G89" i="38"/>
  <c r="O32" i="34"/>
  <c r="G32" i="38"/>
  <c r="G109" i="36"/>
  <c r="G71" i="35"/>
  <c r="G89" i="34"/>
  <c r="O89" i="36"/>
  <c r="O89" i="38"/>
  <c r="O52" i="37"/>
  <c r="G32" i="34"/>
  <c r="G52" i="33"/>
  <c r="C269" i="8"/>
  <c r="O32" i="32"/>
  <c r="G52" i="31"/>
  <c r="O52" i="36"/>
  <c r="G14" i="32"/>
  <c r="G71" i="36"/>
  <c r="O14" i="37"/>
  <c r="G89" i="35"/>
  <c r="O71" i="36"/>
  <c r="O14" i="33"/>
  <c r="G32" i="31"/>
  <c r="O14" i="30"/>
  <c r="G52" i="35"/>
  <c r="O89" i="31"/>
  <c r="G71" i="34"/>
  <c r="O52" i="33"/>
  <c r="G89" i="33"/>
  <c r="O71" i="34"/>
  <c r="O14" i="32"/>
  <c r="G110" i="30"/>
  <c r="O52" i="30"/>
  <c r="G14" i="34"/>
  <c r="O109" i="31"/>
  <c r="G89" i="32"/>
  <c r="O71" i="30"/>
  <c r="G89" i="36"/>
  <c r="O32" i="30"/>
  <c r="G32" i="35"/>
  <c r="O89" i="34"/>
  <c r="G52" i="34"/>
  <c r="O32" i="35"/>
  <c r="G71" i="32"/>
  <c r="G14" i="31"/>
  <c r="G109" i="38"/>
  <c r="O109" i="38"/>
  <c r="G71" i="38"/>
  <c r="G32" i="33"/>
  <c r="G89" i="37"/>
  <c r="O71" i="38"/>
  <c r="O32" i="33"/>
  <c r="G109" i="32"/>
  <c r="O110" i="30"/>
  <c r="G32" i="36"/>
  <c r="O32" i="36"/>
  <c r="G14" i="30"/>
  <c r="G32" i="32"/>
  <c r="G71" i="37"/>
  <c r="O71" i="37"/>
  <c r="G32" i="30"/>
  <c r="G109" i="33"/>
  <c r="G52" i="38"/>
  <c r="G14" i="33"/>
  <c r="O109" i="33"/>
  <c r="G52" i="32"/>
  <c r="G52" i="30"/>
  <c r="G71" i="33"/>
  <c r="O109" i="34"/>
  <c r="G32" i="37"/>
  <c r="O89" i="37"/>
  <c r="G52" i="36"/>
  <c r="O32" i="37"/>
  <c r="O52" i="34"/>
  <c r="O32" i="31"/>
  <c r="O91" i="30"/>
  <c r="O14" i="38"/>
  <c r="O14" i="35"/>
  <c r="G109" i="37"/>
  <c r="O89" i="35"/>
  <c r="O52" i="32"/>
  <c r="O109" i="35"/>
  <c r="G14" i="38"/>
  <c r="G15" i="38" s="1"/>
  <c r="G16" i="38" s="1"/>
  <c r="G20" i="38" s="1"/>
  <c r="O14" i="31"/>
  <c r="O52" i="38"/>
  <c r="O89" i="32"/>
  <c r="G109" i="35"/>
  <c r="O71" i="32"/>
  <c r="O109" i="32"/>
  <c r="G109" i="34"/>
  <c r="G14" i="37"/>
  <c r="G15" i="37" s="1"/>
  <c r="G16" i="37" s="1"/>
  <c r="G20" i="37" s="1"/>
  <c r="G71" i="30"/>
  <c r="O14" i="36"/>
  <c r="G89" i="31"/>
  <c r="O71" i="33"/>
  <c r="O109" i="37"/>
  <c r="O14" i="34"/>
  <c r="G14" i="35"/>
  <c r="G15" i="35" s="1"/>
  <c r="G16" i="35" s="1"/>
  <c r="G20" i="35" s="1"/>
  <c r="G17" i="35" s="1"/>
  <c r="G91" i="30"/>
  <c r="E110" i="38"/>
  <c r="M72" i="30"/>
  <c r="M33" i="38"/>
  <c r="E53" i="38"/>
  <c r="M110" i="36"/>
  <c r="M72" i="36"/>
  <c r="M33" i="36"/>
  <c r="M90" i="36"/>
  <c r="M53" i="36"/>
  <c r="E72" i="36"/>
  <c r="E90" i="36"/>
  <c r="E110" i="36"/>
  <c r="M15" i="36"/>
  <c r="E53" i="36"/>
  <c r="E33" i="36"/>
  <c r="M110" i="37"/>
  <c r="E72" i="37"/>
  <c r="M15" i="37"/>
  <c r="E90" i="35"/>
  <c r="M15" i="35"/>
  <c r="M53" i="35"/>
  <c r="M90" i="35"/>
  <c r="E33" i="35"/>
  <c r="E53" i="35"/>
  <c r="E110" i="35"/>
  <c r="M72" i="35"/>
  <c r="E72" i="35"/>
  <c r="M33" i="35"/>
  <c r="M110" i="35"/>
  <c r="O51" i="31"/>
  <c r="O90" i="36" l="1"/>
  <c r="O110" i="36"/>
  <c r="O111" i="36" s="1"/>
  <c r="O115" i="36" s="1"/>
  <c r="G72" i="36"/>
  <c r="G73" i="36" s="1"/>
  <c r="G77" i="36" s="1"/>
  <c r="G74" i="36" s="1"/>
  <c r="O72" i="35"/>
  <c r="O73" i="35" s="1"/>
  <c r="O77" i="35" s="1"/>
  <c r="O74" i="35" s="1"/>
  <c r="G72" i="35"/>
  <c r="G73" i="35" s="1"/>
  <c r="G77" i="35" s="1"/>
  <c r="G74" i="35" s="1"/>
  <c r="G110" i="36"/>
  <c r="G111" i="36" s="1"/>
  <c r="G115" i="36" s="1"/>
  <c r="O33" i="38"/>
  <c r="O34" i="38" s="1"/>
  <c r="O38" i="38" s="1"/>
  <c r="O35" i="38" s="1"/>
  <c r="O53" i="35"/>
  <c r="O54" i="35" s="1"/>
  <c r="O58" i="35" s="1"/>
  <c r="E85" i="40" s="1"/>
  <c r="F85" i="40" s="1"/>
  <c r="G110" i="35"/>
  <c r="G111" i="35" s="1"/>
  <c r="G115" i="35" s="1"/>
  <c r="G72" i="37"/>
  <c r="G73" i="37" s="1"/>
  <c r="G77" i="37" s="1"/>
  <c r="G74" i="37" s="1"/>
  <c r="O15" i="37"/>
  <c r="O16" i="37" s="1"/>
  <c r="O20" i="37" s="1"/>
  <c r="E105" i="40" s="1"/>
  <c r="F105" i="40" s="1"/>
  <c r="O90" i="35"/>
  <c r="O91" i="35" s="1"/>
  <c r="O95" i="35" s="1"/>
  <c r="G53" i="36"/>
  <c r="G54" i="36" s="1"/>
  <c r="G58" i="36" s="1"/>
  <c r="G55" i="36" s="1"/>
  <c r="O33" i="35"/>
  <c r="O34" i="35" s="1"/>
  <c r="O38" i="35" s="1"/>
  <c r="O35" i="35" s="1"/>
  <c r="G33" i="36"/>
  <c r="G34" i="36" s="1"/>
  <c r="G38" i="36" s="1"/>
  <c r="E94" i="40" s="1"/>
  <c r="F94" i="40" s="1"/>
  <c r="G53" i="38"/>
  <c r="G54" i="38" s="1"/>
  <c r="G58" i="38" s="1"/>
  <c r="G55" i="38" s="1"/>
  <c r="O72" i="36"/>
  <c r="O73" i="36" s="1"/>
  <c r="O77" i="36" s="1"/>
  <c r="E99" i="40" s="1"/>
  <c r="F99" i="40" s="1"/>
  <c r="G110" i="38"/>
  <c r="G111" i="38" s="1"/>
  <c r="G115" i="38" s="1"/>
  <c r="O110" i="35"/>
  <c r="O111" i="35" s="1"/>
  <c r="O115" i="35" s="1"/>
  <c r="O15" i="36"/>
  <c r="O16" i="36" s="1"/>
  <c r="O20" i="36" s="1"/>
  <c r="O17" i="36" s="1"/>
  <c r="O72" i="30"/>
  <c r="O73" i="30" s="1"/>
  <c r="O77" i="30" s="1"/>
  <c r="E27" i="40" s="1"/>
  <c r="F27" i="40" s="1"/>
  <c r="O53" i="36"/>
  <c r="O54" i="36" s="1"/>
  <c r="O58" i="36" s="1"/>
  <c r="E97" i="40" s="1"/>
  <c r="F97" i="40" s="1"/>
  <c r="O110" i="37"/>
  <c r="O111" i="37" s="1"/>
  <c r="O115" i="37" s="1"/>
  <c r="C270" i="8"/>
  <c r="C271" i="8" s="1"/>
  <c r="C272" i="8" s="1"/>
  <c r="C2" i="8" s="1"/>
  <c r="C262" i="8"/>
  <c r="E170" i="40" s="1"/>
  <c r="E172" i="40" s="1"/>
  <c r="I270" i="8" s="1"/>
  <c r="G53" i="35"/>
  <c r="G54" i="35" s="1"/>
  <c r="G58" i="35" s="1"/>
  <c r="G55" i="35" s="1"/>
  <c r="O15" i="35"/>
  <c r="G33" i="35"/>
  <c r="G90" i="35"/>
  <c r="G91" i="35" s="1"/>
  <c r="G95" i="35" s="1"/>
  <c r="G90" i="36"/>
  <c r="G91" i="36" s="1"/>
  <c r="G95" i="36" s="1"/>
  <c r="O33" i="36"/>
  <c r="O34" i="36" s="1"/>
  <c r="O38" i="36" s="1"/>
  <c r="E95" i="40" s="1"/>
  <c r="F95" i="40" s="1"/>
  <c r="E80" i="40"/>
  <c r="F80" i="40" s="1"/>
  <c r="E104" i="40"/>
  <c r="F104" i="40" s="1"/>
  <c r="E98" i="40"/>
  <c r="F98" i="40" s="1"/>
  <c r="G17" i="36"/>
  <c r="E92" i="40"/>
  <c r="F92" i="40" s="1"/>
  <c r="E116" i="40"/>
  <c r="F116" i="40" s="1"/>
  <c r="O91" i="36"/>
  <c r="O95" i="36" s="1"/>
  <c r="E72" i="38"/>
  <c r="G72" i="38" s="1"/>
  <c r="G73" i="38" s="1"/>
  <c r="G77" i="38" s="1"/>
  <c r="M15" i="38"/>
  <c r="O15" i="38" s="1"/>
  <c r="O16" i="38" s="1"/>
  <c r="O20" i="38" s="1"/>
  <c r="M110" i="38"/>
  <c r="O110" i="38" s="1"/>
  <c r="E90" i="37"/>
  <c r="G90" i="37" s="1"/>
  <c r="M33" i="37"/>
  <c r="O33" i="37" s="1"/>
  <c r="O34" i="37" s="1"/>
  <c r="O38" i="37" s="1"/>
  <c r="M53" i="38"/>
  <c r="O53" i="38" s="1"/>
  <c r="O54" i="38" s="1"/>
  <c r="O58" i="38" s="1"/>
  <c r="E33" i="38"/>
  <c r="G33" i="38" s="1"/>
  <c r="G34" i="38" s="1"/>
  <c r="G38" i="38" s="1"/>
  <c r="M72" i="38"/>
  <c r="O72" i="38" s="1"/>
  <c r="O73" i="38" s="1"/>
  <c r="O77" i="38" s="1"/>
  <c r="G17" i="37"/>
  <c r="M53" i="37"/>
  <c r="O53" i="37" s="1"/>
  <c r="O54" i="37" s="1"/>
  <c r="O58" i="37" s="1"/>
  <c r="M90" i="38"/>
  <c r="O90" i="38" s="1"/>
  <c r="E90" i="38"/>
  <c r="G90" i="38" s="1"/>
  <c r="E33" i="30"/>
  <c r="G33" i="30" s="1"/>
  <c r="G34" i="30" s="1"/>
  <c r="G38" i="30" s="1"/>
  <c r="E53" i="37"/>
  <c r="G53" i="37" s="1"/>
  <c r="G54" i="37" s="1"/>
  <c r="G58" i="37" s="1"/>
  <c r="M72" i="37"/>
  <c r="O72" i="37" s="1"/>
  <c r="O73" i="37" s="1"/>
  <c r="O77" i="37" s="1"/>
  <c r="E111" i="30"/>
  <c r="G111" i="30" s="1"/>
  <c r="G112" i="30" s="1"/>
  <c r="G116" i="30" s="1"/>
  <c r="M92" i="30"/>
  <c r="O92" i="30" s="1"/>
  <c r="O93" i="30" s="1"/>
  <c r="O97" i="30" s="1"/>
  <c r="E15" i="33"/>
  <c r="E53" i="33" s="1"/>
  <c r="G53" i="33" s="1"/>
  <c r="G54" i="33" s="1"/>
  <c r="G58" i="33" s="1"/>
  <c r="M15" i="30"/>
  <c r="O15" i="30" s="1"/>
  <c r="O16" i="30" s="1"/>
  <c r="O20" i="30" s="1"/>
  <c r="E15" i="31"/>
  <c r="M72" i="31" s="1"/>
  <c r="M33" i="30"/>
  <c r="O33" i="30" s="1"/>
  <c r="O34" i="30" s="1"/>
  <c r="O38" i="30" s="1"/>
  <c r="E33" i="37"/>
  <c r="G33" i="37" s="1"/>
  <c r="G34" i="37" s="1"/>
  <c r="G38" i="37" s="1"/>
  <c r="M90" i="37"/>
  <c r="O90" i="37" s="1"/>
  <c r="E110" i="37"/>
  <c r="G110" i="37" s="1"/>
  <c r="G15" i="30"/>
  <c r="G16" i="30" s="1"/>
  <c r="G20" i="30" s="1"/>
  <c r="E15" i="34"/>
  <c r="E53" i="34" s="1"/>
  <c r="G53" i="34" s="1"/>
  <c r="G54" i="34" s="1"/>
  <c r="G58" i="34" s="1"/>
  <c r="E53" i="30"/>
  <c r="G53" i="30" s="1"/>
  <c r="G54" i="30" s="1"/>
  <c r="G58" i="30" s="1"/>
  <c r="M111" i="30"/>
  <c r="O111" i="30" s="1"/>
  <c r="O112" i="30" s="1"/>
  <c r="O116" i="30" s="1"/>
  <c r="E72" i="30"/>
  <c r="G72" i="30" s="1"/>
  <c r="G73" i="30" s="1"/>
  <c r="G77" i="30" s="1"/>
  <c r="E15" i="32"/>
  <c r="E110" i="32" s="1"/>
  <c r="G110" i="32" s="1"/>
  <c r="E92" i="30"/>
  <c r="G92" i="30" s="1"/>
  <c r="G93" i="30" s="1"/>
  <c r="G97" i="30" s="1"/>
  <c r="M53" i="30"/>
  <c r="O53" i="30" s="1"/>
  <c r="O54" i="30" s="1"/>
  <c r="O58" i="30" s="1"/>
  <c r="G17" i="38"/>
  <c r="F51" i="8"/>
  <c r="F55" i="8"/>
  <c r="E86" i="40" l="1"/>
  <c r="F86" i="40" s="1"/>
  <c r="E87" i="40"/>
  <c r="F87" i="40" s="1"/>
  <c r="O17" i="37"/>
  <c r="O55" i="35"/>
  <c r="O55" i="36"/>
  <c r="E96" i="40"/>
  <c r="F96" i="40" s="1"/>
  <c r="E119" i="40"/>
  <c r="F119" i="40" s="1"/>
  <c r="O74" i="30"/>
  <c r="E110" i="40"/>
  <c r="F110" i="40" s="1"/>
  <c r="E84" i="40"/>
  <c r="F84" i="40" s="1"/>
  <c r="E93" i="40"/>
  <c r="F93" i="40" s="1"/>
  <c r="E120" i="40"/>
  <c r="F120" i="40" s="1"/>
  <c r="E83" i="40"/>
  <c r="F83" i="40" s="1"/>
  <c r="G35" i="36"/>
  <c r="O74" i="36"/>
  <c r="E171" i="40"/>
  <c r="O35" i="36"/>
  <c r="E28" i="40"/>
  <c r="F28" i="40" s="1"/>
  <c r="E106" i="40"/>
  <c r="F106" i="40" s="1"/>
  <c r="E60" i="40"/>
  <c r="F60" i="40" s="1"/>
  <c r="E118" i="40"/>
  <c r="E72" i="40"/>
  <c r="F72" i="40" s="1"/>
  <c r="E23" i="40"/>
  <c r="F23" i="40" s="1"/>
  <c r="E121" i="40"/>
  <c r="F121" i="40" s="1"/>
  <c r="E25" i="40"/>
  <c r="F25" i="40" s="1"/>
  <c r="E21" i="40"/>
  <c r="F21" i="40" s="1"/>
  <c r="E123" i="40"/>
  <c r="F123" i="40" s="1"/>
  <c r="O112" i="36"/>
  <c r="E103" i="40"/>
  <c r="F103" i="40" s="1"/>
  <c r="G112" i="36"/>
  <c r="E102" i="40"/>
  <c r="F102" i="40" s="1"/>
  <c r="E26" i="40"/>
  <c r="F26" i="40" s="1"/>
  <c r="E20" i="40"/>
  <c r="F20" i="40" s="1"/>
  <c r="E30" i="40"/>
  <c r="F30" i="40" s="1"/>
  <c r="E107" i="40"/>
  <c r="F107" i="40" s="1"/>
  <c r="E122" i="40"/>
  <c r="F122" i="40" s="1"/>
  <c r="G112" i="35"/>
  <c r="E90" i="40"/>
  <c r="F90" i="40" s="1"/>
  <c r="O112" i="37"/>
  <c r="E115" i="40"/>
  <c r="F115" i="40" s="1"/>
  <c r="O94" i="30"/>
  <c r="E29" i="40"/>
  <c r="F29" i="40" s="1"/>
  <c r="O17" i="38"/>
  <c r="E117" i="40"/>
  <c r="F117" i="40" s="1"/>
  <c r="O113" i="30"/>
  <c r="E31" i="40"/>
  <c r="F31" i="40" s="1"/>
  <c r="O74" i="37"/>
  <c r="E111" i="40"/>
  <c r="F111" i="40" s="1"/>
  <c r="O112" i="35"/>
  <c r="E91" i="40"/>
  <c r="F91" i="40" s="1"/>
  <c r="G92" i="36"/>
  <c r="E100" i="40"/>
  <c r="E22" i="40"/>
  <c r="F22" i="40" s="1"/>
  <c r="E109" i="40"/>
  <c r="F109" i="40" s="1"/>
  <c r="O92" i="36"/>
  <c r="E101" i="40"/>
  <c r="E24" i="40"/>
  <c r="F24" i="40" s="1"/>
  <c r="E108" i="40"/>
  <c r="F108" i="40" s="1"/>
  <c r="G112" i="38"/>
  <c r="E126" i="40"/>
  <c r="F126" i="40" s="1"/>
  <c r="O92" i="35"/>
  <c r="E89" i="40"/>
  <c r="G92" i="35"/>
  <c r="E88" i="40"/>
  <c r="M53" i="33"/>
  <c r="O53" i="33" s="1"/>
  <c r="O54" i="33" s="1"/>
  <c r="O58" i="33" s="1"/>
  <c r="G111" i="37"/>
  <c r="G115" i="37" s="1"/>
  <c r="O111" i="38"/>
  <c r="O115" i="38" s="1"/>
  <c r="G111" i="32"/>
  <c r="G115" i="32" s="1"/>
  <c r="O91" i="37"/>
  <c r="O95" i="37" s="1"/>
  <c r="O91" i="38"/>
  <c r="O95" i="38" s="1"/>
  <c r="G91" i="38"/>
  <c r="G95" i="38" s="1"/>
  <c r="G91" i="37"/>
  <c r="G95" i="37" s="1"/>
  <c r="E90" i="33"/>
  <c r="G90" i="33" s="1"/>
  <c r="M90" i="33"/>
  <c r="O90" i="33" s="1"/>
  <c r="O55" i="37"/>
  <c r="E110" i="33"/>
  <c r="G110" i="33" s="1"/>
  <c r="M15" i="33"/>
  <c r="O15" i="33" s="1"/>
  <c r="O16" i="33" s="1"/>
  <c r="O20" i="33" s="1"/>
  <c r="E72" i="33"/>
  <c r="G72" i="33" s="1"/>
  <c r="G73" i="33" s="1"/>
  <c r="G77" i="33" s="1"/>
  <c r="M90" i="32"/>
  <c r="O90" i="32" s="1"/>
  <c r="E110" i="31"/>
  <c r="G55" i="37"/>
  <c r="O74" i="38"/>
  <c r="G74" i="38"/>
  <c r="G35" i="38"/>
  <c r="F118" i="40"/>
  <c r="E72" i="31"/>
  <c r="O35" i="37"/>
  <c r="O55" i="38"/>
  <c r="M15" i="32"/>
  <c r="O15" i="32" s="1"/>
  <c r="O16" i="32" s="1"/>
  <c r="O20" i="32" s="1"/>
  <c r="M15" i="31"/>
  <c r="O15" i="31" s="1"/>
  <c r="O16" i="31" s="1"/>
  <c r="O20" i="31" s="1"/>
  <c r="E33" i="33"/>
  <c r="G33" i="33" s="1"/>
  <c r="G34" i="33" s="1"/>
  <c r="G38" i="33" s="1"/>
  <c r="M110" i="33"/>
  <c r="O110" i="33" s="1"/>
  <c r="M72" i="33"/>
  <c r="O72" i="33" s="1"/>
  <c r="O73" i="33" s="1"/>
  <c r="O77" i="33" s="1"/>
  <c r="M72" i="32"/>
  <c r="O72" i="32" s="1"/>
  <c r="O73" i="32" s="1"/>
  <c r="O77" i="32" s="1"/>
  <c r="E53" i="31"/>
  <c r="G53" i="31" s="1"/>
  <c r="G54" i="31" s="1"/>
  <c r="G58" i="31" s="1"/>
  <c r="E90" i="31"/>
  <c r="G90" i="31" s="1"/>
  <c r="G113" i="30"/>
  <c r="M33" i="31"/>
  <c r="O33" i="31" s="1"/>
  <c r="O34" i="31" s="1"/>
  <c r="O38" i="31" s="1"/>
  <c r="G15" i="33"/>
  <c r="G16" i="33" s="1"/>
  <c r="G20" i="33" s="1"/>
  <c r="M33" i="33"/>
  <c r="O33" i="33" s="1"/>
  <c r="O34" i="33" s="1"/>
  <c r="O38" i="33" s="1"/>
  <c r="E53" i="32"/>
  <c r="G53" i="32" s="1"/>
  <c r="G54" i="32" s="1"/>
  <c r="G58" i="32" s="1"/>
  <c r="G15" i="31"/>
  <c r="G16" i="31" s="1"/>
  <c r="G20" i="31" s="1"/>
  <c r="M110" i="31"/>
  <c r="O110" i="31" s="1"/>
  <c r="M90" i="31"/>
  <c r="O90" i="31" s="1"/>
  <c r="O91" i="31" s="1"/>
  <c r="O95" i="31" s="1"/>
  <c r="G55" i="30"/>
  <c r="G35" i="30"/>
  <c r="M33" i="34"/>
  <c r="O33" i="34" s="1"/>
  <c r="O34" i="34" s="1"/>
  <c r="O38" i="34" s="1"/>
  <c r="G17" i="30"/>
  <c r="M90" i="34"/>
  <c r="O90" i="34" s="1"/>
  <c r="O35" i="30"/>
  <c r="O17" i="30"/>
  <c r="E90" i="32"/>
  <c r="G90" i="32" s="1"/>
  <c r="E72" i="32"/>
  <c r="G72" i="32" s="1"/>
  <c r="G73" i="32" s="1"/>
  <c r="G77" i="32" s="1"/>
  <c r="E33" i="31"/>
  <c r="G33" i="31" s="1"/>
  <c r="G34" i="31" s="1"/>
  <c r="G38" i="31" s="1"/>
  <c r="M53" i="31"/>
  <c r="O53" i="31" s="1"/>
  <c r="O54" i="31" s="1"/>
  <c r="O58" i="31" s="1"/>
  <c r="G74" i="30"/>
  <c r="E90" i="34"/>
  <c r="G90" i="34" s="1"/>
  <c r="G35" i="37"/>
  <c r="G15" i="34"/>
  <c r="G16" i="34" s="1"/>
  <c r="G20" i="34" s="1"/>
  <c r="M110" i="34"/>
  <c r="O110" i="34" s="1"/>
  <c r="M72" i="34"/>
  <c r="O72" i="34" s="1"/>
  <c r="O73" i="34" s="1"/>
  <c r="O77" i="34" s="1"/>
  <c r="G15" i="32"/>
  <c r="G16" i="32" s="1"/>
  <c r="G20" i="32" s="1"/>
  <c r="M110" i="32"/>
  <c r="O110" i="32" s="1"/>
  <c r="E33" i="32"/>
  <c r="G33" i="32" s="1"/>
  <c r="G34" i="32" s="1"/>
  <c r="G38" i="32" s="1"/>
  <c r="E72" i="34"/>
  <c r="G72" i="34" s="1"/>
  <c r="G73" i="34" s="1"/>
  <c r="G77" i="34" s="1"/>
  <c r="E33" i="34"/>
  <c r="G33" i="34" s="1"/>
  <c r="G34" i="34" s="1"/>
  <c r="G38" i="34" s="1"/>
  <c r="M15" i="34"/>
  <c r="O15" i="34" s="1"/>
  <c r="O16" i="34" s="1"/>
  <c r="O20" i="34" s="1"/>
  <c r="O55" i="30"/>
  <c r="M53" i="32"/>
  <c r="O53" i="32" s="1"/>
  <c r="O54" i="32" s="1"/>
  <c r="O58" i="32" s="1"/>
  <c r="M33" i="32"/>
  <c r="O33" i="32" s="1"/>
  <c r="O34" i="32" s="1"/>
  <c r="O38" i="32" s="1"/>
  <c r="E110" i="34"/>
  <c r="G110" i="34" s="1"/>
  <c r="M53" i="34"/>
  <c r="O53" i="34" s="1"/>
  <c r="O54" i="34" s="1"/>
  <c r="O58" i="34" s="1"/>
  <c r="G94" i="30"/>
  <c r="G55" i="33"/>
  <c r="G55" i="34"/>
  <c r="G70" i="31"/>
  <c r="G71" i="31"/>
  <c r="G108" i="31"/>
  <c r="G109" i="31"/>
  <c r="G57" i="8"/>
  <c r="E32" i="40" l="1"/>
  <c r="F32" i="40" s="1"/>
  <c r="E41" i="40"/>
  <c r="G74" i="32"/>
  <c r="E50" i="40"/>
  <c r="F50" i="40" s="1"/>
  <c r="G35" i="33"/>
  <c r="E58" i="40"/>
  <c r="F58" i="40" s="1"/>
  <c r="O55" i="33"/>
  <c r="E61" i="40"/>
  <c r="F61" i="40" s="1"/>
  <c r="E47" i="40"/>
  <c r="F47" i="40" s="1"/>
  <c r="E69" i="40"/>
  <c r="F69" i="40" s="1"/>
  <c r="E68" i="40"/>
  <c r="F68" i="40" s="1"/>
  <c r="E35" i="40"/>
  <c r="F35" i="40" s="1"/>
  <c r="O74" i="32"/>
  <c r="E51" i="40"/>
  <c r="F51" i="40" s="1"/>
  <c r="O17" i="31"/>
  <c r="E33" i="40"/>
  <c r="F33" i="40" s="1"/>
  <c r="O17" i="33"/>
  <c r="E57" i="40"/>
  <c r="F57" i="40" s="1"/>
  <c r="G92" i="37"/>
  <c r="E112" i="40"/>
  <c r="G112" i="32"/>
  <c r="E54" i="40"/>
  <c r="F54" i="40" s="1"/>
  <c r="G35" i="32"/>
  <c r="E46" i="40"/>
  <c r="F46" i="40" s="1"/>
  <c r="E36" i="40"/>
  <c r="F36" i="40" s="1"/>
  <c r="O92" i="37"/>
  <c r="E113" i="40"/>
  <c r="O55" i="32"/>
  <c r="E49" i="40"/>
  <c r="F49" i="40" s="1"/>
  <c r="G17" i="32"/>
  <c r="E44" i="40"/>
  <c r="G55" i="32"/>
  <c r="E48" i="40"/>
  <c r="F48" i="40" s="1"/>
  <c r="O74" i="33"/>
  <c r="E63" i="40"/>
  <c r="F63" i="40" s="1"/>
  <c r="E45" i="40"/>
  <c r="F45" i="40" s="1"/>
  <c r="G92" i="38"/>
  <c r="E124" i="40"/>
  <c r="O112" i="38"/>
  <c r="E127" i="40"/>
  <c r="F127" i="40" s="1"/>
  <c r="E71" i="40"/>
  <c r="F71" i="40" s="1"/>
  <c r="G17" i="33"/>
  <c r="E56" i="40"/>
  <c r="F56" i="40" s="1"/>
  <c r="G74" i="33"/>
  <c r="E62" i="40"/>
  <c r="F62" i="40" s="1"/>
  <c r="E73" i="40"/>
  <c r="F73" i="40" s="1"/>
  <c r="E70" i="40"/>
  <c r="F70" i="40" s="1"/>
  <c r="E37" i="40"/>
  <c r="F37" i="40" s="1"/>
  <c r="G74" i="34"/>
  <c r="E74" i="40"/>
  <c r="F74" i="40" s="1"/>
  <c r="E75" i="40"/>
  <c r="F75" i="40" s="1"/>
  <c r="E34" i="40"/>
  <c r="F34" i="40" s="1"/>
  <c r="O35" i="33"/>
  <c r="E59" i="40"/>
  <c r="F59" i="40" s="1"/>
  <c r="O92" i="38"/>
  <c r="E125" i="40"/>
  <c r="G112" i="37"/>
  <c r="E114" i="40"/>
  <c r="F114" i="40" s="1"/>
  <c r="F101" i="40"/>
  <c r="F89" i="40"/>
  <c r="F88" i="40"/>
  <c r="F100" i="40"/>
  <c r="G55" i="31"/>
  <c r="G91" i="32"/>
  <c r="G95" i="32" s="1"/>
  <c r="G91" i="33"/>
  <c r="G95" i="33" s="1"/>
  <c r="O111" i="34"/>
  <c r="O115" i="34" s="1"/>
  <c r="O111" i="31"/>
  <c r="O115" i="31" s="1"/>
  <c r="O91" i="32"/>
  <c r="O95" i="32" s="1"/>
  <c r="G111" i="34"/>
  <c r="G115" i="34" s="1"/>
  <c r="O111" i="33"/>
  <c r="O115" i="33" s="1"/>
  <c r="G111" i="33"/>
  <c r="G115" i="33" s="1"/>
  <c r="O111" i="32"/>
  <c r="O115" i="32" s="1"/>
  <c r="G91" i="34"/>
  <c r="G95" i="34" s="1"/>
  <c r="O91" i="34"/>
  <c r="O95" i="34" s="1"/>
  <c r="O91" i="33"/>
  <c r="O95" i="33" s="1"/>
  <c r="O17" i="32"/>
  <c r="O35" i="34"/>
  <c r="O35" i="31"/>
  <c r="O55" i="31"/>
  <c r="G17" i="31"/>
  <c r="F52" i="8" s="1"/>
  <c r="O17" i="34"/>
  <c r="G35" i="34"/>
  <c r="O35" i="32"/>
  <c r="G17" i="34"/>
  <c r="G35" i="31"/>
  <c r="O74" i="34"/>
  <c r="O55" i="34"/>
  <c r="G110" i="31"/>
  <c r="G111" i="31" s="1"/>
  <c r="G115" i="31" s="1"/>
  <c r="G72" i="31"/>
  <c r="G73" i="31" s="1"/>
  <c r="G77" i="31" s="1"/>
  <c r="O92" i="31"/>
  <c r="F44" i="40" l="1"/>
  <c r="H85" i="43"/>
  <c r="H36" i="43" s="1"/>
  <c r="E53" i="40"/>
  <c r="E38" i="40"/>
  <c r="E42" i="40"/>
  <c r="G92" i="34"/>
  <c r="E76" i="40"/>
  <c r="G112" i="34"/>
  <c r="E78" i="40"/>
  <c r="F78" i="40" s="1"/>
  <c r="O112" i="34"/>
  <c r="E79" i="40"/>
  <c r="F79" i="40" s="1"/>
  <c r="O112" i="32"/>
  <c r="E55" i="40"/>
  <c r="F55" i="40" s="1"/>
  <c r="G92" i="33"/>
  <c r="E64" i="40"/>
  <c r="O92" i="33"/>
  <c r="E65" i="40"/>
  <c r="G112" i="33"/>
  <c r="E66" i="40"/>
  <c r="F66" i="40" s="1"/>
  <c r="G92" i="32"/>
  <c r="E52" i="40"/>
  <c r="O92" i="34"/>
  <c r="E77" i="40"/>
  <c r="O112" i="33"/>
  <c r="E67" i="40"/>
  <c r="F67" i="40" s="1"/>
  <c r="O112" i="31"/>
  <c r="E43" i="40"/>
  <c r="F43" i="40" s="1"/>
  <c r="F124" i="40"/>
  <c r="F41" i="40"/>
  <c r="F125" i="40"/>
  <c r="F112" i="40"/>
  <c r="F113" i="40"/>
  <c r="O92" i="32"/>
  <c r="O70" i="31"/>
  <c r="O71" i="31"/>
  <c r="F57" i="8"/>
  <c r="G74" i="31"/>
  <c r="G112" i="31"/>
  <c r="G91" i="31"/>
  <c r="F64" i="40" l="1"/>
  <c r="F77" i="40"/>
  <c r="F52" i="40"/>
  <c r="F42" i="40"/>
  <c r="F53" i="40"/>
  <c r="F76" i="40"/>
  <c r="F65" i="40"/>
  <c r="G95" i="31"/>
  <c r="O72" i="31"/>
  <c r="O73" i="31" s="1"/>
  <c r="O77" i="31" s="1"/>
  <c r="M70" i="31"/>
  <c r="F38" i="40"/>
  <c r="G34" i="35"/>
  <c r="G38" i="35" s="1"/>
  <c r="O16" i="35"/>
  <c r="O20" i="35" s="1"/>
  <c r="E81" i="40" l="1"/>
  <c r="E39" i="40"/>
  <c r="F39" i="40" s="1"/>
  <c r="E82" i="40"/>
  <c r="F82" i="40" s="1"/>
  <c r="G92" i="31"/>
  <c r="E40" i="40"/>
  <c r="F40" i="40" s="1"/>
  <c r="O74" i="31"/>
  <c r="O17" i="35"/>
  <c r="G35" i="35"/>
  <c r="F81" i="40" l="1"/>
  <c r="F128" i="40" s="1"/>
  <c r="I269" i="8" s="1"/>
  <c r="I272" i="8" s="1"/>
  <c r="E2" i="8" s="1"/>
  <c r="H2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roberto apaza gutierrez</author>
    <author>GRUPOREGIONAL</author>
  </authors>
  <commentList>
    <comment ref="H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=</t>
        </r>
      </text>
    </comment>
    <comment ref="C9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H9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H11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C13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C15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"CONTADO" CUANDO EL CLIENTE PAGUE AL MOMENTO DE LA ENTREGA  O "CREDITO" CUANDO PAGUE DESPUES DE LA ENTRGA DEL PRODUCTO </t>
        </r>
      </text>
    </comment>
    <comment ref="C17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"CONTADO" CUANDO EL CLIENTE PAGUE AL MOMENTO DE LA ENTREGA  O "CREDITO" CUANDO PAGUE DESPUES DE LA ENTRGA DEL PRODUCTO </t>
        </r>
      </text>
    </comment>
    <comment ref="H17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189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D189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UNIDAD DE MEDIDA EN LA QUE SE PUEDA MEDIR EL MATERIA</t>
        </r>
        <r>
          <rPr>
            <sz val="9"/>
            <color indexed="81"/>
            <rFont val="Tahoma"/>
            <family val="2"/>
          </rPr>
          <t xml:space="preserve">L </t>
        </r>
      </text>
    </comment>
    <comment ref="E189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G189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189" authorId="1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211" authorId="1" shapeId="0" xr:uid="{00000000-0006-0000-0000-00000E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211" authorId="1" shapeId="0" xr:uid="{00000000-0006-0000-0000-00000F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211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211" authorId="1" shapeId="0" xr:uid="{00000000-0006-0000-0000-000011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PRECIO UNITARIO QUE CUESTA CADA SERVICIO </t>
        </r>
      </text>
    </comment>
    <comment ref="H211" authorId="1" shapeId="0" xr:uid="{00000000-0006-0000-0000-00001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B234" authorId="1" shapeId="0" xr:uid="{00000000-0006-0000-0000-000013000000}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G234" authorId="1" shapeId="0" xr:uid="{00000000-0006-0000-0000-00001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41" authorId="1" shapeId="0" xr:uid="{00000000-0006-0000-0000-000015000000}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G241" authorId="1" shapeId="0" xr:uid="{00000000-0006-0000-0000-00001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48" authorId="1" shapeId="0" xr:uid="{00000000-0006-0000-0000-000017000000}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H248" authorId="1" shapeId="0" xr:uid="{00000000-0006-0000-0000-000018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C262" authorId="1" shapeId="0" xr:uid="{00000000-0006-0000-0000-000019000000}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sharedStrings.xml><?xml version="1.0" encoding="utf-8"?>
<sst xmlns="http://schemas.openxmlformats.org/spreadsheetml/2006/main" count="3695" uniqueCount="1582">
  <si>
    <t>CLIENTE</t>
  </si>
  <si>
    <t>MATERIALES</t>
  </si>
  <si>
    <t>CANTIDAD</t>
  </si>
  <si>
    <t>ITEM</t>
  </si>
  <si>
    <t xml:space="preserve">CANTIDAD </t>
  </si>
  <si>
    <t>TOTAL</t>
  </si>
  <si>
    <t>UNIDAD MEDIDA</t>
  </si>
  <si>
    <t>COSTO UNITARIO</t>
  </si>
  <si>
    <t>TOTAL PRESUPUESTADO</t>
  </si>
  <si>
    <t>SERVICIOS CONTRATADOS</t>
  </si>
  <si>
    <t>MANO DE OBRA DIRECTA</t>
  </si>
  <si>
    <t>TIEMPO PROGRAMADO</t>
  </si>
  <si>
    <t>CANTIDAD ESTIMADA</t>
  </si>
  <si>
    <t>DIAS</t>
  </si>
  <si>
    <t>FACTURA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</si>
  <si>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</si>
  <si>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</si>
  <si>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</si>
  <si>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</si>
  <si>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</si>
  <si>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</si>
  <si>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</si>
  <si>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</si>
  <si>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</si>
  <si>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</si>
  <si>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</si>
  <si>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</si>
  <si>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</si>
  <si>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</si>
  <si>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</si>
  <si>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</si>
  <si>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TASA FINANCIERA</t>
  </si>
  <si>
    <t>ARCOR</t>
  </si>
  <si>
    <t>HRS</t>
  </si>
  <si>
    <t>01</t>
  </si>
  <si>
    <t>TIGO</t>
  </si>
  <si>
    <t>02</t>
  </si>
  <si>
    <t>UNILEVER</t>
  </si>
  <si>
    <t>03</t>
  </si>
  <si>
    <t>ESIKA</t>
  </si>
  <si>
    <t>04</t>
  </si>
  <si>
    <t>KIMBERLY</t>
  </si>
  <si>
    <t>05</t>
  </si>
  <si>
    <t>ROBERTO LICHTENFELD</t>
  </si>
  <si>
    <t>06</t>
  </si>
  <si>
    <t>TUA CASA</t>
  </si>
  <si>
    <t>07</t>
  </si>
  <si>
    <t>GRUPO REGIONAL S.R.L.</t>
  </si>
  <si>
    <t>08</t>
  </si>
  <si>
    <t>CGM</t>
  </si>
  <si>
    <t>09</t>
  </si>
  <si>
    <t>BV FISCALIZADORA</t>
  </si>
  <si>
    <t>10</t>
  </si>
  <si>
    <t>E-FECTIVO ESPM S.A.</t>
  </si>
  <si>
    <t>11</t>
  </si>
  <si>
    <t>FEDERACION BOLIVIANA DE GOLF</t>
  </si>
  <si>
    <t>12</t>
  </si>
  <si>
    <t>BASE POPULAR</t>
  </si>
  <si>
    <t>13</t>
  </si>
  <si>
    <t>CBN</t>
  </si>
  <si>
    <t>14</t>
  </si>
  <si>
    <t>IMCRUZ</t>
  </si>
  <si>
    <t>15</t>
  </si>
  <si>
    <t>MARIO KISEN</t>
  </si>
  <si>
    <t>16</t>
  </si>
  <si>
    <t>SOFIA LTDA.</t>
  </si>
  <si>
    <t>17</t>
  </si>
  <si>
    <t>ALICORP</t>
  </si>
  <si>
    <t>18</t>
  </si>
  <si>
    <t>D&amp;M</t>
  </si>
  <si>
    <t>19</t>
  </si>
  <si>
    <t>COMPANEX</t>
  </si>
  <si>
    <t>20</t>
  </si>
  <si>
    <t>COMERCIAL IPORRE</t>
  </si>
  <si>
    <t>21</t>
  </si>
  <si>
    <t>LUXOR AUTOMOTORS</t>
  </si>
  <si>
    <t>22</t>
  </si>
  <si>
    <t>ELIZABETH ZURCO</t>
  </si>
  <si>
    <t>23</t>
  </si>
  <si>
    <t>3 M</t>
  </si>
  <si>
    <t>24</t>
  </si>
  <si>
    <t>LA HERRADURA</t>
  </si>
  <si>
    <t>25</t>
  </si>
  <si>
    <t>RTC PERU</t>
  </si>
  <si>
    <t>26</t>
  </si>
  <si>
    <t>PUBLICARTE</t>
  </si>
  <si>
    <t>27</t>
  </si>
  <si>
    <t>SACI</t>
  </si>
  <si>
    <t>28</t>
  </si>
  <si>
    <t>MADISA</t>
  </si>
  <si>
    <t>29</t>
  </si>
  <si>
    <t>GUIDO SALVATIERRA ZABALA</t>
  </si>
  <si>
    <t>30</t>
  </si>
  <si>
    <t>CORPORACION HOTELERA TEKA S.A.</t>
  </si>
  <si>
    <t>31</t>
  </si>
  <si>
    <t>AUTOS CHERY</t>
  </si>
  <si>
    <t>32</t>
  </si>
  <si>
    <t>ASTRIX</t>
  </si>
  <si>
    <t>33</t>
  </si>
  <si>
    <t>NESTLE</t>
  </si>
  <si>
    <t>34</t>
  </si>
  <si>
    <t>IASA</t>
  </si>
  <si>
    <t>35</t>
  </si>
  <si>
    <t>FAGAL</t>
  </si>
  <si>
    <t>36</t>
  </si>
  <si>
    <t>FONDO DE LA COMUNIDAD</t>
  </si>
  <si>
    <t>37</t>
  </si>
  <si>
    <t>BATA</t>
  </si>
  <si>
    <t>38</t>
  </si>
  <si>
    <t>39</t>
  </si>
  <si>
    <t>CONSTRUCTORA COMERCIAL ARAUCARIA SRL</t>
  </si>
  <si>
    <t>40</t>
  </si>
  <si>
    <t>PROYECTOS INMOBILIARIOS EL DORAL S.A.</t>
  </si>
  <si>
    <t>41</t>
  </si>
  <si>
    <t>CIMAL</t>
  </si>
  <si>
    <t>42</t>
  </si>
  <si>
    <t>43</t>
  </si>
  <si>
    <t>FACTORY</t>
  </si>
  <si>
    <t>44</t>
  </si>
  <si>
    <t>QUALITAT Y CAVO</t>
  </si>
  <si>
    <t>45</t>
  </si>
  <si>
    <t>BELLCOS S.A.</t>
  </si>
  <si>
    <t>46</t>
  </si>
  <si>
    <t>FANABOL S.R.L</t>
  </si>
  <si>
    <t>47</t>
  </si>
  <si>
    <t>RELEVANT COMMS LTDA.</t>
  </si>
  <si>
    <t>48</t>
  </si>
  <si>
    <t>BNB</t>
  </si>
  <si>
    <t>49</t>
  </si>
  <si>
    <t>RIVERO</t>
  </si>
  <si>
    <t>50</t>
  </si>
  <si>
    <t>OLIVA</t>
  </si>
  <si>
    <t>51</t>
  </si>
  <si>
    <t>BUGGY</t>
  </si>
  <si>
    <t>52</t>
  </si>
  <si>
    <t>GALINDO</t>
  </si>
  <si>
    <t>53</t>
  </si>
  <si>
    <t>EL CORTIJO</t>
  </si>
  <si>
    <t>54</t>
  </si>
  <si>
    <t>ROJAS</t>
  </si>
  <si>
    <t>55</t>
  </si>
  <si>
    <t>TROPICAL TOURS LTDA.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</si>
  <si>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</si>
  <si>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</si>
  <si>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</si>
  <si>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</si>
  <si>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</si>
  <si>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</si>
  <si>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</si>
  <si>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</si>
  <si>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</si>
  <si>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</si>
  <si>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</si>
  <si>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</si>
  <si>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</si>
  <si>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</si>
  <si>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</si>
  <si>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</si>
  <si>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</si>
  <si>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</si>
  <si>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</si>
  <si>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</si>
  <si>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</si>
  <si>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</si>
  <si>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</si>
  <si>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</si>
  <si>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</si>
  <si>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</si>
  <si>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</si>
  <si>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</si>
  <si>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</si>
  <si>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</si>
  <si>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</si>
  <si>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</si>
  <si>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</si>
  <si>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</si>
  <si>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</si>
  <si>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</si>
  <si>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</si>
  <si>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</si>
  <si>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</si>
  <si>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</si>
  <si>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</si>
  <si>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</si>
  <si>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</si>
  <si>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</si>
  <si>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</si>
  <si>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XXX</t>
  </si>
  <si>
    <t>PRODUCTOS PUBLICITARIOS PARA CLIENTES</t>
  </si>
  <si>
    <t>EQUIPOS PARA VENTA A CLIENTES</t>
  </si>
  <si>
    <t>EVENTOS</t>
  </si>
  <si>
    <t>FERIAS Y EXPOSICIONES</t>
  </si>
  <si>
    <t>AUSPICIOS MENORES</t>
  </si>
  <si>
    <t>SERVICIO DE LOGISTICA Y ARMADO DE IMAGEN</t>
  </si>
  <si>
    <t>EVENTOS CINE POP</t>
  </si>
  <si>
    <t>SERVICIOS DE DISEÑO</t>
  </si>
  <si>
    <t>SERVICIOS DE PUBLICIDAD</t>
  </si>
  <si>
    <t>SERVICIO DE ALQUILER</t>
  </si>
  <si>
    <t>SERVICIOS VARIOS</t>
  </si>
  <si>
    <t xml:space="preserve">BTL IMPULSADORAS </t>
  </si>
  <si>
    <t xml:space="preserve">BTL REGISTRADORAS </t>
  </si>
  <si>
    <t>ADMINISTRACIÓN</t>
  </si>
  <si>
    <t>TERCERIZACION PERSONAL</t>
  </si>
  <si>
    <t>IMPORTACION PRODUCTOS</t>
  </si>
  <si>
    <t>VENTA DE COMIDA</t>
  </si>
  <si>
    <t>SERVICIO DE IMPRESIÓN</t>
  </si>
  <si>
    <t>001</t>
  </si>
  <si>
    <t>Ventura Mall</t>
  </si>
  <si>
    <t>002</t>
  </si>
  <si>
    <t>Maraton TIGO</t>
  </si>
  <si>
    <t>003</t>
  </si>
  <si>
    <t>Desayuno TIGO</t>
  </si>
  <si>
    <t>004</t>
  </si>
  <si>
    <t>Activación</t>
  </si>
  <si>
    <t>005</t>
  </si>
  <si>
    <t>Administración - Compra Activos</t>
  </si>
  <si>
    <t>006</t>
  </si>
  <si>
    <t>Administración - Gastos Administrativos</t>
  </si>
  <si>
    <t>007</t>
  </si>
  <si>
    <t>Administración - Comercialización</t>
  </si>
  <si>
    <t>008</t>
  </si>
  <si>
    <t>Campeonato de Cacho</t>
  </si>
  <si>
    <t>009</t>
  </si>
  <si>
    <t>Auspicios MenoresOruro</t>
  </si>
  <si>
    <t>010</t>
  </si>
  <si>
    <t>Auspicios Menores Cochabamba</t>
  </si>
  <si>
    <t>011</t>
  </si>
  <si>
    <t>BTL´S Cochabamba</t>
  </si>
  <si>
    <t>012</t>
  </si>
  <si>
    <t>BTL´S Santa Cruz</t>
  </si>
  <si>
    <t>013</t>
  </si>
  <si>
    <t>Logistica Eventos TIGO Cochabamba</t>
  </si>
  <si>
    <t>014</t>
  </si>
  <si>
    <t>Logistica Eventos TIGO Santa Cruz</t>
  </si>
  <si>
    <t>015</t>
  </si>
  <si>
    <t>Cumpleaños</t>
  </si>
  <si>
    <t>016</t>
  </si>
  <si>
    <t>Capacitadoras</t>
  </si>
  <si>
    <t>017</t>
  </si>
  <si>
    <t>Eventos CINE POP Tarija 2014</t>
  </si>
  <si>
    <t>018</t>
  </si>
  <si>
    <t>Campeonato de Golf Tigo Santa Cruz</t>
  </si>
  <si>
    <t>019</t>
  </si>
  <si>
    <t>Conferencia de prensa Lanzamiento LTE HS Cbba.</t>
  </si>
  <si>
    <t>020</t>
  </si>
  <si>
    <t>Dakar 2015</t>
  </si>
  <si>
    <t>021</t>
  </si>
  <si>
    <t>Capacitación Oruro Tigo</t>
  </si>
  <si>
    <t>022</t>
  </si>
  <si>
    <t>Campeonato de Golf Dove Mapaiso</t>
  </si>
  <si>
    <t>023</t>
  </si>
  <si>
    <t>Campeonato golf Dove las palmas</t>
  </si>
  <si>
    <t>024</t>
  </si>
  <si>
    <t>Life in Colors Santa Cruz</t>
  </si>
  <si>
    <t>025</t>
  </si>
  <si>
    <t>Fiesta de fin de año Unilever</t>
  </si>
  <si>
    <t>026</t>
  </si>
  <si>
    <t>Viaje plenitud</t>
  </si>
  <si>
    <t>027</t>
  </si>
  <si>
    <t>Conferencia  Tigo Money</t>
  </si>
  <si>
    <t>028</t>
  </si>
  <si>
    <t>Administración - Operaciones</t>
  </si>
  <si>
    <t>029</t>
  </si>
  <si>
    <t>Escuadron Foods Unilever</t>
  </si>
  <si>
    <t>030</t>
  </si>
  <si>
    <t>Valla 25 de Mayo</t>
  </si>
  <si>
    <t>031</t>
  </si>
  <si>
    <t>Valla Av. Pando</t>
  </si>
  <si>
    <t>032</t>
  </si>
  <si>
    <t>Reunión Unilever 02 y 03 Dic.</t>
  </si>
  <si>
    <t>033</t>
  </si>
  <si>
    <t>Auspicios menores Tarija</t>
  </si>
  <si>
    <t>034</t>
  </si>
  <si>
    <t>Actividades de diseño</t>
  </si>
  <si>
    <t>035</t>
  </si>
  <si>
    <t>Conferencia, Evento ATT</t>
  </si>
  <si>
    <t>036</t>
  </si>
  <si>
    <t>Alquiler Oficina Torre Duo</t>
  </si>
  <si>
    <t>037</t>
  </si>
  <si>
    <t>Auspicios menores Potosí</t>
  </si>
  <si>
    <t>038</t>
  </si>
  <si>
    <t>Fiesta de fin de año de Tigo</t>
  </si>
  <si>
    <t>039</t>
  </si>
  <si>
    <t>Desintalaciones</t>
  </si>
  <si>
    <t>040</t>
  </si>
  <si>
    <t>Servicio impulsadora migración LTE</t>
  </si>
  <si>
    <t>041</t>
  </si>
  <si>
    <t xml:space="preserve">conferencia de prensa Lanzamiento 4GLTE </t>
  </si>
  <si>
    <t>042</t>
  </si>
  <si>
    <t>Auspicios menores Sucre</t>
  </si>
  <si>
    <t>043</t>
  </si>
  <si>
    <t>Fiesta de Tarija</t>
  </si>
  <si>
    <t>044</t>
  </si>
  <si>
    <t>Logistica taller PTM</t>
  </si>
  <si>
    <t>045</t>
  </si>
  <si>
    <t>Fiesta SAC 11 de Diciembre</t>
  </si>
  <si>
    <t>046</t>
  </si>
  <si>
    <t>Armado de imagen Unilever</t>
  </si>
  <si>
    <t>047</t>
  </si>
  <si>
    <t>Desayuno TIGO 2014</t>
  </si>
  <si>
    <t>048</t>
  </si>
  <si>
    <t>Fiesta Año Nuevo Tigo 2014</t>
  </si>
  <si>
    <t>049</t>
  </si>
  <si>
    <t>Carnaval de Oruro 2015</t>
  </si>
  <si>
    <t>050</t>
  </si>
  <si>
    <t>Eventos Pasados Unilever</t>
  </si>
  <si>
    <t>051</t>
  </si>
  <si>
    <t>Eventos Pasados Belcorp</t>
  </si>
  <si>
    <t>052</t>
  </si>
  <si>
    <t>Eventos Pasados Cine Pop</t>
  </si>
  <si>
    <t>053</t>
  </si>
  <si>
    <t>Evento Campeonato Clausura Tigo</t>
  </si>
  <si>
    <t>054</t>
  </si>
  <si>
    <t>Evento Concierto Life In Colors Tigo</t>
  </si>
  <si>
    <t>055</t>
  </si>
  <si>
    <t>Cabina DJ y 2 Photobooths</t>
  </si>
  <si>
    <t>056</t>
  </si>
  <si>
    <t>Alquiler de equipo Bosse Tigo</t>
  </si>
  <si>
    <t>057</t>
  </si>
  <si>
    <t>Eventos Pasados Tigo</t>
  </si>
  <si>
    <t>058</t>
  </si>
  <si>
    <t>Almacenaje de mueble a ser aplicado a eventos Unilever</t>
  </si>
  <si>
    <t>059</t>
  </si>
  <si>
    <t>Activación de fin de año Tarija</t>
  </si>
  <si>
    <t>060</t>
  </si>
  <si>
    <t>Cine Pop Dakar 2015</t>
  </si>
  <si>
    <t>061</t>
  </si>
  <si>
    <t>Bolsas, tarjetas y transporte</t>
  </si>
  <si>
    <t>062</t>
  </si>
  <si>
    <t>Capacitadoras Cine Pop Dakar 2015</t>
  </si>
  <si>
    <t>063</t>
  </si>
  <si>
    <t>Eventos a ser aplicados en Santa Cruz</t>
  </si>
  <si>
    <t>064</t>
  </si>
  <si>
    <t>Activacion de fin de año Tarija</t>
  </si>
  <si>
    <t>065</t>
  </si>
  <si>
    <t>Activacion la Chiva Rumbera Tigo</t>
  </si>
  <si>
    <t>066</t>
  </si>
  <si>
    <t>Convención de Ventas Tigo Trinidad</t>
  </si>
  <si>
    <t>067</t>
  </si>
  <si>
    <t>Convencion de Ventas Tigo Potosí</t>
  </si>
  <si>
    <t>068</t>
  </si>
  <si>
    <t>Convencion de Ventas Tigo Sucre</t>
  </si>
  <si>
    <t>069</t>
  </si>
  <si>
    <t>Convencion de ventas Tigo Yacuiba</t>
  </si>
  <si>
    <t>070</t>
  </si>
  <si>
    <t>Inauguracion Tienda Tigo Quillacollo</t>
  </si>
  <si>
    <t>071</t>
  </si>
  <si>
    <t>Produccion Digital Dakar 2015</t>
  </si>
  <si>
    <t>072</t>
  </si>
  <si>
    <t>Convencion de ventas Tigo Cochabamba</t>
  </si>
  <si>
    <t>073</t>
  </si>
  <si>
    <t>Llegada de Gerentes Cbba.</t>
  </si>
  <si>
    <t>074</t>
  </si>
  <si>
    <t>CAMBIO Y MANTENIMIENTO DE CARGADORES CASA DE CAMPO</t>
  </si>
  <si>
    <t>075</t>
  </si>
  <si>
    <t>Convencion Work Shop Cbba., La Paz</t>
  </si>
  <si>
    <t>076</t>
  </si>
  <si>
    <t>Administración Base Popular</t>
  </si>
  <si>
    <t>077</t>
  </si>
  <si>
    <t>Convencion de ventas Tarija</t>
  </si>
  <si>
    <t>078</t>
  </si>
  <si>
    <t>Uniformes de Gatto Pardo</t>
  </si>
  <si>
    <t>079</t>
  </si>
  <si>
    <t>Vasos Choperos Tigo - Coronación Anabel 2015</t>
  </si>
  <si>
    <t>080</t>
  </si>
  <si>
    <t>Bienvenida del Chavo Salvatierra</t>
  </si>
  <si>
    <t>081</t>
  </si>
  <si>
    <t>Inauguracion Tigo Matic Cobija</t>
  </si>
  <si>
    <t>082</t>
  </si>
  <si>
    <t>Coronación Anabel 2015</t>
  </si>
  <si>
    <t>083</t>
  </si>
  <si>
    <t>Filmacion final de la llegada del Chavo</t>
  </si>
  <si>
    <t>084</t>
  </si>
  <si>
    <t>Carnaval Tigo 2015</t>
  </si>
  <si>
    <t>085</t>
  </si>
  <si>
    <t>Escuadron Scott</t>
  </si>
  <si>
    <t>086</t>
  </si>
  <si>
    <t>Decoracion salon Coronación Anabel 2015</t>
  </si>
  <si>
    <t>087</t>
  </si>
  <si>
    <t>Evento Camarote Tigo</t>
  </si>
  <si>
    <t>088</t>
  </si>
  <si>
    <t>Ades Premier Dino Terra</t>
  </si>
  <si>
    <t>089</t>
  </si>
  <si>
    <t>Inauguración tienda Tigo Sucre</t>
  </si>
  <si>
    <t>090</t>
  </si>
  <si>
    <t>Material publicitario</t>
  </si>
  <si>
    <t>091</t>
  </si>
  <si>
    <t>Previa Concierto Kjarkas en Studio</t>
  </si>
  <si>
    <t>092</t>
  </si>
  <si>
    <t>Activacion Partido de futbol</t>
  </si>
  <si>
    <t>093</t>
  </si>
  <si>
    <t>Activacion Sedal</t>
  </si>
  <si>
    <t>094</t>
  </si>
  <si>
    <t>Reunión CBN</t>
  </si>
  <si>
    <t>095</t>
  </si>
  <si>
    <t>Material Digital tigo, Video Dia del Padre</t>
  </si>
  <si>
    <t>096</t>
  </si>
  <si>
    <t>Coctel inauguración de Imcruz</t>
  </si>
  <si>
    <t>097</t>
  </si>
  <si>
    <t>Festival Exposur</t>
  </si>
  <si>
    <t>098</t>
  </si>
  <si>
    <t>CBN Nosso Bar</t>
  </si>
  <si>
    <t>099</t>
  </si>
  <si>
    <t>Activación Ponds</t>
  </si>
  <si>
    <t>Activación Ades (Colegios)</t>
  </si>
  <si>
    <t>101</t>
  </si>
  <si>
    <t>Poleras Personalizadas</t>
  </si>
  <si>
    <t>102</t>
  </si>
  <si>
    <t>Conferencia "Aula Digital - Tigo"</t>
  </si>
  <si>
    <t>103</t>
  </si>
  <si>
    <t>Concierto Kjarkas y Chila Jatun</t>
  </si>
  <si>
    <t>104</t>
  </si>
  <si>
    <t>105</t>
  </si>
  <si>
    <t>Golf Dove Men Care S.C.</t>
  </si>
  <si>
    <t>106</t>
  </si>
  <si>
    <t>Pasacalles</t>
  </si>
  <si>
    <t>107</t>
  </si>
  <si>
    <t>Concierto "Entre Padres e Hijos" - La Paz</t>
  </si>
  <si>
    <t>108</t>
  </si>
  <si>
    <t>Inauguracion Tienda Imcruz en Santa Cruz</t>
  </si>
  <si>
    <t>109</t>
  </si>
  <si>
    <t>Activacion con Packs Dermo Aclarant</t>
  </si>
  <si>
    <t>110</t>
  </si>
  <si>
    <t>Auspicio Rexona Ciclismo</t>
  </si>
  <si>
    <t>111</t>
  </si>
  <si>
    <t>Actividades Comerciales BTL Feicobol</t>
  </si>
  <si>
    <t>112</t>
  </si>
  <si>
    <t>Neceser, muestra sin tiro, con mango con sello Unilever</t>
  </si>
  <si>
    <t>113</t>
  </si>
  <si>
    <t>Bandera de Tarija</t>
  </si>
  <si>
    <t>114</t>
  </si>
  <si>
    <t>Feicobol 2015 Stand Tigo</t>
  </si>
  <si>
    <t>115</t>
  </si>
  <si>
    <t>Conferencia de prensa Tigo Music</t>
  </si>
  <si>
    <t>116</t>
  </si>
  <si>
    <t>Sell Sampling Nutregal</t>
  </si>
  <si>
    <t>117</t>
  </si>
  <si>
    <t>Poleras Tigo Fest Tarija</t>
  </si>
  <si>
    <t>118</t>
  </si>
  <si>
    <t>Consolas xbox 360</t>
  </si>
  <si>
    <t>119</t>
  </si>
  <si>
    <t>Filmación 3 Ciudades - Rally</t>
  </si>
  <si>
    <t>120</t>
  </si>
  <si>
    <t>Evento Rally Go To Car</t>
  </si>
  <si>
    <t>121</t>
  </si>
  <si>
    <t>Auspicio Allure 2015</t>
  </si>
  <si>
    <t>122</t>
  </si>
  <si>
    <t>Produccion Audiovisual Feicobol 2015 Taquiña</t>
  </si>
  <si>
    <t>123</t>
  </si>
  <si>
    <t>Evento Tigo Hotel Cortez</t>
  </si>
  <si>
    <t>124</t>
  </si>
  <si>
    <t>BTL´s Tigo Money Cbba.</t>
  </si>
  <si>
    <t>125</t>
  </si>
  <si>
    <t>Lanzamiento 4GLTE Cobija</t>
  </si>
  <si>
    <t>126</t>
  </si>
  <si>
    <t>Fiesta TIGO 1ro. De Mayo</t>
  </si>
  <si>
    <t>127</t>
  </si>
  <si>
    <t>Activacion maketing UPB</t>
  </si>
  <si>
    <t>128</t>
  </si>
  <si>
    <t>Mi teleferico Unilever</t>
  </si>
  <si>
    <t>129</t>
  </si>
  <si>
    <t>Activacion Omo Yo Me llamo</t>
  </si>
  <si>
    <t>130</t>
  </si>
  <si>
    <t>Vales Gift Cards Mejor vendedor Unilever</t>
  </si>
  <si>
    <t>131</t>
  </si>
  <si>
    <t>Agasajo dia de la madre TIGO MONEY</t>
  </si>
  <si>
    <t>132</t>
  </si>
  <si>
    <t>Extras Feicobol 2015</t>
  </si>
  <si>
    <t>133</t>
  </si>
  <si>
    <t>Evento Bolivia Moda Bomo</t>
  </si>
  <si>
    <t>134</t>
  </si>
  <si>
    <t>Caravana kotex La Paz</t>
  </si>
  <si>
    <t>135</t>
  </si>
  <si>
    <t>Vales de consumo</t>
  </si>
  <si>
    <t>136</t>
  </si>
  <si>
    <t>Remodelacion CBN</t>
  </si>
  <si>
    <t>137</t>
  </si>
  <si>
    <t>Supervisores a Nivel Nacional</t>
  </si>
  <si>
    <t>138</t>
  </si>
  <si>
    <t>Volanteo Imcruz</t>
  </si>
  <si>
    <t>139</t>
  </si>
  <si>
    <t>Evento Samaipata challenge</t>
  </si>
  <si>
    <t>140</t>
  </si>
  <si>
    <t>Feria Go Smart</t>
  </si>
  <si>
    <t>141</t>
  </si>
  <si>
    <t>Auspicios (Unilever)</t>
  </si>
  <si>
    <t>142</t>
  </si>
  <si>
    <t>Belleza Real</t>
  </si>
  <si>
    <t>143</t>
  </si>
  <si>
    <t>Carrera de Ciclismo Desafio Final</t>
  </si>
  <si>
    <t>144</t>
  </si>
  <si>
    <t>On Fire</t>
  </si>
  <si>
    <t>145</t>
  </si>
  <si>
    <t>Activacion Knorr</t>
  </si>
  <si>
    <t>146</t>
  </si>
  <si>
    <t>Piso</t>
  </si>
  <si>
    <t>147</t>
  </si>
  <si>
    <t>Impulsadores Canal Off</t>
  </si>
  <si>
    <t>148</t>
  </si>
  <si>
    <t>Activacion Lucky Strike</t>
  </si>
  <si>
    <t>149</t>
  </si>
  <si>
    <t>Vales Skip</t>
  </si>
  <si>
    <t>150</t>
  </si>
  <si>
    <t>Winter Fest Cbba.</t>
  </si>
  <si>
    <t>151</t>
  </si>
  <si>
    <t>Basureros Auspicio Unilever</t>
  </si>
  <si>
    <t>152</t>
  </si>
  <si>
    <t>Feria San Miguel</t>
  </si>
  <si>
    <t>153</t>
  </si>
  <si>
    <t>Muebles Corona</t>
  </si>
  <si>
    <t>154</t>
  </si>
  <si>
    <t>Capacitaciones Tigo SAC</t>
  </si>
  <si>
    <t>155</t>
  </si>
  <si>
    <t>Servicio Fotografia Tigo</t>
  </si>
  <si>
    <t>156</t>
  </si>
  <si>
    <t>Golf Dove Cbba.</t>
  </si>
  <si>
    <t>157</t>
  </si>
  <si>
    <t>Feria Tigo Visita Gerentes</t>
  </si>
  <si>
    <t>158</t>
  </si>
  <si>
    <t>Feria del Petroleo y Gas</t>
  </si>
  <si>
    <t>159</t>
  </si>
  <si>
    <t>Evento Urkupiña</t>
  </si>
  <si>
    <t>160</t>
  </si>
  <si>
    <t>Lanzamiento Twins</t>
  </si>
  <si>
    <t>161</t>
  </si>
  <si>
    <t>Conferencia FBG y Tigo</t>
  </si>
  <si>
    <t>162</t>
  </si>
  <si>
    <t>Conferencia Cyber Bulling Tigo</t>
  </si>
  <si>
    <t>163</t>
  </si>
  <si>
    <t>Feedback Nutregal</t>
  </si>
  <si>
    <t>164</t>
  </si>
  <si>
    <t>Campeonato de Golf Abierto del Valle</t>
  </si>
  <si>
    <t>165</t>
  </si>
  <si>
    <t>Filmación hoyos 16,17,18 Country Club Cbba.</t>
  </si>
  <si>
    <t>166</t>
  </si>
  <si>
    <t>Desayuno Lanzamiento FFVV Companex</t>
  </si>
  <si>
    <t>167</t>
  </si>
  <si>
    <t>Inauguración kabana</t>
  </si>
  <si>
    <t>168</t>
  </si>
  <si>
    <t>Cine Pop</t>
  </si>
  <si>
    <t>169</t>
  </si>
  <si>
    <t xml:space="preserve">Campaña YPFB Lubricantes </t>
  </si>
  <si>
    <t>170</t>
  </si>
  <si>
    <t>Lanzamiento llantas Michelin</t>
  </si>
  <si>
    <t>171</t>
  </si>
  <si>
    <t>Letrero Calle Esteban Arce</t>
  </si>
  <si>
    <t>172</t>
  </si>
  <si>
    <t>Activacion Dia del Peaton</t>
  </si>
  <si>
    <t>173</t>
  </si>
  <si>
    <t>Evento Cadexco</t>
  </si>
  <si>
    <t>174</t>
  </si>
  <si>
    <t>Convencion Nal. Tigo</t>
  </si>
  <si>
    <t>175</t>
  </si>
  <si>
    <t>Ambientacion torneo Tigo Business</t>
  </si>
  <si>
    <t>176</t>
  </si>
  <si>
    <t xml:space="preserve">Pago proveedores </t>
  </si>
  <si>
    <t>177</t>
  </si>
  <si>
    <t>Feria del Vino</t>
  </si>
  <si>
    <t>178</t>
  </si>
  <si>
    <t>Concierto Kjarkas y Chila Jatun en Tarija</t>
  </si>
  <si>
    <t>179</t>
  </si>
  <si>
    <t>Electric Garden La Paz</t>
  </si>
  <si>
    <t>180</t>
  </si>
  <si>
    <t>Campeonato de Golf Abierto La Paz</t>
  </si>
  <si>
    <t>181</t>
  </si>
  <si>
    <t>Stand Lucky Feria Expocruz</t>
  </si>
  <si>
    <t>182</t>
  </si>
  <si>
    <t>Barras Nosso Bar</t>
  </si>
  <si>
    <t>183</t>
  </si>
  <si>
    <t>Activacion Lucky Strike en Hard Rock</t>
  </si>
  <si>
    <t>184</t>
  </si>
  <si>
    <t>Activaciones Extreme G12 La Paz</t>
  </si>
  <si>
    <t>185</t>
  </si>
  <si>
    <t xml:space="preserve">Evento Lucky Strike Ultra </t>
  </si>
  <si>
    <t>186</t>
  </si>
  <si>
    <t>Recorrido Chavo Salvatierra 2016</t>
  </si>
  <si>
    <t>187</t>
  </si>
  <si>
    <t>Supervision Papikra</t>
  </si>
  <si>
    <t>188</t>
  </si>
  <si>
    <t>Campeonato de Golf Abierto del Oriente TIGO</t>
  </si>
  <si>
    <t>189</t>
  </si>
  <si>
    <t>Contratacion de Asesora Clinica Dove 1</t>
  </si>
  <si>
    <t>190</t>
  </si>
  <si>
    <t>Tigo Run Oruro</t>
  </si>
  <si>
    <t>191</t>
  </si>
  <si>
    <t>Modelo Celebrity La Van  Omo</t>
  </si>
  <si>
    <t>192</t>
  </si>
  <si>
    <t>Mantenimiento de Letreros Tigo Business</t>
  </si>
  <si>
    <t>193</t>
  </si>
  <si>
    <t>Concierto Kjarkas y Chila Jatun en Sucre</t>
  </si>
  <si>
    <t>194</t>
  </si>
  <si>
    <t>Campeonato de Golf Tarija</t>
  </si>
  <si>
    <t>195</t>
  </si>
  <si>
    <t>Filmacion Country Club</t>
  </si>
  <si>
    <t>196</t>
  </si>
  <si>
    <t>Arreglo de TV Discoteca Senses La Paz</t>
  </si>
  <si>
    <t>197</t>
  </si>
  <si>
    <t>Videos para Redes Sociales Tigo Sports Run</t>
  </si>
  <si>
    <t>198</t>
  </si>
  <si>
    <t>Fiesta de fin de año TIGO</t>
  </si>
  <si>
    <t>199</t>
  </si>
  <si>
    <t>Supervisor Santa Cruz</t>
  </si>
  <si>
    <t>200</t>
  </si>
  <si>
    <t>Halloween Tigo en Burger King</t>
  </si>
  <si>
    <t>201</t>
  </si>
  <si>
    <t>Auspicio Ades Carrera 10K</t>
  </si>
  <si>
    <t>202</t>
  </si>
  <si>
    <t>Tigo Run Tarija</t>
  </si>
  <si>
    <t>203</t>
  </si>
  <si>
    <t>Implementación Kabana</t>
  </si>
  <si>
    <t>204</t>
  </si>
  <si>
    <t>205</t>
  </si>
  <si>
    <t>Desgustaciones Knorr</t>
  </si>
  <si>
    <t>206</t>
  </si>
  <si>
    <t>Table Tends Cbba.</t>
  </si>
  <si>
    <t>207</t>
  </si>
  <si>
    <t>Tercerizacion de personal 3M</t>
  </si>
  <si>
    <t>208</t>
  </si>
  <si>
    <t>auspicio de trámite de Visa  para participación de la carrera en Miami</t>
  </si>
  <si>
    <t>209</t>
  </si>
  <si>
    <t>Limpieza locales CBN</t>
  </si>
  <si>
    <t>210</t>
  </si>
  <si>
    <t>Activacion Kabana</t>
  </si>
  <si>
    <t>211</t>
  </si>
  <si>
    <t>Tigo Music Fest</t>
  </si>
  <si>
    <t>212</t>
  </si>
  <si>
    <t>Vallas Chapare</t>
  </si>
  <si>
    <t>213</t>
  </si>
  <si>
    <t>Tigo Run Cochabamba</t>
  </si>
  <si>
    <t>214</t>
  </si>
  <si>
    <t>Inauguración Tiendas Quillacollo</t>
  </si>
  <si>
    <t>215</t>
  </si>
  <si>
    <t>Evento Coctel La Herradura</t>
  </si>
  <si>
    <t>216</t>
  </si>
  <si>
    <t>Activacion Groovesence</t>
  </si>
  <si>
    <t>217</t>
  </si>
  <si>
    <t>Poleras Rexona</t>
  </si>
  <si>
    <t>218</t>
  </si>
  <si>
    <t>Arreglo de muebles y colocado de adhesivo cabina de DJ</t>
  </si>
  <si>
    <t>219</t>
  </si>
  <si>
    <t>Arquitecto Oruro La Paz Nosso Bar</t>
  </si>
  <si>
    <t>220</t>
  </si>
  <si>
    <t>Fiesta Tigo Business</t>
  </si>
  <si>
    <t>221</t>
  </si>
  <si>
    <t>Uniformes Promociones Gloria</t>
  </si>
  <si>
    <t>222</t>
  </si>
  <si>
    <t>Servicio de logística realizado para concierto en el estadio Ramón Tahuichi Aguilera. Ref.: Ultra.</t>
  </si>
  <si>
    <t>223</t>
  </si>
  <si>
    <t>Servicio de produción del programa Tigo Sport Run a Nivel Nacional.</t>
  </si>
  <si>
    <t>224</t>
  </si>
  <si>
    <t>Chocolatada Navideña Tigo</t>
  </si>
  <si>
    <t>225</t>
  </si>
  <si>
    <t>Digital Change Makers / Audiovisual resumen</t>
  </si>
  <si>
    <t>226</t>
  </si>
  <si>
    <t>Activaciones Tarija Vip 2016</t>
  </si>
  <si>
    <t>227</t>
  </si>
  <si>
    <t>Filmación de convencion de venta - GTM</t>
  </si>
  <si>
    <t>228</t>
  </si>
  <si>
    <t>Barras puntos la Sede y Barras Huari</t>
  </si>
  <si>
    <t>229</t>
  </si>
  <si>
    <t>Almacenaje Barras La Sede</t>
  </si>
  <si>
    <t>230</t>
  </si>
  <si>
    <t>Cobertura fotográfica de la edición 2016 del Rally Dakar</t>
  </si>
  <si>
    <t>231</t>
  </si>
  <si>
    <t>Servicio Dakar 2016 Tigo</t>
  </si>
  <si>
    <t>232</t>
  </si>
  <si>
    <t>Activacion Star Wars</t>
  </si>
  <si>
    <t>233</t>
  </si>
  <si>
    <t>Tablitas Agencias</t>
  </si>
  <si>
    <t>234</t>
  </si>
  <si>
    <t>Inauguración Tienda Calama Tigo</t>
  </si>
  <si>
    <t>235</t>
  </si>
  <si>
    <t>Personal para repartir volantes</t>
  </si>
  <si>
    <t>236</t>
  </si>
  <si>
    <t xml:space="preserve">Camarote TIGO CBBA – Carnaval Non Stop </t>
  </si>
  <si>
    <t>237</t>
  </si>
  <si>
    <t xml:space="preserve">Activaciones MIXXTAIL CBBA – CBN </t>
  </si>
  <si>
    <t>238</t>
  </si>
  <si>
    <t xml:space="preserve">Camarote Paceña CBBA – Carnaval Madness </t>
  </si>
  <si>
    <t>239</t>
  </si>
  <si>
    <t xml:space="preserve">Lanzamiento FFVV Lucky Strike La Paz </t>
  </si>
  <si>
    <t>240</t>
  </si>
  <si>
    <t>Lanzamiento producto Dove Deluxe (LA PAZ, STA CRUZ y CBBA.)</t>
  </si>
  <si>
    <t>241</t>
  </si>
  <si>
    <t>Conferencia de prensa papelbol Tigo</t>
  </si>
  <si>
    <t>242</t>
  </si>
  <si>
    <t>Almacenaje Barras Huari</t>
  </si>
  <si>
    <t>243</t>
  </si>
  <si>
    <t>Pre-carnavalera Lucky Strike - La Paz</t>
  </si>
  <si>
    <t>244</t>
  </si>
  <si>
    <t xml:space="preserve">Campaña de Impulsadoras Kelloggs </t>
  </si>
  <si>
    <t>245</t>
  </si>
  <si>
    <t>Activación Parranderos</t>
  </si>
  <si>
    <t>246</t>
  </si>
  <si>
    <t>Carnaval Oruro Tigo 2016</t>
  </si>
  <si>
    <t>247</t>
  </si>
  <si>
    <t>Carnaval Tarija Tigo 2016</t>
  </si>
  <si>
    <t>248</t>
  </si>
  <si>
    <t>Discos Duros Externos 5 Teras</t>
  </si>
  <si>
    <t>249</t>
  </si>
  <si>
    <t>Conferencia de prensa  Re-lanzamiento comercial Tigo Star</t>
  </si>
  <si>
    <t>250</t>
  </si>
  <si>
    <t>Traslado de material Unilever a Codelsa</t>
  </si>
  <si>
    <t>251</t>
  </si>
  <si>
    <t>tigo run</t>
  </si>
  <si>
    <t>252</t>
  </si>
  <si>
    <t>Proyecto PT</t>
  </si>
  <si>
    <t>253</t>
  </si>
  <si>
    <t>Proyecto Atún</t>
  </si>
  <si>
    <t>254</t>
  </si>
  <si>
    <t>Arreglo de letreros Tigo</t>
  </si>
  <si>
    <t>255</t>
  </si>
  <si>
    <t>Impulsadora Electrolux</t>
  </si>
  <si>
    <t>256</t>
  </si>
  <si>
    <t>257</t>
  </si>
  <si>
    <t>Conferencia de Prensa Lanzamiento nueva oferta comercial Tigo Star en Potosí</t>
  </si>
  <si>
    <t>258</t>
  </si>
  <si>
    <t>Filmación y fotografia evento El Portal</t>
  </si>
  <si>
    <t>259</t>
  </si>
  <si>
    <t>Conferencia de prensa  Re-lanzamiento comercial Tigo Star Sucre</t>
  </si>
  <si>
    <t>260</t>
  </si>
  <si>
    <t>Asesores Cbba. / Campos de Solana</t>
  </si>
  <si>
    <t>261</t>
  </si>
  <si>
    <t>Auspicio Equipo Femenino Unilever</t>
  </si>
  <si>
    <t>262</t>
  </si>
  <si>
    <t>Conferencia de prensa Tigo de Pixel a Pixel en Cochabamba</t>
  </si>
  <si>
    <t>263</t>
  </si>
  <si>
    <t>Concierto Kjarkas y Chila Jatun en Sucre 2</t>
  </si>
  <si>
    <t>264</t>
  </si>
  <si>
    <t xml:space="preserve">Servicio de modelo doble de brillo-activación show las magnificas </t>
  </si>
  <si>
    <t>265</t>
  </si>
  <si>
    <t>Reunión Nuevo Cliente</t>
  </si>
  <si>
    <t>266</t>
  </si>
  <si>
    <t>Regojo/Envio de producto Tresseme Y Dove de S.C.</t>
  </si>
  <si>
    <t>267</t>
  </si>
  <si>
    <t>Campaña impulsadoras para marca Marilan y Mordisco</t>
  </si>
  <si>
    <t>268</t>
  </si>
  <si>
    <t>Conferencia de prensa - Lanzamiento aplicación Tigo Money S.C.</t>
  </si>
  <si>
    <t>269</t>
  </si>
  <si>
    <t>Servicio de viajes Nosso Bar</t>
  </si>
  <si>
    <t>270</t>
  </si>
  <si>
    <t>Vendimia Tarija 2016</t>
  </si>
  <si>
    <t>271</t>
  </si>
  <si>
    <t>Premiacion B2B / G2M</t>
  </si>
  <si>
    <t>272</t>
  </si>
  <si>
    <t>Volanteadoras Scz - Dia del Padre</t>
  </si>
  <si>
    <t>273</t>
  </si>
  <si>
    <t>Envio de inflable a Cobija</t>
  </si>
  <si>
    <t>274</t>
  </si>
  <si>
    <t>Elaboracion de mini cancha de golf Tigo</t>
  </si>
  <si>
    <t>275</t>
  </si>
  <si>
    <t>Servicio de modelo doble de brillo - programa STAR ACADEMY</t>
  </si>
  <si>
    <t>276</t>
  </si>
  <si>
    <t>Evento Catolicazo La Paz</t>
  </si>
  <si>
    <t>277</t>
  </si>
  <si>
    <t>Inauguracion Hipermaxi en el Prado</t>
  </si>
  <si>
    <t>278</t>
  </si>
  <si>
    <t>Tercerizacion de personal Astrix</t>
  </si>
  <si>
    <t>279</t>
  </si>
  <si>
    <t>Carrera Tigo Run Montero</t>
  </si>
  <si>
    <t>280</t>
  </si>
  <si>
    <t>Activacion UTEPSA</t>
  </si>
  <si>
    <t>281</t>
  </si>
  <si>
    <t>Expo Tarija 2016</t>
  </si>
  <si>
    <t>282</t>
  </si>
  <si>
    <t>Activación Ades - Dia del Peaton</t>
  </si>
  <si>
    <t>283</t>
  </si>
  <si>
    <t>Lanzamiento Twins Cochabamba</t>
  </si>
  <si>
    <t>284</t>
  </si>
  <si>
    <t>Manejo de prensa Tigo/ Santa Cruz</t>
  </si>
  <si>
    <t>285</t>
  </si>
  <si>
    <t>Premios mejor cabellera y Miss Santa Cruz</t>
  </si>
  <si>
    <t>286</t>
  </si>
  <si>
    <t>Dipticos y bolsas Show de las magnificas, espejo Sedal Star Academy</t>
  </si>
  <si>
    <t>287</t>
  </si>
  <si>
    <t>Actividad Hogar de niños Unilever</t>
  </si>
  <si>
    <t>288</t>
  </si>
  <si>
    <t>Escuadron Ades</t>
  </si>
  <si>
    <t>289</t>
  </si>
  <si>
    <t>Pagos Unilever: Sirena, sagitario y pixel</t>
  </si>
  <si>
    <t>290</t>
  </si>
  <si>
    <t>Tigo Sport Chapare</t>
  </si>
  <si>
    <t>291</t>
  </si>
  <si>
    <t>Elaboracion de gorras Tigo Music</t>
  </si>
  <si>
    <t>292</t>
  </si>
  <si>
    <t>Lanzamiento HFC Pacata Tigo Cochabamba</t>
  </si>
  <si>
    <t>293</t>
  </si>
  <si>
    <t>Proyecto Nestle y Fagal</t>
  </si>
  <si>
    <t>294</t>
  </si>
  <si>
    <t>Anfitriones Ruta Horecas</t>
  </si>
  <si>
    <t>295</t>
  </si>
  <si>
    <t>Pago Viaje a Potosí CBN</t>
  </si>
  <si>
    <t>296</t>
  </si>
  <si>
    <t>Asesoras Ponds</t>
  </si>
  <si>
    <t>297</t>
  </si>
  <si>
    <t>Tigo Run Cobija</t>
  </si>
  <si>
    <t>298</t>
  </si>
  <si>
    <t>Personal de Servicio de Canje</t>
  </si>
  <si>
    <t>299</t>
  </si>
  <si>
    <t>Proyecto Ciclovia</t>
  </si>
  <si>
    <t>300</t>
  </si>
  <si>
    <t>Impulsadoras venta de chip Tigo</t>
  </si>
  <si>
    <t>301</t>
  </si>
  <si>
    <t>Inauguración PDA Tigo</t>
  </si>
  <si>
    <t>302</t>
  </si>
  <si>
    <t xml:space="preserve">Impulsadoras venta de chip Tigo Cobija </t>
  </si>
  <si>
    <t>303</t>
  </si>
  <si>
    <t>Reto TIGO Cine Center</t>
  </si>
  <si>
    <t>304</t>
  </si>
  <si>
    <t>Desayuno Día de la Madre TIGO a Nivel Nacional</t>
  </si>
  <si>
    <t>305</t>
  </si>
  <si>
    <t>Evento TIGO - Aniversario Periodistas</t>
  </si>
  <si>
    <t>306</t>
  </si>
  <si>
    <t>Compra de productos SEDAL</t>
  </si>
  <si>
    <t>307</t>
  </si>
  <si>
    <t>Activación TIGO Stadium 27/04/2016</t>
  </si>
  <si>
    <t>308</t>
  </si>
  <si>
    <t>Fotografía Activación TIGO Stadium</t>
  </si>
  <si>
    <t>309</t>
  </si>
  <si>
    <t>Ruteo Unilever (Presentacion en 3D)</t>
  </si>
  <si>
    <t>310</t>
  </si>
  <si>
    <t>Transporte de material Codelsa CND/UL - CBBA.</t>
  </si>
  <si>
    <t>311</t>
  </si>
  <si>
    <t>Caja en Carton Colmenado TIGO</t>
  </si>
  <si>
    <t>312</t>
  </si>
  <si>
    <t>Activación TIGO Stadium 22/05/2016</t>
  </si>
  <si>
    <t>313</t>
  </si>
  <si>
    <t>Feria de Cable TIGO Los Tajibos</t>
  </si>
  <si>
    <t>314</t>
  </si>
  <si>
    <t>Campeonato de Golf Mapaiso Tigo</t>
  </si>
  <si>
    <t>315</t>
  </si>
  <si>
    <t>Dia del Trabajo Tigo Cochabamba</t>
  </si>
  <si>
    <t>316</t>
  </si>
  <si>
    <t>Activacion Nestle Dia de la Madre S.C.</t>
  </si>
  <si>
    <t>317</t>
  </si>
  <si>
    <t>Activacion Nestle Dia de la Madre (La Paz)</t>
  </si>
  <si>
    <t>318</t>
  </si>
  <si>
    <t>Poleras Auspicio Samaipata Challene</t>
  </si>
  <si>
    <t>319</t>
  </si>
  <si>
    <t>Impulsadoras Sedal</t>
  </si>
  <si>
    <t>320</t>
  </si>
  <si>
    <t>Degustación Ades Complejo Fabril</t>
  </si>
  <si>
    <t>321</t>
  </si>
  <si>
    <t>Vestidos TM/TS/TIGO</t>
  </si>
  <si>
    <t>322</t>
  </si>
  <si>
    <t>Pantalla Touch all In On PC</t>
  </si>
  <si>
    <t>323</t>
  </si>
  <si>
    <t>Exhibidores / Hipermaxi Prado</t>
  </si>
  <si>
    <t>324</t>
  </si>
  <si>
    <t>Transporte traslado de material Cbba-LP</t>
  </si>
  <si>
    <t>325</t>
  </si>
  <si>
    <t>Transporte Cbba-S.C. /Envio de material</t>
  </si>
  <si>
    <t>326</t>
  </si>
  <si>
    <t>Convencion de ventas Tigo a nivel Nacional</t>
  </si>
  <si>
    <t>327</t>
  </si>
  <si>
    <t>Conferencia Tigo Calama</t>
  </si>
  <si>
    <t>328</t>
  </si>
  <si>
    <t>Escuadron Foods - Hellmanns 2016</t>
  </si>
  <si>
    <t>329</t>
  </si>
  <si>
    <t>Acciones con personal en Mercados La Paz - Cbba.</t>
  </si>
  <si>
    <t>330</t>
  </si>
  <si>
    <t>Personal Mabel´s - Preventistas en las Ciudades de La Paz - Cbba.</t>
  </si>
  <si>
    <t>331</t>
  </si>
  <si>
    <t>Refrigerio Capacitacion Cochabamba/La paz</t>
  </si>
  <si>
    <t>332</t>
  </si>
  <si>
    <t>Lanzamiento HFC TIGO</t>
  </si>
  <si>
    <t>333</t>
  </si>
  <si>
    <t>Vestidos Trofeos Tenis / Tigo Sport Tarija</t>
  </si>
  <si>
    <t>334</t>
  </si>
  <si>
    <t>Tigo Sport Cbba/Copa America</t>
  </si>
  <si>
    <t>335</t>
  </si>
  <si>
    <t>Personal Nestle (Maggie)-Preventista en las Ciudades de La Paz-Cbba.</t>
  </si>
  <si>
    <t>336</t>
  </si>
  <si>
    <t>Lanzamiento DTH- TARIJA</t>
  </si>
  <si>
    <t>337</t>
  </si>
  <si>
    <t>Contorno de espejo y Productos troquelados SEDAL- Star Academy</t>
  </si>
  <si>
    <t>338</t>
  </si>
  <si>
    <t>Impulsadoras Canal tradicional para Confiteria/Proyecto chocolates</t>
  </si>
  <si>
    <t>339</t>
  </si>
  <si>
    <t>Servicio de Impresión</t>
  </si>
  <si>
    <t>340</t>
  </si>
  <si>
    <t>Lanzamiento DTH Ivirgarzama</t>
  </si>
  <si>
    <t>341</t>
  </si>
  <si>
    <t>Lanzamiento DTH Yacuiba -Camiri</t>
  </si>
  <si>
    <t>342</t>
  </si>
  <si>
    <t>Sedal/Mis bolivia2016</t>
  </si>
  <si>
    <t>343</t>
  </si>
  <si>
    <t>Carrera Sucre/Carrera Oscar Crespo</t>
  </si>
  <si>
    <t>344</t>
  </si>
  <si>
    <t>Personal Preventas Nescafe LPZ-CBBA</t>
  </si>
  <si>
    <t>345</t>
  </si>
  <si>
    <t>Impulsadoras a nivel Nacional/Tigo money</t>
  </si>
  <si>
    <t>346</t>
  </si>
  <si>
    <t>Caravana DTH Pre-Pago a nivel nacional/TARIJA</t>
  </si>
  <si>
    <t>347</t>
  </si>
  <si>
    <t>Estreno era del hielo 5</t>
  </si>
  <si>
    <t>348</t>
  </si>
  <si>
    <t>Cargadores Portatiles Tigo</t>
  </si>
  <si>
    <t>349</t>
  </si>
  <si>
    <t>Urkupiña 2016/tigo</t>
  </si>
  <si>
    <t>350</t>
  </si>
  <si>
    <t>Volantera en la ciudad de Santa Cruz</t>
  </si>
  <si>
    <t>351</t>
  </si>
  <si>
    <t>Pagos Unilever: La papelera</t>
  </si>
  <si>
    <t>352</t>
  </si>
  <si>
    <t>Conferencia de prensa netflix /tigo</t>
  </si>
  <si>
    <t>353</t>
  </si>
  <si>
    <t>Caravana DTH Pre-Pago Potosi</t>
  </si>
  <si>
    <t>354</t>
  </si>
  <si>
    <t>Campeonato de Golf Dove/ Cochabamba</t>
  </si>
  <si>
    <t>355</t>
  </si>
  <si>
    <t>Conferencia de prensa tigo business/Santa Cruz</t>
  </si>
  <si>
    <t>356</t>
  </si>
  <si>
    <t>Implementacion de stand/La Paz</t>
  </si>
  <si>
    <t>357</t>
  </si>
  <si>
    <t>Desayunos tigo SCZ, El Alto, LPZ, Cbba</t>
  </si>
  <si>
    <t>358</t>
  </si>
  <si>
    <t>CONFERENCIA DE PRESA DISMAC - TIGO</t>
  </si>
  <si>
    <t>359</t>
  </si>
  <si>
    <t>Encuestadores Bata mercados de las ciudades Cbba-La Paz-SCZ</t>
  </si>
  <si>
    <t>360</t>
  </si>
  <si>
    <t>Conferencia de prensa Tigo en Hotel Camino Real/SCZ</t>
  </si>
  <si>
    <t>361</t>
  </si>
  <si>
    <t>Conferencia de prensa Wester Union-Tigo/ Cbba</t>
  </si>
  <si>
    <t>362</t>
  </si>
  <si>
    <t>Cena Gerentes Tigo</t>
  </si>
  <si>
    <t>363</t>
  </si>
  <si>
    <t>Poke fest de tigo/Cbba</t>
  </si>
  <si>
    <t>364</t>
  </si>
  <si>
    <t>volanteras en la ciudad de Santa Cruz/Agosto-Sept.</t>
  </si>
  <si>
    <t>365</t>
  </si>
  <si>
    <t>Mis Mundo San Ignacio/Santa Cruz 2016</t>
  </si>
  <si>
    <t>366</t>
  </si>
  <si>
    <t>Activacion hipermaxi los pinos-CPW/La Paz</t>
  </si>
  <si>
    <t>367</t>
  </si>
  <si>
    <t>Mueble exhibidor top pline</t>
  </si>
  <si>
    <t>368</t>
  </si>
  <si>
    <t>Transporte traslado de material scz-Cbba</t>
  </si>
  <si>
    <t>369</t>
  </si>
  <si>
    <t>Fabricacion de ambientacion de cabecera para yacobs</t>
  </si>
  <si>
    <t>370</t>
  </si>
  <si>
    <t>Activacion brindis sed de television tigo sports</t>
  </si>
  <si>
    <t>371</t>
  </si>
  <si>
    <t>Cine pop Oruro</t>
  </si>
  <si>
    <t>372</t>
  </si>
  <si>
    <t xml:space="preserve">Conferencia de prensa - torneo golf tigo business/ Cochabamba </t>
  </si>
  <si>
    <t>373</t>
  </si>
  <si>
    <t>Mi primera entrevista/Santa Cruz</t>
  </si>
  <si>
    <t>374</t>
  </si>
  <si>
    <t>ACTIVACION ICE AGE- CHOCAPIC CARAMEL/Hiper Juan de la rosa cbba</t>
  </si>
  <si>
    <t>375</t>
  </si>
  <si>
    <t>ACTIVACION ICE AGE- CHOCAPIC CARAMEL/Hiper los pinos la paz</t>
  </si>
  <si>
    <t>376</t>
  </si>
  <si>
    <t xml:space="preserve">Impresión y colocado de vallas </t>
  </si>
  <si>
    <t>377</t>
  </si>
  <si>
    <t>Ruta Horecas SCZ.</t>
  </si>
  <si>
    <t>378</t>
  </si>
  <si>
    <t>Stand Unilever Cadexco</t>
  </si>
  <si>
    <t>379</t>
  </si>
  <si>
    <t>Conferencia de prensa tigo Doble via la guardia</t>
  </si>
  <si>
    <t>380</t>
  </si>
  <si>
    <t>ACTIVACIÓN FIN DE SEMANA DEGUSTACIÓN CEREALES HIPERMAXI-SCZ</t>
  </si>
  <si>
    <t>381</t>
  </si>
  <si>
    <t>Filmacion 6 de Agosto 2016</t>
  </si>
  <si>
    <t>382</t>
  </si>
  <si>
    <t>Copilado de video Tigo 2016</t>
  </si>
  <si>
    <t>383</t>
  </si>
  <si>
    <t>Compra de material para uso en partidos de la liga ´´sala de prensa-Tigo"</t>
  </si>
  <si>
    <t>384</t>
  </si>
  <si>
    <t>Conferencia de presa Aula Digital-Cbba</t>
  </si>
  <si>
    <t>385</t>
  </si>
  <si>
    <t>Personal para repartir volantes santa cruz mes de septiembre</t>
  </si>
  <si>
    <t>386</t>
  </si>
  <si>
    <t>Dia del peaton home center</t>
  </si>
  <si>
    <t>387</t>
  </si>
  <si>
    <t>Dia del peaton Rexona</t>
  </si>
  <si>
    <t>388</t>
  </si>
  <si>
    <t>Servicio de diseño y creatividad / World Trade Center Santa Cruz de la Sierra</t>
  </si>
  <si>
    <t>389</t>
  </si>
  <si>
    <t>Conferencia de prensa en Oficina Tigo Pirai</t>
  </si>
  <si>
    <t>390</t>
  </si>
  <si>
    <t>Conferencia de prensa tigo business/las palmas Santa Cruz</t>
  </si>
  <si>
    <t>391</t>
  </si>
  <si>
    <t>Personal de volanteo</t>
  </si>
  <si>
    <t>392</t>
  </si>
  <si>
    <t xml:space="preserve">Fabricacion de exhibidor metalico </t>
  </si>
  <si>
    <t>393</t>
  </si>
  <si>
    <t>Armado de imagen para la linea mazda</t>
  </si>
  <si>
    <t>394</t>
  </si>
  <si>
    <t>Carrera Pedestre en el dep. Santa Cruz</t>
  </si>
  <si>
    <t>395</t>
  </si>
  <si>
    <t xml:space="preserve">Poleras Sublimadas Tigo Music / Nicky Jam Cbba </t>
  </si>
  <si>
    <t>396</t>
  </si>
  <si>
    <t>Pago proveedor Tigo-Moom</t>
  </si>
  <si>
    <t>397</t>
  </si>
  <si>
    <t>Instalacion y refaccion de letrero village Cbba</t>
  </si>
  <si>
    <t>398</t>
  </si>
  <si>
    <t>Desafio Tunari</t>
  </si>
  <si>
    <t>399</t>
  </si>
  <si>
    <t>Conferencia  desafio tunari</t>
  </si>
  <si>
    <t>400</t>
  </si>
  <si>
    <t>Diseño de cinturones dove fin de año</t>
  </si>
  <si>
    <t>401</t>
  </si>
  <si>
    <t xml:space="preserve">Torneo de golf tigo business/ Santa Cruz, La Paz y Tarija. </t>
  </si>
  <si>
    <t>402</t>
  </si>
  <si>
    <t>Campaña Yacobs/Fexpocruz</t>
  </si>
  <si>
    <t>403</t>
  </si>
  <si>
    <t>Impresión de Lona/Xpress</t>
  </si>
  <si>
    <t>404</t>
  </si>
  <si>
    <t>Armado de Stand Fexpocruz</t>
  </si>
  <si>
    <t>405</t>
  </si>
  <si>
    <t>Sell Sampling Detergente Uno</t>
  </si>
  <si>
    <t>406</t>
  </si>
  <si>
    <t>Impulsadora Purina 30 dias en las ciudades La Paz y Cochabamba</t>
  </si>
  <si>
    <t>407</t>
  </si>
  <si>
    <t xml:space="preserve">Pago premio ganadoras miss Bolivia mundo </t>
  </si>
  <si>
    <t>408</t>
  </si>
  <si>
    <t>Aniversario Cbba 14 de Septiembre</t>
  </si>
  <si>
    <t>409</t>
  </si>
  <si>
    <t>Capacitador encuesta interna</t>
  </si>
  <si>
    <t>410</t>
  </si>
  <si>
    <t>Activacion Hipermaxi SCZ (Villa 1 de mayo, supercenter, etc.)</t>
  </si>
  <si>
    <t>411</t>
  </si>
  <si>
    <t>Btl 14 de Septiembre</t>
  </si>
  <si>
    <t>412</t>
  </si>
  <si>
    <t>Evento stadium con pantalla</t>
  </si>
  <si>
    <t>413</t>
  </si>
  <si>
    <t>Evento Canino cbba</t>
  </si>
  <si>
    <t>414</t>
  </si>
  <si>
    <t>Promotoras Dove Cbba y La Paz</t>
  </si>
  <si>
    <t>415</t>
  </si>
  <si>
    <t>Activacion supermercado ketal e hipermaxi en la ciudad de La Paz</t>
  </si>
  <si>
    <t>416</t>
  </si>
  <si>
    <t>Fabricacion de letrero e impresión adhesivo para identificacion de areas de suplly chain.</t>
  </si>
  <si>
    <t>417</t>
  </si>
  <si>
    <t>Impresión y colocado adhesivo negro troquelado para baños</t>
  </si>
  <si>
    <t>418</t>
  </si>
  <si>
    <t>Activacion degustacion Nescafe eje troncal ( La Paz, Cbba, SCZ)</t>
  </si>
  <si>
    <t>419</t>
  </si>
  <si>
    <t>Diseño muebles Dove</t>
  </si>
  <si>
    <t>420</t>
  </si>
  <si>
    <t>Activacion Sedal / Plaza de las banderas</t>
  </si>
  <si>
    <t>421</t>
  </si>
  <si>
    <t>Activacion Rexona / alcaldia desayuno de medios</t>
  </si>
  <si>
    <t>422</t>
  </si>
  <si>
    <t>Impulsadoras linea farmacia y nutricion</t>
  </si>
  <si>
    <t>423</t>
  </si>
  <si>
    <t>Auspicio bolsas ecologicas</t>
  </si>
  <si>
    <t>424</t>
  </si>
  <si>
    <t>Activacion Rexona / Entrega de plaquetas</t>
  </si>
  <si>
    <t>425</t>
  </si>
  <si>
    <t xml:space="preserve">Pago patentes </t>
  </si>
  <si>
    <t>426</t>
  </si>
  <si>
    <t>Implementacion de letrero tigo business Santa Cruz</t>
  </si>
  <si>
    <t>427</t>
  </si>
  <si>
    <t>Traslado de material Nestle a la  Casa Campestre</t>
  </si>
  <si>
    <t>428</t>
  </si>
  <si>
    <t>Impresión y colocado de adhesivo</t>
  </si>
  <si>
    <t>429</t>
  </si>
  <si>
    <t>Valla  curva interna aeropuerto Viru Viru de la ciudad de Santa Cruz</t>
  </si>
  <si>
    <t>430</t>
  </si>
  <si>
    <t>Personal de degustacion Cappuccino Nescafe en la ciudad de Cochabamba</t>
  </si>
  <si>
    <t>431</t>
  </si>
  <si>
    <t>Servicio implementacion de señaleticas y letreros publicitarios.</t>
  </si>
  <si>
    <t>432</t>
  </si>
  <si>
    <t>Servicios de publicidad</t>
  </si>
  <si>
    <t>433</t>
  </si>
  <si>
    <t>Inauguracion piscina contry club/ Tigo Cochabamba</t>
  </si>
  <si>
    <t>434</t>
  </si>
  <si>
    <t>Servicio impulsadora Cbba y La Paz - Cat Chow</t>
  </si>
  <si>
    <t>435</t>
  </si>
  <si>
    <t>436</t>
  </si>
  <si>
    <t>Pago proveedor pcm/tigo</t>
  </si>
  <si>
    <t>437</t>
  </si>
  <si>
    <t>Alquiler de mesas y sillas para conferencia</t>
  </si>
  <si>
    <t>438</t>
  </si>
  <si>
    <t>Implementacion de stan publicitario en fexpocruz</t>
  </si>
  <si>
    <t>439</t>
  </si>
  <si>
    <t>Servicio de impulsadoras, degustadoras en la Ciudad de Cbba y La Paz</t>
  </si>
  <si>
    <t>440</t>
  </si>
  <si>
    <t>Activacion Sponsorship Spring Fest/La Paz</t>
  </si>
  <si>
    <t>441</t>
  </si>
  <si>
    <t>Valla  ingreso externo aeropuerto Viru Viru de la ciudad de Santa Cruz</t>
  </si>
  <si>
    <t>442</t>
  </si>
  <si>
    <t>Carteles de mano en foam con adhesivo</t>
  </si>
  <si>
    <t>443</t>
  </si>
  <si>
    <t>Carritos degustadores para choco like</t>
  </si>
  <si>
    <t>444</t>
  </si>
  <si>
    <t>Valla en paprika</t>
  </si>
  <si>
    <t>445</t>
  </si>
  <si>
    <t>Conferencia Chavo Salvatierra/Sta Cruz</t>
  </si>
  <si>
    <t>446</t>
  </si>
  <si>
    <t>Impresión de back/roller y banderines</t>
  </si>
  <si>
    <t>447</t>
  </si>
  <si>
    <t>Exhibidores publicitarios.</t>
  </si>
  <si>
    <t>448</t>
  </si>
  <si>
    <t>Activacion supermercados cbba</t>
  </si>
  <si>
    <t>449</t>
  </si>
  <si>
    <t>Activacion ultra lucky strike/ SCZ</t>
  </si>
  <si>
    <t>450</t>
  </si>
  <si>
    <t>Compra de tarjetas para unilever</t>
  </si>
  <si>
    <t>451</t>
  </si>
  <si>
    <t xml:space="preserve">Activacion hipermaxis SCZ </t>
  </si>
  <si>
    <t>452</t>
  </si>
  <si>
    <t>Servicio de elaboracion de carteles y señaleticas publicitarias en La Paz-El Alto</t>
  </si>
  <si>
    <t>453</t>
  </si>
  <si>
    <t>Elaboracion señaleticas publicitarias</t>
  </si>
  <si>
    <t>454</t>
  </si>
  <si>
    <t>Compra celulares Smartphone para mercaderistas LPZ - CBBA</t>
  </si>
  <si>
    <t>455</t>
  </si>
  <si>
    <t>Campaña Hot Wheels</t>
  </si>
  <si>
    <t>456</t>
  </si>
  <si>
    <t>Actividades Tigo Business - Capacitaciones/SCZ</t>
  </si>
  <si>
    <t>457</t>
  </si>
  <si>
    <t>Dakar 2017</t>
  </si>
  <si>
    <t>458</t>
  </si>
  <si>
    <t>Campaña Blitz 3 en 1</t>
  </si>
  <si>
    <t>459</t>
  </si>
  <si>
    <t>Activacion golf La Paz</t>
  </si>
  <si>
    <t>460</t>
  </si>
  <si>
    <t>Articulos Promocionales Big/La Paz</t>
  </si>
  <si>
    <t>461</t>
  </si>
  <si>
    <t>HALLOWEEN COBIJA</t>
  </si>
  <si>
    <t>462</t>
  </si>
  <si>
    <t>Impulsadoras -activacion dog chow para la linea purina</t>
  </si>
  <si>
    <t>463</t>
  </si>
  <si>
    <t>Activadoras para la marca mordisco</t>
  </si>
  <si>
    <t>464</t>
  </si>
  <si>
    <t>Señaleticas publicitarias y de seguridad vial.</t>
  </si>
  <si>
    <t>465</t>
  </si>
  <si>
    <t>Impresión de lona para valla publicitaria</t>
  </si>
  <si>
    <t>466</t>
  </si>
  <si>
    <t>Instalacion de bastidores publicitarios en licoreria CBBA.</t>
  </si>
  <si>
    <t>467</t>
  </si>
  <si>
    <t>468</t>
  </si>
  <si>
    <t>10 impulsadoras en supermercados/Gold Ecco</t>
  </si>
  <si>
    <t>469</t>
  </si>
  <si>
    <t>Stand Tresseme</t>
  </si>
  <si>
    <t>470</t>
  </si>
  <si>
    <t xml:space="preserve">Cambio de Lona </t>
  </si>
  <si>
    <t>471</t>
  </si>
  <si>
    <t>Retiro y traslado de cartel publicitario.</t>
  </si>
  <si>
    <t>472</t>
  </si>
  <si>
    <t>Armado stand jornada de educacion financiera SCZ.</t>
  </si>
  <si>
    <t>473</t>
  </si>
  <si>
    <t>Sampling nescafe 3 en 1- 6 impulsadoras</t>
  </si>
  <si>
    <t>474</t>
  </si>
  <si>
    <t>Degustacion en mercados A &amp; B- 5 nido impulsadoras</t>
  </si>
  <si>
    <t>475</t>
  </si>
  <si>
    <t>BTL Knorr-Hellmanns autoservicios</t>
  </si>
  <si>
    <t>476</t>
  </si>
  <si>
    <t>Degustacion en planta Nescafe</t>
  </si>
  <si>
    <t>477</t>
  </si>
  <si>
    <t>Elaboracion letreros publicitarios Agencia el alto La Paz</t>
  </si>
  <si>
    <t>478</t>
  </si>
  <si>
    <t>Halloween CBBA</t>
  </si>
  <si>
    <t>479</t>
  </si>
  <si>
    <t>Acustico cumbia de la cruz</t>
  </si>
  <si>
    <t>480</t>
  </si>
  <si>
    <t>Evento en Restaurant La Chingada</t>
  </si>
  <si>
    <t>481</t>
  </si>
  <si>
    <t xml:space="preserve">Compra tarjetas de credito unilever/Nivel Nacional. </t>
  </si>
  <si>
    <t>482</t>
  </si>
  <si>
    <t>Campaña puerta a puerta extension</t>
  </si>
  <si>
    <t>483</t>
  </si>
  <si>
    <t>Instalacion y Activacion sucursales bnb</t>
  </si>
  <si>
    <t>484</t>
  </si>
  <si>
    <t>Sport Zone desafio final</t>
  </si>
  <si>
    <t>485</t>
  </si>
  <si>
    <t>preventistas (cbba-la paz) y  embolsadora (cbba)</t>
  </si>
  <si>
    <t>486</t>
  </si>
  <si>
    <t>Carrera Tigo Run Tarija</t>
  </si>
  <si>
    <t>487</t>
  </si>
  <si>
    <t>Pago almacen Purina Cbba por 6 meses</t>
  </si>
  <si>
    <t>488</t>
  </si>
  <si>
    <t>Blitz  sopas y cremas Maggi</t>
  </si>
  <si>
    <t>489</t>
  </si>
  <si>
    <t>Armado imagen linea mazda en campeonato de golf SCZ.</t>
  </si>
  <si>
    <t>490</t>
  </si>
  <si>
    <t>Valla pop up con serigrafia</t>
  </si>
  <si>
    <t>491</t>
  </si>
  <si>
    <t>Tigo Business Forum/SCZ</t>
  </si>
  <si>
    <t>492</t>
  </si>
  <si>
    <t>Elaboracion muebles para salon Iozzo.</t>
  </si>
  <si>
    <t>493</t>
  </si>
  <si>
    <t>Pago Stand Expoteco</t>
  </si>
  <si>
    <t>494</t>
  </si>
  <si>
    <t>2 impulsadoras 10 dias Expoteco</t>
  </si>
  <si>
    <t>495</t>
  </si>
  <si>
    <t>stand Tresemme Bolivia Moda 2016</t>
  </si>
  <si>
    <t>496</t>
  </si>
  <si>
    <t>Elaboracion señaleticas nueva agencia</t>
  </si>
  <si>
    <t>497</t>
  </si>
  <si>
    <t xml:space="preserve">Activacion Knorr Hotel Cbba </t>
  </si>
  <si>
    <t>498</t>
  </si>
  <si>
    <t>Instalacion de bastidores publicitarios en restaurantes cbba.</t>
  </si>
  <si>
    <t>499</t>
  </si>
  <si>
    <t>Comision de agencia por elaboracion de video</t>
  </si>
  <si>
    <t>500</t>
  </si>
  <si>
    <t>11 impulsadoras panetones mercado tradicional</t>
  </si>
  <si>
    <t>501</t>
  </si>
  <si>
    <t>Fiesta de fin de año Tigo CBBA 2016</t>
  </si>
  <si>
    <t>502</t>
  </si>
  <si>
    <t>Pago vestido para tigo business forum</t>
  </si>
  <si>
    <t>503</t>
  </si>
  <si>
    <t>Factory La Paz</t>
  </si>
  <si>
    <t>504</t>
  </si>
  <si>
    <t>13 impulsadoras panetones supermercados</t>
  </si>
  <si>
    <t>505</t>
  </si>
  <si>
    <t>Activadoras para la marca Mordisco</t>
  </si>
  <si>
    <t>506</t>
  </si>
  <si>
    <t>Fabricacion de isla para Ola Maximus</t>
  </si>
  <si>
    <t>507</t>
  </si>
  <si>
    <t>Compra tarjetas de credito unilever / la paz</t>
  </si>
  <si>
    <t>508</t>
  </si>
  <si>
    <t>Mascota para activacion cereales</t>
  </si>
  <si>
    <t>509</t>
  </si>
  <si>
    <t>Activacion Nan 3</t>
  </si>
  <si>
    <t>510</t>
  </si>
  <si>
    <t>Cobertura a Mario Herrera en argentina como imagen de tigo.</t>
  </si>
  <si>
    <t>511</t>
  </si>
  <si>
    <t>Activacion senses Lucky Strike</t>
  </si>
  <si>
    <t>512</t>
  </si>
  <si>
    <t>Auspicio tigo Run CBBA (rexona)</t>
  </si>
  <si>
    <t>513</t>
  </si>
  <si>
    <t>514</t>
  </si>
  <si>
    <t>Instalacion alfombra stand bnb</t>
  </si>
  <si>
    <t>515</t>
  </si>
  <si>
    <t>Lanzamiento Wold trade center / SCZ</t>
  </si>
  <si>
    <t>516</t>
  </si>
  <si>
    <t>Fabricacion ambientacion retro back salon trends</t>
  </si>
  <si>
    <t>517</t>
  </si>
  <si>
    <t>Impresión de adhesivo para Nivea</t>
  </si>
  <si>
    <t>518</t>
  </si>
  <si>
    <t>Pago Proveedor Capsula Tigo</t>
  </si>
  <si>
    <t>519</t>
  </si>
  <si>
    <t>520</t>
  </si>
  <si>
    <t>Elaboracion banderolas</t>
  </si>
  <si>
    <t>521</t>
  </si>
  <si>
    <t>Carrera Tigo Run Oruro</t>
  </si>
  <si>
    <t>522</t>
  </si>
  <si>
    <t>Impulsadoras nido fortigrow</t>
  </si>
  <si>
    <t>523</t>
  </si>
  <si>
    <t xml:space="preserve">Personal de apoyo Supervision </t>
  </si>
  <si>
    <t>524</t>
  </si>
  <si>
    <t>Armado imagen Stand imcruz feria sobre ruedas</t>
  </si>
  <si>
    <t>525</t>
  </si>
  <si>
    <t>Materiales Stand imcruz feria sobre ruedas</t>
  </si>
  <si>
    <t>526</t>
  </si>
  <si>
    <t>Servicio impresión adhesivo</t>
  </si>
  <si>
    <t>527</t>
  </si>
  <si>
    <t>Elaboracion bandejas con logo</t>
  </si>
  <si>
    <t>528</t>
  </si>
  <si>
    <t>Campaña Dog Chow 200 grs 10 impulsadoras por diciembre</t>
  </si>
  <si>
    <t>529</t>
  </si>
  <si>
    <t>Diseño marca Unilever</t>
  </si>
  <si>
    <t>530</t>
  </si>
  <si>
    <t>Elaboracion trineos navideños</t>
  </si>
  <si>
    <t>531</t>
  </si>
  <si>
    <t>Elaboracion muebles para salon mi salud</t>
  </si>
  <si>
    <t>532</t>
  </si>
  <si>
    <t>Fabricacion carteles y menu</t>
  </si>
  <si>
    <t>533</t>
  </si>
  <si>
    <t>Elaboracion roller e impresión de lona.</t>
  </si>
  <si>
    <t>534</t>
  </si>
  <si>
    <t>Impresión de lona y elaboracion de adhesivo</t>
  </si>
  <si>
    <t>535</t>
  </si>
  <si>
    <t>Pago alquiler Vallas Nescafe El alto</t>
  </si>
  <si>
    <t>536</t>
  </si>
  <si>
    <t>Tigo run CBBA 2016</t>
  </si>
  <si>
    <t>537</t>
  </si>
  <si>
    <t>Elaboracion letrero luminoso</t>
  </si>
  <si>
    <t>538</t>
  </si>
  <si>
    <t>Tuppers de plastico</t>
  </si>
  <si>
    <t>539</t>
  </si>
  <si>
    <t>Fiesta fin de año tigo Marketing/SCZ 2016</t>
  </si>
  <si>
    <t>540</t>
  </si>
  <si>
    <t>Activacion axe/Nacional</t>
  </si>
  <si>
    <t>541</t>
  </si>
  <si>
    <t>Activacion Dove Unifranz</t>
  </si>
  <si>
    <t>542</t>
  </si>
  <si>
    <t>Casillero Metalico Ketal</t>
  </si>
  <si>
    <t>543</t>
  </si>
  <si>
    <t>Fabricacion mueble y cuadro para salon oxigeno</t>
  </si>
  <si>
    <t>544</t>
  </si>
  <si>
    <t>Pago prveedor por servicio traduccion de estudios.</t>
  </si>
  <si>
    <t>545</t>
  </si>
  <si>
    <t>Armado Imagen Imcruz golf tarija</t>
  </si>
  <si>
    <t>546</t>
  </si>
  <si>
    <t>Degustacion en distribuidoras del eje troncal</t>
  </si>
  <si>
    <t>547</t>
  </si>
  <si>
    <t>Elaboracion cartel publicitario</t>
  </si>
  <si>
    <t>548</t>
  </si>
  <si>
    <t>Pago proveedor bolsas unilever  (skip)</t>
  </si>
  <si>
    <t>549</t>
  </si>
  <si>
    <t>Colocado de pasacalle en la ciudad de sucre.</t>
  </si>
  <si>
    <t>550</t>
  </si>
  <si>
    <t>Colocado de pasacalle en la ciudad de potosi.</t>
  </si>
  <si>
    <t>551</t>
  </si>
  <si>
    <t>Impulsacion Chocolates para canal moderno.</t>
  </si>
  <si>
    <t>552</t>
  </si>
  <si>
    <t>Impulsadoras en mercados</t>
  </si>
  <si>
    <t>553</t>
  </si>
  <si>
    <t xml:space="preserve">Servicio de eventos a nivel nacional por Septiembre 2016 </t>
  </si>
  <si>
    <t>554</t>
  </si>
  <si>
    <t xml:space="preserve">Servicio de eventos a nivel nacional por Octubre 2016 </t>
  </si>
  <si>
    <t>555</t>
  </si>
  <si>
    <t>Pago proveedor poleras unilever/ pro ride</t>
  </si>
  <si>
    <t>556</t>
  </si>
  <si>
    <t>Servicio de activacion en la ciudad de cochabamba</t>
  </si>
  <si>
    <t>557</t>
  </si>
  <si>
    <t>Servicio impulsacion canal moderno y tradicional</t>
  </si>
  <si>
    <t>558</t>
  </si>
  <si>
    <t>Impresión de lona full color</t>
  </si>
  <si>
    <t>559</t>
  </si>
  <si>
    <t xml:space="preserve">Fabricacion cartel luminoso </t>
  </si>
  <si>
    <t>560</t>
  </si>
  <si>
    <t>Alquiler toldos para cbn</t>
  </si>
  <si>
    <t>561</t>
  </si>
  <si>
    <t>Desayuno Tigo 2016</t>
  </si>
  <si>
    <t>562</t>
  </si>
  <si>
    <t>Activacion Skip (colocado rosones)</t>
  </si>
  <si>
    <t>563</t>
  </si>
  <si>
    <t xml:space="preserve">Impresión de adhesivo arcla </t>
  </si>
  <si>
    <t>564</t>
  </si>
  <si>
    <t>Desayuno aldea SOS 2016</t>
  </si>
  <si>
    <t>565</t>
  </si>
  <si>
    <t>Largada simbolica Chavo Salvatierra/rexona</t>
  </si>
  <si>
    <t>566</t>
  </si>
  <si>
    <t>Elaboracion anfora para sorteo rexona</t>
  </si>
  <si>
    <t>567</t>
  </si>
  <si>
    <t>Auspicio Año Nuevo Tigo 2016</t>
  </si>
  <si>
    <t>568</t>
  </si>
  <si>
    <t>Impulsadora para mercado la paz</t>
  </si>
  <si>
    <t>569</t>
  </si>
  <si>
    <t>adecuación de un letrero luminoso.</t>
  </si>
  <si>
    <t>570</t>
  </si>
  <si>
    <t>571</t>
  </si>
  <si>
    <t>572</t>
  </si>
  <si>
    <t>SUT TOTAL</t>
  </si>
  <si>
    <t>PERMISO</t>
  </si>
  <si>
    <t>PERMISO QUILLACOLLO</t>
  </si>
  <si>
    <t>SOPORTE LOGISTICO</t>
  </si>
  <si>
    <t>TRANSPORTE</t>
  </si>
  <si>
    <t>ELECTRICIDAD</t>
  </si>
  <si>
    <t>EMSA</t>
  </si>
  <si>
    <t>PARD LED</t>
  </si>
  <si>
    <t>EXTRA SOPORTE LOGISTICO</t>
  </si>
  <si>
    <t>PARLANTE Y MICROFONO</t>
  </si>
  <si>
    <t>ANIMADOR</t>
  </si>
  <si>
    <t>TV</t>
  </si>
  <si>
    <t>IMPULSADORAS</t>
  </si>
  <si>
    <t>GUARDIA DE SEGURIDAD</t>
  </si>
  <si>
    <t xml:space="preserve">VERDADERO </t>
  </si>
  <si>
    <t>RECIBO</t>
  </si>
  <si>
    <t>SIN IMPUESTO</t>
  </si>
  <si>
    <t>TIPO O FORMA</t>
  </si>
  <si>
    <t>VIATICOS</t>
  </si>
  <si>
    <t>ALQUILER SIN RECIBO</t>
  </si>
  <si>
    <t xml:space="preserve"> MATERIAL ADQUIRIDOS O ENTREGADOS POR ALMACEN</t>
  </si>
  <si>
    <t>COSTOS MATERIALES ESTIMADOS</t>
  </si>
  <si>
    <t xml:space="preserve">SERVICIOS </t>
  </si>
  <si>
    <t xml:space="preserve">COSTO ESTIMADO DE SERVICIOS </t>
  </si>
  <si>
    <t>N* DIAS</t>
  </si>
  <si>
    <t xml:space="preserve">TOTAL EGRESO MENOS MOD OPER.,MOD TALLER , FINANCIERO </t>
  </si>
  <si>
    <t>COSTO INDIRECTO DE RG</t>
  </si>
  <si>
    <t>factor</t>
  </si>
  <si>
    <t xml:space="preserve">factor por decisicion de gerencia </t>
  </si>
  <si>
    <t>TOTALES</t>
  </si>
  <si>
    <t>DOCUMENTO</t>
  </si>
  <si>
    <t>IT</t>
  </si>
  <si>
    <t>IVA</t>
  </si>
  <si>
    <t>(+) Grossing-up Tributario</t>
  </si>
  <si>
    <t>= COSTO NETO DEL SERVICIO BS. (sin impuestos)</t>
  </si>
  <si>
    <t>(+) Beneficios Grupo Regional</t>
  </si>
  <si>
    <t xml:space="preserve">(+) Gastos administrativos y de gestión </t>
  </si>
  <si>
    <t>(+) Grossing-up Costos Laborales - Patronales</t>
  </si>
  <si>
    <t>CARGO</t>
  </si>
  <si>
    <t>Expresado en Bolivianos</t>
  </si>
  <si>
    <t xml:space="preserve">PERSONAL </t>
  </si>
  <si>
    <t xml:space="preserve">COCHABAMBA </t>
  </si>
  <si>
    <t>LA PAZ</t>
  </si>
  <si>
    <t>ORURO</t>
  </si>
  <si>
    <t>TARIJA</t>
  </si>
  <si>
    <t>POTOSI</t>
  </si>
  <si>
    <t>SUCRE</t>
  </si>
  <si>
    <t>PANDO</t>
  </si>
  <si>
    <t xml:space="preserve">(+) Costo financiero </t>
  </si>
  <si>
    <t>(+) Costo financiero</t>
  </si>
  <si>
    <t>EL ALTO</t>
  </si>
  <si>
    <t>F.E.E PROGRAMADO</t>
  </si>
  <si>
    <t>GRUPO REGIONAL SRL</t>
  </si>
  <si>
    <t>COSTO  ACUMULADO  PROGRAMADO</t>
  </si>
  <si>
    <t>TASA DE APLICACIÓN</t>
  </si>
  <si>
    <t>COSTO  PROGRAMADO DE COSTOS INDIRECTOS</t>
  </si>
  <si>
    <t>V</t>
  </si>
  <si>
    <t>Carga Impositiva</t>
  </si>
  <si>
    <t>Retenciones IUE Servicios</t>
  </si>
  <si>
    <t>REtenciones IT Servicios</t>
  </si>
  <si>
    <t>CANTIDAD DE ACTIVACIONES</t>
  </si>
  <si>
    <t>PAGO POR ACTIVACION</t>
  </si>
  <si>
    <t>CANTINDAD DE ACTIVACIONES</t>
  </si>
  <si>
    <t>Uniformes</t>
  </si>
  <si>
    <t>UNIDAD DE MEDIDA</t>
  </si>
  <si>
    <t>COSTO TOTAL</t>
  </si>
  <si>
    <t>(+) Grossing-Impuestos por Servicios</t>
  </si>
  <si>
    <t>(+) Servicio de Respaldo Administrativo</t>
  </si>
  <si>
    <t>(+) F.E.E.  Grupo Regional</t>
  </si>
  <si>
    <t>= Impuesto de Facturacion en favor del Cliente</t>
  </si>
  <si>
    <t>= TOTAL PRECIO FACTURADO DEL SERVICIO (Bolivianos).</t>
  </si>
  <si>
    <t>Retenciones IT Servicios</t>
  </si>
  <si>
    <t>(+) Servicio Respaldo Administrativo</t>
  </si>
  <si>
    <t>(+) F.E.E. Grupo Regional</t>
  </si>
  <si>
    <t>=Impuesto de Facturacion en favor del Cliente</t>
  </si>
  <si>
    <t>Señores:</t>
  </si>
  <si>
    <t>Presente.-</t>
  </si>
  <si>
    <t>Cualquier consulta comunicarse al celular: 759-40022, o a los correos mencionados en la parte
inferior de esta página, con gusto atendere sus consultas.</t>
  </si>
  <si>
    <t xml:space="preserve">ESTRUCTURA DEL PERSONAL DEL PROYECTO </t>
  </si>
  <si>
    <t>EQUIPOS, MATERIALES Y SERVICIOS TOTALES DE LA PROYECTO</t>
  </si>
  <si>
    <t>COSTOS INDIRECTOS DEL PROYECTO</t>
  </si>
  <si>
    <t>CANTIDAD DE PERSONAS</t>
  </si>
  <si>
    <t>ESTRUCTURA DE COSTOS POR ACTIVACION</t>
  </si>
  <si>
    <t>TOTAL CANTIDAD DE PERSONAS</t>
  </si>
  <si>
    <t>TOTAL CANTDAD DE ACTIVACIONES</t>
  </si>
  <si>
    <t>COSTO POR ACTIVACION</t>
  </si>
  <si>
    <t>CODIGO DE PROYECTO</t>
  </si>
  <si>
    <t>De nuestra mayor consideracion:</t>
  </si>
  <si>
    <t>Detalle costos personal:</t>
  </si>
  <si>
    <t>ACTIVACIONES</t>
  </si>
  <si>
    <t>El costo total por el personal es de 409.095 bs (Cuatrocientos nueve mil noventa y cinco bolivianos 00/100)</t>
  </si>
  <si>
    <t>Detalle por utilitarios :</t>
  </si>
  <si>
    <t>COSTO UNITARIO (Bs.)</t>
  </si>
  <si>
    <t>COSTO TOTAL (Bs.)</t>
  </si>
  <si>
    <t>Subtotal</t>
  </si>
  <si>
    <t>Fee</t>
  </si>
  <si>
    <t>Total</t>
  </si>
  <si>
    <t>El costo total por los utilitarios y transporte es de 191,196 Bs (Ciento noventa y un mil ciento noventa y seis mil bolivianos 00/100)</t>
  </si>
  <si>
    <t>Nuestra cotizacion incluye:</t>
  </si>
  <si>
    <t>Promotores con facilidad de palabra y poder de convencimiento</t>
  </si>
  <si>
    <t>• Personal de logistica para carga y descarga del producto, refill en ruta, control de almacenes</t>
  </si>
  <si>
    <t>•Transporte y logistica para distribucion de personal y packs en campo de trabajo</t>
  </si>
  <si>
    <t>• Uniformes según detalle en cuadro de utilitarios</t>
  </si>
  <si>
    <t>• Seguimientos cualitativos.</t>
  </si>
  <si>
    <t>• Documentos de identificación (Credenciales).</t>
  </si>
  <si>
    <t>• Gastos Administrativos.</t>
  </si>
  <si>
    <t>• Impuestos de Ley.</t>
  </si>
  <si>
    <t>Grossing-up Tributario</t>
  </si>
  <si>
    <t>Codigo</t>
  </si>
  <si>
    <t>GASTOS VARIOS</t>
  </si>
  <si>
    <t>COSTO TOTAL SIN FACTURA</t>
  </si>
  <si>
    <t>PERSONAL</t>
  </si>
  <si>
    <t>Personal eventual</t>
  </si>
  <si>
    <t>Trasporte  distribución</t>
  </si>
  <si>
    <t>TRANSPORTE DISTRIBUCION</t>
  </si>
  <si>
    <t>Trasporte operativo supervisor</t>
  </si>
  <si>
    <t>Transporte para gestiones</t>
  </si>
  <si>
    <t>Pasaje adminitrativos</t>
  </si>
  <si>
    <t>Viáticos personal planta</t>
  </si>
  <si>
    <t>Viáticos personal eventual</t>
  </si>
  <si>
    <t>Viáticos Viajes</t>
  </si>
  <si>
    <t>VIATICO SCZ</t>
  </si>
  <si>
    <t>VIATICO LA PAZ</t>
  </si>
  <si>
    <t>SERVICIOS BASICOS</t>
  </si>
  <si>
    <t>Luz</t>
  </si>
  <si>
    <t>Agua</t>
  </si>
  <si>
    <t>Internet</t>
  </si>
  <si>
    <t>Telefonía fija</t>
  </si>
  <si>
    <t>Telefonía móvil</t>
  </si>
  <si>
    <t>SEGUROS</t>
  </si>
  <si>
    <t>Seguros</t>
  </si>
  <si>
    <t>Credenciales</t>
  </si>
  <si>
    <t>Material de Oficina</t>
  </si>
  <si>
    <t>Comestibles</t>
  </si>
  <si>
    <t>Insumos utencilios</t>
  </si>
  <si>
    <t>MASQUIN PARA BANDEO</t>
  </si>
  <si>
    <t>Material POP</t>
  </si>
  <si>
    <t>Materiales utilitarios</t>
  </si>
  <si>
    <t>SERVICIOS EXTERNOS</t>
  </si>
  <si>
    <t xml:space="preserve">Gestión de Permisos </t>
  </si>
  <si>
    <t>Sonido e iluminación</t>
  </si>
  <si>
    <t>Pirotecnia</t>
  </si>
  <si>
    <t>Reparaciones</t>
  </si>
  <si>
    <t>Almacenaje</t>
  </si>
  <si>
    <t>Diseño</t>
  </si>
  <si>
    <t>Servicio de terceros</t>
  </si>
  <si>
    <t>Servicios externos</t>
  </si>
  <si>
    <t>Publicaciones</t>
  </si>
  <si>
    <t>CHAPARE</t>
  </si>
  <si>
    <t>TOTAL PROFORMA</t>
  </si>
  <si>
    <t>PERSONAL ACT.</t>
  </si>
  <si>
    <t>MATE. Y  SERVI.</t>
  </si>
  <si>
    <t xml:space="preserve">FORMA DE PAGO </t>
  </si>
  <si>
    <t>SIN FACTURA</t>
  </si>
  <si>
    <t>F</t>
  </si>
  <si>
    <t>GASTOS AUXILIARES</t>
  </si>
  <si>
    <t>CORREO ELECTRONICO DEL CLIENTE</t>
  </si>
  <si>
    <t xml:space="preserve">TIPO DE PROYECTO </t>
  </si>
  <si>
    <t>NOMBRE DEL PROYECTO</t>
  </si>
  <si>
    <t>FECHA DE INICIO DEL PROYECTO</t>
  </si>
  <si>
    <t>FECHA DE CONCLUSION DE PROYECTO</t>
  </si>
  <si>
    <t>2.2</t>
  </si>
  <si>
    <t>PERSONA INTERNO DIRECTO QUE INTERVIENE EN EL PROYECTO</t>
  </si>
  <si>
    <t>PERSONAL EXTERNO DIRECTO QUE INTERVIENE EN EL PROYECTO</t>
  </si>
  <si>
    <t xml:space="preserve">DETALLE </t>
  </si>
  <si>
    <t>CANTIDAD PERSONAS</t>
  </si>
  <si>
    <t>TIEMPO</t>
  </si>
  <si>
    <t>TASA PRESUPUESTADA</t>
  </si>
  <si>
    <t>COSTO TOTAL PROGRAMADO DE M.O.D</t>
  </si>
  <si>
    <t>EJECUTIVO DE CUENTA</t>
  </si>
  <si>
    <t>SUPERVISOR DEL PROYECTO</t>
  </si>
  <si>
    <t>NOMBRE DEL PROVEEDOR</t>
  </si>
  <si>
    <t>SERVICIO / PRODUCTOS PROPIOS DE GRUPO REGIONAL</t>
  </si>
  <si>
    <t xml:space="preserve">PRODUCTO PROPIO  DE TALLER </t>
  </si>
  <si>
    <t>4.1</t>
  </si>
  <si>
    <t>PRODUCTOS TERMINADOS DE TALLER</t>
  </si>
  <si>
    <t>AREA DE PRODUCCION</t>
  </si>
  <si>
    <t>GRUPO  REGIONAL SRL</t>
  </si>
  <si>
    <t>TALLER</t>
  </si>
  <si>
    <t>SERVICIO DE OPERACION PROPIO</t>
  </si>
  <si>
    <t>5.1</t>
  </si>
  <si>
    <t>DETALLE DEL SERVICIO</t>
  </si>
  <si>
    <t>AREA DE SERVICIO</t>
  </si>
  <si>
    <t xml:space="preserve">EQUIPOS PROPIOS </t>
  </si>
  <si>
    <t>6.1</t>
  </si>
  <si>
    <t>ALMACEN DE GR SRL</t>
  </si>
  <si>
    <t xml:space="preserve">DETALLE DEL SERVICIO </t>
  </si>
  <si>
    <t>EVENTOS ATL</t>
  </si>
  <si>
    <t>COSTO INCURRIDO</t>
  </si>
  <si>
    <t>1.8</t>
  </si>
  <si>
    <t>EXTERNO</t>
  </si>
  <si>
    <t>DIAS DECREDITO</t>
  </si>
  <si>
    <t>LUGAR</t>
  </si>
  <si>
    <t xml:space="preserve">UNIDAD DE MEDIDA </t>
  </si>
  <si>
    <t>COSTO DE VALOR AGREGADO</t>
  </si>
  <si>
    <t>DIFERENCIA</t>
  </si>
  <si>
    <t>CIUDAD:</t>
  </si>
  <si>
    <t>TOTAL ACT. MAS CARGAS IMPOSITIVA C/U</t>
  </si>
  <si>
    <t>TOTAL ACT. MAS CARGAS IMPOSITIVA GOBLAL</t>
  </si>
  <si>
    <t>PROVEEDOR</t>
  </si>
  <si>
    <t xml:space="preserve">PROVEEDOR </t>
  </si>
  <si>
    <t xml:space="preserve">F.E.E.  PROGRAMADO </t>
  </si>
  <si>
    <t>F.E.E. VARIABLE</t>
  </si>
  <si>
    <t>SUBTOTAL SERVICIOS</t>
  </si>
  <si>
    <t>SUB TOTAL MATERIALES</t>
  </si>
  <si>
    <r>
      <rPr>
        <b/>
        <sz val="20"/>
        <color rgb="FF548235"/>
        <rFont val="Calibri"/>
        <family val="2"/>
        <scheme val="minor"/>
      </rPr>
      <t xml:space="preserve">       </t>
    </r>
    <r>
      <rPr>
        <b/>
        <u/>
        <sz val="20"/>
        <color rgb="FF548235"/>
        <rFont val="Calibri"/>
        <family val="2"/>
        <scheme val="minor"/>
      </rPr>
      <t>HOJA DE COSTO DE ACTIVACIONES BTL DE SERVICIOS</t>
    </r>
  </si>
  <si>
    <t>3.1</t>
  </si>
  <si>
    <t>4.2</t>
  </si>
  <si>
    <t>7.1</t>
  </si>
  <si>
    <t>8.1</t>
  </si>
  <si>
    <t>8.2</t>
  </si>
  <si>
    <t>TOTAL CLIENTE</t>
  </si>
  <si>
    <t>TOTAL/CLIENTE</t>
  </si>
  <si>
    <t>1.9</t>
  </si>
  <si>
    <t>ELABORADO  POR</t>
  </si>
  <si>
    <t>ALVARO VEGA</t>
  </si>
  <si>
    <t>1.10</t>
  </si>
  <si>
    <t xml:space="preserve">UBICACIÓN </t>
  </si>
  <si>
    <t>1.1</t>
  </si>
  <si>
    <t>1.2</t>
  </si>
  <si>
    <t>1.4</t>
  </si>
  <si>
    <t>1.3</t>
  </si>
  <si>
    <t>1.5</t>
  </si>
  <si>
    <t>1.6</t>
  </si>
  <si>
    <t>1.7</t>
  </si>
  <si>
    <t>COSTOS S/G PDF DEL PROYECTO</t>
  </si>
  <si>
    <t>COSTOS ESTIMADO S/G HOJA COSTO PROYECTO</t>
  </si>
  <si>
    <t>COCHABAMBA</t>
  </si>
  <si>
    <t>www.gruporegional.com</t>
  </si>
  <si>
    <t>Atentamente</t>
  </si>
  <si>
    <t>• Personal con experiencia</t>
  </si>
  <si>
    <t>• Ejecutivo de cuentas para control y monitoreo de actividad</t>
  </si>
  <si>
    <t>• Informes digitales cuantitativos y fotográficos.</t>
  </si>
  <si>
    <t>Le hacemos llegar la cotización y facturación detallada por la ejecución del servicio de Impulso en mercado tradicional y moderno</t>
  </si>
  <si>
    <t>Maira Crespo - AIDISA</t>
  </si>
  <si>
    <t>CBBA</t>
  </si>
  <si>
    <t xml:space="preserve">IMPULSADORAS BIC IC NORTE </t>
  </si>
  <si>
    <t xml:space="preserve">IMPULSADORAS SUPERMERCADO IC NORTE </t>
  </si>
  <si>
    <t xml:space="preserve">REF: COTIZACION IMPULSO - BIC IC NORTE </t>
  </si>
  <si>
    <t xml:space="preserve">pasajes supervision </t>
  </si>
  <si>
    <t xml:space="preserve">credito </t>
  </si>
  <si>
    <t>El costo total por el servicio es de 672,90 bs (seiscientos setenta y dos bolivianos 90/100)</t>
  </si>
  <si>
    <t xml:space="preserve">• Horario de trabajo 3 horas diarias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</si>
</sst>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\ _€_-;\-* #,##0\ _€_-;_-* &quot;-&quot;\ _€_-;_-@_-"/>
    <numFmt numFmtId="43" formatCode="_-* #,##0.00\ _€_-;\-* #,##0.00\ _€_-;_-* &quot;-&quot;??\ _€_-;_-@_-"/>
    <numFmt numFmtId="164" formatCode="0.0000000%"/>
    <numFmt numFmtId="165" formatCode="0.00000000%"/>
    <numFmt numFmtId="166" formatCode="#,##0.00_ ;[Red]\-#,##0.00\ "/>
    <numFmt numFmtId="167" formatCode="#,##0.0000"/>
    <numFmt numFmtId="168" formatCode="_-* #,##0.00\ _€_-;\-* #,##0.00\ _€_-;_-* &quot;-&quot;\ _€_-;_-@_-"/>
    <numFmt numFmtId="169" formatCode="_-* #,##0\ _€_-;\-* #,##0\ _€_-;_-* &quot;-&quot;??\ _€_-;_-@_-"/>
    <numFmt numFmtId="170" formatCode="_(* #,##0.00_);_(* \(#,##0.00\);_(* &quot;-&quot;??_);_(@_)"/>
    <numFmt numFmtId="171" formatCode="_(* #,##0_);_(* \(#,##0\);_(* &quot;-&quot;??_);_(@_)"/>
    <numFmt numFmtId="172" formatCode="[$-F800]dddd\,\ mmmm\ dd\,\ yyyy"/>
    <numFmt numFmtId="173" formatCode="0.00000%"/>
    <numFmt numFmtId="174" formatCode="#,##0.0"/>
  </numFmts>
  <fonts count="5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1"/>
      <color rgb="FF5B3427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"/>
      <family val="2"/>
    </font>
    <font>
      <sz val="22"/>
      <color theme="1"/>
      <name val="Arial"/>
      <family val="2"/>
    </font>
    <font>
      <b/>
      <u/>
      <sz val="12"/>
      <color theme="1"/>
      <name val="Arial"/>
      <family val="2"/>
    </font>
    <font>
      <i/>
      <sz val="11"/>
      <color theme="1"/>
      <name val="Arial"/>
      <family val="2"/>
    </font>
    <font>
      <b/>
      <u/>
      <sz val="11"/>
      <color theme="1"/>
      <name val="Arial"/>
      <family val="2"/>
    </font>
    <font>
      <sz val="20"/>
      <color theme="1"/>
      <name val="Arial"/>
      <family val="2"/>
    </font>
    <font>
      <sz val="20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i/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u val="singleAccounting"/>
      <sz val="11"/>
      <color theme="1"/>
      <name val="Arial"/>
      <family val="2"/>
    </font>
    <font>
      <u/>
      <sz val="11"/>
      <color theme="1"/>
      <name val="Arial"/>
      <family val="2"/>
    </font>
    <font>
      <b/>
      <sz val="16"/>
      <color theme="8" tint="-0.249977111117893"/>
      <name val="Arial"/>
      <family val="2"/>
    </font>
    <font>
      <b/>
      <sz val="16"/>
      <color theme="8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u/>
      <sz val="20"/>
      <color rgb="FF548235"/>
      <name val="Calibri"/>
      <family val="2"/>
      <scheme val="minor"/>
    </font>
    <font>
      <b/>
      <sz val="20"/>
      <color rgb="FF548235"/>
      <name val="Calibri"/>
      <family val="2"/>
      <scheme val="minor"/>
    </font>
    <font>
      <b/>
      <sz val="2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1"/>
      <color theme="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4A70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69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5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548235"/>
      </left>
      <right/>
      <top style="thin">
        <color rgb="FF548235"/>
      </top>
      <bottom style="thin">
        <color rgb="FF548235"/>
      </bottom>
      <diagonal/>
    </border>
    <border>
      <left/>
      <right/>
      <top style="thin">
        <color rgb="FF548235"/>
      </top>
      <bottom style="thin">
        <color rgb="FF548235"/>
      </bottom>
      <diagonal/>
    </border>
    <border>
      <left/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rgb="FF548235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548235"/>
      </left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548235"/>
      </left>
      <right style="thin">
        <color rgb="FF548235"/>
      </right>
      <top style="thin">
        <color rgb="FF548235"/>
      </top>
      <bottom/>
      <diagonal/>
    </border>
  </borders>
  <cellStyleXfs count="9">
    <xf numFmtId="0" fontId="0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170" fontId="4" fillId="0" borderId="0" applyFont="0" applyFill="0" applyBorder="0" applyAlignment="0" applyProtection="0"/>
    <xf numFmtId="0" fontId="4" fillId="0" borderId="0"/>
    <xf numFmtId="0" fontId="5" fillId="0" borderId="0" applyNumberFormat="0" applyFont="0" applyFill="0" applyBorder="0" applyAlignment="0" applyProtection="0">
      <alignment vertical="top"/>
    </xf>
    <xf numFmtId="43" fontId="4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485">
    <xf numFmtId="0" fontId="0" fillId="0" borderId="0" xfId="0"/>
    <xf numFmtId="0" fontId="1" fillId="0" borderId="2" xfId="0" applyFont="1" applyBorder="1" applyAlignment="1">
      <alignment horizontal="center" vertical="center"/>
    </xf>
    <xf numFmtId="9" fontId="0" fillId="0" borderId="0" xfId="1" applyFont="1"/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64" fontId="0" fillId="0" borderId="2" xfId="1" applyNumberFormat="1" applyFont="1" applyBorder="1" applyAlignment="1">
      <alignment horizontal="center" vertical="center"/>
    </xf>
    <xf numFmtId="165" fontId="0" fillId="0" borderId="2" xfId="1" applyNumberFormat="1" applyFont="1" applyBorder="1" applyAlignment="1">
      <alignment horizontal="center" vertical="center"/>
    </xf>
    <xf numFmtId="4" fontId="0" fillId="0" borderId="0" xfId="0" applyNumberFormat="1"/>
    <xf numFmtId="0" fontId="0" fillId="0" borderId="2" xfId="0" quotePrefix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7" borderId="0" xfId="0" applyFill="1"/>
    <xf numFmtId="0" fontId="0" fillId="8" borderId="0" xfId="0" applyFont="1" applyFill="1"/>
    <xf numFmtId="0" fontId="0" fillId="9" borderId="0" xfId="0" applyFont="1" applyFill="1"/>
    <xf numFmtId="4" fontId="1" fillId="0" borderId="2" xfId="0" applyNumberFormat="1" applyFont="1" applyBorder="1" applyAlignment="1">
      <alignment horizontal="center" vertical="center"/>
    </xf>
    <xf numFmtId="4" fontId="13" fillId="0" borderId="0" xfId="0" applyNumberFormat="1" applyFont="1"/>
    <xf numFmtId="9" fontId="13" fillId="0" borderId="0" xfId="1" applyFont="1"/>
    <xf numFmtId="4" fontId="8" fillId="0" borderId="0" xfId="0" applyNumberFormat="1" applyFont="1"/>
    <xf numFmtId="0" fontId="13" fillId="0" borderId="0" xfId="0" applyFont="1"/>
    <xf numFmtId="0" fontId="16" fillId="2" borderId="0" xfId="0" applyFont="1" applyFill="1" applyBorder="1" applyAlignment="1">
      <alignment horizontal="center"/>
    </xf>
    <xf numFmtId="0" fontId="13" fillId="2" borderId="0" xfId="0" applyFont="1" applyFill="1" applyBorder="1"/>
    <xf numFmtId="4" fontId="13" fillId="2" borderId="0" xfId="0" applyNumberFormat="1" applyFont="1" applyFill="1" applyBorder="1"/>
    <xf numFmtId="4" fontId="10" fillId="2" borderId="0" xfId="0" applyNumberFormat="1" applyFont="1" applyFill="1" applyBorder="1"/>
    <xf numFmtId="0" fontId="13" fillId="0" borderId="0" xfId="0" applyFont="1" applyFill="1"/>
    <xf numFmtId="0" fontId="13" fillId="10" borderId="0" xfId="0" applyFont="1" applyFill="1"/>
    <xf numFmtId="0" fontId="16" fillId="0" borderId="0" xfId="0" applyFont="1" applyFill="1" applyAlignment="1">
      <alignment horizontal="center"/>
    </xf>
    <xf numFmtId="4" fontId="13" fillId="10" borderId="0" xfId="0" applyNumberFormat="1" applyFont="1" applyFill="1"/>
    <xf numFmtId="4" fontId="13" fillId="0" borderId="0" xfId="0" applyNumberFormat="1" applyFont="1" applyFill="1"/>
    <xf numFmtId="0" fontId="13" fillId="10" borderId="0" xfId="0" quotePrefix="1" applyFont="1" applyFill="1"/>
    <xf numFmtId="0" fontId="10" fillId="10" borderId="0" xfId="0" applyFont="1" applyFill="1" applyAlignment="1">
      <alignment horizontal="left" indent="1"/>
    </xf>
    <xf numFmtId="10" fontId="13" fillId="10" borderId="0" xfId="0" applyNumberFormat="1" applyFont="1" applyFill="1"/>
    <xf numFmtId="0" fontId="13" fillId="10" borderId="0" xfId="0" applyFont="1" applyFill="1" applyAlignment="1">
      <alignment horizontal="left" indent="2"/>
    </xf>
    <xf numFmtId="10" fontId="13" fillId="10" borderId="0" xfId="1" applyNumberFormat="1" applyFont="1" applyFill="1"/>
    <xf numFmtId="0" fontId="13" fillId="10" borderId="0" xfId="0" quotePrefix="1" applyFont="1" applyFill="1" applyAlignment="1">
      <alignment horizontal="left"/>
    </xf>
    <xf numFmtId="0" fontId="13" fillId="10" borderId="7" xfId="0" quotePrefix="1" applyFont="1" applyFill="1" applyBorder="1" applyAlignment="1">
      <alignment horizontal="left"/>
    </xf>
    <xf numFmtId="0" fontId="13" fillId="10" borderId="7" xfId="0" applyFont="1" applyFill="1" applyBorder="1"/>
    <xf numFmtId="9" fontId="13" fillId="10" borderId="7" xfId="0" applyNumberFormat="1" applyFont="1" applyFill="1" applyBorder="1"/>
    <xf numFmtId="4" fontId="13" fillId="10" borderId="7" xfId="0" applyNumberFormat="1" applyFont="1" applyFill="1" applyBorder="1"/>
    <xf numFmtId="4" fontId="13" fillId="0" borderId="7" xfId="0" applyNumberFormat="1" applyFont="1" applyFill="1" applyBorder="1"/>
    <xf numFmtId="0" fontId="10" fillId="10" borderId="0" xfId="0" quotePrefix="1" applyFont="1" applyFill="1" applyAlignment="1">
      <alignment horizontal="left"/>
    </xf>
    <xf numFmtId="0" fontId="10" fillId="10" borderId="0" xfId="0" applyFont="1" applyFill="1"/>
    <xf numFmtId="4" fontId="10" fillId="10" borderId="0" xfId="0" applyNumberFormat="1" applyFont="1" applyFill="1"/>
    <xf numFmtId="4" fontId="10" fillId="0" borderId="0" xfId="0" applyNumberFormat="1" applyFont="1" applyFill="1"/>
    <xf numFmtId="0" fontId="13" fillId="10" borderId="0" xfId="0" applyFont="1" applyFill="1" applyAlignment="1">
      <alignment horizontal="left" indent="1"/>
    </xf>
    <xf numFmtId="9" fontId="13" fillId="10" borderId="0" xfId="1" applyFont="1" applyFill="1"/>
    <xf numFmtId="0" fontId="13" fillId="10" borderId="7" xfId="0" applyFont="1" applyFill="1" applyBorder="1" applyAlignment="1">
      <alignment horizontal="left" indent="1"/>
    </xf>
    <xf numFmtId="9" fontId="13" fillId="10" borderId="7" xfId="1" applyFont="1" applyFill="1" applyBorder="1"/>
    <xf numFmtId="10" fontId="13" fillId="10" borderId="7" xfId="1" applyNumberFormat="1" applyFont="1" applyFill="1" applyBorder="1"/>
    <xf numFmtId="16" fontId="13" fillId="0" borderId="0" xfId="0" applyNumberFormat="1" applyFont="1"/>
    <xf numFmtId="0" fontId="8" fillId="0" borderId="0" xfId="0" applyFont="1"/>
    <xf numFmtId="0" fontId="17" fillId="0" borderId="0" xfId="0" applyFont="1" applyFill="1" applyAlignment="1">
      <alignment horizontal="center"/>
    </xf>
    <xf numFmtId="0" fontId="0" fillId="0" borderId="0" xfId="0" applyFont="1"/>
    <xf numFmtId="0" fontId="17" fillId="2" borderId="0" xfId="0" applyFont="1" applyFill="1" applyBorder="1" applyAlignment="1">
      <alignment horizontal="center"/>
    </xf>
    <xf numFmtId="0" fontId="17" fillId="10" borderId="0" xfId="0" applyFont="1" applyFill="1" applyAlignment="1"/>
    <xf numFmtId="0" fontId="17" fillId="10" borderId="0" xfId="0" applyFont="1" applyFill="1" applyAlignment="1">
      <alignment horizontal="center"/>
    </xf>
    <xf numFmtId="2" fontId="10" fillId="10" borderId="0" xfId="0" applyNumberFormat="1" applyFont="1" applyFill="1"/>
    <xf numFmtId="0" fontId="9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wrapText="1"/>
    </xf>
    <xf numFmtId="0" fontId="0" fillId="0" borderId="0" xfId="0"/>
    <xf numFmtId="0" fontId="0" fillId="0" borderId="0" xfId="0"/>
    <xf numFmtId="4" fontId="9" fillId="0" borderId="0" xfId="0" applyNumberFormat="1" applyFont="1"/>
    <xf numFmtId="171" fontId="8" fillId="0" borderId="0" xfId="0" applyNumberFormat="1" applyFont="1"/>
    <xf numFmtId="41" fontId="6" fillId="0" borderId="0" xfId="0" applyNumberFormat="1" applyFont="1" applyFill="1" applyBorder="1" applyAlignment="1">
      <alignment horizontal="center" vertical="center" wrapText="1"/>
    </xf>
    <xf numFmtId="0" fontId="28" fillId="0" borderId="0" xfId="0" applyFont="1"/>
    <xf numFmtId="0" fontId="6" fillId="11" borderId="2" xfId="0" applyFont="1" applyFill="1" applyBorder="1" applyAlignment="1">
      <alignment horizontal="center" vertical="center" wrapText="1"/>
    </xf>
    <xf numFmtId="0" fontId="28" fillId="0" borderId="0" xfId="0" applyFont="1" applyFill="1"/>
    <xf numFmtId="0" fontId="28" fillId="13" borderId="0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13" borderId="0" xfId="0" applyFont="1" applyFill="1" applyBorder="1"/>
    <xf numFmtId="0" fontId="28" fillId="5" borderId="0" xfId="0" applyFont="1" applyFill="1"/>
    <xf numFmtId="0" fontId="6" fillId="13" borderId="0" xfId="0" applyFont="1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6" fillId="13" borderId="0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4" fontId="6" fillId="0" borderId="2" xfId="0" applyNumberFormat="1" applyFont="1" applyFill="1" applyBorder="1" applyAlignment="1">
      <alignment horizontal="center" vertical="center"/>
    </xf>
    <xf numFmtId="43" fontId="6" fillId="11" borderId="2" xfId="0" applyNumberFormat="1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6" fillId="5" borderId="12" xfId="0" applyFont="1" applyFill="1" applyBorder="1" applyAlignment="1">
      <alignment horizontal="center" vertical="center" wrapText="1"/>
    </xf>
    <xf numFmtId="1" fontId="6" fillId="2" borderId="2" xfId="0" applyNumberFormat="1" applyFont="1" applyFill="1" applyBorder="1" applyAlignment="1">
      <alignment horizontal="center" vertical="center"/>
    </xf>
    <xf numFmtId="1" fontId="6" fillId="5" borderId="2" xfId="0" applyNumberFormat="1" applyFont="1" applyFill="1" applyBorder="1" applyAlignment="1">
      <alignment horizontal="center" vertical="center"/>
    </xf>
    <xf numFmtId="4" fontId="6" fillId="2" borderId="2" xfId="0" applyNumberFormat="1" applyFont="1" applyFill="1" applyBorder="1" applyAlignment="1">
      <alignment horizontal="center" vertical="center"/>
    </xf>
    <xf numFmtId="4" fontId="6" fillId="13" borderId="0" xfId="0" applyNumberFormat="1" applyFont="1" applyFill="1" applyBorder="1" applyAlignment="1">
      <alignment horizontal="center" vertical="center" wrapText="1"/>
    </xf>
    <xf numFmtId="1" fontId="6" fillId="5" borderId="2" xfId="0" applyNumberFormat="1" applyFont="1" applyFill="1" applyBorder="1" applyAlignment="1">
      <alignment horizontal="center" vertical="center" wrapText="1"/>
    </xf>
    <xf numFmtId="0" fontId="6" fillId="0" borderId="0" xfId="0" applyFont="1" applyFill="1"/>
    <xf numFmtId="4" fontId="6" fillId="2" borderId="2" xfId="0" applyNumberFormat="1" applyFont="1" applyFill="1" applyBorder="1" applyAlignment="1">
      <alignment vertical="center"/>
    </xf>
    <xf numFmtId="4" fontId="28" fillId="0" borderId="2" xfId="0" applyNumberFormat="1" applyFont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center" vertical="center"/>
    </xf>
    <xf numFmtId="2" fontId="6" fillId="2" borderId="2" xfId="0" applyNumberFormat="1" applyFont="1" applyFill="1" applyBorder="1" applyAlignment="1">
      <alignment horizontal="center" vertical="center"/>
    </xf>
    <xf numFmtId="1" fontId="6" fillId="13" borderId="0" xfId="0" applyNumberFormat="1" applyFont="1" applyFill="1" applyBorder="1" applyAlignment="1">
      <alignment horizontal="center" vertical="center"/>
    </xf>
    <xf numFmtId="0" fontId="28" fillId="13" borderId="0" xfId="0" applyFont="1" applyFill="1"/>
    <xf numFmtId="0" fontId="6" fillId="13" borderId="0" xfId="0" applyFont="1" applyFill="1" applyBorder="1" applyAlignment="1">
      <alignment vertical="center"/>
    </xf>
    <xf numFmtId="9" fontId="6" fillId="13" borderId="0" xfId="1" applyFont="1" applyFill="1" applyBorder="1" applyAlignment="1">
      <alignment vertical="center"/>
    </xf>
    <xf numFmtId="170" fontId="0" fillId="0" borderId="0" xfId="0" applyNumberFormat="1" applyFont="1"/>
    <xf numFmtId="0" fontId="17" fillId="10" borderId="0" xfId="0" applyFont="1" applyFill="1" applyAlignment="1">
      <alignment horizontal="center"/>
    </xf>
    <xf numFmtId="173" fontId="13" fillId="10" borderId="0" xfId="0" applyNumberFormat="1" applyFont="1" applyFill="1"/>
    <xf numFmtId="0" fontId="8" fillId="0" borderId="0" xfId="0" applyFont="1"/>
    <xf numFmtId="41" fontId="17" fillId="10" borderId="0" xfId="0" applyNumberFormat="1" applyFont="1" applyFill="1" applyAlignment="1"/>
    <xf numFmtId="0" fontId="30" fillId="10" borderId="0" xfId="0" applyFont="1" applyFill="1"/>
    <xf numFmtId="41" fontId="29" fillId="10" borderId="0" xfId="0" applyNumberFormat="1" applyFont="1" applyFill="1" applyAlignment="1">
      <alignment horizontal="center" vertical="center"/>
    </xf>
    <xf numFmtId="41" fontId="17" fillId="10" borderId="0" xfId="0" applyNumberFormat="1" applyFont="1" applyFill="1" applyAlignment="1">
      <alignment horizontal="right"/>
    </xf>
    <xf numFmtId="1" fontId="6" fillId="0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8" fillId="0" borderId="0" xfId="0" applyFont="1" applyAlignment="1">
      <alignment wrapText="1"/>
    </xf>
    <xf numFmtId="1" fontId="6" fillId="0" borderId="2" xfId="0" applyNumberFormat="1" applyFont="1" applyFill="1" applyBorder="1" applyAlignment="1">
      <alignment vertical="center"/>
    </xf>
    <xf numFmtId="0" fontId="6" fillId="0" borderId="11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" fontId="6" fillId="0" borderId="11" xfId="0" applyNumberFormat="1" applyFont="1" applyFill="1" applyBorder="1" applyAlignment="1">
      <alignment vertical="center"/>
    </xf>
    <xf numFmtId="4" fontId="6" fillId="2" borderId="2" xfId="0" applyNumberFormat="1" applyFont="1" applyFill="1" applyBorder="1" applyAlignment="1">
      <alignment vertical="center" wrapText="1"/>
    </xf>
    <xf numFmtId="10" fontId="6" fillId="5" borderId="12" xfId="1" applyNumberFormat="1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6" fillId="15" borderId="0" xfId="0" applyFont="1" applyFill="1" applyAlignment="1">
      <alignment horizontal="right"/>
    </xf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168" fontId="6" fillId="2" borderId="0" xfId="0" applyNumberFormat="1" applyFont="1" applyFill="1" applyBorder="1" applyAlignment="1">
      <alignment horizontal="center" vertical="center" wrapText="1"/>
    </xf>
    <xf numFmtId="0" fontId="28" fillId="2" borderId="0" xfId="0" applyFont="1" applyFill="1"/>
    <xf numFmtId="4" fontId="28" fillId="2" borderId="0" xfId="0" applyNumberFormat="1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 wrapText="1"/>
    </xf>
    <xf numFmtId="0" fontId="28" fillId="2" borderId="0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 wrapText="1"/>
    </xf>
    <xf numFmtId="4" fontId="6" fillId="2" borderId="0" xfId="0" applyNumberFormat="1" applyFont="1" applyFill="1" applyBorder="1" applyAlignment="1">
      <alignment vertical="center" wrapText="1"/>
    </xf>
    <xf numFmtId="41" fontId="6" fillId="2" borderId="0" xfId="0" applyNumberFormat="1" applyFont="1" applyFill="1" applyBorder="1" applyAlignment="1">
      <alignment horizontal="center" vertical="center" wrapText="1"/>
    </xf>
    <xf numFmtId="0" fontId="28" fillId="2" borderId="0" xfId="0" applyFont="1" applyFill="1" applyAlignment="1">
      <alignment wrapText="1"/>
    </xf>
    <xf numFmtId="0" fontId="6" fillId="2" borderId="0" xfId="0" applyFont="1" applyFill="1" applyBorder="1" applyAlignment="1">
      <alignment horizontal="center" vertical="center" wrapText="1"/>
    </xf>
    <xf numFmtId="168" fontId="6" fillId="2" borderId="0" xfId="0" applyNumberFormat="1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 wrapText="1"/>
    </xf>
    <xf numFmtId="0" fontId="28" fillId="2" borderId="0" xfId="0" applyFont="1" applyFill="1" applyBorder="1"/>
    <xf numFmtId="0" fontId="6" fillId="2" borderId="0" xfId="0" applyFont="1" applyFill="1" applyBorder="1"/>
    <xf numFmtId="0" fontId="6" fillId="2" borderId="0" xfId="0" applyFont="1" applyFill="1"/>
    <xf numFmtId="0" fontId="6" fillId="2" borderId="2" xfId="0" applyFont="1" applyFill="1" applyBorder="1" applyAlignment="1">
      <alignment horizontal="center" vertical="center" wrapText="1"/>
    </xf>
    <xf numFmtId="43" fontId="6" fillId="2" borderId="2" xfId="0" applyNumberFormat="1" applyFont="1" applyFill="1" applyBorder="1" applyAlignment="1">
      <alignment horizontal="center" vertical="center"/>
    </xf>
    <xf numFmtId="43" fontId="6" fillId="2" borderId="2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 applyAlignment="1">
      <alignment horizontal="center" vertical="center"/>
    </xf>
    <xf numFmtId="43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right" vertical="center" wrapText="1"/>
    </xf>
    <xf numFmtId="166" fontId="6" fillId="2" borderId="0" xfId="0" applyNumberFormat="1" applyFont="1" applyFill="1" applyBorder="1" applyAlignment="1">
      <alignment horizontal="center" vertical="center"/>
    </xf>
    <xf numFmtId="10" fontId="6" fillId="2" borderId="0" xfId="1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vertical="center"/>
    </xf>
    <xf numFmtId="0" fontId="6" fillId="2" borderId="0" xfId="0" applyFont="1" applyFill="1" applyBorder="1" applyAlignment="1"/>
    <xf numFmtId="1" fontId="6" fillId="2" borderId="0" xfId="0" applyNumberFormat="1" applyFont="1" applyFill="1" applyBorder="1" applyAlignment="1">
      <alignment horizontal="center" vertical="center"/>
    </xf>
    <xf numFmtId="4" fontId="6" fillId="2" borderId="0" xfId="0" applyNumberFormat="1" applyFont="1" applyFill="1" applyBorder="1" applyAlignment="1">
      <alignment vertical="center"/>
    </xf>
    <xf numFmtId="0" fontId="28" fillId="2" borderId="0" xfId="0" applyFont="1" applyFill="1" applyAlignment="1">
      <alignment vertical="center" wrapText="1"/>
    </xf>
    <xf numFmtId="3" fontId="6" fillId="2" borderId="0" xfId="0" applyNumberFormat="1" applyFont="1" applyFill="1" applyBorder="1" applyAlignment="1">
      <alignment horizontal="center" vertical="center" wrapText="1"/>
    </xf>
    <xf numFmtId="4" fontId="32" fillId="2" borderId="0" xfId="0" applyNumberFormat="1" applyFont="1" applyFill="1" applyBorder="1" applyAlignment="1">
      <alignment vertical="center" wrapText="1"/>
    </xf>
    <xf numFmtId="0" fontId="6" fillId="2" borderId="26" xfId="0" applyFont="1" applyFill="1" applyBorder="1" applyAlignment="1"/>
    <xf numFmtId="0" fontId="6" fillId="2" borderId="0" xfId="0" applyFont="1" applyFill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/>
    </xf>
    <xf numFmtId="0" fontId="8" fillId="0" borderId="0" xfId="0" applyFont="1"/>
    <xf numFmtId="0" fontId="6" fillId="16" borderId="2" xfId="0" applyFont="1" applyFill="1" applyBorder="1" applyAlignment="1">
      <alignment vertical="center"/>
    </xf>
    <xf numFmtId="0" fontId="6" fillId="16" borderId="2" xfId="0" applyFont="1" applyFill="1" applyBorder="1" applyAlignment="1">
      <alignment horizontal="center" vertical="center" wrapText="1"/>
    </xf>
    <xf numFmtId="0" fontId="6" fillId="16" borderId="2" xfId="0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/>
    </xf>
    <xf numFmtId="0" fontId="6" fillId="17" borderId="44" xfId="0" applyFont="1" applyFill="1" applyBorder="1" applyAlignment="1">
      <alignment vertical="center"/>
    </xf>
    <xf numFmtId="0" fontId="6" fillId="16" borderId="45" xfId="0" applyFont="1" applyFill="1" applyBorder="1" applyAlignment="1">
      <alignment vertical="center"/>
    </xf>
    <xf numFmtId="0" fontId="6" fillId="16" borderId="46" xfId="0" applyFont="1" applyFill="1" applyBorder="1" applyAlignment="1">
      <alignment horizontal="center" vertical="center"/>
    </xf>
    <xf numFmtId="1" fontId="6" fillId="16" borderId="46" xfId="0" applyNumberFormat="1" applyFont="1" applyFill="1" applyBorder="1" applyAlignment="1">
      <alignment vertical="center"/>
    </xf>
    <xf numFmtId="0" fontId="6" fillId="16" borderId="11" xfId="0" applyFont="1" applyFill="1" applyBorder="1" applyAlignment="1">
      <alignment vertical="center"/>
    </xf>
    <xf numFmtId="0" fontId="6" fillId="16" borderId="11" xfId="0" applyFont="1" applyFill="1" applyBorder="1" applyAlignment="1">
      <alignment vertical="center" wrapText="1"/>
    </xf>
    <xf numFmtId="43" fontId="6" fillId="16" borderId="2" xfId="0" applyNumberFormat="1" applyFont="1" applyFill="1" applyBorder="1" applyAlignment="1">
      <alignment horizontal="center" vertical="center"/>
    </xf>
    <xf numFmtId="43" fontId="6" fillId="16" borderId="2" xfId="0" applyNumberFormat="1" applyFont="1" applyFill="1" applyBorder="1" applyAlignment="1">
      <alignment horizontal="center" vertical="center" wrapText="1"/>
    </xf>
    <xf numFmtId="0" fontId="28" fillId="16" borderId="2" xfId="0" applyFont="1" applyFill="1" applyBorder="1"/>
    <xf numFmtId="1" fontId="6" fillId="16" borderId="2" xfId="0" applyNumberFormat="1" applyFont="1" applyFill="1" applyBorder="1" applyAlignment="1">
      <alignment vertical="center" wrapText="1"/>
    </xf>
    <xf numFmtId="4" fontId="6" fillId="16" borderId="2" xfId="0" applyNumberFormat="1" applyFont="1" applyFill="1" applyBorder="1" applyAlignment="1">
      <alignment vertical="center" wrapText="1"/>
    </xf>
    <xf numFmtId="4" fontId="28" fillId="16" borderId="2" xfId="0" applyNumberFormat="1" applyFont="1" applyFill="1" applyBorder="1" applyAlignment="1">
      <alignment horizontal="center" vertical="center"/>
    </xf>
    <xf numFmtId="1" fontId="6" fillId="16" borderId="2" xfId="0" applyNumberFormat="1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 wrapText="1"/>
    </xf>
    <xf numFmtId="3" fontId="6" fillId="16" borderId="2" xfId="0" applyNumberFormat="1" applyFont="1" applyFill="1" applyBorder="1" applyAlignment="1">
      <alignment horizontal="center" vertical="center"/>
    </xf>
    <xf numFmtId="2" fontId="6" fillId="16" borderId="2" xfId="0" applyNumberFormat="1" applyFont="1" applyFill="1" applyBorder="1" applyAlignment="1">
      <alignment horizontal="center" vertical="center" wrapText="1"/>
    </xf>
    <xf numFmtId="0" fontId="33" fillId="16" borderId="31" xfId="0" applyFont="1" applyFill="1" applyBorder="1" applyAlignment="1">
      <alignment horizontal="center"/>
    </xf>
    <xf numFmtId="0" fontId="37" fillId="16" borderId="2" xfId="0" applyFont="1" applyFill="1" applyBorder="1" applyAlignment="1">
      <alignment horizontal="center" vertical="center" wrapText="1"/>
    </xf>
    <xf numFmtId="4" fontId="6" fillId="17" borderId="2" xfId="0" applyNumberFormat="1" applyFont="1" applyFill="1" applyBorder="1" applyAlignment="1">
      <alignment horizontal="center" vertical="center" wrapText="1"/>
    </xf>
    <xf numFmtId="4" fontId="6" fillId="11" borderId="2" xfId="0" applyNumberFormat="1" applyFont="1" applyFill="1" applyBorder="1" applyAlignment="1">
      <alignment horizontal="center" vertical="center"/>
    </xf>
    <xf numFmtId="1" fontId="6" fillId="16" borderId="46" xfId="0" applyNumberFormat="1" applyFont="1" applyFill="1" applyBorder="1" applyAlignment="1">
      <alignment horizontal="center" vertical="center"/>
    </xf>
    <xf numFmtId="0" fontId="6" fillId="16" borderId="11" xfId="0" applyFont="1" applyFill="1" applyBorder="1" applyAlignment="1">
      <alignment horizontal="center" vertical="center" wrapText="1"/>
    </xf>
    <xf numFmtId="1" fontId="6" fillId="16" borderId="2" xfId="0" applyNumberFormat="1" applyFont="1" applyFill="1" applyBorder="1" applyAlignment="1">
      <alignment horizontal="center" vertical="center" wrapText="1"/>
    </xf>
    <xf numFmtId="1" fontId="6" fillId="16" borderId="11" xfId="0" applyNumberFormat="1" applyFont="1" applyFill="1" applyBorder="1" applyAlignment="1">
      <alignment horizontal="center" vertical="center"/>
    </xf>
    <xf numFmtId="1" fontId="6" fillId="16" borderId="15" xfId="0" applyNumberFormat="1" applyFont="1" applyFill="1" applyBorder="1" applyAlignment="1">
      <alignment vertical="center" wrapText="1"/>
    </xf>
    <xf numFmtId="4" fontId="6" fillId="16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/>
    </xf>
    <xf numFmtId="1" fontId="6" fillId="2" borderId="15" xfId="0" applyNumberFormat="1" applyFont="1" applyFill="1" applyBorder="1" applyAlignment="1">
      <alignment horizontal="center" vertical="center"/>
    </xf>
    <xf numFmtId="4" fontId="28" fillId="0" borderId="15" xfId="0" applyNumberFormat="1" applyFont="1" applyBorder="1" applyAlignment="1">
      <alignment horizontal="center" vertical="center"/>
    </xf>
    <xf numFmtId="4" fontId="28" fillId="16" borderId="15" xfId="0" applyNumberFormat="1" applyFont="1" applyFill="1" applyBorder="1" applyAlignment="1">
      <alignment horizontal="center" vertical="center"/>
    </xf>
    <xf numFmtId="1" fontId="6" fillId="16" borderId="50" xfId="0" applyNumberFormat="1" applyFont="1" applyFill="1" applyBorder="1" applyAlignment="1">
      <alignment horizontal="center" vertical="center"/>
    </xf>
    <xf numFmtId="4" fontId="6" fillId="16" borderId="50" xfId="0" applyNumberFormat="1" applyFont="1" applyFill="1" applyBorder="1" applyAlignment="1">
      <alignment horizontal="center" vertical="center"/>
    </xf>
    <xf numFmtId="0" fontId="28" fillId="16" borderId="2" xfId="0" applyFont="1" applyFill="1" applyBorder="1" applyAlignment="1">
      <alignment horizontal="center"/>
    </xf>
    <xf numFmtId="0" fontId="6" fillId="16" borderId="50" xfId="0" applyFont="1" applyFill="1" applyBorder="1" applyAlignment="1">
      <alignment horizontal="center" vertical="center"/>
    </xf>
    <xf numFmtId="0" fontId="38" fillId="16" borderId="50" xfId="0" applyFont="1" applyFill="1" applyBorder="1" applyAlignment="1">
      <alignment horizontal="center" vertical="center"/>
    </xf>
    <xf numFmtId="9" fontId="38" fillId="11" borderId="50" xfId="1" applyFont="1" applyFill="1" applyBorder="1" applyAlignment="1">
      <alignment horizontal="center" vertical="center"/>
    </xf>
    <xf numFmtId="9" fontId="38" fillId="18" borderId="50" xfId="1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4" fontId="28" fillId="2" borderId="0" xfId="0" applyNumberFormat="1" applyFont="1" applyFill="1" applyBorder="1"/>
    <xf numFmtId="0" fontId="40" fillId="16" borderId="32" xfId="0" applyFont="1" applyFill="1" applyBorder="1" applyAlignment="1">
      <alignment horizontal="center"/>
    </xf>
    <xf numFmtId="0" fontId="40" fillId="16" borderId="35" xfId="0" applyFont="1" applyFill="1" applyBorder="1" applyAlignment="1">
      <alignment horizontal="center" vertical="center"/>
    </xf>
    <xf numFmtId="0" fontId="40" fillId="16" borderId="37" xfId="0" applyFont="1" applyFill="1" applyBorder="1" applyAlignment="1">
      <alignment horizontal="center" vertical="center"/>
    </xf>
    <xf numFmtId="4" fontId="42" fillId="3" borderId="50" xfId="0" applyNumberFormat="1" applyFont="1" applyFill="1" applyBorder="1" applyAlignment="1">
      <alignment horizontal="center" vertical="center"/>
    </xf>
    <xf numFmtId="0" fontId="40" fillId="16" borderId="27" xfId="0" applyFont="1" applyFill="1" applyBorder="1" applyAlignment="1">
      <alignment horizontal="center" vertical="center" wrapText="1"/>
    </xf>
    <xf numFmtId="0" fontId="40" fillId="16" borderId="28" xfId="0" applyFont="1" applyFill="1" applyBorder="1" applyAlignment="1">
      <alignment horizontal="center" vertical="center" wrapText="1"/>
    </xf>
    <xf numFmtId="0" fontId="6" fillId="16" borderId="16" xfId="0" applyFont="1" applyFill="1" applyBorder="1" applyAlignment="1">
      <alignment vertical="center" wrapText="1"/>
    </xf>
    <xf numFmtId="43" fontId="6" fillId="16" borderId="12" xfId="0" applyNumberFormat="1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16" borderId="50" xfId="0" applyFont="1" applyFill="1" applyBorder="1" applyAlignment="1">
      <alignment vertical="center"/>
    </xf>
    <xf numFmtId="0" fontId="41" fillId="2" borderId="0" xfId="0" applyFont="1" applyFill="1" applyAlignment="1">
      <alignment horizontal="right" vertical="center"/>
    </xf>
    <xf numFmtId="0" fontId="42" fillId="2" borderId="0" xfId="0" applyFont="1" applyFill="1" applyAlignment="1">
      <alignment horizontal="right" vertical="center"/>
    </xf>
    <xf numFmtId="4" fontId="42" fillId="2" borderId="0" xfId="0" applyNumberFormat="1" applyFont="1" applyFill="1" applyBorder="1" applyAlignment="1">
      <alignment vertical="center" wrapText="1"/>
    </xf>
    <xf numFmtId="4" fontId="41" fillId="2" borderId="0" xfId="0" applyNumberFormat="1" applyFont="1" applyFill="1" applyBorder="1" applyAlignment="1">
      <alignment horizontal="left" vertical="center" wrapText="1" indent="1"/>
    </xf>
    <xf numFmtId="0" fontId="0" fillId="15" borderId="0" xfId="0" applyFont="1" applyFill="1"/>
    <xf numFmtId="0" fontId="0" fillId="13" borderId="0" xfId="0" applyFont="1" applyFill="1"/>
    <xf numFmtId="0" fontId="0" fillId="2" borderId="0" xfId="0" applyFont="1" applyFill="1"/>
    <xf numFmtId="0" fontId="6" fillId="11" borderId="0" xfId="0" applyFont="1" applyFill="1" applyAlignment="1">
      <alignment vertical="center"/>
    </xf>
    <xf numFmtId="0" fontId="48" fillId="13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vertical="center" wrapText="1"/>
    </xf>
    <xf numFmtId="0" fontId="6" fillId="11" borderId="0" xfId="0" applyFont="1" applyFill="1" applyBorder="1" applyAlignment="1">
      <alignment vertical="center" wrapText="1"/>
    </xf>
    <xf numFmtId="14" fontId="6" fillId="11" borderId="0" xfId="0" applyNumberFormat="1" applyFont="1" applyFill="1" applyBorder="1" applyAlignment="1">
      <alignment vertical="center"/>
    </xf>
    <xf numFmtId="14" fontId="49" fillId="11" borderId="0" xfId="0" applyNumberFormat="1" applyFont="1" applyFill="1" applyBorder="1" applyAlignment="1">
      <alignment vertical="center"/>
    </xf>
    <xf numFmtId="10" fontId="6" fillId="2" borderId="0" xfId="0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 wrapText="1"/>
    </xf>
    <xf numFmtId="0" fontId="6" fillId="13" borderId="11" xfId="0" applyFont="1" applyFill="1" applyBorder="1" applyAlignment="1">
      <alignment horizontal="center" vertical="center" wrapText="1"/>
    </xf>
    <xf numFmtId="0" fontId="6" fillId="14" borderId="2" xfId="0" applyFont="1" applyFill="1" applyBorder="1" applyAlignment="1">
      <alignment horizontal="center" vertical="center" wrapText="1"/>
    </xf>
    <xf numFmtId="0" fontId="6" fillId="17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169" fontId="28" fillId="0" borderId="2" xfId="0" applyNumberFormat="1" applyFont="1" applyBorder="1" applyAlignment="1">
      <alignment horizontal="center" vertical="center" wrapText="1"/>
    </xf>
    <xf numFmtId="41" fontId="28" fillId="0" borderId="2" xfId="0" applyNumberFormat="1" applyFont="1" applyFill="1" applyBorder="1" applyAlignment="1">
      <alignment horizontal="center" vertical="center" wrapText="1"/>
    </xf>
    <xf numFmtId="168" fontId="28" fillId="0" borderId="2" xfId="0" applyNumberFormat="1" applyFont="1" applyFill="1" applyBorder="1" applyAlignment="1">
      <alignment horizontal="center" vertical="center" wrapText="1"/>
    </xf>
    <xf numFmtId="168" fontId="28" fillId="5" borderId="2" xfId="0" applyNumberFormat="1" applyFont="1" applyFill="1" applyBorder="1" applyAlignment="1">
      <alignment horizontal="center" vertical="center" wrapText="1"/>
    </xf>
    <xf numFmtId="169" fontId="28" fillId="16" borderId="15" xfId="0" applyNumberFormat="1" applyFont="1" applyFill="1" applyBorder="1" applyAlignment="1">
      <alignment horizontal="center" vertical="center" wrapText="1"/>
    </xf>
    <xf numFmtId="41" fontId="6" fillId="16" borderId="2" xfId="0" applyNumberFormat="1" applyFont="1" applyFill="1" applyBorder="1" applyAlignment="1">
      <alignment horizontal="center" vertical="center" wrapText="1"/>
    </xf>
    <xf numFmtId="168" fontId="6" fillId="16" borderId="2" xfId="0" applyNumberFormat="1" applyFont="1" applyFill="1" applyBorder="1" applyAlignment="1">
      <alignment horizontal="center" vertical="center" wrapText="1"/>
    </xf>
    <xf numFmtId="168" fontId="6" fillId="14" borderId="2" xfId="0" applyNumberFormat="1" applyFont="1" applyFill="1" applyBorder="1" applyAlignment="1">
      <alignment horizontal="center" vertical="center" wrapText="1"/>
    </xf>
    <xf numFmtId="169" fontId="28" fillId="2" borderId="8" xfId="0" applyNumberFormat="1" applyFont="1" applyFill="1" applyBorder="1" applyAlignment="1">
      <alignment horizontal="center" vertical="center" wrapText="1"/>
    </xf>
    <xf numFmtId="41" fontId="6" fillId="2" borderId="8" xfId="0" applyNumberFormat="1" applyFont="1" applyFill="1" applyBorder="1" applyAlignment="1">
      <alignment horizontal="center" vertical="center" wrapText="1"/>
    </xf>
    <xf numFmtId="168" fontId="6" fillId="2" borderId="8" xfId="0" applyNumberFormat="1" applyFont="1" applyFill="1" applyBorder="1" applyAlignment="1">
      <alignment horizontal="center" vertical="center" wrapText="1"/>
    </xf>
    <xf numFmtId="0" fontId="6" fillId="16" borderId="26" xfId="0" applyFont="1" applyFill="1" applyBorder="1" applyAlignment="1">
      <alignment horizontal="center" vertical="center" wrapText="1"/>
    </xf>
    <xf numFmtId="0" fontId="6" fillId="10" borderId="8" xfId="0" applyFont="1" applyFill="1" applyBorder="1" applyAlignment="1">
      <alignment horizontal="center" vertical="center" wrapText="1"/>
    </xf>
    <xf numFmtId="4" fontId="6" fillId="16" borderId="14" xfId="0" applyNumberFormat="1" applyFont="1" applyFill="1" applyBorder="1" applyAlignment="1">
      <alignment horizontal="center" vertical="center" wrapText="1"/>
    </xf>
    <xf numFmtId="169" fontId="28" fillId="2" borderId="47" xfId="0" applyNumberFormat="1" applyFont="1" applyFill="1" applyBorder="1" applyAlignment="1">
      <alignment horizontal="center" vertical="center" wrapText="1"/>
    </xf>
    <xf numFmtId="41" fontId="6" fillId="2" borderId="47" xfId="0" applyNumberFormat="1" applyFont="1" applyFill="1" applyBorder="1" applyAlignment="1">
      <alignment horizontal="center" vertical="center" wrapText="1"/>
    </xf>
    <xf numFmtId="168" fontId="6" fillId="2" borderId="47" xfId="0" applyNumberFormat="1" applyFont="1" applyFill="1" applyBorder="1" applyAlignment="1">
      <alignment horizontal="center" vertical="center" wrapText="1"/>
    </xf>
    <xf numFmtId="0" fontId="6" fillId="16" borderId="50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vertical="center" wrapText="1"/>
    </xf>
    <xf numFmtId="0" fontId="6" fillId="14" borderId="50" xfId="0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 wrapText="1"/>
    </xf>
    <xf numFmtId="0" fontId="6" fillId="0" borderId="14" xfId="0" applyFont="1" applyBorder="1" applyAlignment="1">
      <alignment vertical="center" wrapText="1"/>
    </xf>
    <xf numFmtId="169" fontId="28" fillId="0" borderId="14" xfId="0" applyNumberFormat="1" applyFont="1" applyBorder="1" applyAlignment="1">
      <alignment horizontal="center" vertical="center" wrapText="1"/>
    </xf>
    <xf numFmtId="41" fontId="28" fillId="0" borderId="14" xfId="0" applyNumberFormat="1" applyFont="1" applyFill="1" applyBorder="1" applyAlignment="1">
      <alignment horizontal="center" vertical="center" wrapText="1"/>
    </xf>
    <xf numFmtId="168" fontId="28" fillId="5" borderId="14" xfId="0" applyNumberFormat="1" applyFont="1" applyFill="1" applyBorder="1" applyAlignment="1">
      <alignment horizontal="center" vertical="center" wrapText="1"/>
    </xf>
    <xf numFmtId="168" fontId="6" fillId="5" borderId="2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horizontal="center" vertical="center" wrapText="1"/>
    </xf>
    <xf numFmtId="0" fontId="6" fillId="5" borderId="50" xfId="0" applyFont="1" applyFill="1" applyBorder="1" applyAlignment="1">
      <alignment horizontal="center" vertical="center" wrapText="1"/>
    </xf>
    <xf numFmtId="168" fontId="28" fillId="5" borderId="26" xfId="0" applyNumberFormat="1" applyFont="1" applyFill="1" applyBorder="1" applyAlignment="1">
      <alignment horizontal="center" vertical="center" wrapText="1"/>
    </xf>
    <xf numFmtId="4" fontId="6" fillId="16" borderId="26" xfId="0" applyNumberFormat="1" applyFont="1" applyFill="1" applyBorder="1" applyAlignment="1">
      <alignment horizontal="center" vertical="center" wrapText="1"/>
    </xf>
    <xf numFmtId="168" fontId="28" fillId="5" borderId="11" xfId="0" applyNumberFormat="1" applyFont="1" applyFill="1" applyBorder="1" applyAlignment="1">
      <alignment horizontal="center" vertical="center" wrapText="1"/>
    </xf>
    <xf numFmtId="4" fontId="6" fillId="16" borderId="11" xfId="0" applyNumberFormat="1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vertical="center" wrapText="1"/>
    </xf>
    <xf numFmtId="0" fontId="6" fillId="0" borderId="8" xfId="0" applyFont="1" applyFill="1" applyBorder="1" applyAlignment="1">
      <alignment horizontal="center" vertical="center" wrapText="1"/>
    </xf>
    <xf numFmtId="4" fontId="6" fillId="16" borderId="15" xfId="0" applyNumberFormat="1" applyFont="1" applyFill="1" applyBorder="1" applyAlignment="1">
      <alignment horizontal="center" vertical="center" wrapText="1"/>
    </xf>
    <xf numFmtId="41" fontId="6" fillId="16" borderId="15" xfId="0" applyNumberFormat="1" applyFont="1" applyFill="1" applyBorder="1" applyAlignment="1">
      <alignment horizontal="center" vertical="center" wrapText="1"/>
    </xf>
    <xf numFmtId="168" fontId="6" fillId="16" borderId="15" xfId="0" applyNumberFormat="1" applyFont="1" applyFill="1" applyBorder="1" applyAlignment="1">
      <alignment horizontal="center" vertical="center" wrapText="1"/>
    </xf>
    <xf numFmtId="168" fontId="6" fillId="5" borderId="16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0" fontId="40" fillId="16" borderId="50" xfId="0" applyFont="1" applyFill="1" applyBorder="1" applyAlignment="1">
      <alignment horizontal="center" vertical="center" wrapText="1"/>
    </xf>
    <xf numFmtId="41" fontId="50" fillId="17" borderId="50" xfId="0" applyNumberFormat="1" applyFont="1" applyFill="1" applyBorder="1" applyAlignment="1">
      <alignment horizontal="center" vertical="center" wrapText="1"/>
    </xf>
    <xf numFmtId="41" fontId="36" fillId="17" borderId="50" xfId="0" applyNumberFormat="1" applyFont="1" applyFill="1" applyBorder="1" applyAlignment="1">
      <alignment vertical="center" wrapText="1"/>
    </xf>
    <xf numFmtId="0" fontId="0" fillId="5" borderId="0" xfId="0" applyFont="1" applyFill="1"/>
    <xf numFmtId="0" fontId="40" fillId="16" borderId="39" xfId="0" applyFont="1" applyFill="1" applyBorder="1" applyAlignment="1">
      <alignment horizontal="center" vertical="center"/>
    </xf>
    <xf numFmtId="0" fontId="42" fillId="2" borderId="0" xfId="0" applyNumberFormat="1" applyFont="1" applyFill="1" applyBorder="1" applyAlignment="1">
      <alignment vertical="center"/>
    </xf>
    <xf numFmtId="0" fontId="51" fillId="2" borderId="0" xfId="0" applyFont="1" applyFill="1" applyAlignment="1">
      <alignment horizontal="center" vertical="center"/>
    </xf>
    <xf numFmtId="0" fontId="40" fillId="16" borderId="39" xfId="0" applyFont="1" applyFill="1" applyBorder="1" applyAlignment="1">
      <alignment horizontal="center" vertical="center" wrapText="1"/>
    </xf>
    <xf numFmtId="0" fontId="42" fillId="2" borderId="0" xfId="0" applyFont="1" applyFill="1" applyBorder="1" applyAlignment="1">
      <alignment vertical="center" wrapText="1"/>
    </xf>
    <xf numFmtId="14" fontId="42" fillId="2" borderId="0" xfId="0" applyNumberFormat="1" applyFont="1" applyFill="1" applyBorder="1" applyAlignment="1">
      <alignment horizontal="left" vertical="center"/>
    </xf>
    <xf numFmtId="0" fontId="42" fillId="2" borderId="0" xfId="0" applyFont="1" applyFill="1" applyAlignment="1">
      <alignment horizontal="center" vertical="center" wrapText="1"/>
    </xf>
    <xf numFmtId="0" fontId="42" fillId="2" borderId="0" xfId="0" applyFont="1" applyFill="1" applyBorder="1" applyAlignment="1"/>
    <xf numFmtId="0" fontId="42" fillId="2" borderId="0" xfId="0" applyFont="1" applyFill="1" applyBorder="1" applyAlignment="1">
      <alignment horizontal="center"/>
    </xf>
    <xf numFmtId="0" fontId="52" fillId="2" borderId="0" xfId="0" applyFont="1" applyFill="1" applyBorder="1"/>
    <xf numFmtId="4" fontId="43" fillId="17" borderId="41" xfId="0" applyNumberFormat="1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41" fillId="16" borderId="42" xfId="0" applyFont="1" applyFill="1" applyBorder="1" applyAlignment="1">
      <alignment vertical="center"/>
    </xf>
    <xf numFmtId="0" fontId="41" fillId="16" borderId="43" xfId="0" applyFont="1" applyFill="1" applyBorder="1" applyAlignment="1">
      <alignment horizontal="center" vertical="center" wrapText="1"/>
    </xf>
    <xf numFmtId="0" fontId="41" fillId="16" borderId="43" xfId="0" applyFont="1" applyFill="1" applyBorder="1" applyAlignment="1">
      <alignment horizontal="center" vertical="center"/>
    </xf>
    <xf numFmtId="0" fontId="41" fillId="16" borderId="43" xfId="0" applyFont="1" applyFill="1" applyBorder="1" applyAlignment="1">
      <alignment vertical="center" wrapText="1"/>
    </xf>
    <xf numFmtId="0" fontId="41" fillId="16" borderId="2" xfId="0" applyFont="1" applyFill="1" applyBorder="1" applyAlignment="1">
      <alignment horizontal="center" vertical="center" wrapText="1"/>
    </xf>
    <xf numFmtId="0" fontId="42" fillId="2" borderId="0" xfId="0" applyFont="1" applyFill="1" applyAlignment="1">
      <alignment horizontal="left" vertical="center"/>
    </xf>
    <xf numFmtId="0" fontId="42" fillId="2" borderId="0" xfId="0" applyFont="1" applyFill="1"/>
    <xf numFmtId="1" fontId="40" fillId="16" borderId="29" xfId="1" applyNumberFormat="1" applyFont="1" applyFill="1" applyBorder="1" applyAlignment="1">
      <alignment horizontal="center" vertical="center" wrapText="1"/>
    </xf>
    <xf numFmtId="173" fontId="40" fillId="16" borderId="29" xfId="1" applyNumberFormat="1" applyFont="1" applyFill="1" applyBorder="1" applyAlignment="1">
      <alignment horizontal="center" vertical="center" wrapText="1"/>
    </xf>
    <xf numFmtId="4" fontId="40" fillId="16" borderId="30" xfId="0" applyNumberFormat="1" applyFont="1" applyFill="1" applyBorder="1" applyAlignment="1">
      <alignment horizontal="center" vertical="center" wrapText="1"/>
    </xf>
    <xf numFmtId="4" fontId="40" fillId="16" borderId="29" xfId="0" applyNumberFormat="1" applyFont="1" applyFill="1" applyBorder="1" applyAlignment="1">
      <alignment horizontal="center" vertical="center" wrapText="1"/>
    </xf>
    <xf numFmtId="167" fontId="40" fillId="16" borderId="29" xfId="0" applyNumberFormat="1" applyFont="1" applyFill="1" applyBorder="1" applyAlignment="1">
      <alignment horizontal="center" vertical="center" wrapText="1"/>
    </xf>
    <xf numFmtId="0" fontId="39" fillId="16" borderId="28" xfId="0" applyFont="1" applyFill="1" applyBorder="1" applyAlignment="1">
      <alignment horizontal="center" vertical="center" wrapText="1"/>
    </xf>
    <xf numFmtId="0" fontId="52" fillId="2" borderId="0" xfId="0" applyFont="1" applyFill="1"/>
    <xf numFmtId="0" fontId="25" fillId="16" borderId="53" xfId="0" applyFont="1" applyFill="1" applyBorder="1" applyAlignment="1">
      <alignment horizontal="center"/>
    </xf>
    <xf numFmtId="4" fontId="25" fillId="16" borderId="53" xfId="0" applyNumberFormat="1" applyFont="1" applyFill="1" applyBorder="1" applyAlignment="1">
      <alignment horizontal="center"/>
    </xf>
    <xf numFmtId="0" fontId="13" fillId="2" borderId="53" xfId="0" applyFont="1" applyFill="1" applyBorder="1" applyAlignment="1">
      <alignment horizontal="left" vertical="center" wrapText="1"/>
    </xf>
    <xf numFmtId="1" fontId="13" fillId="2" borderId="53" xfId="0" applyNumberFormat="1" applyFont="1" applyFill="1" applyBorder="1" applyAlignment="1">
      <alignment horizontal="center" vertical="center"/>
    </xf>
    <xf numFmtId="4" fontId="13" fillId="2" borderId="53" xfId="4" applyNumberFormat="1" applyFont="1" applyFill="1" applyBorder="1" applyAlignment="1">
      <alignment horizontal="center" vertical="center"/>
    </xf>
    <xf numFmtId="1" fontId="26" fillId="2" borderId="53" xfId="4" applyNumberFormat="1" applyFont="1" applyFill="1" applyBorder="1" applyAlignment="1" applyProtection="1">
      <alignment horizontal="center" vertical="top"/>
    </xf>
    <xf numFmtId="4" fontId="26" fillId="2" borderId="53" xfId="4" applyNumberFormat="1" applyFont="1" applyFill="1" applyBorder="1" applyAlignment="1" applyProtection="1">
      <alignment horizontal="center" vertical="top"/>
    </xf>
    <xf numFmtId="0" fontId="8" fillId="2" borderId="53" xfId="0" applyFont="1" applyFill="1" applyBorder="1" applyAlignment="1">
      <alignment horizontal="left" wrapText="1"/>
    </xf>
    <xf numFmtId="4" fontId="8" fillId="2" borderId="53" xfId="0" applyNumberFormat="1" applyFont="1" applyFill="1" applyBorder="1" applyAlignment="1">
      <alignment horizontal="center"/>
    </xf>
    <xf numFmtId="4" fontId="8" fillId="2" borderId="53" xfId="4" applyNumberFormat="1" applyFont="1" applyFill="1" applyBorder="1" applyAlignment="1">
      <alignment horizontal="center"/>
    </xf>
    <xf numFmtId="1" fontId="8" fillId="2" borderId="53" xfId="0" applyNumberFormat="1" applyFont="1" applyFill="1" applyBorder="1" applyAlignment="1">
      <alignment horizontal="left" wrapText="1"/>
    </xf>
    <xf numFmtId="4" fontId="8" fillId="2" borderId="55" xfId="0" applyNumberFormat="1" applyFont="1" applyFill="1" applyBorder="1" applyAlignment="1">
      <alignment horizontal="center"/>
    </xf>
    <xf numFmtId="4" fontId="8" fillId="2" borderId="55" xfId="4" applyNumberFormat="1" applyFont="1" applyFill="1" applyBorder="1" applyAlignment="1">
      <alignment horizontal="center"/>
    </xf>
    <xf numFmtId="0" fontId="25" fillId="16" borderId="54" xfId="0" applyFont="1" applyFill="1" applyBorder="1" applyAlignment="1">
      <alignment horizontal="center"/>
    </xf>
    <xf numFmtId="4" fontId="25" fillId="16" borderId="54" xfId="4" applyNumberFormat="1" applyFont="1" applyFill="1" applyBorder="1" applyAlignment="1" applyProtection="1">
      <alignment horizontal="center" vertical="top"/>
    </xf>
    <xf numFmtId="0" fontId="21" fillId="16" borderId="54" xfId="0" applyFont="1" applyFill="1" applyBorder="1" applyAlignment="1">
      <alignment horizontal="center"/>
    </xf>
    <xf numFmtId="4" fontId="42" fillId="0" borderId="6" xfId="0" applyNumberFormat="1" applyFont="1" applyBorder="1" applyAlignment="1">
      <alignment horizontal="center" vertical="center"/>
    </xf>
    <xf numFmtId="0" fontId="40" fillId="16" borderId="39" xfId="0" applyFont="1" applyFill="1" applyBorder="1" applyAlignment="1">
      <alignment horizontal="center" vertical="center" wrapText="1"/>
    </xf>
    <xf numFmtId="0" fontId="9" fillId="0" borderId="0" xfId="0" applyFont="1" applyFill="1" applyAlignment="1">
      <alignment vertical="center" wrapText="1"/>
    </xf>
    <xf numFmtId="0" fontId="1" fillId="2" borderId="0" xfId="0" applyFont="1" applyFill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2" borderId="0" xfId="0" applyNumberFormat="1" applyFont="1" applyFill="1" applyBorder="1" applyAlignment="1">
      <alignment horizontal="right" vertical="center"/>
    </xf>
    <xf numFmtId="0" fontId="54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right" vertical="center" wrapText="1"/>
    </xf>
    <xf numFmtId="0" fontId="54" fillId="2" borderId="0" xfId="0" applyFont="1" applyFill="1" applyAlignment="1">
      <alignment horizontal="right" vertical="center"/>
    </xf>
    <xf numFmtId="0" fontId="0" fillId="2" borderId="0" xfId="0" applyFont="1" applyFill="1" applyBorder="1"/>
    <xf numFmtId="0" fontId="1" fillId="2" borderId="0" xfId="0" applyFont="1" applyFill="1" applyBorder="1" applyAlignment="1">
      <alignment horizontal="right" vertical="center"/>
    </xf>
    <xf numFmtId="0" fontId="1" fillId="2" borderId="0" xfId="0" applyFont="1" applyFill="1" applyBorder="1" applyAlignment="1">
      <alignment vertical="center"/>
    </xf>
    <xf numFmtId="1" fontId="10" fillId="0" borderId="0" xfId="0" applyNumberFormat="1" applyFont="1" applyFill="1" applyBorder="1" applyAlignment="1">
      <alignment horizontal="right" vertical="center"/>
    </xf>
    <xf numFmtId="0" fontId="41" fillId="2" borderId="0" xfId="0" applyFont="1" applyFill="1" applyAlignment="1">
      <alignment horizontal="right" vertical="center" indent="1"/>
    </xf>
    <xf numFmtId="0" fontId="45" fillId="2" borderId="0" xfId="0" applyFont="1" applyFill="1" applyAlignment="1">
      <alignment vertical="center"/>
    </xf>
    <xf numFmtId="0" fontId="40" fillId="16" borderId="39" xfId="0" applyFont="1" applyFill="1" applyBorder="1" applyAlignment="1">
      <alignment vertical="center"/>
    </xf>
    <xf numFmtId="0" fontId="40" fillId="16" borderId="39" xfId="0" applyFont="1" applyFill="1" applyBorder="1" applyAlignment="1">
      <alignment vertical="center" wrapText="1"/>
    </xf>
    <xf numFmtId="0" fontId="28" fillId="0" borderId="0" xfId="0" applyFont="1" applyBorder="1"/>
    <xf numFmtId="0" fontId="48" fillId="2" borderId="0" xfId="0" applyFont="1" applyFill="1" applyBorder="1" applyAlignment="1">
      <alignment horizontal="center" vertical="center"/>
    </xf>
    <xf numFmtId="0" fontId="20" fillId="16" borderId="3" xfId="6" applyNumberFormat="1" applyFont="1" applyFill="1" applyBorder="1" applyAlignment="1" applyProtection="1">
      <alignment horizontal="center" vertical="center" wrapText="1"/>
    </xf>
    <xf numFmtId="0" fontId="20" fillId="16" borderId="6" xfId="6" applyNumberFormat="1" applyFont="1" applyFill="1" applyBorder="1" applyAlignment="1" applyProtection="1">
      <alignment horizontal="center" vertical="center"/>
    </xf>
    <xf numFmtId="0" fontId="20" fillId="16" borderId="6" xfId="6" applyNumberFormat="1" applyFont="1" applyFill="1" applyBorder="1" applyAlignment="1" applyProtection="1">
      <alignment horizontal="center" vertical="center" wrapText="1"/>
    </xf>
    <xf numFmtId="170" fontId="5" fillId="16" borderId="5" xfId="4" applyFont="1" applyFill="1" applyBorder="1" applyAlignment="1" applyProtection="1">
      <alignment horizontal="center" vertical="top"/>
    </xf>
    <xf numFmtId="170" fontId="5" fillId="16" borderId="1" xfId="4" applyFont="1" applyFill="1" applyBorder="1" applyAlignment="1" applyProtection="1">
      <alignment horizontal="center" vertical="top"/>
    </xf>
    <xf numFmtId="43" fontId="23" fillId="16" borderId="2" xfId="0" applyNumberFormat="1" applyFont="1" applyFill="1" applyBorder="1" applyAlignment="1">
      <alignment horizontal="center" vertical="center"/>
    </xf>
    <xf numFmtId="170" fontId="5" fillId="16" borderId="6" xfId="4" applyFont="1" applyFill="1" applyBorder="1" applyAlignment="1" applyProtection="1">
      <alignment horizontal="center" vertical="top"/>
    </xf>
    <xf numFmtId="43" fontId="23" fillId="16" borderId="14" xfId="0" applyNumberFormat="1" applyFont="1" applyFill="1" applyBorder="1" applyAlignment="1">
      <alignment horizontal="center" vertical="center"/>
    </xf>
    <xf numFmtId="170" fontId="20" fillId="16" borderId="6" xfId="4" applyFont="1" applyFill="1" applyBorder="1" applyAlignment="1" applyProtection="1">
      <alignment horizontal="center" vertical="top"/>
    </xf>
    <xf numFmtId="0" fontId="20" fillId="20" borderId="6" xfId="6" applyNumberFormat="1" applyFont="1" applyFill="1" applyBorder="1" applyAlignment="1" applyProtection="1">
      <alignment horizontal="center" vertical="top"/>
    </xf>
    <xf numFmtId="0" fontId="5" fillId="20" borderId="10" xfId="6" applyFont="1" applyFill="1" applyBorder="1" applyAlignment="1" applyProtection="1">
      <alignment horizontal="center" vertical="top"/>
    </xf>
    <xf numFmtId="0" fontId="5" fillId="20" borderId="6" xfId="6" applyFont="1" applyFill="1" applyBorder="1" applyAlignment="1" applyProtection="1">
      <alignment horizontal="center" vertical="top"/>
    </xf>
    <xf numFmtId="0" fontId="5" fillId="0" borderId="20" xfId="6" applyFont="1" applyFill="1" applyBorder="1" applyAlignment="1" applyProtection="1">
      <alignment horizontal="center" vertical="top"/>
    </xf>
    <xf numFmtId="0" fontId="5" fillId="0" borderId="19" xfId="6" applyNumberFormat="1" applyFont="1" applyFill="1" applyBorder="1" applyAlignment="1" applyProtection="1">
      <alignment horizontal="center" vertical="top"/>
    </xf>
    <xf numFmtId="0" fontId="5" fillId="0" borderId="14" xfId="6" applyNumberFormat="1" applyFont="1" applyFill="1" applyBorder="1" applyAlignment="1" applyProtection="1">
      <alignment horizontal="center" vertical="top"/>
    </xf>
    <xf numFmtId="170" fontId="5" fillId="0" borderId="14" xfId="4" applyNumberFormat="1" applyFont="1" applyFill="1" applyBorder="1" applyAlignment="1" applyProtection="1">
      <alignment horizontal="center" vertical="top"/>
    </xf>
    <xf numFmtId="170" fontId="5" fillId="0" borderId="2" xfId="4" applyNumberFormat="1" applyFont="1" applyFill="1" applyBorder="1" applyAlignment="1" applyProtection="1">
      <alignment horizontal="center" vertical="top"/>
    </xf>
    <xf numFmtId="0" fontId="0" fillId="0" borderId="14" xfId="0" applyFill="1" applyBorder="1"/>
    <xf numFmtId="0" fontId="0" fillId="0" borderId="2" xfId="0" applyFill="1" applyBorder="1"/>
    <xf numFmtId="0" fontId="5" fillId="0" borderId="9" xfId="6" applyFont="1" applyFill="1" applyBorder="1" applyAlignment="1" applyProtection="1">
      <alignment horizontal="center" vertical="top"/>
    </xf>
    <xf numFmtId="0" fontId="5" fillId="0" borderId="18" xfId="6" applyNumberFormat="1" applyFont="1" applyFill="1" applyBorder="1" applyAlignment="1" applyProtection="1">
      <alignment horizontal="center" vertical="top"/>
    </xf>
    <xf numFmtId="170" fontId="5" fillId="0" borderId="15" xfId="4" applyNumberFormat="1" applyFont="1" applyFill="1" applyBorder="1" applyAlignment="1" applyProtection="1">
      <alignment horizontal="center" vertical="top"/>
    </xf>
    <xf numFmtId="0" fontId="0" fillId="0" borderId="15" xfId="0" applyFill="1" applyBorder="1"/>
    <xf numFmtId="0" fontId="5" fillId="0" borderId="21" xfId="6" applyFont="1" applyFill="1" applyBorder="1" applyAlignment="1" applyProtection="1">
      <alignment horizontal="center" vertical="top"/>
    </xf>
    <xf numFmtId="0" fontId="5" fillId="0" borderId="22" xfId="6" applyFont="1" applyFill="1" applyBorder="1" applyAlignment="1" applyProtection="1">
      <alignment horizontal="center" vertical="top"/>
    </xf>
    <xf numFmtId="0" fontId="20" fillId="0" borderId="20" xfId="6" applyNumberFormat="1" applyFont="1" applyFill="1" applyBorder="1" applyAlignment="1" applyProtection="1">
      <alignment horizontal="center" vertical="top"/>
    </xf>
    <xf numFmtId="0" fontId="20" fillId="0" borderId="21" xfId="6" applyNumberFormat="1" applyFont="1" applyFill="1" applyBorder="1" applyAlignment="1" applyProtection="1">
      <alignment horizontal="center" vertical="top"/>
    </xf>
    <xf numFmtId="0" fontId="20" fillId="0" borderId="22" xfId="6" applyNumberFormat="1" applyFont="1" applyFill="1" applyBorder="1" applyAlignment="1" applyProtection="1">
      <alignment horizontal="center" vertical="top"/>
    </xf>
    <xf numFmtId="0" fontId="22" fillId="0" borderId="19" xfId="5" applyFont="1" applyFill="1" applyBorder="1" applyAlignment="1">
      <alignment horizontal="center"/>
    </xf>
    <xf numFmtId="0" fontId="22" fillId="0" borderId="14" xfId="5" applyFont="1" applyFill="1" applyBorder="1" applyAlignment="1">
      <alignment horizontal="center"/>
    </xf>
    <xf numFmtId="0" fontId="22" fillId="0" borderId="14" xfId="5" applyFont="1" applyFill="1" applyBorder="1"/>
    <xf numFmtId="0" fontId="22" fillId="0" borderId="12" xfId="5" applyFont="1" applyFill="1" applyBorder="1"/>
    <xf numFmtId="0" fontId="5" fillId="0" borderId="17" xfId="6" applyNumberFormat="1" applyFont="1" applyFill="1" applyBorder="1" applyAlignment="1" applyProtection="1">
      <alignment horizontal="center" vertical="top"/>
    </xf>
    <xf numFmtId="0" fontId="5" fillId="0" borderId="13" xfId="6" applyNumberFormat="1" applyFont="1" applyFill="1" applyBorder="1" applyAlignment="1" applyProtection="1">
      <alignment horizontal="center" vertical="top"/>
    </xf>
    <xf numFmtId="0" fontId="0" fillId="0" borderId="0" xfId="0" applyFill="1"/>
    <xf numFmtId="0" fontId="5" fillId="0" borderId="23" xfId="6" applyFont="1" applyFill="1" applyBorder="1" applyAlignment="1" applyProtection="1">
      <alignment horizontal="center" vertical="top"/>
    </xf>
    <xf numFmtId="0" fontId="5" fillId="0" borderId="24" xfId="6" applyNumberFormat="1" applyFont="1" applyFill="1" applyBorder="1" applyAlignment="1" applyProtection="1">
      <alignment horizontal="center" vertical="top"/>
    </xf>
    <xf numFmtId="0" fontId="5" fillId="0" borderId="25" xfId="6" applyNumberFormat="1" applyFont="1" applyFill="1" applyBorder="1" applyAlignment="1" applyProtection="1">
      <alignment horizontal="center" vertical="top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center" vertical="center" wrapText="1"/>
    </xf>
    <xf numFmtId="0" fontId="23" fillId="2" borderId="53" xfId="0" applyFont="1" applyFill="1" applyBorder="1" applyAlignment="1">
      <alignment horizontal="left" vertical="center" wrapText="1"/>
    </xf>
    <xf numFmtId="174" fontId="13" fillId="2" borderId="53" xfId="4" applyNumberFormat="1" applyFont="1" applyFill="1" applyBorder="1" applyAlignment="1">
      <alignment horizontal="center" vertical="center"/>
    </xf>
    <xf numFmtId="174" fontId="26" fillId="2" borderId="53" xfId="4" applyNumberFormat="1" applyFont="1" applyFill="1" applyBorder="1" applyAlignment="1" applyProtection="1">
      <alignment horizontal="center" vertical="top"/>
    </xf>
    <xf numFmtId="4" fontId="56" fillId="16" borderId="53" xfId="0" applyNumberFormat="1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 vertical="center" wrapText="1"/>
    </xf>
    <xf numFmtId="0" fontId="1" fillId="19" borderId="5" xfId="0" applyFont="1" applyFill="1" applyBorder="1" applyAlignment="1">
      <alignment horizontal="center" vertical="center" wrapText="1"/>
    </xf>
    <xf numFmtId="0" fontId="34" fillId="12" borderId="0" xfId="0" applyFont="1" applyFill="1" applyAlignment="1">
      <alignment horizontal="center" vertical="center"/>
    </xf>
    <xf numFmtId="0" fontId="33" fillId="16" borderId="50" xfId="0" applyFont="1" applyFill="1" applyBorder="1" applyAlignment="1">
      <alignment horizontal="center" vertical="center" wrapText="1"/>
    </xf>
    <xf numFmtId="168" fontId="36" fillId="17" borderId="50" xfId="0" applyNumberFormat="1" applyFont="1" applyFill="1" applyBorder="1" applyAlignment="1">
      <alignment horizontal="left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168" fontId="36" fillId="17" borderId="50" xfId="0" applyNumberFormat="1" applyFont="1" applyFill="1" applyBorder="1" applyAlignment="1">
      <alignment vertical="center" wrapText="1"/>
    </xf>
    <xf numFmtId="0" fontId="1" fillId="10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47" fillId="17" borderId="40" xfId="0" applyFont="1" applyFill="1" applyBorder="1" applyAlignment="1">
      <alignment horizontal="center" vertical="center"/>
    </xf>
    <xf numFmtId="0" fontId="44" fillId="17" borderId="40" xfId="0" applyFont="1" applyFill="1" applyBorder="1" applyAlignment="1">
      <alignment horizontal="center" vertical="center" wrapText="1"/>
    </xf>
    <xf numFmtId="4" fontId="42" fillId="10" borderId="3" xfId="0" applyNumberFormat="1" applyFont="1" applyFill="1" applyBorder="1" applyAlignment="1">
      <alignment horizontal="center" vertical="center"/>
    </xf>
    <xf numFmtId="0" fontId="42" fillId="10" borderId="4" xfId="0" applyFont="1" applyFill="1" applyBorder="1" applyAlignment="1">
      <alignment horizontal="center" vertical="center"/>
    </xf>
    <xf numFmtId="0" fontId="42" fillId="10" borderId="5" xfId="0" applyFont="1" applyFill="1" applyBorder="1" applyAlignment="1">
      <alignment horizontal="center" vertical="center"/>
    </xf>
    <xf numFmtId="4" fontId="32" fillId="17" borderId="14" xfId="0" applyNumberFormat="1" applyFont="1" applyFill="1" applyBorder="1" applyAlignment="1">
      <alignment horizontal="center" vertical="center" wrapText="1"/>
    </xf>
    <xf numFmtId="4" fontId="32" fillId="17" borderId="2" xfId="0" applyNumberFormat="1" applyFont="1" applyFill="1" applyBorder="1" applyAlignment="1">
      <alignment horizontal="center" vertical="center" wrapText="1"/>
    </xf>
    <xf numFmtId="0" fontId="41" fillId="2" borderId="0" xfId="0" applyFont="1" applyFill="1" applyBorder="1" applyAlignment="1">
      <alignment horizontal="left" vertical="center" wrapText="1"/>
    </xf>
    <xf numFmtId="0" fontId="42" fillId="2" borderId="0" xfId="0" applyFont="1" applyFill="1" applyBorder="1" applyAlignment="1">
      <alignment horizontal="left" vertical="center" wrapText="1"/>
    </xf>
    <xf numFmtId="0" fontId="52" fillId="2" borderId="0" xfId="0" applyFont="1" applyFill="1" applyAlignment="1">
      <alignment horizontal="left" vertical="center"/>
    </xf>
    <xf numFmtId="0" fontId="6" fillId="2" borderId="0" xfId="0" applyFont="1" applyFill="1" applyBorder="1" applyAlignment="1">
      <alignment horizontal="center" vertical="center"/>
    </xf>
    <xf numFmtId="0" fontId="48" fillId="16" borderId="15" xfId="0" applyFont="1" applyFill="1" applyBorder="1" applyAlignment="1">
      <alignment horizontal="center" vertical="center" wrapText="1"/>
    </xf>
    <xf numFmtId="0" fontId="48" fillId="16" borderId="14" xfId="0" applyFont="1" applyFill="1" applyBorder="1" applyAlignment="1">
      <alignment horizontal="center" vertical="center" wrapText="1"/>
    </xf>
    <xf numFmtId="0" fontId="48" fillId="16" borderId="50" xfId="0" applyFont="1" applyFill="1" applyBorder="1" applyAlignment="1">
      <alignment horizontal="center" vertical="center" wrapText="1"/>
    </xf>
    <xf numFmtId="0" fontId="42" fillId="0" borderId="38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4" fontId="42" fillId="19" borderId="3" xfId="0" applyNumberFormat="1" applyFont="1" applyFill="1" applyBorder="1" applyAlignment="1">
      <alignment horizontal="center" vertical="center"/>
    </xf>
    <xf numFmtId="0" fontId="42" fillId="19" borderId="5" xfId="0" applyFont="1" applyFill="1" applyBorder="1" applyAlignment="1">
      <alignment horizontal="center" vertical="center"/>
    </xf>
    <xf numFmtId="0" fontId="41" fillId="2" borderId="7" xfId="0" applyFont="1" applyFill="1" applyBorder="1" applyAlignment="1">
      <alignment horizontal="left" vertical="center" wrapText="1"/>
    </xf>
    <xf numFmtId="0" fontId="43" fillId="17" borderId="40" xfId="0" applyNumberFormat="1" applyFont="1" applyFill="1" applyBorder="1" applyAlignment="1">
      <alignment horizontal="center" vertical="center"/>
    </xf>
    <xf numFmtId="0" fontId="43" fillId="17" borderId="41" xfId="0" applyNumberFormat="1" applyFont="1" applyFill="1" applyBorder="1" applyAlignment="1">
      <alignment horizontal="center" vertical="center"/>
    </xf>
    <xf numFmtId="0" fontId="53" fillId="17" borderId="40" xfId="8" applyFont="1" applyFill="1" applyBorder="1" applyAlignment="1">
      <alignment horizontal="center" vertical="center"/>
    </xf>
    <xf numFmtId="0" fontId="53" fillId="17" borderId="41" xfId="8" applyFont="1" applyFill="1" applyBorder="1" applyAlignment="1">
      <alignment horizontal="center" vertical="center"/>
    </xf>
    <xf numFmtId="14" fontId="43" fillId="17" borderId="40" xfId="0" applyNumberFormat="1" applyFont="1" applyFill="1" applyBorder="1" applyAlignment="1">
      <alignment horizontal="center" vertical="center"/>
    </xf>
    <xf numFmtId="14" fontId="43" fillId="17" borderId="41" xfId="0" applyNumberFormat="1" applyFont="1" applyFill="1" applyBorder="1" applyAlignment="1">
      <alignment horizontal="center" vertical="center"/>
    </xf>
    <xf numFmtId="0" fontId="40" fillId="16" borderId="39" xfId="0" applyFont="1" applyFill="1" applyBorder="1" applyAlignment="1">
      <alignment horizontal="center" vertical="center" wrapText="1"/>
    </xf>
    <xf numFmtId="0" fontId="40" fillId="16" borderId="40" xfId="0" applyFont="1" applyFill="1" applyBorder="1" applyAlignment="1">
      <alignment horizontal="center" vertical="center" wrapText="1"/>
    </xf>
    <xf numFmtId="14" fontId="47" fillId="17" borderId="40" xfId="0" applyNumberFormat="1" applyFont="1" applyFill="1" applyBorder="1" applyAlignment="1">
      <alignment horizontal="center" vertical="center"/>
    </xf>
    <xf numFmtId="14" fontId="47" fillId="17" borderId="41" xfId="0" applyNumberFormat="1" applyFont="1" applyFill="1" applyBorder="1" applyAlignment="1">
      <alignment horizontal="center" vertical="center"/>
    </xf>
    <xf numFmtId="4" fontId="33" fillId="16" borderId="29" xfId="0" applyNumberFormat="1" applyFont="1" applyFill="1" applyBorder="1" applyAlignment="1">
      <alignment horizontal="center" vertical="center"/>
    </xf>
    <xf numFmtId="4" fontId="33" fillId="16" borderId="30" xfId="0" applyNumberFormat="1" applyFont="1" applyFill="1" applyBorder="1" applyAlignment="1">
      <alignment horizontal="center" vertical="center"/>
    </xf>
    <xf numFmtId="0" fontId="40" fillId="16" borderId="33" xfId="0" applyFont="1" applyFill="1" applyBorder="1" applyAlignment="1">
      <alignment horizontal="center"/>
    </xf>
    <xf numFmtId="0" fontId="40" fillId="16" borderId="34" xfId="0" applyFont="1" applyFill="1" applyBorder="1" applyAlignment="1">
      <alignment horizontal="center"/>
    </xf>
    <xf numFmtId="4" fontId="40" fillId="16" borderId="2" xfId="0" applyNumberFormat="1" applyFont="1" applyFill="1" applyBorder="1" applyAlignment="1">
      <alignment horizontal="center" vertical="center"/>
    </xf>
    <xf numFmtId="4" fontId="40" fillId="16" borderId="36" xfId="0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40" fillId="16" borderId="50" xfId="0" applyFont="1" applyFill="1" applyBorder="1" applyAlignment="1">
      <alignment horizontal="center" vertical="center" wrapText="1"/>
    </xf>
    <xf numFmtId="41" fontId="50" fillId="17" borderId="50" xfId="0" applyNumberFormat="1" applyFont="1" applyFill="1" applyBorder="1" applyAlignment="1">
      <alignment horizontal="center" vertical="center" wrapText="1"/>
    </xf>
    <xf numFmtId="166" fontId="6" fillId="0" borderId="0" xfId="0" applyNumberFormat="1" applyFont="1" applyBorder="1" applyAlignment="1">
      <alignment horizontal="center" vertical="center"/>
    </xf>
    <xf numFmtId="4" fontId="40" fillId="16" borderId="2" xfId="1" applyNumberFormat="1" applyFont="1" applyFill="1" applyBorder="1" applyAlignment="1">
      <alignment horizontal="center" vertical="center"/>
    </xf>
    <xf numFmtId="4" fontId="40" fillId="16" borderId="36" xfId="1" applyNumberFormat="1" applyFont="1" applyFill="1" applyBorder="1" applyAlignment="1">
      <alignment horizontal="center" vertical="center"/>
    </xf>
    <xf numFmtId="0" fontId="38" fillId="0" borderId="50" xfId="0" applyFont="1" applyBorder="1" applyAlignment="1">
      <alignment horizontal="center" vertical="center"/>
    </xf>
    <xf numFmtId="0" fontId="42" fillId="3" borderId="51" xfId="0" applyFont="1" applyFill="1" applyBorder="1" applyAlignment="1">
      <alignment horizontal="center"/>
    </xf>
    <xf numFmtId="0" fontId="42" fillId="3" borderId="52" xfId="0" applyFont="1" applyFill="1" applyBorder="1" applyAlignment="1">
      <alignment horizontal="center"/>
    </xf>
    <xf numFmtId="0" fontId="42" fillId="16" borderId="11" xfId="0" applyFont="1" applyFill="1" applyBorder="1" applyAlignment="1">
      <alignment horizontal="center" vertical="center"/>
    </xf>
    <xf numFmtId="0" fontId="42" fillId="16" borderId="12" xfId="0" applyFont="1" applyFill="1" applyBorder="1" applyAlignment="1">
      <alignment horizontal="center" vertical="center"/>
    </xf>
    <xf numFmtId="0" fontId="42" fillId="16" borderId="8" xfId="0" applyFont="1" applyFill="1" applyBorder="1" applyAlignment="1">
      <alignment horizontal="center" vertical="center"/>
    </xf>
    <xf numFmtId="0" fontId="40" fillId="16" borderId="48" xfId="0" applyFont="1" applyFill="1" applyBorder="1" applyAlignment="1">
      <alignment horizontal="center" vertical="center"/>
    </xf>
    <xf numFmtId="0" fontId="40" fillId="16" borderId="49" xfId="0" applyFont="1" applyFill="1" applyBorder="1" applyAlignment="1">
      <alignment horizontal="center" vertical="center"/>
    </xf>
    <xf numFmtId="0" fontId="40" fillId="16" borderId="48" xfId="0" applyFont="1" applyFill="1" applyBorder="1" applyAlignment="1">
      <alignment horizontal="center" vertical="center" wrapText="1"/>
    </xf>
    <xf numFmtId="0" fontId="40" fillId="16" borderId="49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horizontal="center" vertical="center" wrapText="1"/>
    </xf>
    <xf numFmtId="41" fontId="36" fillId="17" borderId="50" xfId="0" applyNumberFormat="1" applyFont="1" applyFill="1" applyBorder="1" applyAlignment="1">
      <alignment vertical="center" wrapText="1"/>
    </xf>
    <xf numFmtId="0" fontId="45" fillId="2" borderId="0" xfId="0" applyFont="1" applyFill="1" applyAlignment="1">
      <alignment horizontal="center" vertical="center"/>
    </xf>
    <xf numFmtId="4" fontId="6" fillId="16" borderId="11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/>
    </xf>
    <xf numFmtId="4" fontId="6" fillId="16" borderId="8" xfId="0" applyNumberFormat="1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0" fontId="55" fillId="0" borderId="0" xfId="8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 vertical="center" wrapText="1"/>
    </xf>
    <xf numFmtId="4" fontId="8" fillId="0" borderId="0" xfId="0" applyNumberFormat="1" applyFont="1" applyAlignment="1">
      <alignment horizontal="center" wrapText="1"/>
    </xf>
    <xf numFmtId="0" fontId="24" fillId="0" borderId="0" xfId="0" applyFont="1"/>
    <xf numFmtId="0" fontId="8" fillId="0" borderId="0" xfId="0" applyFont="1"/>
    <xf numFmtId="0" fontId="8" fillId="0" borderId="0" xfId="0" applyFont="1" applyAlignment="1">
      <alignment horizontal="left" wrapText="1"/>
    </xf>
    <xf numFmtId="0" fontId="9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172" fontId="8" fillId="0" borderId="0" xfId="0" applyNumberFormat="1" applyFont="1" applyAlignment="1">
      <alignment horizontal="right"/>
    </xf>
    <xf numFmtId="0" fontId="9" fillId="0" borderId="0" xfId="0" applyFont="1" applyAlignment="1">
      <alignment horizontal="left"/>
    </xf>
    <xf numFmtId="0" fontId="31" fillId="0" borderId="0" xfId="0" applyFont="1" applyAlignment="1">
      <alignment horizontal="center" vertical="center"/>
    </xf>
    <xf numFmtId="0" fontId="24" fillId="0" borderId="0" xfId="0" applyFont="1" applyAlignment="1">
      <alignment horizontal="center" wrapText="1"/>
    </xf>
    <xf numFmtId="0" fontId="8" fillId="0" borderId="0" xfId="0" applyFont="1" applyFill="1" applyBorder="1"/>
    <xf numFmtId="0" fontId="20" fillId="20" borderId="3" xfId="6" applyNumberFormat="1" applyFont="1" applyFill="1" applyBorder="1" applyAlignment="1" applyProtection="1">
      <alignment horizontal="center" vertical="top"/>
    </xf>
    <xf numFmtId="0" fontId="20" fillId="20" borderId="4" xfId="6" applyNumberFormat="1" applyFont="1" applyFill="1" applyBorder="1" applyAlignment="1" applyProtection="1">
      <alignment horizontal="center" vertical="top"/>
    </xf>
    <xf numFmtId="0" fontId="20" fillId="20" borderId="5" xfId="6" applyNumberFormat="1" applyFont="1" applyFill="1" applyBorder="1" applyAlignment="1" applyProtection="1">
      <alignment horizontal="center" vertical="top"/>
    </xf>
    <xf numFmtId="0" fontId="3" fillId="0" borderId="0" xfId="0" applyFont="1" applyAlignment="1">
      <alignment horizontal="center"/>
    </xf>
    <xf numFmtId="0" fontId="5" fillId="20" borderId="3" xfId="6" applyFont="1" applyFill="1" applyBorder="1" applyAlignment="1" applyProtection="1">
      <alignment horizontal="center" vertical="top"/>
    </xf>
    <xf numFmtId="0" fontId="5" fillId="20" borderId="4" xfId="6" applyFont="1" applyFill="1" applyBorder="1" applyAlignment="1" applyProtection="1">
      <alignment horizontal="center" vertical="top"/>
    </xf>
    <xf numFmtId="0" fontId="5" fillId="20" borderId="5" xfId="6" applyFont="1" applyFill="1" applyBorder="1" applyAlignment="1" applyProtection="1">
      <alignment horizontal="center" vertical="top"/>
    </xf>
    <xf numFmtId="0" fontId="14" fillId="10" borderId="0" xfId="0" applyFont="1" applyFill="1" applyAlignment="1">
      <alignment horizontal="center"/>
    </xf>
    <xf numFmtId="0" fontId="16" fillId="10" borderId="0" xfId="0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13" fillId="10" borderId="0" xfId="0" applyFont="1" applyFill="1" applyAlignment="1">
      <alignment horizontal="left"/>
    </xf>
    <xf numFmtId="0" fontId="3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</cellXfs>
  <cellStyles count="9">
    <cellStyle name="Hipervínculo" xfId="8" builtinId="8"/>
    <cellStyle name="Millares 2" xfId="4" xr:uid="{00000000-0005-0000-0000-000001000000}"/>
    <cellStyle name="Millares 3" xfId="7" xr:uid="{00000000-0005-0000-0000-000002000000}"/>
    <cellStyle name="Normal" xfId="0" builtinId="0"/>
    <cellStyle name="Normal 10" xfId="3" xr:uid="{00000000-0005-0000-0000-000004000000}"/>
    <cellStyle name="Normal 2" xfId="6" xr:uid="{00000000-0005-0000-0000-000005000000}"/>
    <cellStyle name="Normal 3 2" xfId="5" xr:uid="{00000000-0005-0000-0000-000006000000}"/>
    <cellStyle name="Normal 6" xfId="2" xr:uid="{00000000-0005-0000-0000-000007000000}"/>
    <cellStyle name="Porcentaje" xfId="1" builtinId="5"/>
  </cellStyles>
  <dxfs count="0"/>
  <tableStyles count="0" defaultTableStyle="TableStyleMedium2" defaultPivotStyle="PivotStyleLight16"/>
  <colors>
    <mruColors>
      <color rgb="FF548235"/>
      <color rgb="FFE2EFDA"/>
      <color rgb="FF663300"/>
      <color rgb="FFD26900"/>
      <color rgb="FFA85400"/>
      <color rgb="FFFFFFFF"/>
      <color rgb="FFCC3300"/>
      <color rgb="FFD1FDCF"/>
      <color rgb="FF60AD35"/>
      <color rgb="FFF9FA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327808</xdr:colOff>
      <xdr:row>4</xdr:row>
      <xdr:rowOff>108857</xdr:rowOff>
    </xdr:from>
    <xdr:to>
      <xdr:col>1</xdr:col>
      <xdr:colOff>2422071</xdr:colOff>
      <xdr:row>7</xdr:row>
      <xdr:rowOff>150544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808" y="1183821"/>
          <a:ext cx="2094263" cy="10350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0</xdr:row>
          <xdr:rowOff>200025</xdr:rowOff>
        </xdr:from>
        <xdr:to>
          <xdr:col>8</xdr:col>
          <xdr:colOff>1247775</xdr:colOff>
          <xdr:row>2</xdr:row>
          <xdr:rowOff>190500</xdr:rowOff>
        </xdr:to>
        <xdr:sp macro="" textlink="">
          <xdr:nvSpPr>
            <xdr:cNvPr id="3173" name="CommandButton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0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231322</xdr:colOff>
      <xdr:row>261</xdr:row>
      <xdr:rowOff>136072</xdr:rowOff>
    </xdr:from>
    <xdr:to>
      <xdr:col>3</xdr:col>
      <xdr:colOff>408215</xdr:colOff>
      <xdr:row>261</xdr:row>
      <xdr:rowOff>272143</xdr:rowOff>
    </xdr:to>
    <xdr:sp macro="" textlink="">
      <xdr:nvSpPr>
        <xdr:cNvPr id="2" name="Flecha a la derecha con muesc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88679" y="123403179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710294</xdr:colOff>
      <xdr:row>261</xdr:row>
      <xdr:rowOff>138794</xdr:rowOff>
    </xdr:from>
    <xdr:to>
      <xdr:col>3</xdr:col>
      <xdr:colOff>887187</xdr:colOff>
      <xdr:row>261</xdr:row>
      <xdr:rowOff>274865</xdr:rowOff>
    </xdr:to>
    <xdr:sp macro="" textlink="">
      <xdr:nvSpPr>
        <xdr:cNvPr id="5" name="Flecha a la derecha con muesc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867651" y="123405901"/>
          <a:ext cx="176893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1175658</xdr:colOff>
      <xdr:row>261</xdr:row>
      <xdr:rowOff>155121</xdr:rowOff>
    </xdr:from>
    <xdr:to>
      <xdr:col>3</xdr:col>
      <xdr:colOff>1352551</xdr:colOff>
      <xdr:row>261</xdr:row>
      <xdr:rowOff>291192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333015" y="123422228"/>
          <a:ext cx="176893" cy="136071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152400</xdr:rowOff>
        </xdr:from>
        <xdr:to>
          <xdr:col>5</xdr:col>
          <xdr:colOff>371475</xdr:colOff>
          <xdr:row>3</xdr:row>
          <xdr:rowOff>66675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</xdr:col>
      <xdr:colOff>847725</xdr:colOff>
      <xdr:row>4</xdr:row>
      <xdr:rowOff>71438</xdr:rowOff>
    </xdr:to>
    <xdr:pic>
      <xdr:nvPicPr>
        <xdr:cNvPr id="2" name="1 Imagen" descr="Grupo Regiona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775"/>
          <a:ext cx="1609725" cy="900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gruporegional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>
    <tabColor rgb="FFFF0000"/>
  </sheetPr>
  <dimension ref="A1:O284"/>
  <sheetViews>
    <sheetView tabSelected="1" view="pageBreakPreview" topLeftCell="D1" zoomScale="70" zoomScaleNormal="70" zoomScaleSheetLayoutView="70" zoomScalePageLayoutView="85" workbookViewId="0">
      <pane ySplit="4" topLeftCell="A5" activePane="bottomLeft" state="frozen"/>
      <selection pane="bottomLeft" activeCell="A5" sqref="A5:L274"/>
    </sheetView>
  </sheetViews>
  <sheetFormatPr baseColWidth="10" defaultRowHeight="15.75" x14ac:dyDescent="0.25"/>
  <cols>
    <col min="1" max="1" width="11.42578125" style="61"/>
    <col min="2" max="2" width="66.42578125" style="55" customWidth="1"/>
    <col min="3" max="3" width="29.42578125" style="55" customWidth="1"/>
    <col min="4" max="4" width="24.7109375" style="55" customWidth="1"/>
    <col min="5" max="5" width="24.140625" style="55" customWidth="1"/>
    <col min="6" max="6" width="22.5703125" style="277" hidden="1" customWidth="1"/>
    <col min="7" max="7" width="31.42578125" style="55" customWidth="1"/>
    <col min="8" max="8" width="25.5703125" style="55" customWidth="1"/>
    <col min="9" max="9" width="23.5703125" style="55" customWidth="1"/>
    <col min="10" max="11" width="22.5703125" style="55" customWidth="1"/>
    <col min="12" max="12" width="22.5703125" style="219" customWidth="1"/>
    <col min="13" max="14" width="22.5703125" style="55" customWidth="1"/>
    <col min="15" max="15" width="26.85546875" style="55" customWidth="1"/>
    <col min="16" max="16384" width="11.42578125" style="55"/>
  </cols>
  <sheetData>
    <row r="1" spans="1:15" ht="24.95" customHeight="1" thickBot="1" x14ac:dyDescent="0.3">
      <c r="A1" s="118"/>
      <c r="B1" s="218"/>
      <c r="C1" s="218"/>
      <c r="D1" s="218"/>
      <c r="E1" s="218"/>
      <c r="F1" s="218"/>
      <c r="G1" s="218"/>
      <c r="H1" s="218"/>
      <c r="I1" s="218"/>
      <c r="J1" s="218"/>
      <c r="K1" s="218"/>
      <c r="M1" s="220"/>
      <c r="N1" s="220"/>
      <c r="O1" s="220"/>
    </row>
    <row r="2" spans="1:15" ht="31.5" customHeight="1" thickBot="1" x14ac:dyDescent="0.3">
      <c r="A2" s="118"/>
      <c r="B2" s="408" t="s">
        <v>1533</v>
      </c>
      <c r="C2" s="410">
        <f>+C272</f>
        <v>672.92759347920048</v>
      </c>
      <c r="D2" s="411"/>
      <c r="E2" s="396">
        <f>+I272</f>
        <v>672.92759347920037</v>
      </c>
      <c r="F2" s="397"/>
      <c r="G2" s="398"/>
      <c r="H2" s="320">
        <f>E2-C2</f>
        <v>0</v>
      </c>
      <c r="I2" s="218"/>
      <c r="J2" s="218"/>
      <c r="K2" s="218"/>
      <c r="M2" s="220"/>
      <c r="N2" s="220"/>
      <c r="O2" s="220"/>
    </row>
    <row r="3" spans="1:15" ht="29.25" customHeight="1" thickBot="1" x14ac:dyDescent="0.3">
      <c r="A3" s="118"/>
      <c r="B3" s="409"/>
      <c r="C3" s="383" t="s">
        <v>1565</v>
      </c>
      <c r="D3" s="384"/>
      <c r="E3" s="391" t="s">
        <v>1564</v>
      </c>
      <c r="F3" s="392"/>
      <c r="G3" s="393"/>
      <c r="H3" s="117" t="s">
        <v>1534</v>
      </c>
      <c r="I3" s="218"/>
      <c r="J3" s="218"/>
      <c r="K3" s="218"/>
      <c r="M3" s="220"/>
      <c r="N3" s="220"/>
      <c r="O3" s="220"/>
    </row>
    <row r="4" spans="1:15" ht="24.95" customHeight="1" x14ac:dyDescent="0.25">
      <c r="A4" s="118"/>
      <c r="B4" s="218"/>
      <c r="C4" s="218"/>
      <c r="D4" s="218"/>
      <c r="E4" s="218"/>
      <c r="F4" s="218"/>
      <c r="G4" s="218"/>
      <c r="H4" s="218"/>
      <c r="I4" s="218"/>
      <c r="J4" s="218"/>
      <c r="K4" s="218"/>
      <c r="M4" s="220"/>
      <c r="N4" s="220"/>
      <c r="O4" s="220"/>
    </row>
    <row r="5" spans="1:15" ht="24.95" customHeight="1" x14ac:dyDescent="0.25">
      <c r="A5" s="119"/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</row>
    <row r="6" spans="1:15" ht="26.25" x14ac:dyDescent="0.25">
      <c r="A6" s="119"/>
      <c r="B6" s="447" t="s">
        <v>1544</v>
      </c>
      <c r="C6" s="447"/>
      <c r="D6" s="447"/>
      <c r="E6" s="447"/>
      <c r="F6" s="447"/>
      <c r="G6" s="447"/>
      <c r="H6" s="447"/>
      <c r="I6" s="447"/>
      <c r="J6" s="334"/>
      <c r="K6" s="334"/>
      <c r="L6" s="334"/>
      <c r="M6" s="220"/>
      <c r="N6" s="220"/>
      <c r="O6" s="220"/>
    </row>
    <row r="7" spans="1:15" ht="26.25" x14ac:dyDescent="0.25">
      <c r="A7" s="119"/>
      <c r="B7" s="447" t="s">
        <v>1391</v>
      </c>
      <c r="C7" s="447"/>
      <c r="D7" s="447"/>
      <c r="E7" s="447"/>
      <c r="F7" s="447"/>
      <c r="G7" s="447"/>
      <c r="H7" s="447"/>
      <c r="I7" s="447"/>
      <c r="J7" s="334"/>
      <c r="K7" s="334"/>
      <c r="L7" s="334"/>
      <c r="M7" s="220"/>
      <c r="N7" s="220"/>
      <c r="O7" s="220"/>
    </row>
    <row r="8" spans="1:15" ht="28.5" x14ac:dyDescent="0.25">
      <c r="A8" s="119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220"/>
      <c r="N8" s="220"/>
      <c r="O8" s="220"/>
    </row>
    <row r="9" spans="1:15" s="68" customFormat="1" ht="30" customHeight="1" x14ac:dyDescent="0.25">
      <c r="A9" s="323" t="s">
        <v>1557</v>
      </c>
      <c r="B9" s="278" t="s">
        <v>0</v>
      </c>
      <c r="C9" s="413" t="s">
        <v>1573</v>
      </c>
      <c r="D9" s="414"/>
      <c r="E9" s="325" t="s">
        <v>1558</v>
      </c>
      <c r="F9" s="279"/>
      <c r="G9" s="335" t="s">
        <v>1425</v>
      </c>
      <c r="H9" s="394">
        <v>4201660117</v>
      </c>
      <c r="I9" s="394"/>
      <c r="J9" s="123"/>
      <c r="K9" s="337"/>
      <c r="L9" s="221"/>
      <c r="M9" s="123"/>
      <c r="O9" s="123"/>
    </row>
    <row r="10" spans="1:15" s="68" customFormat="1" ht="21" x14ac:dyDescent="0.35">
      <c r="A10" s="323"/>
      <c r="B10" s="280"/>
      <c r="C10" s="280"/>
      <c r="D10" s="280"/>
      <c r="E10" s="326"/>
      <c r="F10" s="280"/>
      <c r="G10" s="303"/>
      <c r="H10" s="303"/>
      <c r="I10" s="123"/>
      <c r="J10" s="123"/>
      <c r="K10" s="338"/>
      <c r="L10" s="222"/>
      <c r="M10" s="123"/>
      <c r="O10" s="123"/>
    </row>
    <row r="11" spans="1:15" s="68" customFormat="1" ht="45" customHeight="1" x14ac:dyDescent="0.25">
      <c r="A11" s="323" t="s">
        <v>1560</v>
      </c>
      <c r="B11" s="281" t="s">
        <v>1495</v>
      </c>
      <c r="C11" s="415"/>
      <c r="D11" s="416"/>
      <c r="E11" s="327" t="s">
        <v>1559</v>
      </c>
      <c r="F11" s="282"/>
      <c r="G11" s="335" t="s">
        <v>1497</v>
      </c>
      <c r="H11" s="395" t="s">
        <v>1575</v>
      </c>
      <c r="I11" s="395"/>
      <c r="J11" s="123"/>
      <c r="K11" s="337"/>
      <c r="L11" s="224"/>
      <c r="M11" s="123"/>
      <c r="O11" s="123"/>
    </row>
    <row r="12" spans="1:15" s="68" customFormat="1" ht="21" x14ac:dyDescent="0.35">
      <c r="A12" s="323"/>
      <c r="B12" s="280"/>
      <c r="C12" s="280"/>
      <c r="D12" s="280"/>
      <c r="E12" s="328"/>
      <c r="F12" s="280"/>
      <c r="G12" s="303"/>
      <c r="H12" s="303"/>
      <c r="I12" s="123"/>
      <c r="J12" s="123"/>
      <c r="K12" s="338"/>
      <c r="L12" s="222"/>
      <c r="M12" s="123"/>
      <c r="O12" s="123"/>
    </row>
    <row r="13" spans="1:15" s="68" customFormat="1" ht="37.5" customHeight="1" x14ac:dyDescent="0.25">
      <c r="A13" s="323" t="s">
        <v>1561</v>
      </c>
      <c r="B13" s="281" t="s">
        <v>1498</v>
      </c>
      <c r="C13" s="417">
        <v>43495</v>
      </c>
      <c r="D13" s="418"/>
      <c r="E13" s="323" t="s">
        <v>1562</v>
      </c>
      <c r="F13" s="283"/>
      <c r="G13" s="336" t="s">
        <v>1499</v>
      </c>
      <c r="H13" s="417">
        <v>43525</v>
      </c>
      <c r="I13" s="417"/>
      <c r="J13" s="123"/>
      <c r="K13" s="337"/>
      <c r="L13" s="225"/>
      <c r="M13" s="123"/>
      <c r="O13" s="123"/>
    </row>
    <row r="14" spans="1:15" s="70" customFormat="1" ht="19.5" customHeight="1" x14ac:dyDescent="0.35">
      <c r="A14" s="323"/>
      <c r="B14" s="284"/>
      <c r="C14" s="285" t="s">
        <v>1363</v>
      </c>
      <c r="D14" s="286"/>
      <c r="E14" s="329"/>
      <c r="F14" s="287"/>
      <c r="G14" s="303"/>
      <c r="H14" s="303"/>
      <c r="I14" s="123"/>
      <c r="J14" s="123"/>
      <c r="K14" s="135"/>
      <c r="L14" s="73"/>
      <c r="M14" s="123"/>
      <c r="O14" s="123"/>
    </row>
    <row r="15" spans="1:15" s="70" customFormat="1" ht="48" customHeight="1" x14ac:dyDescent="0.35">
      <c r="A15" s="323" t="s">
        <v>1563</v>
      </c>
      <c r="B15" s="281" t="s">
        <v>1530</v>
      </c>
      <c r="C15" s="288">
        <v>30</v>
      </c>
      <c r="D15" s="289"/>
      <c r="E15" s="330" t="s">
        <v>1528</v>
      </c>
      <c r="F15" s="287"/>
      <c r="G15" s="336" t="s">
        <v>1496</v>
      </c>
      <c r="H15" s="421" t="s">
        <v>1529</v>
      </c>
      <c r="I15" s="421"/>
      <c r="J15" s="123"/>
      <c r="L15" s="226"/>
      <c r="M15" s="123"/>
      <c r="N15" s="123"/>
      <c r="O15" s="123"/>
    </row>
    <row r="16" spans="1:15" s="68" customFormat="1" ht="15.75" customHeight="1" x14ac:dyDescent="0.25">
      <c r="A16" s="323"/>
      <c r="B16" s="223"/>
      <c r="C16" s="141"/>
      <c r="D16" s="141"/>
      <c r="E16" s="331"/>
      <c r="F16" s="141"/>
      <c r="G16" s="123"/>
      <c r="H16" s="123"/>
      <c r="I16" s="227"/>
      <c r="J16" s="123"/>
      <c r="K16" s="123"/>
      <c r="L16" s="71"/>
      <c r="M16" s="123"/>
      <c r="N16" s="123"/>
      <c r="O16" s="123"/>
    </row>
    <row r="17" spans="1:15" s="68" customFormat="1" ht="37.5" customHeight="1" x14ac:dyDescent="0.25">
      <c r="A17" s="324" t="s">
        <v>1552</v>
      </c>
      <c r="B17" s="321" t="s">
        <v>1553</v>
      </c>
      <c r="C17" s="288" t="s">
        <v>1554</v>
      </c>
      <c r="D17" s="322"/>
      <c r="E17" s="332" t="s">
        <v>1555</v>
      </c>
      <c r="F17" s="419" t="s">
        <v>1556</v>
      </c>
      <c r="G17" s="420"/>
      <c r="H17" s="421" t="s">
        <v>1566</v>
      </c>
      <c r="I17" s="422"/>
      <c r="J17" s="123"/>
      <c r="K17" s="123"/>
      <c r="L17" s="71"/>
      <c r="M17" s="123"/>
      <c r="N17" s="123"/>
      <c r="O17" s="123"/>
    </row>
    <row r="18" spans="1:15" s="68" customFormat="1" ht="37.5" customHeight="1" x14ac:dyDescent="0.25">
      <c r="A18" s="120"/>
      <c r="B18" s="223"/>
      <c r="C18" s="141"/>
      <c r="D18" s="141"/>
      <c r="E18" s="141"/>
      <c r="F18" s="141"/>
      <c r="G18" s="123"/>
      <c r="H18" s="123"/>
      <c r="I18" s="227"/>
      <c r="J18" s="123"/>
      <c r="K18" s="123"/>
      <c r="L18" s="71"/>
      <c r="M18" s="123"/>
      <c r="N18" s="123"/>
      <c r="O18" s="123"/>
    </row>
    <row r="19" spans="1:15" s="68" customFormat="1" ht="37.5" customHeight="1" x14ac:dyDescent="0.25">
      <c r="A19" s="333" t="s">
        <v>1500</v>
      </c>
      <c r="B19" s="217" t="s">
        <v>1501</v>
      </c>
      <c r="C19" s="129"/>
      <c r="D19" s="129"/>
      <c r="E19" s="129"/>
      <c r="F19" s="155"/>
      <c r="G19" s="155"/>
      <c r="H19" s="155"/>
      <c r="I19" s="227"/>
      <c r="J19" s="126"/>
      <c r="K19" s="126"/>
      <c r="L19" s="71"/>
      <c r="M19" s="123"/>
      <c r="N19" s="123"/>
      <c r="O19" s="123"/>
    </row>
    <row r="20" spans="1:15" s="68" customFormat="1" ht="37.5" customHeight="1" x14ac:dyDescent="0.25">
      <c r="A20" s="120"/>
      <c r="B20" s="290" t="s">
        <v>1503</v>
      </c>
      <c r="C20" s="292" t="s">
        <v>1505</v>
      </c>
      <c r="D20" s="293" t="s">
        <v>11</v>
      </c>
      <c r="E20" s="291" t="s">
        <v>1504</v>
      </c>
      <c r="F20" s="293"/>
      <c r="G20" s="294" t="s">
        <v>1506</v>
      </c>
      <c r="H20" s="180" t="s">
        <v>1507</v>
      </c>
      <c r="I20" s="227"/>
      <c r="K20" s="126"/>
      <c r="L20" s="71"/>
      <c r="M20" s="123"/>
      <c r="N20" s="123"/>
      <c r="O20" s="123"/>
    </row>
    <row r="21" spans="1:15" s="68" customFormat="1" ht="37.5" customHeight="1" x14ac:dyDescent="0.25">
      <c r="A21" s="120"/>
      <c r="B21" s="163" t="s">
        <v>1508</v>
      </c>
      <c r="C21" s="109" t="s">
        <v>33</v>
      </c>
      <c r="D21" s="108">
        <v>0</v>
      </c>
      <c r="E21" s="109">
        <v>1</v>
      </c>
      <c r="F21" s="111"/>
      <c r="G21" s="181">
        <f>IF(C21="HRS",Hoja2!C12,IF('HOJA D TRABAJO'!C21="DIAS",Hoja2!D12))</f>
        <v>26</v>
      </c>
      <c r="H21" s="182">
        <f>+G21*D21*E21</f>
        <v>0</v>
      </c>
      <c r="I21" s="227"/>
      <c r="K21" s="126"/>
      <c r="L21" s="71"/>
      <c r="M21" s="123"/>
      <c r="N21" s="123"/>
      <c r="O21" s="123"/>
    </row>
    <row r="22" spans="1:15" s="68" customFormat="1" ht="37.5" customHeight="1" x14ac:dyDescent="0.25">
      <c r="A22" s="120"/>
      <c r="B22" s="163" t="s">
        <v>1509</v>
      </c>
      <c r="C22" s="109" t="s">
        <v>33</v>
      </c>
      <c r="D22" s="108">
        <v>0</v>
      </c>
      <c r="E22" s="109">
        <v>1</v>
      </c>
      <c r="F22" s="111"/>
      <c r="G22" s="181">
        <f>IF(C22="HRS",Hoja2!C12,IF('HOJA D TRABAJO'!C22="DIAS",Hoja2!D12))</f>
        <v>26</v>
      </c>
      <c r="H22" s="182">
        <f>+G22*D22*E22</f>
        <v>0</v>
      </c>
      <c r="I22" s="227"/>
      <c r="K22" s="126"/>
      <c r="L22" s="71"/>
      <c r="M22" s="123"/>
      <c r="N22" s="123"/>
      <c r="O22" s="123"/>
    </row>
    <row r="23" spans="1:15" s="68" customFormat="1" ht="37.5" customHeight="1" x14ac:dyDescent="0.25">
      <c r="A23" s="120"/>
      <c r="B23" s="164" t="s">
        <v>10</v>
      </c>
      <c r="C23" s="165"/>
      <c r="D23" s="183">
        <f>SUM(D21:F22)</f>
        <v>2</v>
      </c>
      <c r="E23" s="165">
        <f>SUM(E21:E22)</f>
        <v>2</v>
      </c>
      <c r="F23" s="166"/>
      <c r="G23" s="162">
        <f>SUM(G21:G22)</f>
        <v>52</v>
      </c>
      <c r="H23" s="162">
        <f>SUM(H21:H22)</f>
        <v>0</v>
      </c>
      <c r="I23" s="227"/>
      <c r="K23" s="126"/>
      <c r="L23" s="71"/>
      <c r="M23" s="123"/>
      <c r="N23" s="123"/>
      <c r="O23" s="123"/>
    </row>
    <row r="24" spans="1:15" s="68" customFormat="1" ht="37.5" customHeight="1" x14ac:dyDescent="0.25">
      <c r="A24" s="120"/>
      <c r="B24" s="132"/>
      <c r="C24" s="155"/>
      <c r="D24" s="155"/>
      <c r="E24" s="155"/>
      <c r="F24" s="155"/>
      <c r="G24" s="155"/>
      <c r="H24" s="155"/>
      <c r="I24" s="227"/>
      <c r="J24" s="126"/>
      <c r="K24" s="126"/>
      <c r="L24" s="71"/>
      <c r="M24" s="123"/>
      <c r="N24" s="123"/>
      <c r="O24" s="123"/>
    </row>
    <row r="25" spans="1:15" s="68" customFormat="1" ht="37.5" customHeight="1" x14ac:dyDescent="0.25">
      <c r="A25" s="214">
        <v>3</v>
      </c>
      <c r="B25" s="401" t="s">
        <v>1417</v>
      </c>
      <c r="C25" s="401"/>
      <c r="D25" s="401"/>
      <c r="E25" s="401"/>
      <c r="F25" s="401"/>
      <c r="G25" s="401"/>
      <c r="H25" s="155"/>
      <c r="I25" s="228"/>
      <c r="J25" s="124"/>
      <c r="K25" s="126"/>
      <c r="L25" s="71"/>
      <c r="M25" s="123"/>
      <c r="N25" s="123"/>
      <c r="O25" s="123"/>
    </row>
    <row r="26" spans="1:15" s="68" customFormat="1" ht="37.5" customHeight="1" x14ac:dyDescent="0.25">
      <c r="A26" s="214" t="s">
        <v>1545</v>
      </c>
      <c r="B26" s="412" t="s">
        <v>1502</v>
      </c>
      <c r="C26" s="412"/>
      <c r="D26" s="412"/>
      <c r="E26" s="412"/>
      <c r="F26" s="412"/>
      <c r="G26" s="412"/>
      <c r="H26" s="155"/>
      <c r="I26" s="227"/>
      <c r="J26" s="126"/>
      <c r="K26" s="126"/>
      <c r="L26" s="71"/>
      <c r="M26" s="123"/>
      <c r="N26" s="123"/>
      <c r="O26" s="123"/>
    </row>
    <row r="27" spans="1:15" s="68" customFormat="1" ht="38.25" customHeight="1" x14ac:dyDescent="0.25">
      <c r="A27" s="120"/>
      <c r="B27" s="405" t="s">
        <v>1379</v>
      </c>
      <c r="C27" s="184" t="s">
        <v>1535</v>
      </c>
      <c r="D27" s="388" t="s">
        <v>1380</v>
      </c>
      <c r="E27" s="389"/>
      <c r="F27" s="229"/>
      <c r="G27" s="452" t="s">
        <v>1531</v>
      </c>
      <c r="H27" s="449"/>
      <c r="I27" s="131"/>
      <c r="J27" s="131"/>
      <c r="K27" s="131"/>
      <c r="L27" s="230"/>
      <c r="M27" s="123"/>
      <c r="N27" s="123"/>
      <c r="O27" s="123"/>
    </row>
    <row r="28" spans="1:15" s="68" customFormat="1" ht="53.25" customHeight="1" x14ac:dyDescent="0.25">
      <c r="A28" s="120"/>
      <c r="B28" s="406"/>
      <c r="C28" s="160" t="s">
        <v>1420</v>
      </c>
      <c r="D28" s="160" t="s">
        <v>1399</v>
      </c>
      <c r="E28" s="160" t="s">
        <v>1400</v>
      </c>
      <c r="F28" s="231"/>
      <c r="G28" s="176" t="s">
        <v>1536</v>
      </c>
      <c r="H28" s="176" t="s">
        <v>1537</v>
      </c>
      <c r="I28" s="131"/>
      <c r="J28" s="131"/>
      <c r="K28" s="131"/>
      <c r="L28" s="110"/>
      <c r="M28" s="123"/>
      <c r="N28" s="123"/>
      <c r="O28" s="123"/>
    </row>
    <row r="29" spans="1:15" s="68" customFormat="1" ht="38.25" customHeight="1" x14ac:dyDescent="0.25">
      <c r="A29" s="232">
        <v>1</v>
      </c>
      <c r="B29" s="233" t="s">
        <v>1576</v>
      </c>
      <c r="C29" s="234">
        <v>1</v>
      </c>
      <c r="D29" s="235">
        <v>4</v>
      </c>
      <c r="E29" s="236">
        <v>70</v>
      </c>
      <c r="F29" s="237">
        <f t="shared" ref="F29:F40" si="0">G29/$E$184</f>
        <v>0.25</v>
      </c>
      <c r="G29" s="176">
        <f>+'HOJA 1 AUX'!G10</f>
        <v>82.84023668639054</v>
      </c>
      <c r="H29" s="176">
        <f t="shared" ref="H29:H40" si="1">+(C29*D29)*G29</f>
        <v>331.36094674556216</v>
      </c>
      <c r="I29" s="131"/>
      <c r="J29" s="131"/>
      <c r="K29" s="131"/>
      <c r="L29" s="110"/>
      <c r="M29" s="123"/>
      <c r="N29" s="123"/>
      <c r="O29" s="123"/>
    </row>
    <row r="30" spans="1:15" s="68" customFormat="1" ht="38.25" customHeight="1" x14ac:dyDescent="0.25">
      <c r="A30" s="232">
        <v>2</v>
      </c>
      <c r="B30" s="233"/>
      <c r="C30" s="234"/>
      <c r="D30" s="235"/>
      <c r="E30" s="236"/>
      <c r="F30" s="237">
        <f t="shared" si="0"/>
        <v>0</v>
      </c>
      <c r="G30" s="176">
        <f>+'HOJA 1 AUX'!O10</f>
        <v>0</v>
      </c>
      <c r="H30" s="176">
        <f t="shared" si="1"/>
        <v>0</v>
      </c>
      <c r="I30" s="131"/>
      <c r="J30" s="131"/>
      <c r="K30" s="131"/>
      <c r="L30" s="110"/>
      <c r="M30" s="123"/>
      <c r="N30" s="123"/>
      <c r="O30" s="123"/>
    </row>
    <row r="31" spans="1:15" s="68" customFormat="1" ht="38.25" customHeight="1" x14ac:dyDescent="0.25">
      <c r="A31" s="232">
        <v>3</v>
      </c>
      <c r="B31" s="233"/>
      <c r="C31" s="234"/>
      <c r="D31" s="235"/>
      <c r="E31" s="236"/>
      <c r="F31" s="237">
        <f t="shared" si="0"/>
        <v>0</v>
      </c>
      <c r="G31" s="176">
        <f>+'HOJA 1 AUX'!G28</f>
        <v>0</v>
      </c>
      <c r="H31" s="176">
        <f t="shared" si="1"/>
        <v>0</v>
      </c>
      <c r="I31" s="131"/>
      <c r="J31" s="131"/>
      <c r="K31" s="131"/>
      <c r="L31" s="110"/>
      <c r="M31" s="123"/>
      <c r="N31" s="123"/>
      <c r="O31" s="123"/>
    </row>
    <row r="32" spans="1:15" s="68" customFormat="1" ht="38.25" customHeight="1" x14ac:dyDescent="0.25">
      <c r="A32" s="232">
        <v>4</v>
      </c>
      <c r="B32" s="233"/>
      <c r="C32" s="234"/>
      <c r="D32" s="235"/>
      <c r="E32" s="236"/>
      <c r="F32" s="237">
        <f t="shared" si="0"/>
        <v>0</v>
      </c>
      <c r="G32" s="176">
        <f>++'HOJA 1 AUX'!O28</f>
        <v>0</v>
      </c>
      <c r="H32" s="176">
        <f t="shared" si="1"/>
        <v>0</v>
      </c>
      <c r="I32" s="131"/>
      <c r="J32" s="131"/>
      <c r="K32" s="131"/>
      <c r="L32" s="110"/>
      <c r="M32" s="123"/>
      <c r="N32" s="123"/>
      <c r="O32" s="123"/>
    </row>
    <row r="33" spans="1:15" s="68" customFormat="1" ht="38.25" customHeight="1" x14ac:dyDescent="0.25">
      <c r="A33" s="232">
        <v>5</v>
      </c>
      <c r="B33" s="233"/>
      <c r="C33" s="234"/>
      <c r="D33" s="235"/>
      <c r="E33" s="236"/>
      <c r="F33" s="237">
        <f t="shared" si="0"/>
        <v>0</v>
      </c>
      <c r="G33" s="176">
        <f>++'HOJA 1 AUX'!G48</f>
        <v>0</v>
      </c>
      <c r="H33" s="176">
        <f t="shared" si="1"/>
        <v>0</v>
      </c>
      <c r="I33" s="131"/>
      <c r="J33" s="131"/>
      <c r="K33" s="131"/>
      <c r="L33" s="110"/>
      <c r="M33" s="123"/>
      <c r="N33" s="123"/>
      <c r="O33" s="123"/>
    </row>
    <row r="34" spans="1:15" s="68" customFormat="1" ht="38.25" customHeight="1" x14ac:dyDescent="0.25">
      <c r="A34" s="232">
        <v>6</v>
      </c>
      <c r="B34" s="233"/>
      <c r="C34" s="234"/>
      <c r="D34" s="235"/>
      <c r="E34" s="236"/>
      <c r="F34" s="237">
        <f t="shared" si="0"/>
        <v>0</v>
      </c>
      <c r="G34" s="176">
        <f>+'HOJA 1 AUX'!O48</f>
        <v>0</v>
      </c>
      <c r="H34" s="176">
        <f t="shared" si="1"/>
        <v>0</v>
      </c>
      <c r="I34" s="131"/>
      <c r="J34" s="131"/>
      <c r="K34" s="131"/>
      <c r="L34" s="110"/>
      <c r="M34" s="123"/>
      <c r="N34" s="123"/>
      <c r="O34" s="123"/>
    </row>
    <row r="35" spans="1:15" s="68" customFormat="1" ht="38.25" customHeight="1" x14ac:dyDescent="0.25">
      <c r="A35" s="232">
        <v>7</v>
      </c>
      <c r="B35" s="233"/>
      <c r="C35" s="234"/>
      <c r="D35" s="235"/>
      <c r="E35" s="236"/>
      <c r="F35" s="237">
        <f t="shared" si="0"/>
        <v>0</v>
      </c>
      <c r="G35" s="176">
        <f>+'HOJA 1 AUX'!G67</f>
        <v>0</v>
      </c>
      <c r="H35" s="176">
        <f t="shared" si="1"/>
        <v>0</v>
      </c>
      <c r="I35" s="131"/>
      <c r="J35" s="131"/>
      <c r="K35" s="131"/>
      <c r="L35" s="110"/>
      <c r="M35" s="123"/>
      <c r="N35" s="123"/>
      <c r="O35" s="123"/>
    </row>
    <row r="36" spans="1:15" s="68" customFormat="1" ht="38.25" customHeight="1" x14ac:dyDescent="0.25">
      <c r="A36" s="232">
        <v>8</v>
      </c>
      <c r="B36" s="233"/>
      <c r="C36" s="234"/>
      <c r="D36" s="235"/>
      <c r="E36" s="236"/>
      <c r="F36" s="237">
        <f t="shared" si="0"/>
        <v>0</v>
      </c>
      <c r="G36" s="176">
        <f>+'HOJA 1 AUX'!O67</f>
        <v>0</v>
      </c>
      <c r="H36" s="176">
        <f t="shared" si="1"/>
        <v>0</v>
      </c>
      <c r="I36" s="131"/>
      <c r="J36" s="131"/>
      <c r="K36" s="131"/>
      <c r="L36" s="110"/>
      <c r="M36" s="123"/>
      <c r="N36" s="123"/>
      <c r="O36" s="123"/>
    </row>
    <row r="37" spans="1:15" s="68" customFormat="1" ht="38.25" customHeight="1" x14ac:dyDescent="0.25">
      <c r="A37" s="232">
        <v>9</v>
      </c>
      <c r="B37" s="233"/>
      <c r="C37" s="234"/>
      <c r="D37" s="235"/>
      <c r="E37" s="236"/>
      <c r="F37" s="237">
        <f t="shared" si="0"/>
        <v>0</v>
      </c>
      <c r="G37" s="176">
        <f>+'HOJA 1 AUX'!G87</f>
        <v>0</v>
      </c>
      <c r="H37" s="176">
        <f t="shared" si="1"/>
        <v>0</v>
      </c>
      <c r="I37" s="131"/>
      <c r="J37" s="131"/>
      <c r="K37" s="131"/>
      <c r="L37" s="110"/>
      <c r="M37" s="123"/>
      <c r="N37" s="123"/>
      <c r="O37" s="123"/>
    </row>
    <row r="38" spans="1:15" s="68" customFormat="1" ht="38.25" customHeight="1" x14ac:dyDescent="0.25">
      <c r="A38" s="232">
        <v>10</v>
      </c>
      <c r="B38" s="233"/>
      <c r="C38" s="234"/>
      <c r="D38" s="235"/>
      <c r="E38" s="236"/>
      <c r="F38" s="237">
        <f t="shared" si="0"/>
        <v>0</v>
      </c>
      <c r="G38" s="176">
        <f>+'HOJA 1 AUX'!O87</f>
        <v>0</v>
      </c>
      <c r="H38" s="176">
        <f t="shared" si="1"/>
        <v>0</v>
      </c>
      <c r="I38" s="131"/>
      <c r="J38" s="131"/>
      <c r="K38" s="131"/>
      <c r="L38" s="110"/>
      <c r="M38" s="123"/>
      <c r="N38" s="123"/>
      <c r="O38" s="123"/>
    </row>
    <row r="39" spans="1:15" s="68" customFormat="1" ht="38.25" customHeight="1" x14ac:dyDescent="0.25">
      <c r="A39" s="232">
        <v>11</v>
      </c>
      <c r="B39" s="233"/>
      <c r="C39" s="234"/>
      <c r="D39" s="235"/>
      <c r="E39" s="236"/>
      <c r="F39" s="237">
        <f t="shared" si="0"/>
        <v>0</v>
      </c>
      <c r="G39" s="176">
        <f>+'HOJA 1 AUX'!G106</f>
        <v>0</v>
      </c>
      <c r="H39" s="176">
        <f t="shared" si="1"/>
        <v>0</v>
      </c>
      <c r="I39" s="131"/>
      <c r="J39" s="131"/>
      <c r="K39" s="131"/>
      <c r="L39" s="110"/>
      <c r="M39" s="123"/>
      <c r="N39" s="123"/>
      <c r="O39" s="123"/>
    </row>
    <row r="40" spans="1:15" s="68" customFormat="1" ht="38.25" customHeight="1" x14ac:dyDescent="0.25">
      <c r="A40" s="232">
        <v>12</v>
      </c>
      <c r="B40" s="233"/>
      <c r="C40" s="234"/>
      <c r="D40" s="235"/>
      <c r="E40" s="236"/>
      <c r="F40" s="237">
        <f t="shared" si="0"/>
        <v>0</v>
      </c>
      <c r="G40" s="176">
        <f>+'HOJA 1 AUX'!O106</f>
        <v>0</v>
      </c>
      <c r="H40" s="176">
        <f t="shared" si="1"/>
        <v>0</v>
      </c>
      <c r="I40" s="131"/>
      <c r="J40" s="131"/>
      <c r="K40" s="131"/>
      <c r="L40" s="110"/>
      <c r="M40" s="123"/>
      <c r="N40" s="123"/>
      <c r="O40" s="123"/>
    </row>
    <row r="41" spans="1:15" s="68" customFormat="1" ht="38.25" customHeight="1" x14ac:dyDescent="0.25">
      <c r="A41" s="120"/>
      <c r="B41" s="173" t="s">
        <v>1368</v>
      </c>
      <c r="C41" s="238">
        <f t="shared" ref="C41:G41" si="2">SUM(C29:C40)</f>
        <v>1</v>
      </c>
      <c r="D41" s="239">
        <f t="shared" si="2"/>
        <v>4</v>
      </c>
      <c r="E41" s="240">
        <f t="shared" si="2"/>
        <v>70</v>
      </c>
      <c r="F41" s="241">
        <f t="shared" si="2"/>
        <v>0.25</v>
      </c>
      <c r="G41" s="176">
        <f t="shared" si="2"/>
        <v>82.84023668639054</v>
      </c>
      <c r="H41" s="176">
        <f>SUM(H29:H40)</f>
        <v>331.36094674556216</v>
      </c>
      <c r="I41" s="131"/>
      <c r="J41" s="131"/>
      <c r="K41" s="131"/>
      <c r="L41" s="110"/>
      <c r="M41" s="123"/>
      <c r="N41" s="123"/>
      <c r="O41" s="123"/>
    </row>
    <row r="42" spans="1:15" s="123" customFormat="1" ht="15" customHeight="1" x14ac:dyDescent="0.25">
      <c r="A42" s="120"/>
      <c r="B42" s="129"/>
      <c r="C42" s="242"/>
      <c r="D42" s="243"/>
      <c r="E42" s="244"/>
      <c r="F42" s="244"/>
      <c r="G42" s="128"/>
      <c r="H42" s="128"/>
      <c r="I42" s="131"/>
      <c r="J42" s="131"/>
      <c r="K42" s="131"/>
      <c r="L42" s="131"/>
    </row>
    <row r="43" spans="1:15" s="68" customFormat="1" ht="38.25" customHeight="1" x14ac:dyDescent="0.25">
      <c r="A43" s="120"/>
      <c r="B43" s="405" t="s">
        <v>1379</v>
      </c>
      <c r="C43" s="245" t="s">
        <v>1535</v>
      </c>
      <c r="D43" s="388" t="s">
        <v>1487</v>
      </c>
      <c r="E43" s="389"/>
      <c r="F43" s="246"/>
      <c r="G43" s="451" t="s">
        <v>1531</v>
      </c>
      <c r="H43" s="451"/>
      <c r="I43" s="130"/>
      <c r="J43" s="122"/>
      <c r="K43" s="122"/>
      <c r="L43" s="67"/>
      <c r="M43" s="130"/>
      <c r="N43" s="130"/>
      <c r="O43" s="133"/>
    </row>
    <row r="44" spans="1:15" s="68" customFormat="1" ht="60.75" customHeight="1" x14ac:dyDescent="0.25">
      <c r="A44" s="123"/>
      <c r="B44" s="406"/>
      <c r="C44" s="160" t="s">
        <v>1420</v>
      </c>
      <c r="D44" s="160" t="s">
        <v>1401</v>
      </c>
      <c r="E44" s="160" t="s">
        <v>1400</v>
      </c>
      <c r="F44" s="231"/>
      <c r="G44" s="247" t="s">
        <v>1536</v>
      </c>
      <c r="H44" s="247" t="s">
        <v>1537</v>
      </c>
      <c r="I44" s="130"/>
      <c r="J44" s="122"/>
      <c r="K44" s="122"/>
      <c r="L44" s="67"/>
      <c r="M44" s="130"/>
      <c r="N44" s="130"/>
      <c r="O44" s="133"/>
    </row>
    <row r="45" spans="1:15" s="68" customFormat="1" ht="46.5" customHeight="1" x14ac:dyDescent="0.25">
      <c r="A45" s="232">
        <v>1</v>
      </c>
      <c r="B45" s="233"/>
      <c r="C45" s="234"/>
      <c r="D45" s="235"/>
      <c r="E45" s="236"/>
      <c r="F45" s="237">
        <f t="shared" ref="F45:F56" si="3">G45/$E$184</f>
        <v>0</v>
      </c>
      <c r="G45" s="176">
        <f>+'HOJA 2 AUX'!G10</f>
        <v>0</v>
      </c>
      <c r="H45" s="176">
        <f t="shared" ref="H45:H56" si="4">+(C45*D45)*G45</f>
        <v>0</v>
      </c>
      <c r="I45" s="130"/>
      <c r="J45" s="122"/>
      <c r="K45" s="122"/>
      <c r="L45" s="67"/>
      <c r="M45" s="130"/>
      <c r="N45" s="130"/>
      <c r="O45" s="133"/>
    </row>
    <row r="46" spans="1:15" s="68" customFormat="1" ht="38.25" customHeight="1" x14ac:dyDescent="0.25">
      <c r="A46" s="232">
        <v>2</v>
      </c>
      <c r="B46" s="233"/>
      <c r="C46" s="234"/>
      <c r="D46" s="235"/>
      <c r="E46" s="236"/>
      <c r="F46" s="237">
        <f t="shared" si="3"/>
        <v>0</v>
      </c>
      <c r="G46" s="176">
        <f>+'HOJA 2 AUX'!O10</f>
        <v>0</v>
      </c>
      <c r="H46" s="176">
        <f t="shared" si="4"/>
        <v>0</v>
      </c>
      <c r="I46" s="130"/>
      <c r="J46" s="122"/>
      <c r="K46" s="122"/>
      <c r="L46" s="67"/>
      <c r="M46" s="130"/>
      <c r="N46" s="130"/>
      <c r="O46" s="133"/>
    </row>
    <row r="47" spans="1:15" s="68" customFormat="1" ht="38.25" customHeight="1" x14ac:dyDescent="0.25">
      <c r="A47" s="232">
        <v>3</v>
      </c>
      <c r="B47" s="233"/>
      <c r="C47" s="234"/>
      <c r="D47" s="235"/>
      <c r="E47" s="236"/>
      <c r="F47" s="237">
        <f t="shared" si="3"/>
        <v>0</v>
      </c>
      <c r="G47" s="176">
        <f>+'HOJA 2 AUX'!G28</f>
        <v>0</v>
      </c>
      <c r="H47" s="176">
        <f t="shared" si="4"/>
        <v>0</v>
      </c>
      <c r="I47" s="130"/>
      <c r="J47" s="122"/>
      <c r="K47" s="122"/>
      <c r="L47" s="67"/>
      <c r="M47" s="130"/>
      <c r="N47" s="130"/>
      <c r="O47" s="133"/>
    </row>
    <row r="48" spans="1:15" s="68" customFormat="1" ht="38.25" customHeight="1" x14ac:dyDescent="0.25">
      <c r="A48" s="232">
        <v>4</v>
      </c>
      <c r="B48" s="233"/>
      <c r="C48" s="234"/>
      <c r="D48" s="235"/>
      <c r="E48" s="236"/>
      <c r="F48" s="237">
        <f t="shared" si="3"/>
        <v>0</v>
      </c>
      <c r="G48" s="176">
        <f>+'HOJA 2 AUX'!O28</f>
        <v>0</v>
      </c>
      <c r="H48" s="176">
        <f t="shared" si="4"/>
        <v>0</v>
      </c>
      <c r="I48" s="130"/>
      <c r="J48" s="122"/>
      <c r="K48" s="122"/>
      <c r="L48" s="67"/>
      <c r="M48" s="130"/>
      <c r="N48" s="130"/>
      <c r="O48" s="133"/>
    </row>
    <row r="49" spans="1:15" s="68" customFormat="1" ht="38.25" customHeight="1" x14ac:dyDescent="0.25">
      <c r="A49" s="232">
        <v>5</v>
      </c>
      <c r="B49" s="233"/>
      <c r="C49" s="234"/>
      <c r="D49" s="235"/>
      <c r="E49" s="236"/>
      <c r="F49" s="237">
        <f t="shared" si="3"/>
        <v>0</v>
      </c>
      <c r="G49" s="176">
        <f>+'HOJA 2 AUX'!G48</f>
        <v>0</v>
      </c>
      <c r="H49" s="176">
        <f t="shared" si="4"/>
        <v>0</v>
      </c>
      <c r="I49" s="130"/>
      <c r="J49" s="122"/>
      <c r="K49" s="122"/>
      <c r="L49" s="67"/>
      <c r="M49" s="130"/>
      <c r="N49" s="130"/>
      <c r="O49" s="133"/>
    </row>
    <row r="50" spans="1:15" s="68" customFormat="1" ht="38.25" customHeight="1" x14ac:dyDescent="0.25">
      <c r="A50" s="232">
        <v>6</v>
      </c>
      <c r="B50" s="233"/>
      <c r="C50" s="234"/>
      <c r="D50" s="235"/>
      <c r="E50" s="236"/>
      <c r="F50" s="237">
        <f t="shared" si="3"/>
        <v>0</v>
      </c>
      <c r="G50" s="176">
        <f>+'HOJA 2 AUX'!O48</f>
        <v>0</v>
      </c>
      <c r="H50" s="176">
        <f t="shared" si="4"/>
        <v>0</v>
      </c>
      <c r="I50" s="130"/>
      <c r="J50" s="122"/>
      <c r="K50" s="122"/>
      <c r="L50" s="67"/>
      <c r="M50" s="130"/>
      <c r="N50" s="130"/>
      <c r="O50" s="133"/>
    </row>
    <row r="51" spans="1:15" s="68" customFormat="1" ht="38.25" customHeight="1" x14ac:dyDescent="0.25">
      <c r="A51" s="232">
        <v>7</v>
      </c>
      <c r="B51" s="233"/>
      <c r="C51" s="234"/>
      <c r="D51" s="235"/>
      <c r="E51" s="236"/>
      <c r="F51" s="237">
        <f t="shared" si="3"/>
        <v>0</v>
      </c>
      <c r="G51" s="176">
        <f>+'HOJA 2 AUX'!G67</f>
        <v>0</v>
      </c>
      <c r="H51" s="176">
        <f t="shared" si="4"/>
        <v>0</v>
      </c>
      <c r="I51" s="130"/>
      <c r="J51" s="122"/>
      <c r="K51" s="122"/>
      <c r="L51" s="67"/>
      <c r="M51" s="130"/>
      <c r="N51" s="130"/>
      <c r="O51" s="133"/>
    </row>
    <row r="52" spans="1:15" s="68" customFormat="1" ht="38.25" customHeight="1" x14ac:dyDescent="0.25">
      <c r="A52" s="232">
        <v>8</v>
      </c>
      <c r="B52" s="233"/>
      <c r="C52" s="234"/>
      <c r="D52" s="235"/>
      <c r="E52" s="236"/>
      <c r="F52" s="237">
        <f t="shared" si="3"/>
        <v>0</v>
      </c>
      <c r="G52" s="176">
        <f>+'HOJA 2 AUX'!O67</f>
        <v>0</v>
      </c>
      <c r="H52" s="176">
        <f t="shared" si="4"/>
        <v>0</v>
      </c>
      <c r="I52" s="130"/>
      <c r="J52" s="122"/>
      <c r="K52" s="122"/>
      <c r="L52" s="67"/>
      <c r="M52" s="130"/>
      <c r="N52" s="130"/>
      <c r="O52" s="133"/>
    </row>
    <row r="53" spans="1:15" s="68" customFormat="1" ht="38.25" customHeight="1" x14ac:dyDescent="0.25">
      <c r="A53" s="232">
        <v>9</v>
      </c>
      <c r="B53" s="233"/>
      <c r="C53" s="234"/>
      <c r="D53" s="235"/>
      <c r="E53" s="236"/>
      <c r="F53" s="237">
        <f t="shared" si="3"/>
        <v>0</v>
      </c>
      <c r="G53" s="176">
        <f>+'HOJA 2 AUX'!G85</f>
        <v>0</v>
      </c>
      <c r="H53" s="176">
        <f t="shared" si="4"/>
        <v>0</v>
      </c>
      <c r="I53" s="130"/>
      <c r="J53" s="122"/>
      <c r="K53" s="122"/>
      <c r="L53" s="67"/>
      <c r="M53" s="130"/>
      <c r="N53" s="130"/>
      <c r="O53" s="133"/>
    </row>
    <row r="54" spans="1:15" s="68" customFormat="1" ht="38.25" customHeight="1" x14ac:dyDescent="0.25">
      <c r="A54" s="232">
        <v>10</v>
      </c>
      <c r="B54" s="233"/>
      <c r="C54" s="234"/>
      <c r="D54" s="235"/>
      <c r="E54" s="236"/>
      <c r="F54" s="237">
        <f t="shared" si="3"/>
        <v>0</v>
      </c>
      <c r="G54" s="176">
        <f>+'HOJA 2 AUX'!O85</f>
        <v>0</v>
      </c>
      <c r="H54" s="176">
        <f t="shared" si="4"/>
        <v>0</v>
      </c>
      <c r="I54" s="130"/>
      <c r="J54" s="122"/>
      <c r="K54" s="122"/>
      <c r="L54" s="67"/>
      <c r="M54" s="130"/>
      <c r="N54" s="130"/>
      <c r="O54" s="133"/>
    </row>
    <row r="55" spans="1:15" s="68" customFormat="1" ht="38.25" customHeight="1" x14ac:dyDescent="0.25">
      <c r="A55" s="232">
        <v>11</v>
      </c>
      <c r="B55" s="233"/>
      <c r="C55" s="234"/>
      <c r="D55" s="235"/>
      <c r="E55" s="236"/>
      <c r="F55" s="237">
        <f t="shared" si="3"/>
        <v>0</v>
      </c>
      <c r="G55" s="176">
        <f>+'HOJA 2 AUX'!G105</f>
        <v>0</v>
      </c>
      <c r="H55" s="176">
        <f t="shared" si="4"/>
        <v>0</v>
      </c>
      <c r="I55" s="130"/>
      <c r="J55" s="122"/>
      <c r="K55" s="122"/>
      <c r="L55" s="67"/>
      <c r="M55" s="130"/>
      <c r="N55" s="130"/>
      <c r="O55" s="133"/>
    </row>
    <row r="56" spans="1:15" s="68" customFormat="1" ht="38.25" customHeight="1" x14ac:dyDescent="0.25">
      <c r="A56" s="232">
        <v>12</v>
      </c>
      <c r="B56" s="233"/>
      <c r="C56" s="234"/>
      <c r="D56" s="235"/>
      <c r="E56" s="236"/>
      <c r="F56" s="237">
        <f t="shared" si="3"/>
        <v>0</v>
      </c>
      <c r="G56" s="176">
        <f>+'HOJA 2 AUX'!O105</f>
        <v>0</v>
      </c>
      <c r="H56" s="176">
        <f t="shared" si="4"/>
        <v>0</v>
      </c>
      <c r="I56" s="130"/>
      <c r="J56" s="122"/>
      <c r="K56" s="122"/>
      <c r="L56" s="67"/>
      <c r="M56" s="130"/>
      <c r="N56" s="130"/>
      <c r="O56" s="133"/>
    </row>
    <row r="57" spans="1:15" s="68" customFormat="1" ht="38.25" customHeight="1" x14ac:dyDescent="0.25">
      <c r="A57" s="123"/>
      <c r="B57" s="173" t="s">
        <v>1368</v>
      </c>
      <c r="C57" s="239">
        <f t="shared" ref="C57:G57" si="5">SUM(C45:C56)</f>
        <v>0</v>
      </c>
      <c r="D57" s="239">
        <f t="shared" si="5"/>
        <v>0</v>
      </c>
      <c r="E57" s="240">
        <f t="shared" si="5"/>
        <v>0</v>
      </c>
      <c r="F57" s="241">
        <f t="shared" si="5"/>
        <v>0</v>
      </c>
      <c r="G57" s="176">
        <f t="shared" si="5"/>
        <v>0</v>
      </c>
      <c r="H57" s="176">
        <f>SUM(H45:H56)</f>
        <v>0</v>
      </c>
      <c r="I57" s="130"/>
      <c r="J57" s="122"/>
      <c r="K57" s="122"/>
      <c r="L57" s="67"/>
      <c r="M57" s="130"/>
      <c r="N57" s="130"/>
      <c r="O57" s="133"/>
    </row>
    <row r="58" spans="1:15" s="123" customFormat="1" ht="15" customHeight="1" x14ac:dyDescent="0.25">
      <c r="A58" s="120"/>
      <c r="B58" s="129"/>
      <c r="C58" s="248"/>
      <c r="D58" s="249"/>
      <c r="E58" s="250"/>
      <c r="F58" s="250"/>
      <c r="G58" s="128"/>
      <c r="H58" s="128"/>
      <c r="I58" s="131"/>
      <c r="J58" s="131"/>
      <c r="K58" s="131"/>
      <c r="L58" s="131"/>
    </row>
    <row r="59" spans="1:15" s="68" customFormat="1" ht="38.25" customHeight="1" x14ac:dyDescent="0.25">
      <c r="A59" s="123"/>
      <c r="B59" s="407" t="s">
        <v>1379</v>
      </c>
      <c r="C59" s="251" t="s">
        <v>1535</v>
      </c>
      <c r="D59" s="445" t="s">
        <v>1381</v>
      </c>
      <c r="E59" s="445"/>
      <c r="F59" s="252"/>
      <c r="G59" s="450" t="s">
        <v>1531</v>
      </c>
      <c r="H59" s="450"/>
      <c r="I59" s="130"/>
      <c r="J59" s="122"/>
      <c r="K59" s="122"/>
      <c r="L59" s="67"/>
      <c r="M59" s="130"/>
      <c r="N59" s="130"/>
      <c r="O59" s="133"/>
    </row>
    <row r="60" spans="1:15" s="68" customFormat="1" ht="51.75" customHeight="1" x14ac:dyDescent="0.25">
      <c r="A60" s="123"/>
      <c r="B60" s="407"/>
      <c r="C60" s="251" t="s">
        <v>1420</v>
      </c>
      <c r="D60" s="251" t="s">
        <v>1399</v>
      </c>
      <c r="E60" s="251" t="s">
        <v>1400</v>
      </c>
      <c r="F60" s="253"/>
      <c r="G60" s="254" t="s">
        <v>1536</v>
      </c>
      <c r="H60" s="254" t="s">
        <v>1537</v>
      </c>
      <c r="I60" s="130"/>
      <c r="J60" s="122"/>
      <c r="K60" s="122"/>
      <c r="L60" s="67"/>
      <c r="M60" s="130"/>
      <c r="N60" s="130"/>
      <c r="O60" s="133"/>
    </row>
    <row r="61" spans="1:15" s="68" customFormat="1" ht="38.25" customHeight="1" x14ac:dyDescent="0.25">
      <c r="A61" s="232">
        <v>1</v>
      </c>
      <c r="B61" s="255"/>
      <c r="C61" s="256"/>
      <c r="D61" s="257"/>
      <c r="E61" s="236"/>
      <c r="F61" s="258">
        <f t="shared" ref="F61:F72" si="6">+G61/$E$184</f>
        <v>0</v>
      </c>
      <c r="G61" s="247">
        <f>'HOJA 3 AUX'!G10</f>
        <v>0</v>
      </c>
      <c r="H61" s="247">
        <f t="shared" ref="H61:H72" si="7">+(C61*D61)*G61</f>
        <v>0</v>
      </c>
      <c r="I61" s="130"/>
      <c r="J61" s="122"/>
      <c r="K61" s="122"/>
      <c r="L61" s="67"/>
      <c r="M61" s="130"/>
      <c r="N61" s="130"/>
      <c r="O61" s="133"/>
    </row>
    <row r="62" spans="1:15" s="68" customFormat="1" ht="38.25" customHeight="1" x14ac:dyDescent="0.25">
      <c r="A62" s="232">
        <v>2</v>
      </c>
      <c r="B62" s="255"/>
      <c r="C62" s="256"/>
      <c r="D62" s="257"/>
      <c r="E62" s="236"/>
      <c r="F62" s="237">
        <f t="shared" si="6"/>
        <v>0</v>
      </c>
      <c r="G62" s="176">
        <f>'HOJA 3 AUX'!O10</f>
        <v>0</v>
      </c>
      <c r="H62" s="176">
        <f t="shared" si="7"/>
        <v>0</v>
      </c>
      <c r="I62" s="130"/>
      <c r="J62" s="122"/>
      <c r="K62" s="122"/>
      <c r="L62" s="67"/>
      <c r="M62" s="130"/>
      <c r="N62" s="130"/>
      <c r="O62" s="133"/>
    </row>
    <row r="63" spans="1:15" s="68" customFormat="1" ht="38.25" customHeight="1" x14ac:dyDescent="0.25">
      <c r="A63" s="232">
        <v>3</v>
      </c>
      <c r="B63" s="255"/>
      <c r="C63" s="256"/>
      <c r="D63" s="257"/>
      <c r="E63" s="236"/>
      <c r="F63" s="237">
        <f t="shared" si="6"/>
        <v>0</v>
      </c>
      <c r="G63" s="176">
        <f>+'HOJA 3 AUX'!G28</f>
        <v>0</v>
      </c>
      <c r="H63" s="176">
        <f t="shared" si="7"/>
        <v>0</v>
      </c>
      <c r="I63" s="130"/>
      <c r="J63" s="122"/>
      <c r="K63" s="122"/>
      <c r="L63" s="67"/>
      <c r="M63" s="130"/>
      <c r="N63" s="130"/>
      <c r="O63" s="133"/>
    </row>
    <row r="64" spans="1:15" s="68" customFormat="1" ht="38.25" customHeight="1" x14ac:dyDescent="0.25">
      <c r="A64" s="232">
        <v>4</v>
      </c>
      <c r="B64" s="255"/>
      <c r="C64" s="256"/>
      <c r="D64" s="257"/>
      <c r="E64" s="236"/>
      <c r="F64" s="237">
        <f t="shared" si="6"/>
        <v>0</v>
      </c>
      <c r="G64" s="176">
        <f>'HOJA 3 AUX'!O28</f>
        <v>0</v>
      </c>
      <c r="H64" s="176">
        <f t="shared" si="7"/>
        <v>0</v>
      </c>
      <c r="I64" s="130"/>
      <c r="J64" s="122"/>
      <c r="K64" s="122"/>
      <c r="L64" s="67"/>
      <c r="M64" s="130"/>
      <c r="N64" s="130"/>
      <c r="O64" s="133"/>
    </row>
    <row r="65" spans="1:15" s="68" customFormat="1" ht="38.25" customHeight="1" x14ac:dyDescent="0.25">
      <c r="A65" s="232">
        <v>5</v>
      </c>
      <c r="B65" s="255"/>
      <c r="C65" s="256"/>
      <c r="D65" s="257"/>
      <c r="E65" s="236"/>
      <c r="F65" s="237">
        <f t="shared" si="6"/>
        <v>0</v>
      </c>
      <c r="G65" s="176">
        <f>'HOJA 3 AUX'!G48</f>
        <v>0</v>
      </c>
      <c r="H65" s="176">
        <f t="shared" si="7"/>
        <v>0</v>
      </c>
      <c r="I65" s="130"/>
      <c r="J65" s="122"/>
      <c r="K65" s="122"/>
      <c r="L65" s="67"/>
      <c r="M65" s="130"/>
      <c r="N65" s="130"/>
      <c r="O65" s="133"/>
    </row>
    <row r="66" spans="1:15" s="68" customFormat="1" ht="38.25" customHeight="1" x14ac:dyDescent="0.25">
      <c r="A66" s="232">
        <v>6</v>
      </c>
      <c r="B66" s="255"/>
      <c r="C66" s="256"/>
      <c r="D66" s="257"/>
      <c r="E66" s="236"/>
      <c r="F66" s="237">
        <f t="shared" si="6"/>
        <v>0</v>
      </c>
      <c r="G66" s="176">
        <f>'HOJA 3 AUX'!O48</f>
        <v>0</v>
      </c>
      <c r="H66" s="176">
        <f t="shared" si="7"/>
        <v>0</v>
      </c>
      <c r="I66" s="130"/>
      <c r="J66" s="122"/>
      <c r="K66" s="122"/>
      <c r="L66" s="67"/>
      <c r="M66" s="130"/>
      <c r="N66" s="130"/>
      <c r="O66" s="133"/>
    </row>
    <row r="67" spans="1:15" s="68" customFormat="1" ht="38.25" customHeight="1" x14ac:dyDescent="0.25">
      <c r="A67" s="232">
        <v>7</v>
      </c>
      <c r="B67" s="255"/>
      <c r="C67" s="256"/>
      <c r="D67" s="257"/>
      <c r="E67" s="236"/>
      <c r="F67" s="237">
        <f t="shared" si="6"/>
        <v>0</v>
      </c>
      <c r="G67" s="176">
        <f>+'HOJA 3 AUX'!G67</f>
        <v>0</v>
      </c>
      <c r="H67" s="176">
        <f t="shared" si="7"/>
        <v>0</v>
      </c>
      <c r="I67" s="130"/>
      <c r="J67" s="122"/>
      <c r="K67" s="122"/>
      <c r="L67" s="67"/>
      <c r="M67" s="130"/>
      <c r="N67" s="130"/>
      <c r="O67" s="133"/>
    </row>
    <row r="68" spans="1:15" s="68" customFormat="1" ht="38.25" customHeight="1" x14ac:dyDescent="0.25">
      <c r="A68" s="232">
        <v>8</v>
      </c>
      <c r="B68" s="255"/>
      <c r="C68" s="256"/>
      <c r="D68" s="257"/>
      <c r="E68" s="236"/>
      <c r="F68" s="237">
        <f t="shared" si="6"/>
        <v>0</v>
      </c>
      <c r="G68" s="176">
        <f>'HOJA 3 AUX'!O67</f>
        <v>0</v>
      </c>
      <c r="H68" s="176">
        <f t="shared" si="7"/>
        <v>0</v>
      </c>
      <c r="I68" s="130"/>
      <c r="J68" s="122"/>
      <c r="K68" s="122"/>
      <c r="L68" s="67"/>
      <c r="M68" s="130"/>
      <c r="N68" s="130"/>
      <c r="O68" s="133"/>
    </row>
    <row r="69" spans="1:15" s="68" customFormat="1" ht="38.25" customHeight="1" x14ac:dyDescent="0.25">
      <c r="A69" s="232">
        <v>9</v>
      </c>
      <c r="B69" s="255"/>
      <c r="C69" s="256"/>
      <c r="D69" s="257"/>
      <c r="E69" s="236"/>
      <c r="F69" s="237">
        <f t="shared" si="6"/>
        <v>0</v>
      </c>
      <c r="G69" s="176">
        <f>+'HOJA 3 AUX'!G85</f>
        <v>0</v>
      </c>
      <c r="H69" s="176">
        <f t="shared" si="7"/>
        <v>0</v>
      </c>
      <c r="I69" s="130"/>
      <c r="J69" s="122"/>
      <c r="K69" s="122"/>
      <c r="L69" s="67"/>
      <c r="M69" s="130"/>
      <c r="N69" s="130"/>
      <c r="O69" s="133"/>
    </row>
    <row r="70" spans="1:15" s="68" customFormat="1" ht="38.25" customHeight="1" x14ac:dyDescent="0.25">
      <c r="A70" s="232">
        <v>10</v>
      </c>
      <c r="B70" s="255"/>
      <c r="C70" s="256"/>
      <c r="D70" s="257"/>
      <c r="E70" s="236"/>
      <c r="F70" s="237">
        <f t="shared" si="6"/>
        <v>0</v>
      </c>
      <c r="G70" s="176">
        <f>'HOJA 3 AUX'!O85</f>
        <v>0</v>
      </c>
      <c r="H70" s="176">
        <f t="shared" si="7"/>
        <v>0</v>
      </c>
      <c r="I70" s="130"/>
      <c r="J70" s="122"/>
      <c r="K70" s="122"/>
      <c r="L70" s="67"/>
      <c r="M70" s="130"/>
      <c r="N70" s="130"/>
      <c r="O70" s="133"/>
    </row>
    <row r="71" spans="1:15" s="68" customFormat="1" ht="38.25" customHeight="1" x14ac:dyDescent="0.25">
      <c r="A71" s="232">
        <v>11</v>
      </c>
      <c r="B71" s="255"/>
      <c r="C71" s="256"/>
      <c r="D71" s="257"/>
      <c r="E71" s="236"/>
      <c r="F71" s="237">
        <f t="shared" si="6"/>
        <v>0</v>
      </c>
      <c r="G71" s="176">
        <f>+'HOJA 3 AUX'!G105</f>
        <v>0</v>
      </c>
      <c r="H71" s="176">
        <f t="shared" si="7"/>
        <v>0</v>
      </c>
      <c r="I71" s="130"/>
      <c r="J71" s="122"/>
      <c r="K71" s="122"/>
      <c r="L71" s="67"/>
      <c r="M71" s="130"/>
      <c r="N71" s="130"/>
      <c r="O71" s="133"/>
    </row>
    <row r="72" spans="1:15" s="68" customFormat="1" ht="38.25" customHeight="1" x14ac:dyDescent="0.25">
      <c r="A72" s="232">
        <v>12</v>
      </c>
      <c r="B72" s="255"/>
      <c r="C72" s="256"/>
      <c r="D72" s="257"/>
      <c r="E72" s="236"/>
      <c r="F72" s="237">
        <f t="shared" si="6"/>
        <v>0</v>
      </c>
      <c r="G72" s="176">
        <f>'HOJA 3 AUX'!O105</f>
        <v>0</v>
      </c>
      <c r="H72" s="176">
        <f t="shared" si="7"/>
        <v>0</v>
      </c>
      <c r="I72" s="130"/>
      <c r="J72" s="122"/>
      <c r="K72" s="122"/>
      <c r="L72" s="67"/>
      <c r="M72" s="130"/>
      <c r="N72" s="130"/>
      <c r="O72" s="133"/>
    </row>
    <row r="73" spans="1:15" s="68" customFormat="1" ht="38.25" customHeight="1" x14ac:dyDescent="0.25">
      <c r="A73" s="123"/>
      <c r="B73" s="173" t="s">
        <v>1368</v>
      </c>
      <c r="C73" s="239">
        <f t="shared" ref="C73:G73" si="8">SUM(C61:C72)</f>
        <v>0</v>
      </c>
      <c r="D73" s="239">
        <f t="shared" si="8"/>
        <v>0</v>
      </c>
      <c r="E73" s="240">
        <f t="shared" si="8"/>
        <v>0</v>
      </c>
      <c r="F73" s="259">
        <f t="shared" si="8"/>
        <v>0</v>
      </c>
      <c r="G73" s="176">
        <f t="shared" si="8"/>
        <v>0</v>
      </c>
      <c r="H73" s="176">
        <f>SUM(H61:H72)</f>
        <v>0</v>
      </c>
      <c r="I73" s="130"/>
      <c r="J73" s="122"/>
      <c r="K73" s="122"/>
      <c r="L73" s="67"/>
      <c r="M73" s="130"/>
      <c r="N73" s="130"/>
      <c r="O73" s="133"/>
    </row>
    <row r="74" spans="1:15" s="123" customFormat="1" ht="15" customHeight="1" x14ac:dyDescent="0.25">
      <c r="A74" s="120"/>
      <c r="B74" s="129"/>
      <c r="C74" s="242"/>
      <c r="D74" s="243"/>
      <c r="E74" s="244"/>
      <c r="F74" s="244"/>
      <c r="G74" s="128"/>
      <c r="H74" s="128"/>
      <c r="I74" s="131"/>
      <c r="J74" s="131"/>
      <c r="K74" s="131"/>
      <c r="L74" s="131"/>
    </row>
    <row r="75" spans="1:15" s="68" customFormat="1" ht="38.25" customHeight="1" x14ac:dyDescent="0.25">
      <c r="A75" s="123"/>
      <c r="B75" s="405" t="s">
        <v>1379</v>
      </c>
      <c r="C75" s="245" t="s">
        <v>1535</v>
      </c>
      <c r="D75" s="388" t="s">
        <v>1383</v>
      </c>
      <c r="E75" s="453"/>
      <c r="F75" s="77"/>
      <c r="G75" s="448" t="s">
        <v>1531</v>
      </c>
      <c r="H75" s="452"/>
      <c r="I75" s="130"/>
      <c r="J75" s="122"/>
      <c r="K75" s="122"/>
      <c r="L75" s="67"/>
      <c r="M75" s="130"/>
      <c r="N75" s="130"/>
      <c r="O75" s="133"/>
    </row>
    <row r="76" spans="1:15" s="68" customFormat="1" ht="49.5" customHeight="1" x14ac:dyDescent="0.25">
      <c r="A76" s="123"/>
      <c r="B76" s="406"/>
      <c r="C76" s="160" t="s">
        <v>1420</v>
      </c>
      <c r="D76" s="160" t="s">
        <v>1399</v>
      </c>
      <c r="E76" s="160" t="s">
        <v>1400</v>
      </c>
      <c r="F76" s="260"/>
      <c r="G76" s="176" t="s">
        <v>1536</v>
      </c>
      <c r="H76" s="176" t="s">
        <v>1537</v>
      </c>
      <c r="I76" s="130"/>
      <c r="J76" s="122"/>
      <c r="K76" s="122"/>
      <c r="L76" s="67"/>
      <c r="M76" s="130"/>
      <c r="N76" s="130"/>
      <c r="O76" s="133"/>
    </row>
    <row r="77" spans="1:15" s="68" customFormat="1" ht="38.25" customHeight="1" x14ac:dyDescent="0.25">
      <c r="A77" s="232">
        <v>1</v>
      </c>
      <c r="B77" s="233"/>
      <c r="C77" s="234"/>
      <c r="D77" s="235"/>
      <c r="E77" s="236"/>
      <c r="F77" s="237">
        <f t="shared" ref="F77:F88" si="9">+G77/$E$184</f>
        <v>0</v>
      </c>
      <c r="G77" s="176">
        <f>'HOJA 4 AUX'!G10</f>
        <v>0</v>
      </c>
      <c r="H77" s="176">
        <f t="shared" ref="H77:H88" si="10">(C77*D77)*G77</f>
        <v>0</v>
      </c>
      <c r="I77" s="130"/>
      <c r="J77" s="122"/>
      <c r="K77" s="122"/>
      <c r="L77" s="67"/>
      <c r="M77" s="130"/>
      <c r="N77" s="130"/>
      <c r="O77" s="133"/>
    </row>
    <row r="78" spans="1:15" s="68" customFormat="1" ht="38.25" customHeight="1" x14ac:dyDescent="0.25">
      <c r="A78" s="232">
        <v>2</v>
      </c>
      <c r="B78" s="233"/>
      <c r="C78" s="234"/>
      <c r="D78" s="235"/>
      <c r="E78" s="236"/>
      <c r="F78" s="237">
        <f t="shared" si="9"/>
        <v>0</v>
      </c>
      <c r="G78" s="176">
        <f>'HOJA 4 AUX'!O10</f>
        <v>0</v>
      </c>
      <c r="H78" s="176">
        <f t="shared" si="10"/>
        <v>0</v>
      </c>
      <c r="I78" s="130"/>
      <c r="J78" s="122"/>
      <c r="K78" s="122"/>
      <c r="L78" s="67"/>
      <c r="M78" s="130"/>
      <c r="N78" s="130"/>
      <c r="O78" s="133"/>
    </row>
    <row r="79" spans="1:15" s="68" customFormat="1" ht="38.25" customHeight="1" x14ac:dyDescent="0.25">
      <c r="A79" s="232">
        <v>3</v>
      </c>
      <c r="B79" s="233"/>
      <c r="C79" s="234"/>
      <c r="D79" s="235"/>
      <c r="E79" s="236"/>
      <c r="F79" s="237">
        <f t="shared" si="9"/>
        <v>0</v>
      </c>
      <c r="G79" s="176">
        <f>'HOJA 4 AUX'!G28</f>
        <v>0</v>
      </c>
      <c r="H79" s="176">
        <f t="shared" si="10"/>
        <v>0</v>
      </c>
      <c r="I79" s="131"/>
      <c r="J79" s="122"/>
      <c r="K79" s="122"/>
      <c r="L79" s="67"/>
      <c r="M79" s="130"/>
      <c r="N79" s="130"/>
      <c r="O79" s="133"/>
    </row>
    <row r="80" spans="1:15" s="68" customFormat="1" ht="38.25" customHeight="1" x14ac:dyDescent="0.25">
      <c r="A80" s="232">
        <v>4</v>
      </c>
      <c r="B80" s="233"/>
      <c r="C80" s="234"/>
      <c r="D80" s="235"/>
      <c r="E80" s="236"/>
      <c r="F80" s="237">
        <f t="shared" si="9"/>
        <v>0</v>
      </c>
      <c r="G80" s="176">
        <f>'HOJA 4 AUX'!O28</f>
        <v>0</v>
      </c>
      <c r="H80" s="176">
        <f t="shared" si="10"/>
        <v>0</v>
      </c>
      <c r="I80" s="131"/>
      <c r="J80" s="122"/>
      <c r="K80" s="122"/>
      <c r="L80" s="67"/>
      <c r="M80" s="130"/>
      <c r="N80" s="130"/>
      <c r="O80" s="133"/>
    </row>
    <row r="81" spans="1:15" s="68" customFormat="1" ht="38.25" customHeight="1" x14ac:dyDescent="0.25">
      <c r="A81" s="232">
        <v>5</v>
      </c>
      <c r="B81" s="233"/>
      <c r="C81" s="234"/>
      <c r="D81" s="235"/>
      <c r="E81" s="236"/>
      <c r="F81" s="237">
        <f t="shared" si="9"/>
        <v>0</v>
      </c>
      <c r="G81" s="176">
        <f>'HOJA 4 AUX'!G48</f>
        <v>0</v>
      </c>
      <c r="H81" s="176">
        <f t="shared" si="10"/>
        <v>0</v>
      </c>
      <c r="I81" s="131"/>
      <c r="J81" s="122"/>
      <c r="K81" s="122"/>
      <c r="L81" s="67"/>
      <c r="M81" s="130"/>
      <c r="N81" s="130"/>
      <c r="O81" s="133"/>
    </row>
    <row r="82" spans="1:15" s="68" customFormat="1" ht="38.25" customHeight="1" x14ac:dyDescent="0.25">
      <c r="A82" s="232">
        <v>6</v>
      </c>
      <c r="B82" s="233"/>
      <c r="C82" s="234"/>
      <c r="D82" s="235"/>
      <c r="E82" s="236"/>
      <c r="F82" s="237">
        <f t="shared" si="9"/>
        <v>0</v>
      </c>
      <c r="G82" s="176">
        <f>'HOJA 4 AUX'!O48</f>
        <v>0</v>
      </c>
      <c r="H82" s="176">
        <f t="shared" si="10"/>
        <v>0</v>
      </c>
      <c r="I82" s="131"/>
      <c r="J82" s="122"/>
      <c r="K82" s="122"/>
      <c r="L82" s="67"/>
      <c r="M82" s="130"/>
      <c r="N82" s="130"/>
      <c r="O82" s="133"/>
    </row>
    <row r="83" spans="1:15" s="68" customFormat="1" ht="38.25" customHeight="1" x14ac:dyDescent="0.25">
      <c r="A83" s="232">
        <v>7</v>
      </c>
      <c r="B83" s="233"/>
      <c r="C83" s="234"/>
      <c r="D83" s="235"/>
      <c r="E83" s="236"/>
      <c r="F83" s="237">
        <f t="shared" si="9"/>
        <v>0</v>
      </c>
      <c r="G83" s="176">
        <f>+'HOJA 4 AUX'!G67</f>
        <v>0</v>
      </c>
      <c r="H83" s="176">
        <f t="shared" si="10"/>
        <v>0</v>
      </c>
      <c r="I83" s="131"/>
      <c r="J83" s="122"/>
      <c r="K83" s="122"/>
      <c r="L83" s="67"/>
      <c r="M83" s="130"/>
      <c r="N83" s="130"/>
      <c r="O83" s="133"/>
    </row>
    <row r="84" spans="1:15" s="68" customFormat="1" ht="38.25" customHeight="1" x14ac:dyDescent="0.25">
      <c r="A84" s="232">
        <v>8</v>
      </c>
      <c r="B84" s="233"/>
      <c r="C84" s="234"/>
      <c r="D84" s="235"/>
      <c r="E84" s="236"/>
      <c r="F84" s="237">
        <f t="shared" si="9"/>
        <v>0</v>
      </c>
      <c r="G84" s="176">
        <f>'HOJA 4 AUX'!O67</f>
        <v>0</v>
      </c>
      <c r="H84" s="176">
        <f t="shared" si="10"/>
        <v>0</v>
      </c>
      <c r="I84" s="131"/>
      <c r="J84" s="122"/>
      <c r="K84" s="122"/>
      <c r="L84" s="67"/>
      <c r="M84" s="130"/>
      <c r="N84" s="130"/>
      <c r="O84" s="133"/>
    </row>
    <row r="85" spans="1:15" s="68" customFormat="1" ht="38.25" customHeight="1" x14ac:dyDescent="0.25">
      <c r="A85" s="232">
        <v>9</v>
      </c>
      <c r="B85" s="233"/>
      <c r="C85" s="234"/>
      <c r="D85" s="235"/>
      <c r="E85" s="236"/>
      <c r="F85" s="237">
        <f t="shared" si="9"/>
        <v>0</v>
      </c>
      <c r="G85" s="176">
        <f>+'HOJA 4 AUX'!G85</f>
        <v>0</v>
      </c>
      <c r="H85" s="176">
        <f t="shared" si="10"/>
        <v>0</v>
      </c>
      <c r="I85" s="131"/>
      <c r="J85" s="122"/>
      <c r="K85" s="131"/>
      <c r="L85" s="110"/>
      <c r="M85" s="130"/>
      <c r="N85" s="130"/>
      <c r="O85" s="133"/>
    </row>
    <row r="86" spans="1:15" s="68" customFormat="1" ht="38.25" customHeight="1" x14ac:dyDescent="0.25">
      <c r="A86" s="232">
        <v>10</v>
      </c>
      <c r="B86" s="233"/>
      <c r="C86" s="234"/>
      <c r="D86" s="235"/>
      <c r="E86" s="236"/>
      <c r="F86" s="237">
        <f t="shared" si="9"/>
        <v>0</v>
      </c>
      <c r="G86" s="176">
        <f>'HOJA 4 AUX'!O85</f>
        <v>0</v>
      </c>
      <c r="H86" s="176">
        <f t="shared" si="10"/>
        <v>0</v>
      </c>
      <c r="I86" s="131"/>
      <c r="J86" s="122"/>
      <c r="K86" s="131"/>
      <c r="L86" s="110"/>
      <c r="M86" s="130"/>
      <c r="N86" s="130"/>
      <c r="O86" s="133"/>
    </row>
    <row r="87" spans="1:15" s="68" customFormat="1" ht="38.25" customHeight="1" x14ac:dyDescent="0.25">
      <c r="A87" s="232">
        <v>11</v>
      </c>
      <c r="B87" s="233"/>
      <c r="C87" s="234"/>
      <c r="D87" s="235"/>
      <c r="E87" s="236"/>
      <c r="F87" s="237">
        <f t="shared" si="9"/>
        <v>0</v>
      </c>
      <c r="G87" s="176">
        <f>+'HOJA 4 AUX'!G105</f>
        <v>0</v>
      </c>
      <c r="H87" s="176">
        <f t="shared" si="10"/>
        <v>0</v>
      </c>
      <c r="I87" s="131"/>
      <c r="J87" s="122"/>
      <c r="K87" s="131"/>
      <c r="L87" s="110"/>
      <c r="M87" s="130"/>
      <c r="N87" s="130"/>
      <c r="O87" s="133"/>
    </row>
    <row r="88" spans="1:15" s="68" customFormat="1" ht="38.25" customHeight="1" x14ac:dyDescent="0.25">
      <c r="A88" s="232">
        <v>12</v>
      </c>
      <c r="B88" s="233"/>
      <c r="C88" s="234"/>
      <c r="D88" s="235"/>
      <c r="E88" s="236"/>
      <c r="F88" s="237">
        <f t="shared" si="9"/>
        <v>0</v>
      </c>
      <c r="G88" s="176">
        <f>'HOJA 4 AUX'!O105</f>
        <v>0</v>
      </c>
      <c r="H88" s="176">
        <f t="shared" si="10"/>
        <v>0</v>
      </c>
      <c r="I88" s="131"/>
      <c r="J88" s="122"/>
      <c r="K88" s="131"/>
      <c r="L88" s="110"/>
      <c r="M88" s="130"/>
      <c r="N88" s="130"/>
      <c r="O88" s="133"/>
    </row>
    <row r="89" spans="1:15" s="68" customFormat="1" ht="38.25" customHeight="1" x14ac:dyDescent="0.25">
      <c r="A89" s="123"/>
      <c r="B89" s="173" t="s">
        <v>1368</v>
      </c>
      <c r="C89" s="239">
        <f t="shared" ref="C89:G89" si="11">SUM(C77:C88)</f>
        <v>0</v>
      </c>
      <c r="D89" s="239">
        <f t="shared" si="11"/>
        <v>0</v>
      </c>
      <c r="E89" s="240">
        <f t="shared" si="11"/>
        <v>0</v>
      </c>
      <c r="F89" s="259">
        <f t="shared" si="11"/>
        <v>0</v>
      </c>
      <c r="G89" s="176">
        <f t="shared" si="11"/>
        <v>0</v>
      </c>
      <c r="H89" s="176">
        <f>SUM(H77:H88)</f>
        <v>0</v>
      </c>
      <c r="I89" s="131"/>
      <c r="J89" s="122"/>
      <c r="K89" s="131"/>
      <c r="L89" s="110"/>
      <c r="M89" s="130"/>
      <c r="N89" s="130"/>
      <c r="O89" s="133"/>
    </row>
    <row r="90" spans="1:15" s="123" customFormat="1" ht="15" customHeight="1" x14ac:dyDescent="0.25">
      <c r="A90" s="120"/>
      <c r="B90" s="129"/>
      <c r="C90" s="248"/>
      <c r="D90" s="249"/>
      <c r="E90" s="250"/>
      <c r="F90" s="250"/>
      <c r="G90" s="128"/>
      <c r="H90" s="128"/>
      <c r="I90" s="131"/>
      <c r="J90" s="131"/>
      <c r="K90" s="131"/>
      <c r="L90" s="131"/>
    </row>
    <row r="91" spans="1:15" s="68" customFormat="1" ht="38.25" customHeight="1" x14ac:dyDescent="0.25">
      <c r="A91" s="123"/>
      <c r="B91" s="407" t="s">
        <v>1379</v>
      </c>
      <c r="C91" s="251" t="s">
        <v>1535</v>
      </c>
      <c r="D91" s="445" t="s">
        <v>1384</v>
      </c>
      <c r="E91" s="445"/>
      <c r="F91" s="261"/>
      <c r="G91" s="450" t="s">
        <v>1531</v>
      </c>
      <c r="H91" s="450"/>
      <c r="I91" s="131"/>
      <c r="J91" s="122"/>
      <c r="K91" s="131"/>
      <c r="L91" s="110"/>
      <c r="M91" s="130"/>
      <c r="N91" s="130"/>
      <c r="O91" s="133"/>
    </row>
    <row r="92" spans="1:15" s="68" customFormat="1" ht="53.25" customHeight="1" x14ac:dyDescent="0.25">
      <c r="A92" s="123"/>
      <c r="B92" s="407"/>
      <c r="C92" s="251" t="s">
        <v>1420</v>
      </c>
      <c r="D92" s="251" t="s">
        <v>1399</v>
      </c>
      <c r="E92" s="251" t="s">
        <v>1400</v>
      </c>
      <c r="F92" s="262"/>
      <c r="G92" s="254" t="s">
        <v>1536</v>
      </c>
      <c r="H92" s="254" t="s">
        <v>1537</v>
      </c>
      <c r="I92" s="131"/>
      <c r="J92" s="122"/>
      <c r="K92" s="131"/>
      <c r="L92" s="110"/>
      <c r="M92" s="130"/>
      <c r="N92" s="130"/>
      <c r="O92" s="133"/>
    </row>
    <row r="93" spans="1:15" s="68" customFormat="1" ht="38.25" customHeight="1" x14ac:dyDescent="0.25">
      <c r="A93" s="232">
        <v>1</v>
      </c>
      <c r="B93" s="255"/>
      <c r="C93" s="256"/>
      <c r="D93" s="256"/>
      <c r="E93" s="236"/>
      <c r="F93" s="263">
        <f t="shared" ref="F93:F104" si="12">+G93/$E$184</f>
        <v>0</v>
      </c>
      <c r="G93" s="264">
        <f>'HOJA 5 AUX'!G10</f>
        <v>0</v>
      </c>
      <c r="H93" s="264">
        <f t="shared" ref="H93:H104" si="13">(C93*D93)*G93</f>
        <v>0</v>
      </c>
      <c r="I93" s="131"/>
      <c r="J93" s="122"/>
      <c r="K93" s="131"/>
      <c r="L93" s="110"/>
      <c r="M93" s="130"/>
      <c r="N93" s="130"/>
      <c r="O93" s="133"/>
    </row>
    <row r="94" spans="1:15" s="68" customFormat="1" ht="38.25" customHeight="1" x14ac:dyDescent="0.25">
      <c r="A94" s="232">
        <v>2</v>
      </c>
      <c r="B94" s="255"/>
      <c r="C94" s="256"/>
      <c r="D94" s="256"/>
      <c r="E94" s="236"/>
      <c r="F94" s="265">
        <f t="shared" si="12"/>
        <v>0</v>
      </c>
      <c r="G94" s="266">
        <f>'HOJA 5 AUX'!O10</f>
        <v>0</v>
      </c>
      <c r="H94" s="266">
        <f t="shared" si="13"/>
        <v>0</v>
      </c>
      <c r="I94" s="131"/>
      <c r="J94" s="122"/>
      <c r="K94" s="131"/>
      <c r="L94" s="110"/>
      <c r="M94" s="130"/>
      <c r="N94" s="130"/>
      <c r="O94" s="133"/>
    </row>
    <row r="95" spans="1:15" s="68" customFormat="1" ht="38.25" customHeight="1" x14ac:dyDescent="0.25">
      <c r="A95" s="232">
        <v>3</v>
      </c>
      <c r="B95" s="255"/>
      <c r="C95" s="256"/>
      <c r="D95" s="256"/>
      <c r="E95" s="236"/>
      <c r="F95" s="265">
        <f t="shared" si="12"/>
        <v>0</v>
      </c>
      <c r="G95" s="266">
        <f>+'HOJA 5 AUX'!G28</f>
        <v>0</v>
      </c>
      <c r="H95" s="266">
        <f t="shared" si="13"/>
        <v>0</v>
      </c>
      <c r="I95" s="130"/>
      <c r="J95" s="122"/>
      <c r="K95" s="131"/>
      <c r="L95" s="110"/>
      <c r="M95" s="130"/>
      <c r="N95" s="130"/>
      <c r="O95" s="133"/>
    </row>
    <row r="96" spans="1:15" s="68" customFormat="1" ht="38.25" customHeight="1" x14ac:dyDescent="0.25">
      <c r="A96" s="232">
        <v>4</v>
      </c>
      <c r="B96" s="255"/>
      <c r="C96" s="256"/>
      <c r="D96" s="256"/>
      <c r="E96" s="236"/>
      <c r="F96" s="265">
        <f t="shared" si="12"/>
        <v>0</v>
      </c>
      <c r="G96" s="266">
        <f>'HOJA 5 AUX'!O28</f>
        <v>0</v>
      </c>
      <c r="H96" s="266">
        <f t="shared" si="13"/>
        <v>0</v>
      </c>
      <c r="I96" s="130"/>
      <c r="J96" s="122"/>
      <c r="K96" s="131"/>
      <c r="L96" s="110"/>
      <c r="M96" s="130"/>
      <c r="N96" s="130"/>
      <c r="O96" s="133"/>
    </row>
    <row r="97" spans="1:15" s="68" customFormat="1" ht="38.25" customHeight="1" x14ac:dyDescent="0.25">
      <c r="A97" s="232">
        <v>5</v>
      </c>
      <c r="B97" s="255"/>
      <c r="C97" s="256"/>
      <c r="D97" s="256"/>
      <c r="E97" s="236"/>
      <c r="F97" s="265">
        <f t="shared" si="12"/>
        <v>0</v>
      </c>
      <c r="G97" s="266">
        <f>'HOJA 5 AUX'!G48</f>
        <v>0</v>
      </c>
      <c r="H97" s="266">
        <f t="shared" si="13"/>
        <v>0</v>
      </c>
      <c r="I97" s="130"/>
      <c r="J97" s="122"/>
      <c r="K97" s="131"/>
      <c r="L97" s="110"/>
      <c r="M97" s="130"/>
      <c r="N97" s="130"/>
      <c r="O97" s="133"/>
    </row>
    <row r="98" spans="1:15" s="68" customFormat="1" ht="38.25" customHeight="1" x14ac:dyDescent="0.25">
      <c r="A98" s="232">
        <v>6</v>
      </c>
      <c r="B98" s="255"/>
      <c r="C98" s="256"/>
      <c r="D98" s="256"/>
      <c r="E98" s="236"/>
      <c r="F98" s="265">
        <f t="shared" si="12"/>
        <v>0</v>
      </c>
      <c r="G98" s="266">
        <f>'HOJA 5 AUX'!O48</f>
        <v>0</v>
      </c>
      <c r="H98" s="266">
        <f t="shared" si="13"/>
        <v>0</v>
      </c>
      <c r="I98" s="130"/>
      <c r="J98" s="122"/>
      <c r="K98" s="131"/>
      <c r="L98" s="110"/>
      <c r="M98" s="130"/>
      <c r="N98" s="130"/>
      <c r="O98" s="133"/>
    </row>
    <row r="99" spans="1:15" s="68" customFormat="1" ht="38.25" customHeight="1" x14ac:dyDescent="0.25">
      <c r="A99" s="232">
        <v>7</v>
      </c>
      <c r="B99" s="255"/>
      <c r="C99" s="256"/>
      <c r="D99" s="256"/>
      <c r="E99" s="236"/>
      <c r="F99" s="265">
        <f t="shared" si="12"/>
        <v>0</v>
      </c>
      <c r="G99" s="266">
        <f>+'HOJA 5 AUX'!G67</f>
        <v>0</v>
      </c>
      <c r="H99" s="266">
        <f t="shared" si="13"/>
        <v>0</v>
      </c>
      <c r="I99" s="130"/>
      <c r="J99" s="122"/>
      <c r="K99" s="131"/>
      <c r="L99" s="110"/>
      <c r="M99" s="130"/>
      <c r="N99" s="130"/>
      <c r="O99" s="133"/>
    </row>
    <row r="100" spans="1:15" s="68" customFormat="1" ht="38.25" customHeight="1" x14ac:dyDescent="0.25">
      <c r="A100" s="232">
        <v>8</v>
      </c>
      <c r="B100" s="255"/>
      <c r="C100" s="256"/>
      <c r="D100" s="256"/>
      <c r="E100" s="236"/>
      <c r="F100" s="265">
        <f t="shared" si="12"/>
        <v>0</v>
      </c>
      <c r="G100" s="266">
        <f>+'HOJA 5 AUX'!O67</f>
        <v>0</v>
      </c>
      <c r="H100" s="266">
        <f t="shared" si="13"/>
        <v>0</v>
      </c>
      <c r="I100" s="130"/>
      <c r="J100" s="122"/>
      <c r="K100" s="131"/>
      <c r="L100" s="110"/>
      <c r="M100" s="130"/>
      <c r="N100" s="130"/>
      <c r="O100" s="133"/>
    </row>
    <row r="101" spans="1:15" s="68" customFormat="1" ht="38.25" customHeight="1" x14ac:dyDescent="0.25">
      <c r="A101" s="232">
        <v>9</v>
      </c>
      <c r="B101" s="255"/>
      <c r="C101" s="256"/>
      <c r="D101" s="256"/>
      <c r="E101" s="236"/>
      <c r="F101" s="265">
        <f t="shared" si="12"/>
        <v>0</v>
      </c>
      <c r="G101" s="266">
        <f>+'HOJA 5 AUX'!G85</f>
        <v>0</v>
      </c>
      <c r="H101" s="266">
        <f t="shared" si="13"/>
        <v>0</v>
      </c>
      <c r="I101" s="130"/>
      <c r="J101" s="122"/>
      <c r="K101" s="122"/>
      <c r="L101" s="67"/>
      <c r="M101" s="130"/>
      <c r="N101" s="130"/>
      <c r="O101" s="133"/>
    </row>
    <row r="102" spans="1:15" s="68" customFormat="1" ht="38.25" customHeight="1" x14ac:dyDescent="0.25">
      <c r="A102" s="232">
        <v>10</v>
      </c>
      <c r="B102" s="255"/>
      <c r="C102" s="256"/>
      <c r="D102" s="256"/>
      <c r="E102" s="236"/>
      <c r="F102" s="265">
        <f t="shared" si="12"/>
        <v>0</v>
      </c>
      <c r="G102" s="266">
        <f>+'HOJA 5 AUX'!O85</f>
        <v>0</v>
      </c>
      <c r="H102" s="266">
        <f t="shared" si="13"/>
        <v>0</v>
      </c>
      <c r="I102" s="130"/>
      <c r="J102" s="122"/>
      <c r="K102" s="122"/>
      <c r="L102" s="67"/>
      <c r="M102" s="130"/>
      <c r="N102" s="130"/>
      <c r="O102" s="133"/>
    </row>
    <row r="103" spans="1:15" s="68" customFormat="1" ht="38.25" customHeight="1" x14ac:dyDescent="0.25">
      <c r="A103" s="232">
        <v>11</v>
      </c>
      <c r="B103" s="255"/>
      <c r="C103" s="256"/>
      <c r="D103" s="256"/>
      <c r="E103" s="236"/>
      <c r="F103" s="265">
        <f t="shared" si="12"/>
        <v>0</v>
      </c>
      <c r="G103" s="266">
        <f>+'HOJA 5 AUX'!G105</f>
        <v>0</v>
      </c>
      <c r="H103" s="266">
        <f t="shared" si="13"/>
        <v>0</v>
      </c>
      <c r="I103" s="130"/>
      <c r="J103" s="122"/>
      <c r="K103" s="122"/>
      <c r="L103" s="67"/>
      <c r="M103" s="130"/>
      <c r="N103" s="130"/>
      <c r="O103" s="133"/>
    </row>
    <row r="104" spans="1:15" s="68" customFormat="1" ht="38.25" customHeight="1" x14ac:dyDescent="0.25">
      <c r="A104" s="232">
        <v>12</v>
      </c>
      <c r="B104" s="255"/>
      <c r="C104" s="256"/>
      <c r="D104" s="256"/>
      <c r="E104" s="236"/>
      <c r="F104" s="265">
        <f t="shared" si="12"/>
        <v>0</v>
      </c>
      <c r="G104" s="266">
        <f>+'HOJA 5 AUX'!O105</f>
        <v>0</v>
      </c>
      <c r="H104" s="266">
        <f t="shared" si="13"/>
        <v>0</v>
      </c>
      <c r="I104" s="130"/>
      <c r="J104" s="122"/>
      <c r="K104" s="122"/>
      <c r="L104" s="67"/>
      <c r="M104" s="130"/>
      <c r="N104" s="130"/>
      <c r="O104" s="133"/>
    </row>
    <row r="105" spans="1:15" s="68" customFormat="1" ht="38.25" customHeight="1" x14ac:dyDescent="0.25">
      <c r="A105" s="123"/>
      <c r="B105" s="173" t="s">
        <v>1368</v>
      </c>
      <c r="C105" s="239">
        <f t="shared" ref="C105:G105" si="14">SUM(C93:C104)</f>
        <v>0</v>
      </c>
      <c r="D105" s="239">
        <f t="shared" si="14"/>
        <v>0</v>
      </c>
      <c r="E105" s="240">
        <f t="shared" si="14"/>
        <v>0</v>
      </c>
      <c r="F105" s="240">
        <f t="shared" si="14"/>
        <v>0</v>
      </c>
      <c r="G105" s="176">
        <f t="shared" si="14"/>
        <v>0</v>
      </c>
      <c r="H105" s="176">
        <f>SUM(H93:H104)</f>
        <v>0</v>
      </c>
      <c r="I105" s="130"/>
      <c r="J105" s="122"/>
      <c r="K105" s="122"/>
      <c r="L105" s="67"/>
      <c r="M105" s="130"/>
      <c r="N105" s="130"/>
      <c r="O105" s="133"/>
    </row>
    <row r="106" spans="1:15" s="123" customFormat="1" ht="15" customHeight="1" x14ac:dyDescent="0.25">
      <c r="A106" s="120"/>
      <c r="B106" s="129"/>
      <c r="C106" s="242"/>
      <c r="D106" s="243"/>
      <c r="E106" s="244"/>
      <c r="F106" s="244"/>
      <c r="G106" s="128"/>
      <c r="H106" s="128"/>
      <c r="I106" s="131"/>
      <c r="J106" s="131"/>
      <c r="K106" s="131"/>
      <c r="L106" s="131"/>
    </row>
    <row r="107" spans="1:15" s="68" customFormat="1" ht="38.25" customHeight="1" x14ac:dyDescent="0.25">
      <c r="A107" s="123"/>
      <c r="B107" s="405" t="s">
        <v>1379</v>
      </c>
      <c r="C107" s="245" t="s">
        <v>1535</v>
      </c>
      <c r="D107" s="388" t="s">
        <v>1385</v>
      </c>
      <c r="E107" s="389"/>
      <c r="F107" s="229"/>
      <c r="G107" s="452" t="s">
        <v>1531</v>
      </c>
      <c r="H107" s="449"/>
      <c r="I107" s="131"/>
      <c r="J107" s="131"/>
      <c r="K107" s="131"/>
      <c r="L107" s="110"/>
      <c r="M107" s="130"/>
      <c r="N107" s="130"/>
      <c r="O107" s="133"/>
    </row>
    <row r="108" spans="1:15" s="68" customFormat="1" ht="43.5" customHeight="1" x14ac:dyDescent="0.25">
      <c r="A108" s="123"/>
      <c r="B108" s="406"/>
      <c r="C108" s="160" t="s">
        <v>1420</v>
      </c>
      <c r="D108" s="160" t="s">
        <v>1399</v>
      </c>
      <c r="E108" s="160" t="s">
        <v>1400</v>
      </c>
      <c r="F108" s="260"/>
      <c r="G108" s="176" t="s">
        <v>1536</v>
      </c>
      <c r="H108" s="176" t="s">
        <v>1537</v>
      </c>
      <c r="I108" s="131"/>
      <c r="J108" s="131"/>
      <c r="K108" s="131"/>
      <c r="L108" s="110"/>
      <c r="M108" s="130"/>
      <c r="N108" s="130"/>
      <c r="O108" s="133"/>
    </row>
    <row r="109" spans="1:15" s="68" customFormat="1" ht="38.25" customHeight="1" x14ac:dyDescent="0.25">
      <c r="A109" s="232">
        <v>1</v>
      </c>
      <c r="B109" s="233"/>
      <c r="C109" s="234"/>
      <c r="D109" s="234"/>
      <c r="E109" s="236"/>
      <c r="F109" s="237">
        <f t="shared" ref="F109:F120" si="15">+G109/$E$184</f>
        <v>0</v>
      </c>
      <c r="G109" s="176">
        <f>'HOJA 6 AUX'!G10</f>
        <v>0</v>
      </c>
      <c r="H109" s="176">
        <f t="shared" ref="H109:H120" si="16">+(C109*D109)*G109</f>
        <v>0</v>
      </c>
      <c r="I109" s="131"/>
      <c r="J109" s="131"/>
      <c r="K109" s="131"/>
      <c r="L109" s="110"/>
      <c r="M109" s="130"/>
      <c r="N109" s="130"/>
      <c r="O109" s="133"/>
    </row>
    <row r="110" spans="1:15" s="68" customFormat="1" ht="38.25" customHeight="1" x14ac:dyDescent="0.25">
      <c r="A110" s="232">
        <v>2</v>
      </c>
      <c r="B110" s="233"/>
      <c r="C110" s="234"/>
      <c r="D110" s="234"/>
      <c r="E110" s="236"/>
      <c r="F110" s="237">
        <f t="shared" si="15"/>
        <v>0</v>
      </c>
      <c r="G110" s="176">
        <f>'HOJA 6 AUX'!O10</f>
        <v>0</v>
      </c>
      <c r="H110" s="176">
        <f t="shared" si="16"/>
        <v>0</v>
      </c>
      <c r="I110" s="131"/>
      <c r="J110" s="131"/>
      <c r="K110" s="131"/>
      <c r="L110" s="110"/>
      <c r="M110" s="130"/>
      <c r="N110" s="130"/>
      <c r="O110" s="133"/>
    </row>
    <row r="111" spans="1:15" s="68" customFormat="1" ht="38.25" customHeight="1" x14ac:dyDescent="0.25">
      <c r="A111" s="232">
        <v>3</v>
      </c>
      <c r="B111" s="233"/>
      <c r="C111" s="234"/>
      <c r="D111" s="234"/>
      <c r="E111" s="236"/>
      <c r="F111" s="237">
        <f t="shared" si="15"/>
        <v>0</v>
      </c>
      <c r="G111" s="176">
        <f>'HOJA 6 AUX'!G28</f>
        <v>0</v>
      </c>
      <c r="H111" s="176">
        <f t="shared" si="16"/>
        <v>0</v>
      </c>
      <c r="I111" s="131"/>
      <c r="J111" s="131"/>
      <c r="K111" s="131"/>
      <c r="L111" s="110"/>
      <c r="M111" s="130"/>
      <c r="N111" s="130"/>
      <c r="O111" s="133"/>
    </row>
    <row r="112" spans="1:15" s="68" customFormat="1" ht="38.25" customHeight="1" x14ac:dyDescent="0.25">
      <c r="A112" s="232">
        <v>4</v>
      </c>
      <c r="B112" s="233"/>
      <c r="C112" s="234"/>
      <c r="D112" s="234"/>
      <c r="E112" s="236"/>
      <c r="F112" s="237">
        <f t="shared" si="15"/>
        <v>0</v>
      </c>
      <c r="G112" s="176">
        <f>'HOJA 6 AUX'!O28</f>
        <v>0</v>
      </c>
      <c r="H112" s="176">
        <f t="shared" si="16"/>
        <v>0</v>
      </c>
      <c r="I112" s="131"/>
      <c r="J112" s="131"/>
      <c r="K112" s="131"/>
      <c r="L112" s="110"/>
      <c r="M112" s="130"/>
      <c r="N112" s="130"/>
      <c r="O112" s="133"/>
    </row>
    <row r="113" spans="1:15" s="68" customFormat="1" ht="38.25" customHeight="1" x14ac:dyDescent="0.25">
      <c r="A113" s="232">
        <v>5</v>
      </c>
      <c r="B113" s="233"/>
      <c r="C113" s="234"/>
      <c r="D113" s="234"/>
      <c r="E113" s="236"/>
      <c r="F113" s="237">
        <f t="shared" si="15"/>
        <v>0</v>
      </c>
      <c r="G113" s="176">
        <f>'HOJA 6 AUX'!G48</f>
        <v>0</v>
      </c>
      <c r="H113" s="176">
        <f t="shared" si="16"/>
        <v>0</v>
      </c>
      <c r="I113" s="131"/>
      <c r="J113" s="131"/>
      <c r="K113" s="131"/>
      <c r="L113" s="110"/>
      <c r="M113" s="130"/>
      <c r="N113" s="130"/>
      <c r="O113" s="133"/>
    </row>
    <row r="114" spans="1:15" s="68" customFormat="1" ht="38.25" customHeight="1" x14ac:dyDescent="0.25">
      <c r="A114" s="232">
        <v>6</v>
      </c>
      <c r="B114" s="233"/>
      <c r="C114" s="234"/>
      <c r="D114" s="234"/>
      <c r="E114" s="236"/>
      <c r="F114" s="237">
        <f t="shared" si="15"/>
        <v>0</v>
      </c>
      <c r="G114" s="176">
        <f>'HOJA 6 AUX'!O48</f>
        <v>0</v>
      </c>
      <c r="H114" s="176">
        <f t="shared" si="16"/>
        <v>0</v>
      </c>
      <c r="I114" s="131"/>
      <c r="J114" s="131"/>
      <c r="K114" s="131"/>
      <c r="L114" s="110"/>
      <c r="M114" s="130"/>
      <c r="N114" s="130"/>
      <c r="O114" s="133"/>
    </row>
    <row r="115" spans="1:15" s="68" customFormat="1" ht="38.25" customHeight="1" x14ac:dyDescent="0.25">
      <c r="A115" s="232">
        <v>7</v>
      </c>
      <c r="B115" s="233"/>
      <c r="C115" s="234"/>
      <c r="D115" s="234"/>
      <c r="E115" s="236"/>
      <c r="F115" s="237">
        <f t="shared" si="15"/>
        <v>0</v>
      </c>
      <c r="G115" s="176">
        <f>'HOJA 6 AUX'!G67</f>
        <v>0</v>
      </c>
      <c r="H115" s="176">
        <f t="shared" si="16"/>
        <v>0</v>
      </c>
      <c r="I115" s="131"/>
      <c r="J115" s="131"/>
      <c r="K115" s="131"/>
      <c r="L115" s="110"/>
      <c r="M115" s="130"/>
      <c r="N115" s="130"/>
      <c r="O115" s="133"/>
    </row>
    <row r="116" spans="1:15" s="68" customFormat="1" ht="38.25" customHeight="1" x14ac:dyDescent="0.25">
      <c r="A116" s="232">
        <v>8</v>
      </c>
      <c r="B116" s="233"/>
      <c r="C116" s="234"/>
      <c r="D116" s="234"/>
      <c r="E116" s="236"/>
      <c r="F116" s="237">
        <f t="shared" si="15"/>
        <v>0</v>
      </c>
      <c r="G116" s="176">
        <f>'HOJA 6 AUX'!O67</f>
        <v>0</v>
      </c>
      <c r="H116" s="176">
        <f t="shared" si="16"/>
        <v>0</v>
      </c>
      <c r="I116" s="131"/>
      <c r="J116" s="131"/>
      <c r="K116" s="131"/>
      <c r="L116" s="110"/>
      <c r="M116" s="130"/>
      <c r="N116" s="130"/>
      <c r="O116" s="133"/>
    </row>
    <row r="117" spans="1:15" s="68" customFormat="1" ht="38.25" customHeight="1" x14ac:dyDescent="0.25">
      <c r="A117" s="232">
        <v>9</v>
      </c>
      <c r="B117" s="233"/>
      <c r="C117" s="234"/>
      <c r="D117" s="234"/>
      <c r="E117" s="236"/>
      <c r="F117" s="237">
        <f t="shared" si="15"/>
        <v>0</v>
      </c>
      <c r="G117" s="176">
        <f>'HOJA 6 AUX'!G85</f>
        <v>0</v>
      </c>
      <c r="H117" s="176">
        <f t="shared" si="16"/>
        <v>0</v>
      </c>
      <c r="I117" s="131"/>
      <c r="J117" s="131"/>
      <c r="K117" s="131"/>
      <c r="L117" s="110"/>
      <c r="M117" s="130"/>
      <c r="N117" s="130"/>
      <c r="O117" s="133"/>
    </row>
    <row r="118" spans="1:15" s="68" customFormat="1" ht="38.25" customHeight="1" x14ac:dyDescent="0.25">
      <c r="A118" s="232">
        <v>10</v>
      </c>
      <c r="B118" s="233"/>
      <c r="C118" s="234"/>
      <c r="D118" s="234"/>
      <c r="E118" s="236"/>
      <c r="F118" s="237">
        <f t="shared" si="15"/>
        <v>0</v>
      </c>
      <c r="G118" s="176">
        <f>'HOJA 6 AUX'!O85</f>
        <v>0</v>
      </c>
      <c r="H118" s="176">
        <f t="shared" si="16"/>
        <v>0</v>
      </c>
      <c r="I118" s="131"/>
      <c r="J118" s="131"/>
      <c r="K118" s="131"/>
      <c r="L118" s="110"/>
      <c r="M118" s="130"/>
      <c r="N118" s="130"/>
      <c r="O118" s="133"/>
    </row>
    <row r="119" spans="1:15" s="68" customFormat="1" ht="38.25" customHeight="1" x14ac:dyDescent="0.25">
      <c r="A119" s="232">
        <v>11</v>
      </c>
      <c r="B119" s="233"/>
      <c r="C119" s="234"/>
      <c r="D119" s="234"/>
      <c r="E119" s="236"/>
      <c r="F119" s="237">
        <f t="shared" si="15"/>
        <v>0</v>
      </c>
      <c r="G119" s="176">
        <f>'HOJA 6 AUX'!G105</f>
        <v>0</v>
      </c>
      <c r="H119" s="176">
        <f t="shared" si="16"/>
        <v>0</v>
      </c>
      <c r="I119" s="131"/>
      <c r="J119" s="131"/>
      <c r="K119" s="131"/>
      <c r="L119" s="110"/>
      <c r="M119" s="130"/>
      <c r="N119" s="130"/>
      <c r="O119" s="133"/>
    </row>
    <row r="120" spans="1:15" s="68" customFormat="1" ht="38.25" customHeight="1" x14ac:dyDescent="0.25">
      <c r="A120" s="232">
        <v>12</v>
      </c>
      <c r="B120" s="233"/>
      <c r="C120" s="234"/>
      <c r="D120" s="234"/>
      <c r="E120" s="236"/>
      <c r="F120" s="237">
        <f t="shared" si="15"/>
        <v>0</v>
      </c>
      <c r="G120" s="176">
        <f>'HOJA 6 AUX'!O105</f>
        <v>0</v>
      </c>
      <c r="H120" s="176">
        <f t="shared" si="16"/>
        <v>0</v>
      </c>
      <c r="I120" s="131"/>
      <c r="J120" s="131"/>
      <c r="K120" s="131"/>
      <c r="L120" s="110"/>
      <c r="M120" s="130"/>
      <c r="N120" s="130"/>
      <c r="O120" s="133"/>
    </row>
    <row r="121" spans="1:15" s="68" customFormat="1" ht="38.25" customHeight="1" x14ac:dyDescent="0.25">
      <c r="A121" s="123"/>
      <c r="B121" s="173" t="s">
        <v>1368</v>
      </c>
      <c r="C121" s="239">
        <f t="shared" ref="C121:G121" si="17">SUM(C109:C120)</f>
        <v>0</v>
      </c>
      <c r="D121" s="239">
        <f t="shared" si="17"/>
        <v>0</v>
      </c>
      <c r="E121" s="240">
        <f t="shared" si="17"/>
        <v>0</v>
      </c>
      <c r="F121" s="259">
        <f t="shared" si="17"/>
        <v>0</v>
      </c>
      <c r="G121" s="176">
        <f t="shared" si="17"/>
        <v>0</v>
      </c>
      <c r="H121" s="176">
        <f>SUM(H109:H120)</f>
        <v>0</v>
      </c>
      <c r="I121" s="131"/>
      <c r="J121" s="131"/>
      <c r="K121" s="131"/>
      <c r="L121" s="110"/>
      <c r="M121" s="130"/>
      <c r="N121" s="130"/>
      <c r="O121" s="133"/>
    </row>
    <row r="122" spans="1:15" s="123" customFormat="1" ht="15" customHeight="1" x14ac:dyDescent="0.25">
      <c r="A122" s="120"/>
      <c r="B122" s="129"/>
      <c r="C122" s="242"/>
      <c r="D122" s="243"/>
      <c r="E122" s="244"/>
      <c r="F122" s="244"/>
      <c r="G122" s="128"/>
      <c r="H122" s="128"/>
      <c r="I122" s="131"/>
      <c r="J122" s="131"/>
      <c r="K122" s="131"/>
      <c r="L122" s="131"/>
    </row>
    <row r="123" spans="1:15" s="68" customFormat="1" ht="38.25" customHeight="1" x14ac:dyDescent="0.25">
      <c r="A123" s="123"/>
      <c r="B123" s="405" t="s">
        <v>1379</v>
      </c>
      <c r="C123" s="245" t="s">
        <v>1535</v>
      </c>
      <c r="D123" s="388" t="s">
        <v>1382</v>
      </c>
      <c r="E123" s="389"/>
      <c r="F123" s="229"/>
      <c r="G123" s="452" t="s">
        <v>1531</v>
      </c>
      <c r="H123" s="449"/>
      <c r="I123" s="130"/>
      <c r="J123" s="122"/>
      <c r="K123" s="122"/>
      <c r="L123" s="67"/>
      <c r="M123" s="130"/>
      <c r="N123" s="130"/>
      <c r="O123" s="133"/>
    </row>
    <row r="124" spans="1:15" s="68" customFormat="1" ht="52.5" customHeight="1" x14ac:dyDescent="0.25">
      <c r="A124" s="123"/>
      <c r="B124" s="406"/>
      <c r="C124" s="160" t="s">
        <v>1420</v>
      </c>
      <c r="D124" s="160" t="s">
        <v>1399</v>
      </c>
      <c r="E124" s="160" t="s">
        <v>1400</v>
      </c>
      <c r="F124" s="260"/>
      <c r="G124" s="176" t="s">
        <v>1536</v>
      </c>
      <c r="H124" s="176" t="s">
        <v>1537</v>
      </c>
      <c r="I124" s="130"/>
      <c r="J124" s="122"/>
      <c r="K124" s="122"/>
      <c r="L124" s="67"/>
      <c r="M124" s="130"/>
      <c r="N124" s="130"/>
      <c r="O124" s="133"/>
    </row>
    <row r="125" spans="1:15" s="68" customFormat="1" ht="38.25" customHeight="1" x14ac:dyDescent="0.25">
      <c r="A125" s="232">
        <v>1</v>
      </c>
      <c r="B125" s="233"/>
      <c r="C125" s="234"/>
      <c r="D125" s="234"/>
      <c r="E125" s="236"/>
      <c r="F125" s="237">
        <f t="shared" ref="F125:F136" si="18">+G125/$E$184</f>
        <v>0</v>
      </c>
      <c r="G125" s="176">
        <f>'HOJA 7 AUX'!G10</f>
        <v>0</v>
      </c>
      <c r="H125" s="176">
        <f t="shared" ref="H125:H136" si="19">(C125*D125)*G125</f>
        <v>0</v>
      </c>
      <c r="I125" s="130"/>
      <c r="J125" s="122"/>
      <c r="K125" s="122"/>
      <c r="L125" s="67"/>
      <c r="M125" s="130"/>
      <c r="N125" s="130"/>
      <c r="O125" s="133"/>
    </row>
    <row r="126" spans="1:15" s="68" customFormat="1" ht="38.25" customHeight="1" x14ac:dyDescent="0.25">
      <c r="A126" s="232">
        <v>2</v>
      </c>
      <c r="B126" s="233"/>
      <c r="C126" s="234"/>
      <c r="D126" s="234"/>
      <c r="E126" s="236"/>
      <c r="F126" s="237">
        <f t="shared" si="18"/>
        <v>0</v>
      </c>
      <c r="G126" s="176">
        <f>'HOJA 7 AUX'!O10</f>
        <v>0</v>
      </c>
      <c r="H126" s="176">
        <f t="shared" si="19"/>
        <v>0</v>
      </c>
      <c r="I126" s="130"/>
      <c r="J126" s="122"/>
      <c r="K126" s="122"/>
      <c r="L126" s="67"/>
      <c r="M126" s="130"/>
      <c r="N126" s="130"/>
      <c r="O126" s="133"/>
    </row>
    <row r="127" spans="1:15" s="68" customFormat="1" ht="38.25" customHeight="1" x14ac:dyDescent="0.25">
      <c r="A127" s="232">
        <v>3</v>
      </c>
      <c r="B127" s="233"/>
      <c r="C127" s="234"/>
      <c r="D127" s="234"/>
      <c r="E127" s="236"/>
      <c r="F127" s="237">
        <f t="shared" si="18"/>
        <v>0</v>
      </c>
      <c r="G127" s="176">
        <f>'HOJA 7 AUX'!G28</f>
        <v>0</v>
      </c>
      <c r="H127" s="176">
        <f t="shared" si="19"/>
        <v>0</v>
      </c>
      <c r="I127" s="130"/>
      <c r="J127" s="122"/>
      <c r="K127" s="122"/>
      <c r="L127" s="67"/>
      <c r="M127" s="130"/>
      <c r="N127" s="130"/>
      <c r="O127" s="133"/>
    </row>
    <row r="128" spans="1:15" s="68" customFormat="1" ht="38.25" customHeight="1" x14ac:dyDescent="0.25">
      <c r="A128" s="232">
        <v>4</v>
      </c>
      <c r="B128" s="233"/>
      <c r="C128" s="234"/>
      <c r="D128" s="234"/>
      <c r="E128" s="236"/>
      <c r="F128" s="237">
        <f t="shared" si="18"/>
        <v>0</v>
      </c>
      <c r="G128" s="176">
        <f>'HOJA 7 AUX'!O28</f>
        <v>0</v>
      </c>
      <c r="H128" s="176">
        <f t="shared" si="19"/>
        <v>0</v>
      </c>
      <c r="I128" s="130"/>
      <c r="J128" s="122"/>
      <c r="K128" s="122"/>
      <c r="L128" s="67"/>
      <c r="M128" s="130"/>
      <c r="N128" s="130"/>
      <c r="O128" s="133"/>
    </row>
    <row r="129" spans="1:15" s="68" customFormat="1" ht="38.25" customHeight="1" x14ac:dyDescent="0.25">
      <c r="A129" s="232">
        <v>5</v>
      </c>
      <c r="B129" s="233"/>
      <c r="C129" s="234"/>
      <c r="D129" s="234"/>
      <c r="E129" s="236"/>
      <c r="F129" s="237">
        <f t="shared" si="18"/>
        <v>0</v>
      </c>
      <c r="G129" s="176">
        <f>'HOJA 7 AUX'!G48</f>
        <v>0</v>
      </c>
      <c r="H129" s="176">
        <f t="shared" si="19"/>
        <v>0</v>
      </c>
      <c r="I129" s="130"/>
      <c r="J129" s="122"/>
      <c r="K129" s="122"/>
      <c r="L129" s="67"/>
      <c r="M129" s="130"/>
      <c r="N129" s="130"/>
      <c r="O129" s="133"/>
    </row>
    <row r="130" spans="1:15" s="68" customFormat="1" ht="38.25" customHeight="1" x14ac:dyDescent="0.25">
      <c r="A130" s="232">
        <v>6</v>
      </c>
      <c r="B130" s="233"/>
      <c r="C130" s="234"/>
      <c r="D130" s="234"/>
      <c r="E130" s="236"/>
      <c r="F130" s="237">
        <f t="shared" si="18"/>
        <v>0</v>
      </c>
      <c r="G130" s="176">
        <f>'HOJA 7 AUX'!O48</f>
        <v>0</v>
      </c>
      <c r="H130" s="176">
        <f t="shared" si="19"/>
        <v>0</v>
      </c>
      <c r="I130" s="130"/>
      <c r="J130" s="122"/>
      <c r="K130" s="122"/>
      <c r="L130" s="67"/>
      <c r="M130" s="130"/>
      <c r="N130" s="130"/>
      <c r="O130" s="133"/>
    </row>
    <row r="131" spans="1:15" s="68" customFormat="1" ht="38.25" customHeight="1" x14ac:dyDescent="0.25">
      <c r="A131" s="232">
        <v>7</v>
      </c>
      <c r="B131" s="233"/>
      <c r="C131" s="234"/>
      <c r="D131" s="234"/>
      <c r="E131" s="236"/>
      <c r="F131" s="237">
        <f t="shared" si="18"/>
        <v>0</v>
      </c>
      <c r="G131" s="176">
        <f>'HOJA 7 AUX'!G67</f>
        <v>0</v>
      </c>
      <c r="H131" s="176">
        <f t="shared" si="19"/>
        <v>0</v>
      </c>
      <c r="I131" s="130"/>
      <c r="J131" s="122"/>
      <c r="K131" s="122"/>
      <c r="L131" s="67"/>
      <c r="M131" s="130"/>
      <c r="N131" s="130"/>
      <c r="O131" s="133"/>
    </row>
    <row r="132" spans="1:15" s="68" customFormat="1" ht="38.25" customHeight="1" x14ac:dyDescent="0.25">
      <c r="A132" s="232">
        <v>8</v>
      </c>
      <c r="B132" s="233"/>
      <c r="C132" s="234"/>
      <c r="D132" s="234"/>
      <c r="E132" s="236"/>
      <c r="F132" s="237">
        <f t="shared" si="18"/>
        <v>0</v>
      </c>
      <c r="G132" s="176">
        <f>'HOJA 7 AUX'!O67</f>
        <v>0</v>
      </c>
      <c r="H132" s="176">
        <f t="shared" si="19"/>
        <v>0</v>
      </c>
      <c r="I132" s="130"/>
      <c r="J132" s="122"/>
      <c r="K132" s="122"/>
      <c r="L132" s="67"/>
      <c r="M132" s="130"/>
      <c r="N132" s="130"/>
      <c r="O132" s="133"/>
    </row>
    <row r="133" spans="1:15" s="68" customFormat="1" ht="38.25" customHeight="1" x14ac:dyDescent="0.25">
      <c r="A133" s="232">
        <v>9</v>
      </c>
      <c r="B133" s="233"/>
      <c r="C133" s="234"/>
      <c r="D133" s="234"/>
      <c r="E133" s="236"/>
      <c r="F133" s="237">
        <f t="shared" si="18"/>
        <v>0</v>
      </c>
      <c r="G133" s="176">
        <f>'HOJA 7 AUX'!G85</f>
        <v>0</v>
      </c>
      <c r="H133" s="176">
        <f t="shared" si="19"/>
        <v>0</v>
      </c>
      <c r="I133" s="130"/>
      <c r="J133" s="122"/>
      <c r="K133" s="122"/>
      <c r="L133" s="67"/>
      <c r="M133" s="130"/>
      <c r="N133" s="130"/>
      <c r="O133" s="133"/>
    </row>
    <row r="134" spans="1:15" s="68" customFormat="1" ht="38.25" customHeight="1" x14ac:dyDescent="0.25">
      <c r="A134" s="232">
        <v>10</v>
      </c>
      <c r="B134" s="233"/>
      <c r="C134" s="234"/>
      <c r="D134" s="234"/>
      <c r="E134" s="236"/>
      <c r="F134" s="237">
        <f t="shared" si="18"/>
        <v>0</v>
      </c>
      <c r="G134" s="176">
        <f>'HOJA 7 AUX'!O85</f>
        <v>0</v>
      </c>
      <c r="H134" s="176">
        <f t="shared" si="19"/>
        <v>0</v>
      </c>
      <c r="I134" s="130"/>
      <c r="J134" s="122"/>
      <c r="K134" s="122"/>
      <c r="L134" s="67"/>
      <c r="M134" s="130"/>
      <c r="N134" s="130"/>
      <c r="O134" s="133"/>
    </row>
    <row r="135" spans="1:15" s="68" customFormat="1" ht="38.25" customHeight="1" x14ac:dyDescent="0.25">
      <c r="A135" s="232">
        <v>11</v>
      </c>
      <c r="B135" s="233"/>
      <c r="C135" s="234"/>
      <c r="D135" s="234"/>
      <c r="E135" s="236"/>
      <c r="F135" s="237">
        <f t="shared" si="18"/>
        <v>0</v>
      </c>
      <c r="G135" s="176">
        <f>'HOJA 7 AUX'!G105</f>
        <v>0</v>
      </c>
      <c r="H135" s="176">
        <f t="shared" si="19"/>
        <v>0</v>
      </c>
      <c r="I135" s="130"/>
      <c r="J135" s="122"/>
      <c r="K135" s="122"/>
      <c r="L135" s="67"/>
      <c r="M135" s="130"/>
      <c r="N135" s="130"/>
      <c r="O135" s="133"/>
    </row>
    <row r="136" spans="1:15" s="68" customFormat="1" ht="38.25" customHeight="1" x14ac:dyDescent="0.25">
      <c r="A136" s="232">
        <v>12</v>
      </c>
      <c r="B136" s="233"/>
      <c r="C136" s="234"/>
      <c r="D136" s="234"/>
      <c r="E136" s="236"/>
      <c r="F136" s="237">
        <f t="shared" si="18"/>
        <v>0</v>
      </c>
      <c r="G136" s="176">
        <f>'HOJA 7 AUX'!O105</f>
        <v>0</v>
      </c>
      <c r="H136" s="176">
        <f t="shared" si="19"/>
        <v>0</v>
      </c>
      <c r="I136" s="130"/>
      <c r="J136" s="122"/>
      <c r="K136" s="122"/>
      <c r="L136" s="67"/>
      <c r="M136" s="130"/>
      <c r="N136" s="130"/>
      <c r="O136" s="133"/>
    </row>
    <row r="137" spans="1:15" s="68" customFormat="1" ht="38.25" customHeight="1" x14ac:dyDescent="0.25">
      <c r="A137" s="123"/>
      <c r="B137" s="173" t="s">
        <v>1368</v>
      </c>
      <c r="C137" s="239">
        <f t="shared" ref="C137:G137" si="20">SUM(C125:C136)</f>
        <v>0</v>
      </c>
      <c r="D137" s="239">
        <f t="shared" si="20"/>
        <v>0</v>
      </c>
      <c r="E137" s="240">
        <f t="shared" si="20"/>
        <v>0</v>
      </c>
      <c r="F137" s="259">
        <f t="shared" si="20"/>
        <v>0</v>
      </c>
      <c r="G137" s="176">
        <f t="shared" si="20"/>
        <v>0</v>
      </c>
      <c r="H137" s="176">
        <f>SUM(H125:H136)</f>
        <v>0</v>
      </c>
      <c r="I137" s="130"/>
      <c r="J137" s="122"/>
      <c r="K137" s="122"/>
      <c r="L137" s="67"/>
      <c r="M137" s="130"/>
      <c r="N137" s="130"/>
      <c r="O137" s="133"/>
    </row>
    <row r="138" spans="1:15" s="123" customFormat="1" ht="15" customHeight="1" x14ac:dyDescent="0.25">
      <c r="A138" s="120"/>
      <c r="B138" s="129"/>
      <c r="C138" s="242"/>
      <c r="D138" s="243"/>
      <c r="E138" s="244"/>
      <c r="F138" s="244"/>
      <c r="G138" s="128"/>
      <c r="H138" s="128"/>
      <c r="I138" s="131"/>
      <c r="J138" s="131"/>
      <c r="K138" s="131"/>
      <c r="L138" s="131"/>
    </row>
    <row r="139" spans="1:15" s="68" customFormat="1" ht="38.25" customHeight="1" x14ac:dyDescent="0.25">
      <c r="A139" s="123"/>
      <c r="B139" s="405" t="s">
        <v>1379</v>
      </c>
      <c r="C139" s="245" t="s">
        <v>1535</v>
      </c>
      <c r="D139" s="429" t="s">
        <v>1389</v>
      </c>
      <c r="E139" s="429"/>
      <c r="F139" s="267"/>
      <c r="G139" s="448" t="s">
        <v>1531</v>
      </c>
      <c r="H139" s="449"/>
      <c r="I139" s="131"/>
      <c r="J139" s="131"/>
      <c r="K139" s="131"/>
      <c r="L139" s="110"/>
      <c r="M139" s="130"/>
      <c r="N139" s="130"/>
      <c r="O139" s="133"/>
    </row>
    <row r="140" spans="1:15" s="68" customFormat="1" ht="53.25" customHeight="1" x14ac:dyDescent="0.25">
      <c r="A140" s="123"/>
      <c r="B140" s="406"/>
      <c r="C140" s="160" t="s">
        <v>1420</v>
      </c>
      <c r="D140" s="160" t="s">
        <v>1399</v>
      </c>
      <c r="E140" s="160" t="s">
        <v>1400</v>
      </c>
      <c r="F140" s="260"/>
      <c r="G140" s="176" t="s">
        <v>1536</v>
      </c>
      <c r="H140" s="176" t="s">
        <v>1537</v>
      </c>
      <c r="I140" s="131"/>
      <c r="J140" s="131"/>
      <c r="K140" s="131"/>
      <c r="L140" s="110"/>
      <c r="M140" s="130"/>
      <c r="N140" s="130"/>
      <c r="O140" s="133"/>
    </row>
    <row r="141" spans="1:15" s="68" customFormat="1" ht="38.25" customHeight="1" x14ac:dyDescent="0.25">
      <c r="A141" s="232">
        <v>1</v>
      </c>
      <c r="B141" s="233"/>
      <c r="C141" s="234"/>
      <c r="D141" s="234"/>
      <c r="E141" s="236"/>
      <c r="F141" s="237">
        <f t="shared" ref="F141:F152" si="21">+G141/$E$184</f>
        <v>0</v>
      </c>
      <c r="G141" s="176">
        <f>'HOJA 8 AUX'!G10</f>
        <v>0</v>
      </c>
      <c r="H141" s="176">
        <f t="shared" ref="H141:H152" si="22">+(C141*D141)*G141</f>
        <v>0</v>
      </c>
      <c r="I141" s="131"/>
      <c r="J141" s="131"/>
      <c r="K141" s="131"/>
      <c r="L141" s="110"/>
      <c r="M141" s="130"/>
      <c r="N141" s="130"/>
      <c r="O141" s="133"/>
    </row>
    <row r="142" spans="1:15" s="68" customFormat="1" ht="38.25" customHeight="1" x14ac:dyDescent="0.25">
      <c r="A142" s="232">
        <v>2</v>
      </c>
      <c r="B142" s="233"/>
      <c r="C142" s="234"/>
      <c r="D142" s="234"/>
      <c r="E142" s="236"/>
      <c r="F142" s="237">
        <f t="shared" si="21"/>
        <v>0</v>
      </c>
      <c r="G142" s="176">
        <f>'HOJA 8 AUX'!O10</f>
        <v>0</v>
      </c>
      <c r="H142" s="176">
        <f t="shared" si="22"/>
        <v>0</v>
      </c>
      <c r="I142" s="131"/>
      <c r="J142" s="131"/>
      <c r="K142" s="131"/>
      <c r="L142" s="110"/>
      <c r="M142" s="130"/>
      <c r="N142" s="130"/>
      <c r="O142" s="133"/>
    </row>
    <row r="143" spans="1:15" s="68" customFormat="1" ht="38.25" customHeight="1" x14ac:dyDescent="0.25">
      <c r="A143" s="232">
        <v>3</v>
      </c>
      <c r="B143" s="233"/>
      <c r="C143" s="234"/>
      <c r="D143" s="234"/>
      <c r="E143" s="236"/>
      <c r="F143" s="237">
        <f t="shared" si="21"/>
        <v>0</v>
      </c>
      <c r="G143" s="176">
        <f>'HOJA 8 AUX'!G28</f>
        <v>0</v>
      </c>
      <c r="H143" s="176">
        <f t="shared" si="22"/>
        <v>0</v>
      </c>
      <c r="I143" s="131"/>
      <c r="J143" s="131"/>
      <c r="K143" s="131"/>
      <c r="L143" s="110"/>
      <c r="M143" s="130"/>
      <c r="N143" s="130"/>
      <c r="O143" s="133"/>
    </row>
    <row r="144" spans="1:15" s="68" customFormat="1" ht="38.25" customHeight="1" x14ac:dyDescent="0.25">
      <c r="A144" s="232">
        <v>4</v>
      </c>
      <c r="B144" s="233"/>
      <c r="C144" s="234"/>
      <c r="D144" s="234"/>
      <c r="E144" s="236"/>
      <c r="F144" s="237">
        <f t="shared" si="21"/>
        <v>0</v>
      </c>
      <c r="G144" s="176">
        <f>'HOJA 8 AUX'!O28</f>
        <v>0</v>
      </c>
      <c r="H144" s="176">
        <f t="shared" si="22"/>
        <v>0</v>
      </c>
      <c r="I144" s="131"/>
      <c r="J144" s="131"/>
      <c r="K144" s="131"/>
      <c r="L144" s="110"/>
      <c r="M144" s="130"/>
      <c r="N144" s="130"/>
      <c r="O144" s="133"/>
    </row>
    <row r="145" spans="1:15" s="68" customFormat="1" ht="38.25" customHeight="1" x14ac:dyDescent="0.25">
      <c r="A145" s="232">
        <v>5</v>
      </c>
      <c r="B145" s="233"/>
      <c r="C145" s="234"/>
      <c r="D145" s="234"/>
      <c r="E145" s="236"/>
      <c r="F145" s="237">
        <f t="shared" si="21"/>
        <v>0</v>
      </c>
      <c r="G145" s="176">
        <f>'HOJA 8 AUX'!G48</f>
        <v>0</v>
      </c>
      <c r="H145" s="176">
        <f t="shared" si="22"/>
        <v>0</v>
      </c>
      <c r="I145" s="131"/>
      <c r="J145" s="131"/>
      <c r="K145" s="131"/>
      <c r="L145" s="110"/>
      <c r="M145" s="130"/>
      <c r="N145" s="130"/>
      <c r="O145" s="133"/>
    </row>
    <row r="146" spans="1:15" s="68" customFormat="1" ht="38.25" customHeight="1" x14ac:dyDescent="0.25">
      <c r="A146" s="232">
        <v>6</v>
      </c>
      <c r="B146" s="233"/>
      <c r="C146" s="234"/>
      <c r="D146" s="234"/>
      <c r="E146" s="236"/>
      <c r="F146" s="237">
        <f t="shared" si="21"/>
        <v>0</v>
      </c>
      <c r="G146" s="176">
        <f>'HOJA 8 AUX'!O48</f>
        <v>0</v>
      </c>
      <c r="H146" s="176">
        <f t="shared" si="22"/>
        <v>0</v>
      </c>
      <c r="I146" s="131"/>
      <c r="J146" s="131"/>
      <c r="K146" s="131"/>
      <c r="L146" s="110"/>
      <c r="M146" s="130"/>
      <c r="N146" s="130"/>
      <c r="O146" s="133"/>
    </row>
    <row r="147" spans="1:15" s="68" customFormat="1" ht="38.25" customHeight="1" x14ac:dyDescent="0.25">
      <c r="A147" s="232">
        <v>7</v>
      </c>
      <c r="B147" s="233"/>
      <c r="C147" s="234"/>
      <c r="D147" s="234"/>
      <c r="E147" s="236"/>
      <c r="F147" s="237">
        <f t="shared" si="21"/>
        <v>0</v>
      </c>
      <c r="G147" s="176">
        <f>'HOJA 8 AUX'!G67</f>
        <v>0</v>
      </c>
      <c r="H147" s="176">
        <f t="shared" si="22"/>
        <v>0</v>
      </c>
      <c r="I147" s="131"/>
      <c r="J147" s="131"/>
      <c r="K147" s="131"/>
      <c r="L147" s="110"/>
      <c r="M147" s="130"/>
      <c r="N147" s="130"/>
      <c r="O147" s="133"/>
    </row>
    <row r="148" spans="1:15" s="68" customFormat="1" ht="38.25" customHeight="1" x14ac:dyDescent="0.25">
      <c r="A148" s="232">
        <v>8</v>
      </c>
      <c r="B148" s="233"/>
      <c r="C148" s="234"/>
      <c r="D148" s="234"/>
      <c r="E148" s="236"/>
      <c r="F148" s="237">
        <f t="shared" si="21"/>
        <v>0</v>
      </c>
      <c r="G148" s="176">
        <f>'HOJA 8 AUX'!O67</f>
        <v>0</v>
      </c>
      <c r="H148" s="176">
        <f t="shared" si="22"/>
        <v>0</v>
      </c>
      <c r="I148" s="131"/>
      <c r="J148" s="131"/>
      <c r="K148" s="131"/>
      <c r="L148" s="110"/>
      <c r="M148" s="130"/>
      <c r="N148" s="130"/>
      <c r="O148" s="133"/>
    </row>
    <row r="149" spans="1:15" s="68" customFormat="1" ht="38.25" customHeight="1" x14ac:dyDescent="0.25">
      <c r="A149" s="232">
        <v>9</v>
      </c>
      <c r="B149" s="233"/>
      <c r="C149" s="234"/>
      <c r="D149" s="234"/>
      <c r="E149" s="236"/>
      <c r="F149" s="237">
        <f t="shared" si="21"/>
        <v>0</v>
      </c>
      <c r="G149" s="176">
        <f>'HOJA 8 AUX'!G85</f>
        <v>0</v>
      </c>
      <c r="H149" s="176">
        <f t="shared" si="22"/>
        <v>0</v>
      </c>
      <c r="I149" s="131"/>
      <c r="J149" s="131"/>
      <c r="K149" s="131"/>
      <c r="L149" s="110"/>
      <c r="M149" s="130"/>
      <c r="N149" s="130"/>
      <c r="O149" s="133"/>
    </row>
    <row r="150" spans="1:15" s="68" customFormat="1" ht="38.25" customHeight="1" x14ac:dyDescent="0.25">
      <c r="A150" s="232">
        <v>10</v>
      </c>
      <c r="B150" s="233"/>
      <c r="C150" s="234"/>
      <c r="D150" s="234"/>
      <c r="E150" s="236"/>
      <c r="F150" s="237">
        <f t="shared" si="21"/>
        <v>0</v>
      </c>
      <c r="G150" s="176">
        <f>'HOJA 8 AUX'!O85</f>
        <v>0</v>
      </c>
      <c r="H150" s="176">
        <f t="shared" si="22"/>
        <v>0</v>
      </c>
      <c r="I150" s="131"/>
      <c r="J150" s="131"/>
      <c r="K150" s="131"/>
      <c r="L150" s="110"/>
      <c r="M150" s="130"/>
      <c r="N150" s="130"/>
      <c r="O150" s="133"/>
    </row>
    <row r="151" spans="1:15" s="68" customFormat="1" ht="38.25" customHeight="1" x14ac:dyDescent="0.25">
      <c r="A151" s="232">
        <v>11</v>
      </c>
      <c r="B151" s="233"/>
      <c r="C151" s="234"/>
      <c r="D151" s="234"/>
      <c r="E151" s="236"/>
      <c r="F151" s="237">
        <f t="shared" si="21"/>
        <v>0</v>
      </c>
      <c r="G151" s="176">
        <f>'HOJA 8 AUX'!G105</f>
        <v>0</v>
      </c>
      <c r="H151" s="176">
        <f t="shared" si="22"/>
        <v>0</v>
      </c>
      <c r="I151" s="131"/>
      <c r="J151" s="131"/>
      <c r="K151" s="131"/>
      <c r="L151" s="110"/>
      <c r="M151" s="130"/>
      <c r="N151" s="130"/>
      <c r="O151" s="133"/>
    </row>
    <row r="152" spans="1:15" s="68" customFormat="1" ht="38.25" customHeight="1" x14ac:dyDescent="0.25">
      <c r="A152" s="232">
        <v>12</v>
      </c>
      <c r="B152" s="233"/>
      <c r="C152" s="234"/>
      <c r="D152" s="234"/>
      <c r="E152" s="236"/>
      <c r="F152" s="237">
        <f t="shared" si="21"/>
        <v>0</v>
      </c>
      <c r="G152" s="176">
        <f>'HOJA 8 AUX'!O105</f>
        <v>0</v>
      </c>
      <c r="H152" s="176">
        <f t="shared" si="22"/>
        <v>0</v>
      </c>
      <c r="I152" s="131"/>
      <c r="J152" s="131"/>
      <c r="K152" s="131"/>
      <c r="L152" s="110"/>
      <c r="M152" s="130"/>
      <c r="N152" s="130"/>
      <c r="O152" s="133"/>
    </row>
    <row r="153" spans="1:15" s="68" customFormat="1" ht="38.25" customHeight="1" x14ac:dyDescent="0.25">
      <c r="A153" s="123"/>
      <c r="B153" s="173" t="s">
        <v>1368</v>
      </c>
      <c r="C153" s="239">
        <f t="shared" ref="C153:G153" si="23">SUM(C141:C152)</f>
        <v>0</v>
      </c>
      <c r="D153" s="239">
        <f t="shared" si="23"/>
        <v>0</v>
      </c>
      <c r="E153" s="239">
        <f t="shared" si="23"/>
        <v>0</v>
      </c>
      <c r="F153" s="259">
        <f t="shared" si="23"/>
        <v>0</v>
      </c>
      <c r="G153" s="176">
        <f t="shared" si="23"/>
        <v>0</v>
      </c>
      <c r="H153" s="176">
        <f>SUM(H141:H152)</f>
        <v>0</v>
      </c>
      <c r="I153" s="131"/>
      <c r="J153" s="131"/>
      <c r="K153" s="131"/>
      <c r="L153" s="110"/>
      <c r="M153" s="130"/>
      <c r="N153" s="130"/>
      <c r="O153" s="133"/>
    </row>
    <row r="154" spans="1:15" s="123" customFormat="1" ht="15" customHeight="1" x14ac:dyDescent="0.25">
      <c r="A154" s="120"/>
      <c r="B154" s="129"/>
      <c r="C154" s="242"/>
      <c r="D154" s="243"/>
      <c r="E154" s="244"/>
      <c r="F154" s="244"/>
      <c r="G154" s="128"/>
      <c r="H154" s="128"/>
      <c r="I154" s="131"/>
      <c r="J154" s="131"/>
      <c r="K154" s="131"/>
      <c r="L154" s="131"/>
    </row>
    <row r="155" spans="1:15" s="68" customFormat="1" ht="38.25" customHeight="1" x14ac:dyDescent="0.25">
      <c r="A155" s="123"/>
      <c r="B155" s="405" t="s">
        <v>1379</v>
      </c>
      <c r="C155" s="245" t="s">
        <v>1535</v>
      </c>
      <c r="D155" s="388" t="s">
        <v>1386</v>
      </c>
      <c r="E155" s="389"/>
      <c r="F155" s="268"/>
      <c r="G155" s="450" t="s">
        <v>1531</v>
      </c>
      <c r="H155" s="450"/>
      <c r="I155" s="130"/>
      <c r="J155" s="122"/>
      <c r="K155" s="122"/>
      <c r="L155" s="67"/>
      <c r="M155" s="130"/>
      <c r="N155" s="130"/>
      <c r="O155" s="133"/>
    </row>
    <row r="156" spans="1:15" s="68" customFormat="1" ht="53.25" customHeight="1" x14ac:dyDescent="0.25">
      <c r="A156" s="123"/>
      <c r="B156" s="406"/>
      <c r="C156" s="160" t="s">
        <v>1420</v>
      </c>
      <c r="D156" s="160" t="s">
        <v>1399</v>
      </c>
      <c r="E156" s="160" t="s">
        <v>1400</v>
      </c>
      <c r="F156" s="260"/>
      <c r="G156" s="247" t="s">
        <v>1536</v>
      </c>
      <c r="H156" s="247" t="s">
        <v>1537</v>
      </c>
      <c r="I156" s="130"/>
      <c r="J156" s="122"/>
      <c r="K156" s="122"/>
      <c r="L156" s="67"/>
      <c r="M156" s="130"/>
      <c r="N156" s="130"/>
      <c r="O156" s="133"/>
    </row>
    <row r="157" spans="1:15" s="68" customFormat="1" ht="38.25" customHeight="1" x14ac:dyDescent="0.25">
      <c r="A157" s="232">
        <v>1</v>
      </c>
      <c r="B157" s="233"/>
      <c r="C157" s="234"/>
      <c r="D157" s="234"/>
      <c r="E157" s="236"/>
      <c r="F157" s="237">
        <f t="shared" ref="F157:F168" si="24">+G157/$E$184</f>
        <v>0</v>
      </c>
      <c r="G157" s="176">
        <f>'HOJA 9 AUX'!G10</f>
        <v>0</v>
      </c>
      <c r="H157" s="176">
        <f t="shared" ref="H157:H168" si="25">(C157*D157)*G157</f>
        <v>0</v>
      </c>
      <c r="I157" s="130"/>
      <c r="J157" s="122"/>
      <c r="K157" s="122"/>
      <c r="L157" s="67"/>
      <c r="M157" s="130"/>
      <c r="N157" s="130"/>
      <c r="O157" s="133"/>
    </row>
    <row r="158" spans="1:15" s="68" customFormat="1" ht="38.25" customHeight="1" x14ac:dyDescent="0.25">
      <c r="A158" s="232">
        <v>2</v>
      </c>
      <c r="B158" s="233"/>
      <c r="C158" s="234"/>
      <c r="D158" s="234"/>
      <c r="E158" s="236"/>
      <c r="F158" s="237">
        <f t="shared" si="24"/>
        <v>0</v>
      </c>
      <c r="G158" s="176">
        <f>'HOJA 9 AUX'!O10</f>
        <v>0</v>
      </c>
      <c r="H158" s="176">
        <f t="shared" si="25"/>
        <v>0</v>
      </c>
      <c r="I158" s="130"/>
      <c r="J158" s="122"/>
      <c r="K158" s="122"/>
      <c r="L158" s="67"/>
      <c r="M158" s="130"/>
      <c r="N158" s="130"/>
      <c r="O158" s="133"/>
    </row>
    <row r="159" spans="1:15" s="68" customFormat="1" ht="38.25" customHeight="1" x14ac:dyDescent="0.25">
      <c r="A159" s="232">
        <v>3</v>
      </c>
      <c r="B159" s="233"/>
      <c r="C159" s="234"/>
      <c r="D159" s="234"/>
      <c r="E159" s="236"/>
      <c r="F159" s="237">
        <f t="shared" si="24"/>
        <v>0</v>
      </c>
      <c r="G159" s="176">
        <f>'HOJA 9 AUX'!G28</f>
        <v>0</v>
      </c>
      <c r="H159" s="176">
        <f t="shared" si="25"/>
        <v>0</v>
      </c>
      <c r="I159" s="130"/>
      <c r="J159" s="122"/>
      <c r="K159" s="122"/>
      <c r="L159" s="67"/>
      <c r="M159" s="130"/>
      <c r="N159" s="130"/>
      <c r="O159" s="133"/>
    </row>
    <row r="160" spans="1:15" s="68" customFormat="1" ht="38.25" customHeight="1" x14ac:dyDescent="0.25">
      <c r="A160" s="232">
        <v>4</v>
      </c>
      <c r="B160" s="233"/>
      <c r="C160" s="234"/>
      <c r="D160" s="234"/>
      <c r="E160" s="236"/>
      <c r="F160" s="237">
        <f t="shared" si="24"/>
        <v>0</v>
      </c>
      <c r="G160" s="176">
        <f>'HOJA 9 AUX'!O28</f>
        <v>0</v>
      </c>
      <c r="H160" s="176">
        <f t="shared" si="25"/>
        <v>0</v>
      </c>
      <c r="I160" s="130"/>
      <c r="J160" s="122"/>
      <c r="K160" s="122"/>
      <c r="L160" s="67"/>
      <c r="M160" s="130"/>
      <c r="N160" s="130"/>
      <c r="O160" s="133"/>
    </row>
    <row r="161" spans="1:15" s="68" customFormat="1" ht="38.25" customHeight="1" x14ac:dyDescent="0.25">
      <c r="A161" s="232">
        <v>5</v>
      </c>
      <c r="B161" s="233"/>
      <c r="C161" s="234"/>
      <c r="D161" s="234"/>
      <c r="E161" s="236"/>
      <c r="F161" s="237">
        <f t="shared" si="24"/>
        <v>0</v>
      </c>
      <c r="G161" s="176">
        <f>'HOJA 9 AUX'!G48</f>
        <v>0</v>
      </c>
      <c r="H161" s="176">
        <f t="shared" si="25"/>
        <v>0</v>
      </c>
      <c r="I161" s="130"/>
      <c r="J161" s="122"/>
      <c r="K161" s="122"/>
      <c r="L161" s="67"/>
      <c r="M161" s="130"/>
      <c r="N161" s="130"/>
      <c r="O161" s="133"/>
    </row>
    <row r="162" spans="1:15" s="68" customFormat="1" ht="38.25" customHeight="1" x14ac:dyDescent="0.25">
      <c r="A162" s="232">
        <v>6</v>
      </c>
      <c r="B162" s="233"/>
      <c r="C162" s="234"/>
      <c r="D162" s="234"/>
      <c r="E162" s="236"/>
      <c r="F162" s="237">
        <f t="shared" si="24"/>
        <v>0</v>
      </c>
      <c r="G162" s="176">
        <f>'HOJA 9 AUX'!O48</f>
        <v>0</v>
      </c>
      <c r="H162" s="176">
        <f t="shared" si="25"/>
        <v>0</v>
      </c>
      <c r="I162" s="130"/>
      <c r="J162" s="122"/>
      <c r="K162" s="122"/>
      <c r="L162" s="67"/>
      <c r="M162" s="130"/>
      <c r="N162" s="130"/>
      <c r="O162" s="133"/>
    </row>
    <row r="163" spans="1:15" s="68" customFormat="1" ht="38.25" customHeight="1" x14ac:dyDescent="0.25">
      <c r="A163" s="232">
        <v>7</v>
      </c>
      <c r="B163" s="233"/>
      <c r="C163" s="234"/>
      <c r="D163" s="234"/>
      <c r="E163" s="236"/>
      <c r="F163" s="237">
        <f t="shared" si="24"/>
        <v>0</v>
      </c>
      <c r="G163" s="176">
        <f>'HOJA 9 AUX'!G67</f>
        <v>0</v>
      </c>
      <c r="H163" s="176">
        <f t="shared" si="25"/>
        <v>0</v>
      </c>
      <c r="I163" s="130"/>
      <c r="J163" s="122"/>
      <c r="K163" s="122"/>
      <c r="L163" s="67"/>
      <c r="M163" s="130"/>
      <c r="N163" s="130"/>
      <c r="O163" s="133"/>
    </row>
    <row r="164" spans="1:15" s="68" customFormat="1" ht="38.25" customHeight="1" x14ac:dyDescent="0.25">
      <c r="A164" s="232">
        <v>8</v>
      </c>
      <c r="B164" s="233"/>
      <c r="C164" s="234"/>
      <c r="D164" s="234"/>
      <c r="E164" s="236"/>
      <c r="F164" s="237">
        <f t="shared" si="24"/>
        <v>0</v>
      </c>
      <c r="G164" s="176">
        <f>'HOJA 9 AUX'!O67</f>
        <v>0</v>
      </c>
      <c r="H164" s="176">
        <f t="shared" si="25"/>
        <v>0</v>
      </c>
      <c r="I164" s="130"/>
      <c r="J164" s="122"/>
      <c r="K164" s="122"/>
      <c r="L164" s="67"/>
      <c r="M164" s="130"/>
      <c r="N164" s="130"/>
      <c r="O164" s="133"/>
    </row>
    <row r="165" spans="1:15" s="68" customFormat="1" ht="45.75" customHeight="1" x14ac:dyDescent="0.25">
      <c r="A165" s="232">
        <v>9</v>
      </c>
      <c r="B165" s="233"/>
      <c r="C165" s="234"/>
      <c r="D165" s="234"/>
      <c r="E165" s="236"/>
      <c r="F165" s="237">
        <f t="shared" si="24"/>
        <v>0</v>
      </c>
      <c r="G165" s="176">
        <f>'HOJA 9 AUX'!G85</f>
        <v>0</v>
      </c>
      <c r="H165" s="176">
        <f t="shared" si="25"/>
        <v>0</v>
      </c>
      <c r="I165" s="130"/>
      <c r="J165" s="122"/>
      <c r="K165" s="122"/>
      <c r="L165" s="67"/>
      <c r="M165" s="130"/>
      <c r="N165" s="130"/>
      <c r="O165" s="133"/>
    </row>
    <row r="166" spans="1:15" s="68" customFormat="1" ht="38.25" customHeight="1" x14ac:dyDescent="0.25">
      <c r="A166" s="232">
        <v>10</v>
      </c>
      <c r="B166" s="233"/>
      <c r="C166" s="234"/>
      <c r="D166" s="234"/>
      <c r="E166" s="236"/>
      <c r="F166" s="237">
        <f t="shared" si="24"/>
        <v>0</v>
      </c>
      <c r="G166" s="176">
        <f>'HOJA 9 AUX'!O85</f>
        <v>0</v>
      </c>
      <c r="H166" s="176">
        <f t="shared" si="25"/>
        <v>0</v>
      </c>
      <c r="I166" s="130"/>
      <c r="J166" s="122"/>
      <c r="K166" s="122"/>
      <c r="L166" s="67"/>
      <c r="M166" s="130"/>
      <c r="N166" s="130"/>
      <c r="O166" s="133"/>
    </row>
    <row r="167" spans="1:15" s="68" customFormat="1" ht="38.25" customHeight="1" x14ac:dyDescent="0.25">
      <c r="A167" s="232">
        <v>11</v>
      </c>
      <c r="B167" s="233"/>
      <c r="C167" s="234"/>
      <c r="D167" s="234"/>
      <c r="E167" s="236"/>
      <c r="F167" s="237">
        <f t="shared" si="24"/>
        <v>0</v>
      </c>
      <c r="G167" s="176">
        <f>'HOJA 9 AUX'!G105</f>
        <v>0</v>
      </c>
      <c r="H167" s="176">
        <f t="shared" si="25"/>
        <v>0</v>
      </c>
      <c r="I167" s="130"/>
      <c r="J167" s="122"/>
      <c r="K167" s="122"/>
      <c r="L167" s="67"/>
      <c r="M167" s="130"/>
      <c r="N167" s="130"/>
      <c r="O167" s="133"/>
    </row>
    <row r="168" spans="1:15" s="68" customFormat="1" ht="38.25" customHeight="1" x14ac:dyDescent="0.25">
      <c r="A168" s="232">
        <v>12</v>
      </c>
      <c r="B168" s="233"/>
      <c r="C168" s="234"/>
      <c r="D168" s="234"/>
      <c r="E168" s="236"/>
      <c r="F168" s="237">
        <f t="shared" si="24"/>
        <v>0</v>
      </c>
      <c r="G168" s="269">
        <f>'HOJA 9 AUX'!O105</f>
        <v>0</v>
      </c>
      <c r="H168" s="176">
        <f t="shared" si="25"/>
        <v>0</v>
      </c>
      <c r="I168" s="130"/>
      <c r="J168" s="122"/>
      <c r="K168" s="122"/>
      <c r="L168" s="67"/>
      <c r="M168" s="130"/>
      <c r="N168" s="130"/>
      <c r="O168" s="133"/>
    </row>
    <row r="169" spans="1:15" s="68" customFormat="1" ht="38.25" customHeight="1" x14ac:dyDescent="0.25">
      <c r="A169" s="120"/>
      <c r="B169" s="173" t="s">
        <v>1368</v>
      </c>
      <c r="C169" s="270">
        <f t="shared" ref="C169:G169" si="26">SUM(C157:C168)</f>
        <v>0</v>
      </c>
      <c r="D169" s="270">
        <f t="shared" si="26"/>
        <v>0</v>
      </c>
      <c r="E169" s="271">
        <f t="shared" si="26"/>
        <v>0</v>
      </c>
      <c r="F169" s="272">
        <f t="shared" si="26"/>
        <v>0</v>
      </c>
      <c r="G169" s="176">
        <f t="shared" si="26"/>
        <v>0</v>
      </c>
      <c r="H169" s="273">
        <f>SUM(H157:H168)</f>
        <v>0</v>
      </c>
      <c r="I169" s="130"/>
      <c r="J169" s="122"/>
      <c r="K169" s="122"/>
      <c r="L169" s="67"/>
      <c r="M169" s="130"/>
      <c r="N169" s="130"/>
      <c r="O169" s="133"/>
    </row>
    <row r="170" spans="1:15" s="123" customFormat="1" ht="15" customHeight="1" x14ac:dyDescent="0.25">
      <c r="A170" s="120"/>
      <c r="B170" s="129"/>
      <c r="C170" s="248"/>
      <c r="D170" s="249"/>
      <c r="E170" s="250"/>
      <c r="F170" s="250"/>
      <c r="G170" s="122"/>
      <c r="H170" s="131"/>
      <c r="I170" s="131"/>
      <c r="J170" s="131"/>
      <c r="K170" s="131"/>
      <c r="L170" s="131"/>
    </row>
    <row r="171" spans="1:15" s="68" customFormat="1" ht="38.25" customHeight="1" x14ac:dyDescent="0.25">
      <c r="A171" s="120"/>
      <c r="B171" s="274" t="s">
        <v>1422</v>
      </c>
      <c r="C171" s="430" t="s">
        <v>1423</v>
      </c>
      <c r="D171" s="430"/>
      <c r="E171" s="386" t="s">
        <v>1368</v>
      </c>
      <c r="F171" s="386"/>
      <c r="G171" s="386"/>
      <c r="H171" s="131"/>
      <c r="I171" s="130"/>
      <c r="J171" s="122"/>
      <c r="K171" s="122"/>
      <c r="L171" s="67"/>
      <c r="M171" s="130"/>
      <c r="N171" s="130"/>
      <c r="O171" s="133"/>
    </row>
    <row r="172" spans="1:15" s="68" customFormat="1" ht="38.25" hidden="1" customHeight="1" x14ac:dyDescent="0.25">
      <c r="A172" s="120"/>
      <c r="B172" s="275">
        <f t="shared" ref="B172:B183" si="27">+C157+C141+C125+C109+C93+C77+C61+C45+C29</f>
        <v>1</v>
      </c>
      <c r="C172" s="431">
        <f t="shared" ref="C172:C183" si="28">(C29*D29)+(C45*D45)+(C61*D61)+(C77*D77)+(C93*D93)+(C109*D109)+(C125*D125)+(C141*D141)+(C157*D157)</f>
        <v>4</v>
      </c>
      <c r="D172" s="431"/>
      <c r="E172" s="387">
        <f t="shared" ref="E172:E183" si="29">+H157+H141+H125+H109+H93+H77+H61+H45+H29</f>
        <v>331.36094674556216</v>
      </c>
      <c r="F172" s="387"/>
      <c r="G172" s="387"/>
      <c r="H172" s="131"/>
      <c r="I172" s="130"/>
      <c r="J172" s="122"/>
      <c r="K172" s="122"/>
      <c r="L172" s="67"/>
      <c r="M172" s="130"/>
      <c r="N172" s="130"/>
      <c r="O172" s="133"/>
    </row>
    <row r="173" spans="1:15" s="68" customFormat="1" ht="38.25" hidden="1" customHeight="1" x14ac:dyDescent="0.25">
      <c r="A173" s="120"/>
      <c r="B173" s="275">
        <f t="shared" si="27"/>
        <v>0</v>
      </c>
      <c r="C173" s="431">
        <f t="shared" si="28"/>
        <v>0</v>
      </c>
      <c r="D173" s="431"/>
      <c r="E173" s="387">
        <f t="shared" si="29"/>
        <v>0</v>
      </c>
      <c r="F173" s="387"/>
      <c r="G173" s="387"/>
      <c r="H173" s="131"/>
      <c r="I173" s="130"/>
      <c r="J173" s="122"/>
      <c r="K173" s="122"/>
      <c r="L173" s="67"/>
      <c r="M173" s="130"/>
      <c r="N173" s="130"/>
      <c r="O173" s="133"/>
    </row>
    <row r="174" spans="1:15" s="68" customFormat="1" ht="38.25" hidden="1" customHeight="1" x14ac:dyDescent="0.25">
      <c r="A174" s="120"/>
      <c r="B174" s="275">
        <f t="shared" si="27"/>
        <v>0</v>
      </c>
      <c r="C174" s="431">
        <f t="shared" si="28"/>
        <v>0</v>
      </c>
      <c r="D174" s="431"/>
      <c r="E174" s="387">
        <f t="shared" si="29"/>
        <v>0</v>
      </c>
      <c r="F174" s="387"/>
      <c r="G174" s="387"/>
      <c r="H174" s="131"/>
      <c r="I174" s="130"/>
      <c r="J174" s="122"/>
      <c r="K174" s="122"/>
      <c r="L174" s="67"/>
      <c r="M174" s="130"/>
      <c r="N174" s="130"/>
      <c r="O174" s="133"/>
    </row>
    <row r="175" spans="1:15" s="68" customFormat="1" ht="38.25" hidden="1" customHeight="1" x14ac:dyDescent="0.25">
      <c r="A175" s="120"/>
      <c r="B175" s="275">
        <f t="shared" si="27"/>
        <v>0</v>
      </c>
      <c r="C175" s="431">
        <f t="shared" si="28"/>
        <v>0</v>
      </c>
      <c r="D175" s="431"/>
      <c r="E175" s="387">
        <f t="shared" si="29"/>
        <v>0</v>
      </c>
      <c r="F175" s="387"/>
      <c r="G175" s="387"/>
      <c r="H175" s="131"/>
      <c r="I175" s="130"/>
      <c r="J175" s="122"/>
      <c r="K175" s="122"/>
      <c r="L175" s="67"/>
      <c r="M175" s="130"/>
      <c r="N175" s="130"/>
      <c r="O175" s="133"/>
    </row>
    <row r="176" spans="1:15" s="68" customFormat="1" ht="38.25" hidden="1" customHeight="1" x14ac:dyDescent="0.25">
      <c r="A176" s="120"/>
      <c r="B176" s="275">
        <f t="shared" si="27"/>
        <v>0</v>
      </c>
      <c r="C176" s="431">
        <f t="shared" si="28"/>
        <v>0</v>
      </c>
      <c r="D176" s="431"/>
      <c r="E176" s="387">
        <f t="shared" si="29"/>
        <v>0</v>
      </c>
      <c r="F176" s="387"/>
      <c r="G176" s="387"/>
      <c r="H176" s="131"/>
      <c r="I176" s="130"/>
      <c r="J176" s="122"/>
      <c r="K176" s="122"/>
      <c r="L176" s="67"/>
      <c r="M176" s="130"/>
      <c r="N176" s="130"/>
      <c r="O176" s="133"/>
    </row>
    <row r="177" spans="1:15" s="68" customFormat="1" ht="38.25" hidden="1" customHeight="1" x14ac:dyDescent="0.25">
      <c r="A177" s="120"/>
      <c r="B177" s="275">
        <f t="shared" si="27"/>
        <v>0</v>
      </c>
      <c r="C177" s="431">
        <f t="shared" si="28"/>
        <v>0</v>
      </c>
      <c r="D177" s="431"/>
      <c r="E177" s="387">
        <f t="shared" si="29"/>
        <v>0</v>
      </c>
      <c r="F177" s="387"/>
      <c r="G177" s="387"/>
      <c r="H177" s="131"/>
      <c r="I177" s="130"/>
      <c r="J177" s="122"/>
      <c r="K177" s="122"/>
      <c r="L177" s="67"/>
      <c r="M177" s="130"/>
      <c r="N177" s="130"/>
      <c r="O177" s="133"/>
    </row>
    <row r="178" spans="1:15" s="68" customFormat="1" ht="38.25" hidden="1" customHeight="1" x14ac:dyDescent="0.25">
      <c r="A178" s="120"/>
      <c r="B178" s="275">
        <f t="shared" si="27"/>
        <v>0</v>
      </c>
      <c r="C178" s="431">
        <f t="shared" si="28"/>
        <v>0</v>
      </c>
      <c r="D178" s="431"/>
      <c r="E178" s="387">
        <f t="shared" si="29"/>
        <v>0</v>
      </c>
      <c r="F178" s="387"/>
      <c r="G178" s="387"/>
      <c r="H178" s="131"/>
      <c r="I178" s="130"/>
      <c r="J178" s="122"/>
      <c r="K178" s="122"/>
      <c r="L178" s="67"/>
      <c r="M178" s="130"/>
      <c r="N178" s="130"/>
      <c r="O178" s="133"/>
    </row>
    <row r="179" spans="1:15" s="68" customFormat="1" ht="38.25" hidden="1" customHeight="1" x14ac:dyDescent="0.25">
      <c r="A179" s="120"/>
      <c r="B179" s="275">
        <f t="shared" si="27"/>
        <v>0</v>
      </c>
      <c r="C179" s="431">
        <f t="shared" si="28"/>
        <v>0</v>
      </c>
      <c r="D179" s="431"/>
      <c r="E179" s="387">
        <f t="shared" si="29"/>
        <v>0</v>
      </c>
      <c r="F179" s="387"/>
      <c r="G179" s="387"/>
      <c r="H179" s="131"/>
      <c r="I179" s="130"/>
      <c r="J179" s="122"/>
      <c r="K179" s="122"/>
      <c r="L179" s="67"/>
      <c r="M179" s="130"/>
      <c r="N179" s="130"/>
      <c r="O179" s="133"/>
    </row>
    <row r="180" spans="1:15" s="68" customFormat="1" ht="38.25" hidden="1" customHeight="1" x14ac:dyDescent="0.25">
      <c r="A180" s="120"/>
      <c r="B180" s="275">
        <f t="shared" si="27"/>
        <v>0</v>
      </c>
      <c r="C180" s="431">
        <f t="shared" si="28"/>
        <v>0</v>
      </c>
      <c r="D180" s="431"/>
      <c r="E180" s="387">
        <f t="shared" si="29"/>
        <v>0</v>
      </c>
      <c r="F180" s="387"/>
      <c r="G180" s="387"/>
      <c r="H180" s="131"/>
      <c r="I180" s="130"/>
      <c r="J180" s="122"/>
      <c r="K180" s="122"/>
      <c r="L180" s="67"/>
      <c r="M180" s="130"/>
      <c r="N180" s="130"/>
      <c r="O180" s="133"/>
    </row>
    <row r="181" spans="1:15" s="68" customFormat="1" ht="38.25" hidden="1" customHeight="1" x14ac:dyDescent="0.25">
      <c r="A181" s="120"/>
      <c r="B181" s="275">
        <f t="shared" si="27"/>
        <v>0</v>
      </c>
      <c r="C181" s="431">
        <f t="shared" si="28"/>
        <v>0</v>
      </c>
      <c r="D181" s="431"/>
      <c r="E181" s="387">
        <f t="shared" si="29"/>
        <v>0</v>
      </c>
      <c r="F181" s="387"/>
      <c r="G181" s="387"/>
      <c r="H181" s="131"/>
      <c r="I181" s="130"/>
      <c r="J181" s="122"/>
      <c r="K181" s="122"/>
      <c r="L181" s="67"/>
      <c r="M181" s="130"/>
      <c r="N181" s="130"/>
      <c r="O181" s="133"/>
    </row>
    <row r="182" spans="1:15" s="68" customFormat="1" ht="38.25" hidden="1" customHeight="1" x14ac:dyDescent="0.25">
      <c r="A182" s="120"/>
      <c r="B182" s="275">
        <f t="shared" si="27"/>
        <v>0</v>
      </c>
      <c r="C182" s="431">
        <f t="shared" si="28"/>
        <v>0</v>
      </c>
      <c r="D182" s="431"/>
      <c r="E182" s="387">
        <f t="shared" si="29"/>
        <v>0</v>
      </c>
      <c r="F182" s="387"/>
      <c r="G182" s="387"/>
      <c r="H182" s="131"/>
      <c r="I182" s="130"/>
      <c r="J182" s="122"/>
      <c r="K182" s="122"/>
      <c r="L182" s="67"/>
      <c r="M182" s="130"/>
      <c r="N182" s="130"/>
      <c r="O182" s="133"/>
    </row>
    <row r="183" spans="1:15" s="68" customFormat="1" ht="38.25" hidden="1" customHeight="1" x14ac:dyDescent="0.25">
      <c r="A183" s="120"/>
      <c r="B183" s="275">
        <f t="shared" si="27"/>
        <v>0</v>
      </c>
      <c r="C183" s="431">
        <f t="shared" si="28"/>
        <v>0</v>
      </c>
      <c r="D183" s="431"/>
      <c r="E183" s="387">
        <f t="shared" si="29"/>
        <v>0</v>
      </c>
      <c r="F183" s="387"/>
      <c r="G183" s="387"/>
      <c r="H183" s="131"/>
      <c r="I183" s="130"/>
      <c r="J183" s="122"/>
      <c r="K183" s="122"/>
      <c r="L183" s="67"/>
      <c r="M183" s="130"/>
      <c r="N183" s="130"/>
      <c r="O183" s="133"/>
    </row>
    <row r="184" spans="1:15" s="68" customFormat="1" ht="38.25" customHeight="1" x14ac:dyDescent="0.25">
      <c r="A184" s="120"/>
      <c r="B184" s="276">
        <f>SUM(B172:B183)</f>
        <v>1</v>
      </c>
      <c r="C184" s="446">
        <f>SUM(C172:D183)</f>
        <v>4</v>
      </c>
      <c r="D184" s="446"/>
      <c r="E184" s="390">
        <f>SUM(E172:E183)</f>
        <v>331.36094674556216</v>
      </c>
      <c r="F184" s="390"/>
      <c r="G184" s="390"/>
      <c r="H184" s="131"/>
      <c r="I184" s="130"/>
      <c r="J184" s="122"/>
      <c r="K184" s="122"/>
      <c r="L184" s="67"/>
      <c r="M184" s="130"/>
      <c r="N184" s="130"/>
      <c r="O184" s="133"/>
    </row>
    <row r="185" spans="1:15" s="68" customFormat="1" ht="38.25" customHeight="1" x14ac:dyDescent="0.25">
      <c r="A185" s="120"/>
      <c r="B185" s="123"/>
      <c r="C185" s="123"/>
      <c r="D185" s="123"/>
      <c r="E185" s="123"/>
      <c r="F185" s="123"/>
      <c r="G185" s="123"/>
      <c r="H185" s="123"/>
      <c r="I185" s="130"/>
      <c r="J185" s="122"/>
      <c r="K185" s="122"/>
      <c r="L185" s="67"/>
      <c r="M185" s="130"/>
      <c r="N185" s="130"/>
      <c r="O185" s="133"/>
    </row>
    <row r="186" spans="1:15" s="70" customFormat="1" ht="38.25" customHeight="1" x14ac:dyDescent="0.25">
      <c r="A186" s="215">
        <v>4</v>
      </c>
      <c r="B186" s="402" t="s">
        <v>1418</v>
      </c>
      <c r="C186" s="403"/>
      <c r="D186" s="403"/>
      <c r="E186" s="403"/>
      <c r="F186" s="403"/>
      <c r="G186" s="403"/>
      <c r="H186" s="403"/>
      <c r="I186" s="403"/>
      <c r="J186" s="122"/>
      <c r="K186" s="122"/>
      <c r="L186" s="130"/>
      <c r="M186" s="122"/>
      <c r="N186" s="122"/>
      <c r="O186" s="133"/>
    </row>
    <row r="187" spans="1:15" s="68" customFormat="1" ht="3" customHeight="1" x14ac:dyDescent="0.25">
      <c r="A187" s="120"/>
      <c r="B187" s="132"/>
      <c r="C187" s="155"/>
      <c r="D187" s="155"/>
      <c r="E187" s="126"/>
      <c r="F187" s="126"/>
      <c r="G187" s="126"/>
      <c r="H187" s="126"/>
      <c r="I187" s="126"/>
      <c r="J187" s="126"/>
      <c r="K187" s="126"/>
      <c r="L187" s="126"/>
      <c r="M187" s="123"/>
      <c r="N187" s="123"/>
      <c r="O187" s="123"/>
    </row>
    <row r="188" spans="1:15" s="68" customFormat="1" ht="28.5" customHeight="1" x14ac:dyDescent="0.25">
      <c r="A188" s="120" t="s">
        <v>1513</v>
      </c>
      <c r="B188" s="438" t="s">
        <v>1</v>
      </c>
      <c r="C188" s="439"/>
      <c r="D188" s="438" t="s">
        <v>1360</v>
      </c>
      <c r="E188" s="440"/>
      <c r="F188" s="440"/>
      <c r="G188" s="440"/>
      <c r="H188" s="440"/>
      <c r="I188" s="439"/>
      <c r="J188" s="404"/>
      <c r="K188" s="404"/>
      <c r="L188" s="404"/>
      <c r="M188" s="123"/>
      <c r="N188" s="123"/>
      <c r="O188" s="123"/>
    </row>
    <row r="189" spans="1:15" s="78" customFormat="1" ht="65.25" customHeight="1" x14ac:dyDescent="0.25">
      <c r="A189" s="144"/>
      <c r="B189" s="184" t="s">
        <v>1359</v>
      </c>
      <c r="C189" s="184" t="s">
        <v>1510</v>
      </c>
      <c r="D189" s="160" t="s">
        <v>6</v>
      </c>
      <c r="E189" s="160" t="s">
        <v>12</v>
      </c>
      <c r="F189" s="160"/>
      <c r="G189" s="160" t="s">
        <v>7</v>
      </c>
      <c r="H189" s="160" t="s">
        <v>1369</v>
      </c>
      <c r="I189" s="160" t="s">
        <v>1550</v>
      </c>
      <c r="J189" s="132"/>
      <c r="L189" s="138" t="s">
        <v>1339</v>
      </c>
      <c r="M189" s="125"/>
      <c r="N189" s="125"/>
      <c r="O189" s="134"/>
    </row>
    <row r="190" spans="1:15" s="68" customFormat="1" ht="35.25" customHeight="1" x14ac:dyDescent="0.25">
      <c r="A190" s="120"/>
      <c r="B190" s="112"/>
      <c r="C190" s="113"/>
      <c r="D190" s="80"/>
      <c r="E190" s="80"/>
      <c r="F190" s="81"/>
      <c r="G190" s="82"/>
      <c r="H190" s="80" t="s">
        <v>14</v>
      </c>
      <c r="I190" s="169">
        <f>IF(H190="FACTURA",L190*1,IF(H190=Hoja2!$H$3,L190/0.92,IF(H190="ALMACEN",L190*1,IF(H190=Hoja2!$H$5,0))))</f>
        <v>0</v>
      </c>
      <c r="J190" s="157"/>
      <c r="L190" s="139">
        <f t="shared" ref="L190:L203" si="30">+G190*E190</f>
        <v>0</v>
      </c>
      <c r="M190" s="135"/>
      <c r="N190" s="135"/>
      <c r="O190" s="123"/>
    </row>
    <row r="191" spans="1:15" s="68" customFormat="1" ht="35.25" customHeight="1" x14ac:dyDescent="0.25">
      <c r="A191" s="120"/>
      <c r="B191" s="112"/>
      <c r="C191" s="113"/>
      <c r="D191" s="80"/>
      <c r="E191" s="80"/>
      <c r="F191" s="81"/>
      <c r="G191" s="82"/>
      <c r="H191" s="80" t="s">
        <v>28</v>
      </c>
      <c r="I191" s="169">
        <f>IF(H191="FACTURA",L191*1,IF(H191=Hoja2!$H$3,L191/0.92,IF(H191="ALMACEN",L191*1,IF(H191=Hoja2!$H$5,0))))</f>
        <v>0</v>
      </c>
      <c r="J191" s="157"/>
      <c r="L191" s="139">
        <f t="shared" si="30"/>
        <v>0</v>
      </c>
      <c r="M191" s="135"/>
      <c r="N191" s="135"/>
      <c r="O191" s="123"/>
    </row>
    <row r="192" spans="1:15" s="68" customFormat="1" ht="35.25" customHeight="1" x14ac:dyDescent="0.25">
      <c r="A192" s="120"/>
      <c r="B192" s="112"/>
      <c r="C192" s="113"/>
      <c r="D192" s="80"/>
      <c r="E192" s="80"/>
      <c r="F192" s="81"/>
      <c r="G192" s="82"/>
      <c r="H192" s="80" t="s">
        <v>18</v>
      </c>
      <c r="I192" s="169">
        <f>IF(H192="FACTURA",L192*1,IF(H192=Hoja2!$H$3,L192/0.92,IF(H192="ALMACEN",L192*1,IF(H192=Hoja2!$H$5,0))))</f>
        <v>0</v>
      </c>
      <c r="J192" s="157"/>
      <c r="L192" s="139">
        <f t="shared" si="30"/>
        <v>0</v>
      </c>
      <c r="M192" s="135"/>
      <c r="N192" s="135"/>
      <c r="O192" s="123"/>
    </row>
    <row r="193" spans="1:15" s="68" customFormat="1" ht="35.25" customHeight="1" x14ac:dyDescent="0.25">
      <c r="A193" s="120"/>
      <c r="B193" s="112"/>
      <c r="C193" s="113"/>
      <c r="D193" s="80"/>
      <c r="E193" s="80"/>
      <c r="F193" s="81"/>
      <c r="G193" s="82"/>
      <c r="H193" s="80" t="s">
        <v>14</v>
      </c>
      <c r="I193" s="169">
        <f>IF(H193="FACTURA",L193*1,IF(H193=Hoja2!$H$3,L193/0.92,IF(H193="ALMACEN",L193*1,IF(H193=Hoja2!$H$5,0))))</f>
        <v>0</v>
      </c>
      <c r="J193" s="157"/>
      <c r="L193" s="140">
        <f t="shared" si="30"/>
        <v>0</v>
      </c>
      <c r="M193" s="135"/>
      <c r="N193" s="135"/>
      <c r="O193" s="123"/>
    </row>
    <row r="194" spans="1:15" s="68" customFormat="1" ht="35.25" customHeight="1" x14ac:dyDescent="0.25">
      <c r="A194" s="120"/>
      <c r="B194" s="112"/>
      <c r="C194" s="113"/>
      <c r="D194" s="80"/>
      <c r="E194" s="80"/>
      <c r="F194" s="81"/>
      <c r="G194" s="82"/>
      <c r="H194" s="80" t="s">
        <v>28</v>
      </c>
      <c r="I194" s="169">
        <f>IF(H194="FACTURA",L194*1,IF(H194=Hoja2!$H$3,L194/0.92,IF(H194="ALMACEN",L194*1,IF(H194=Hoja2!$H$5,0))))</f>
        <v>0</v>
      </c>
      <c r="J194" s="157"/>
      <c r="L194" s="140">
        <f t="shared" si="30"/>
        <v>0</v>
      </c>
      <c r="M194" s="135"/>
      <c r="N194" s="135"/>
      <c r="O194" s="123"/>
    </row>
    <row r="195" spans="1:15" s="68" customFormat="1" ht="35.25" customHeight="1" x14ac:dyDescent="0.25">
      <c r="A195" s="120"/>
      <c r="B195" s="112"/>
      <c r="C195" s="113"/>
      <c r="D195" s="80"/>
      <c r="E195" s="80"/>
      <c r="F195" s="81"/>
      <c r="G195" s="82"/>
      <c r="H195" s="80" t="s">
        <v>18</v>
      </c>
      <c r="I195" s="169">
        <f>IF(H195="FACTURA",L195*1,IF(H195=Hoja2!$H$3,L195/0.92,IF(H195="ALMACEN",L195*1,IF(H195=Hoja2!$H$5,0))))</f>
        <v>0</v>
      </c>
      <c r="J195" s="157"/>
      <c r="L195" s="140">
        <f t="shared" si="30"/>
        <v>0</v>
      </c>
      <c r="M195" s="135"/>
      <c r="N195" s="135"/>
      <c r="O195" s="123"/>
    </row>
    <row r="196" spans="1:15" s="68" customFormat="1" ht="37.5" customHeight="1" x14ac:dyDescent="0.25">
      <c r="A196" s="120"/>
      <c r="B196" s="112"/>
      <c r="C196" s="113"/>
      <c r="D196" s="80"/>
      <c r="E196" s="80"/>
      <c r="F196" s="81"/>
      <c r="G196" s="82"/>
      <c r="H196" s="80" t="s">
        <v>14</v>
      </c>
      <c r="I196" s="169">
        <f>IF(H196="FACTURA",L196*1,IF(H196=Hoja2!$H$3,L196/0.92,IF(H196="ALMACEN",L196*1,IF(H196=Hoja2!$H$5,0))))</f>
        <v>0</v>
      </c>
      <c r="J196" s="157"/>
      <c r="L196" s="140">
        <f t="shared" si="30"/>
        <v>0</v>
      </c>
      <c r="M196" s="135"/>
      <c r="N196" s="135"/>
      <c r="O196" s="123"/>
    </row>
    <row r="197" spans="1:15" s="68" customFormat="1" ht="39" customHeight="1" x14ac:dyDescent="0.25">
      <c r="A197" s="120"/>
      <c r="B197" s="112"/>
      <c r="C197" s="113"/>
      <c r="D197" s="80"/>
      <c r="E197" s="80"/>
      <c r="F197" s="81"/>
      <c r="G197" s="82"/>
      <c r="H197" s="80" t="s">
        <v>28</v>
      </c>
      <c r="I197" s="169">
        <f>IF(H197="FACTURA",L197*1,IF(H197=Hoja2!$H$3,L197/0.92,IF(H197="ALMACEN",L197*1,IF(H197=Hoja2!$H$5,0))))</f>
        <v>0</v>
      </c>
      <c r="J197" s="157"/>
      <c r="L197" s="140">
        <f t="shared" si="30"/>
        <v>0</v>
      </c>
      <c r="M197" s="135"/>
      <c r="N197" s="135"/>
      <c r="O197" s="123"/>
    </row>
    <row r="198" spans="1:15" s="68" customFormat="1" ht="39" customHeight="1" x14ac:dyDescent="0.25">
      <c r="A198" s="120"/>
      <c r="B198" s="112"/>
      <c r="C198" s="113"/>
      <c r="D198" s="80"/>
      <c r="E198" s="80"/>
      <c r="F198" s="81"/>
      <c r="G198" s="82"/>
      <c r="H198" s="80" t="s">
        <v>18</v>
      </c>
      <c r="I198" s="169">
        <f>IF(H198="FACTURA",L198*1,IF(H198=Hoja2!$H$3,L198/0.92,IF(H198="ALMACEN",L198*1,IF(H198=Hoja2!$H$5,0))))</f>
        <v>0</v>
      </c>
      <c r="J198" s="157"/>
      <c r="L198" s="140">
        <f t="shared" si="30"/>
        <v>0</v>
      </c>
      <c r="M198" s="135"/>
      <c r="N198" s="135"/>
      <c r="O198" s="123"/>
    </row>
    <row r="199" spans="1:15" s="68" customFormat="1" ht="39" customHeight="1" x14ac:dyDescent="0.25">
      <c r="A199" s="120"/>
      <c r="B199" s="112"/>
      <c r="C199" s="113"/>
      <c r="D199" s="80"/>
      <c r="E199" s="80"/>
      <c r="F199" s="81"/>
      <c r="G199" s="82"/>
      <c r="H199" s="80" t="s">
        <v>14</v>
      </c>
      <c r="I199" s="169">
        <f>IF(H199="FACTURA",L199*1,IF(H199=Hoja2!$H$3,L199/0.92,IF(H199="ALMACEN",L199*1,IF(H199=Hoja2!$H$5,0))))</f>
        <v>0</v>
      </c>
      <c r="J199" s="157"/>
      <c r="L199" s="140">
        <f t="shared" si="30"/>
        <v>0</v>
      </c>
      <c r="M199" s="135"/>
      <c r="N199" s="135"/>
      <c r="O199" s="123"/>
    </row>
    <row r="200" spans="1:15" s="68" customFormat="1" ht="39" customHeight="1" x14ac:dyDescent="0.25">
      <c r="A200" s="120"/>
      <c r="B200" s="112"/>
      <c r="C200" s="113"/>
      <c r="D200" s="80"/>
      <c r="E200" s="80"/>
      <c r="F200" s="81"/>
      <c r="G200" s="82"/>
      <c r="H200" s="80" t="s">
        <v>28</v>
      </c>
      <c r="I200" s="169">
        <f>IF(H200="FACTURA",L200*1,IF(H200=Hoja2!$H$3,L200/0.92,IF(H200="ALMACEN",L200*1,IF(H200=Hoja2!$H$5,0))))</f>
        <v>0</v>
      </c>
      <c r="J200" s="157"/>
      <c r="L200" s="140">
        <f t="shared" si="30"/>
        <v>0</v>
      </c>
      <c r="M200" s="135"/>
      <c r="N200" s="135"/>
      <c r="O200" s="123"/>
    </row>
    <row r="201" spans="1:15" s="68" customFormat="1" ht="39" customHeight="1" x14ac:dyDescent="0.25">
      <c r="A201" s="120"/>
      <c r="B201" s="112"/>
      <c r="C201" s="113"/>
      <c r="D201" s="80"/>
      <c r="E201" s="80"/>
      <c r="F201" s="81"/>
      <c r="G201" s="82"/>
      <c r="H201" s="80" t="s">
        <v>18</v>
      </c>
      <c r="I201" s="169">
        <f>IF(H201="FACTURA",L201*1,IF(H201=Hoja2!$H$3,L201/0.92,IF(H201="ALMACEN",L201*1,IF(H201=Hoja2!$H$5,0))))</f>
        <v>0</v>
      </c>
      <c r="J201" s="157"/>
      <c r="L201" s="140">
        <f t="shared" si="30"/>
        <v>0</v>
      </c>
      <c r="M201" s="135"/>
      <c r="N201" s="135"/>
      <c r="O201" s="123"/>
    </row>
    <row r="202" spans="1:15" s="68" customFormat="1" ht="39" customHeight="1" x14ac:dyDescent="0.25">
      <c r="A202" s="120"/>
      <c r="B202" s="112"/>
      <c r="C202" s="113"/>
      <c r="D202" s="80"/>
      <c r="E202" s="80"/>
      <c r="F202" s="81"/>
      <c r="G202" s="82"/>
      <c r="H202" s="80" t="s">
        <v>14</v>
      </c>
      <c r="I202" s="169">
        <f>IF(H202="FACTURA",L202*1,IF(H202=Hoja2!$H$3,L202/0.92,IF(H202="ALMACEN",L202*1,IF(H202=Hoja2!$H$5,0))))</f>
        <v>0</v>
      </c>
      <c r="J202" s="157"/>
      <c r="L202" s="140">
        <f t="shared" si="30"/>
        <v>0</v>
      </c>
      <c r="M202" s="135"/>
      <c r="N202" s="135"/>
      <c r="O202" s="123"/>
    </row>
    <row r="203" spans="1:15" s="68" customFormat="1" ht="39" customHeight="1" x14ac:dyDescent="0.25">
      <c r="A203" s="120"/>
      <c r="B203" s="113"/>
      <c r="C203" s="113"/>
      <c r="D203" s="211"/>
      <c r="E203" s="80"/>
      <c r="F203" s="212"/>
      <c r="G203" s="82"/>
      <c r="H203" s="211" t="s">
        <v>28</v>
      </c>
      <c r="I203" s="169">
        <f>IF(H203="FACTURA",L203*1,IF(H203=Hoja2!$H$3,L203/0.92,IF(H203="ALMACEN",L203*1,IF(H203=Hoja2!$H$5,0))))</f>
        <v>0</v>
      </c>
      <c r="J203" s="157"/>
      <c r="L203" s="140">
        <f t="shared" si="30"/>
        <v>0</v>
      </c>
      <c r="M203" s="135"/>
      <c r="N203" s="135"/>
      <c r="O203" s="123"/>
    </row>
    <row r="204" spans="1:15" s="68" customFormat="1" ht="36" customHeight="1" x14ac:dyDescent="0.25">
      <c r="A204" s="120"/>
      <c r="B204" s="197" t="s">
        <v>1543</v>
      </c>
      <c r="C204" s="213"/>
      <c r="D204" s="213"/>
      <c r="E204" s="213"/>
      <c r="F204" s="213"/>
      <c r="G204" s="213"/>
      <c r="H204" s="197"/>
      <c r="I204" s="210">
        <f>SUM(I190:I203)</f>
        <v>0</v>
      </c>
      <c r="J204" s="126"/>
      <c r="L204" s="88">
        <f>SUM(L190:L203)</f>
        <v>0</v>
      </c>
      <c r="M204" s="135"/>
      <c r="N204" s="135"/>
      <c r="O204" s="123"/>
    </row>
    <row r="205" spans="1:15" s="68" customFormat="1" x14ac:dyDescent="0.25">
      <c r="A205" s="120"/>
      <c r="B205" s="155"/>
      <c r="C205" s="126"/>
      <c r="D205" s="126"/>
      <c r="E205" s="126"/>
      <c r="F205" s="126"/>
      <c r="G205" s="155"/>
      <c r="H205" s="155"/>
      <c r="I205" s="155"/>
      <c r="J205" s="155"/>
      <c r="L205" s="155"/>
      <c r="M205" s="135"/>
      <c r="N205" s="135"/>
      <c r="O205" s="123"/>
    </row>
    <row r="206" spans="1:15" s="68" customFormat="1" x14ac:dyDescent="0.25">
      <c r="A206" s="120"/>
      <c r="B206" s="155"/>
      <c r="C206" s="126"/>
      <c r="D206" s="126"/>
      <c r="E206" s="126"/>
      <c r="F206" s="126"/>
      <c r="G206" s="155"/>
      <c r="H206" s="155"/>
      <c r="I206" s="155"/>
      <c r="J206" s="155"/>
      <c r="L206" s="155"/>
      <c r="M206" s="135"/>
      <c r="N206" s="135"/>
      <c r="O206" s="123"/>
    </row>
    <row r="207" spans="1:15" s="68" customFormat="1" x14ac:dyDescent="0.25">
      <c r="A207" s="120"/>
      <c r="B207" s="155"/>
      <c r="C207" s="126"/>
      <c r="D207" s="126"/>
      <c r="E207" s="126"/>
      <c r="F207" s="126"/>
      <c r="G207" s="155"/>
      <c r="H207" s="155"/>
      <c r="I207" s="155"/>
      <c r="J207" s="155"/>
      <c r="L207" s="155"/>
      <c r="M207" s="135"/>
      <c r="N207" s="135"/>
      <c r="O207" s="123"/>
    </row>
    <row r="208" spans="1:15" s="68" customFormat="1" x14ac:dyDescent="0.25">
      <c r="A208" s="120"/>
      <c r="B208" s="155"/>
      <c r="C208" s="126"/>
      <c r="D208" s="126"/>
      <c r="E208" s="126"/>
      <c r="F208" s="126"/>
      <c r="G208" s="155"/>
      <c r="H208" s="155"/>
      <c r="I208" s="155"/>
      <c r="J208" s="157"/>
      <c r="L208" s="157"/>
      <c r="M208" s="135"/>
      <c r="N208" s="135"/>
      <c r="O208" s="123"/>
    </row>
    <row r="209" spans="1:15" s="68" customFormat="1" x14ac:dyDescent="0.25">
      <c r="A209" s="120"/>
      <c r="B209" s="155"/>
      <c r="C209" s="126"/>
      <c r="D209" s="126"/>
      <c r="E209" s="126"/>
      <c r="F209" s="126"/>
      <c r="G209" s="155"/>
      <c r="H209" s="155"/>
      <c r="I209" s="155"/>
      <c r="J209" s="155"/>
      <c r="L209" s="155"/>
      <c r="M209" s="135"/>
      <c r="N209" s="135"/>
      <c r="O209" s="123"/>
    </row>
    <row r="210" spans="1:15" s="68" customFormat="1" ht="26.25" customHeight="1" x14ac:dyDescent="0.25">
      <c r="A210" s="120" t="s">
        <v>1546</v>
      </c>
      <c r="B210" s="438" t="s">
        <v>1361</v>
      </c>
      <c r="C210" s="439"/>
      <c r="D210" s="438" t="s">
        <v>1362</v>
      </c>
      <c r="E210" s="440"/>
      <c r="F210" s="440"/>
      <c r="G210" s="440"/>
      <c r="H210" s="440"/>
      <c r="I210" s="439"/>
      <c r="J210" s="141"/>
      <c r="L210" s="141"/>
      <c r="M210" s="135"/>
      <c r="N210" s="135"/>
      <c r="O210" s="123"/>
    </row>
    <row r="211" spans="1:15" s="68" customFormat="1" ht="66" customHeight="1" x14ac:dyDescent="0.25">
      <c r="A211" s="120"/>
      <c r="B211" s="167" t="s">
        <v>9</v>
      </c>
      <c r="C211" s="168" t="s">
        <v>1510</v>
      </c>
      <c r="D211" s="160" t="s">
        <v>1403</v>
      </c>
      <c r="E211" s="161" t="s">
        <v>2</v>
      </c>
      <c r="F211" s="161"/>
      <c r="G211" s="161" t="s">
        <v>7</v>
      </c>
      <c r="H211" s="161" t="s">
        <v>1356</v>
      </c>
      <c r="I211" s="160" t="s">
        <v>1551</v>
      </c>
      <c r="J211" s="155"/>
      <c r="L211" s="142" t="s">
        <v>5</v>
      </c>
      <c r="M211" s="135"/>
      <c r="N211" s="135"/>
      <c r="O211" s="123"/>
    </row>
    <row r="212" spans="1:15" s="68" customFormat="1" ht="44.25" customHeight="1" x14ac:dyDescent="0.25">
      <c r="A212" s="120"/>
      <c r="B212" s="112"/>
      <c r="C212" s="113"/>
      <c r="D212" s="108"/>
      <c r="E212" s="86"/>
      <c r="F212" s="87"/>
      <c r="G212" s="88"/>
      <c r="H212" s="77" t="s">
        <v>14</v>
      </c>
      <c r="I212" s="170">
        <f>IF(H212="FACTURA",L212*1,IF(H212="RECIBO",L212/0.845,IF(H212="SIN IMPUESTO",L212*1,IF(H212="ALQUILER SIN RECIBO",L212/0.84,IF(H212="VIATICOS",L212/0.87,IF(H212=Hoja2!#REF!,0))))))</f>
        <v>0</v>
      </c>
      <c r="J212" s="143"/>
      <c r="L212" s="139">
        <f t="shared" ref="L212:L226" si="31">+G212*E212</f>
        <v>0</v>
      </c>
      <c r="M212" s="135"/>
      <c r="N212" s="135"/>
      <c r="O212" s="123"/>
    </row>
    <row r="213" spans="1:15" s="68" customFormat="1" ht="44.25" customHeight="1" x14ac:dyDescent="0.25">
      <c r="A213" s="120"/>
      <c r="B213" s="112"/>
      <c r="C213" s="113"/>
      <c r="D213" s="108"/>
      <c r="E213" s="86"/>
      <c r="F213" s="87"/>
      <c r="G213" s="88"/>
      <c r="H213" s="77" t="s">
        <v>1354</v>
      </c>
      <c r="I213" s="170">
        <f>IF(H213="FACTURA",L213*1,IF(H213="RECIBO",L213/0.845,IF(H213="SIN IMPUESTO",L213*1,IF(H213="ALQUILER SIN RECIBO",L213/0.84,IF(H213="VIATICOS",L213/0.87,IF(H213=Hoja2!#REF!,0))))))</f>
        <v>0</v>
      </c>
      <c r="J213" s="143"/>
      <c r="L213" s="139">
        <f t="shared" si="31"/>
        <v>0</v>
      </c>
      <c r="M213" s="135"/>
      <c r="N213" s="135"/>
      <c r="O213" s="123"/>
    </row>
    <row r="214" spans="1:15" s="68" customFormat="1" ht="44.25" customHeight="1" x14ac:dyDescent="0.25">
      <c r="A214" s="120"/>
      <c r="B214" s="112"/>
      <c r="C214" s="113"/>
      <c r="D214" s="108"/>
      <c r="E214" s="86"/>
      <c r="F214" s="87"/>
      <c r="G214" s="88"/>
      <c r="H214" s="77" t="s">
        <v>1355</v>
      </c>
      <c r="I214" s="170">
        <f>IF(H214="FACTURA",L214*1,IF(H214="RECIBO",L214/0.845,IF(H214="SIN IMPUESTO",L214*1,IF(H214="ALQUILER SIN RECIBO",L214/0.84,IF(H214="VIATICOS",L214/0.87,IF(H214=Hoja2!#REF!,0))))))</f>
        <v>0</v>
      </c>
      <c r="J214" s="143"/>
      <c r="L214" s="139">
        <f t="shared" si="31"/>
        <v>0</v>
      </c>
      <c r="M214" s="135"/>
      <c r="N214" s="135"/>
      <c r="O214" s="123"/>
    </row>
    <row r="215" spans="1:15" s="68" customFormat="1" ht="44.25" customHeight="1" x14ac:dyDescent="0.25">
      <c r="A215" s="120"/>
      <c r="B215" s="112"/>
      <c r="C215" s="113"/>
      <c r="D215" s="108"/>
      <c r="E215" s="86"/>
      <c r="F215" s="87"/>
      <c r="G215" s="88"/>
      <c r="H215" s="77" t="s">
        <v>1358</v>
      </c>
      <c r="I215" s="170">
        <f>IF(H215="FACTURA",L215*1,IF(H215="RECIBO",L215/0.845,IF(H215="SIN IMPUESTO",L215*1,IF(H215="ALQUILER SIN RECIBO",L215/0.84,IF(H215="VIATICOS",L215/0.87,IF(H215=Hoja2!#REF!,0))))))</f>
        <v>0</v>
      </c>
      <c r="J215" s="143"/>
      <c r="L215" s="139">
        <f t="shared" si="31"/>
        <v>0</v>
      </c>
      <c r="M215" s="135"/>
      <c r="N215" s="135"/>
      <c r="O215" s="123"/>
    </row>
    <row r="216" spans="1:15" s="68" customFormat="1" ht="44.25" customHeight="1" x14ac:dyDescent="0.25">
      <c r="A216" s="120"/>
      <c r="B216" s="112"/>
      <c r="C216" s="113"/>
      <c r="D216" s="108"/>
      <c r="E216" s="86"/>
      <c r="F216" s="87"/>
      <c r="G216" s="88"/>
      <c r="H216" s="77" t="s">
        <v>1357</v>
      </c>
      <c r="I216" s="170">
        <f>IF(H216="FACTURA",L216*1,IF(H216="RECIBO",L216/0.845,IF(H216="SIN IMPUESTO",L216*1,IF(H216="ALQUILER SIN RECIBO",L216/0.84,IF(H216="VIATICOS",L216/0.87,IF(H216=Hoja2!#REF!,0))))))</f>
        <v>0</v>
      </c>
      <c r="J216" s="143"/>
      <c r="L216" s="139">
        <f t="shared" si="31"/>
        <v>0</v>
      </c>
      <c r="M216" s="135"/>
      <c r="N216" s="135"/>
      <c r="O216" s="123"/>
    </row>
    <row r="217" spans="1:15" s="68" customFormat="1" ht="44.25" customHeight="1" x14ac:dyDescent="0.25">
      <c r="A217" s="120"/>
      <c r="B217" s="112"/>
      <c r="C217" s="113"/>
      <c r="D217" s="108"/>
      <c r="E217" s="86"/>
      <c r="F217" s="87"/>
      <c r="G217" s="88"/>
      <c r="H217" s="77" t="s">
        <v>14</v>
      </c>
      <c r="I217" s="170">
        <f>IF(H217="FACTURA",L217*1,IF(H217="RECIBO",L217/0.845,IF(H217="SIN IMPUESTO",L217*1,IF(H217="ALQUILER SIN RECIBO",L217/0.84,IF(H217="VIATICOS",L217/0.87,IF(H217=Hoja2!#REF!,0))))))</f>
        <v>0</v>
      </c>
      <c r="J217" s="143"/>
      <c r="L217" s="139">
        <f t="shared" si="31"/>
        <v>0</v>
      </c>
      <c r="M217" s="135"/>
      <c r="N217" s="135"/>
      <c r="O217" s="123"/>
    </row>
    <row r="218" spans="1:15" s="68" customFormat="1" ht="44.25" customHeight="1" x14ac:dyDescent="0.25">
      <c r="A218" s="120"/>
      <c r="B218" s="112"/>
      <c r="C218" s="113"/>
      <c r="D218" s="108"/>
      <c r="E218" s="86"/>
      <c r="F218" s="87"/>
      <c r="G218" s="88"/>
      <c r="H218" s="77" t="s">
        <v>1354</v>
      </c>
      <c r="I218" s="170">
        <f>IF(H218="FACTURA",L218*1,IF(H218="RECIBO",L218/0.845,IF(H218="SIN IMPUESTO",L218*1,IF(H218="ALQUILER SIN RECIBO",L218/0.84,IF(H218="VIATICOS",L218/0.87,IF(H218=Hoja2!#REF!,0))))))</f>
        <v>0</v>
      </c>
      <c r="J218" s="143"/>
      <c r="L218" s="139">
        <f t="shared" si="31"/>
        <v>0</v>
      </c>
      <c r="M218" s="135"/>
      <c r="N218" s="135"/>
      <c r="O218" s="123"/>
    </row>
    <row r="219" spans="1:15" s="68" customFormat="1" ht="44.25" customHeight="1" x14ac:dyDescent="0.25">
      <c r="A219" s="120"/>
      <c r="B219" s="112"/>
      <c r="C219" s="113"/>
      <c r="D219" s="108"/>
      <c r="E219" s="86"/>
      <c r="F219" s="87"/>
      <c r="G219" s="88"/>
      <c r="H219" s="77" t="s">
        <v>1355</v>
      </c>
      <c r="I219" s="170">
        <f>IF(H219="FACTURA",L219*1,IF(H219="RECIBO",L219/0.845,IF(H219="SIN IMPUESTO",L219*1,IF(H219="ALQUILER SIN RECIBO",L219/0.84,IF(H219="VIATICOS",L219/0.87,IF(H219=Hoja2!#REF!,0))))))</f>
        <v>0</v>
      </c>
      <c r="J219" s="143"/>
      <c r="L219" s="139">
        <f t="shared" si="31"/>
        <v>0</v>
      </c>
      <c r="M219" s="135"/>
      <c r="N219" s="135"/>
      <c r="O219" s="123"/>
    </row>
    <row r="220" spans="1:15" s="68" customFormat="1" ht="44.25" customHeight="1" x14ac:dyDescent="0.25">
      <c r="A220" s="120"/>
      <c r="B220" s="112"/>
      <c r="C220" s="113"/>
      <c r="D220" s="108"/>
      <c r="E220" s="86"/>
      <c r="F220" s="90"/>
      <c r="G220" s="88"/>
      <c r="H220" s="77" t="s">
        <v>1358</v>
      </c>
      <c r="I220" s="170">
        <f>IF(H220="FACTURA",L220*1,IF(H220="RECIBO",L220/0.845,IF(H220="SIN IMPUESTO",L220*1,IF(H220="ALQUILER SIN RECIBO",L220/0.84,IF(H220="VIATICOS",L220/0.87,IF(H220=Hoja2!#REF!,0))))))</f>
        <v>0</v>
      </c>
      <c r="J220" s="143"/>
      <c r="L220" s="139">
        <f t="shared" si="31"/>
        <v>0</v>
      </c>
      <c r="M220" s="135"/>
      <c r="N220" s="135"/>
      <c r="O220" s="123"/>
    </row>
    <row r="221" spans="1:15" s="68" customFormat="1" ht="44.25" customHeight="1" x14ac:dyDescent="0.25">
      <c r="A221" s="120"/>
      <c r="B221" s="112"/>
      <c r="C221" s="113"/>
      <c r="D221" s="108"/>
      <c r="E221" s="86"/>
      <c r="F221" s="90"/>
      <c r="G221" s="88"/>
      <c r="H221" s="77" t="s">
        <v>1357</v>
      </c>
      <c r="I221" s="170">
        <f>IF(H221="FACTURA",L221*1,IF(H221="RECIBO",L221/0.845,IF(H221="SIN IMPUESTO",L221*1,IF(H221="ALQUILER SIN RECIBO",L221/0.84,IF(H221="VIATICOS",L221/0.87,IF(H221=Hoja2!#REF!,0))))))</f>
        <v>0</v>
      </c>
      <c r="J221" s="143"/>
      <c r="L221" s="139">
        <f t="shared" si="31"/>
        <v>0</v>
      </c>
      <c r="M221" s="135"/>
      <c r="N221" s="135"/>
      <c r="O221" s="123"/>
    </row>
    <row r="222" spans="1:15" s="68" customFormat="1" ht="44.25" customHeight="1" x14ac:dyDescent="0.25">
      <c r="A222" s="120"/>
      <c r="B222" s="112"/>
      <c r="C222" s="113"/>
      <c r="D222" s="108"/>
      <c r="E222" s="86"/>
      <c r="F222" s="90"/>
      <c r="G222" s="88"/>
      <c r="H222" s="77" t="s">
        <v>14</v>
      </c>
      <c r="I222" s="170">
        <f>IF(H222="FACTURA",L222*1,IF(H222="RECIBO",L222/0.845,IF(H222="SIN IMPUESTO",L222*1,IF(H222="ALQUILER SIN RECIBO",L222/0.84,IF(H222="VIATICOS",L222/0.87,IF(H222=Hoja2!#REF!,0))))))</f>
        <v>0</v>
      </c>
      <c r="J222" s="143"/>
      <c r="L222" s="139">
        <f t="shared" si="31"/>
        <v>0</v>
      </c>
      <c r="M222" s="135"/>
      <c r="N222" s="135"/>
      <c r="O222" s="123"/>
    </row>
    <row r="223" spans="1:15" s="68" customFormat="1" ht="44.25" customHeight="1" x14ac:dyDescent="0.25">
      <c r="A223" s="120"/>
      <c r="B223" s="112"/>
      <c r="C223" s="113"/>
      <c r="D223" s="108"/>
      <c r="E223" s="86"/>
      <c r="F223" s="90"/>
      <c r="G223" s="88"/>
      <c r="H223" s="77" t="s">
        <v>1354</v>
      </c>
      <c r="I223" s="170">
        <f>IF(H223="FACTURA",L223*1,IF(H223="RECIBO",L223/0.845,IF(H223="SIN IMPUESTO",L223*1,IF(H223="ALQUILER SIN RECIBO",L223/0.84,IF(H223="VIATICOS",L223/0.87,IF(H223=Hoja2!#REF!,0))))))</f>
        <v>0</v>
      </c>
      <c r="J223" s="143"/>
      <c r="L223" s="139">
        <f t="shared" si="31"/>
        <v>0</v>
      </c>
      <c r="M223" s="135"/>
      <c r="N223" s="135"/>
      <c r="O223" s="123"/>
    </row>
    <row r="224" spans="1:15" s="68" customFormat="1" ht="44.25" customHeight="1" x14ac:dyDescent="0.25">
      <c r="A224" s="120"/>
      <c r="B224" s="112"/>
      <c r="C224" s="113"/>
      <c r="D224" s="108"/>
      <c r="E224" s="86"/>
      <c r="F224" s="90"/>
      <c r="G224" s="88"/>
      <c r="H224" s="77" t="s">
        <v>1355</v>
      </c>
      <c r="I224" s="170">
        <f>IF(H224="FACTURA",L224*1,IF(H224="RECIBO",L224/0.845,IF(H224="SIN IMPUESTO",L224*1,IF(H224="ALQUILER SIN RECIBO",L224/0.84,IF(H224="VIATICOS",L224/0.87,IF(H224=Hoja2!#REF!,0))))))</f>
        <v>0</v>
      </c>
      <c r="J224" s="143"/>
      <c r="L224" s="139">
        <f t="shared" si="31"/>
        <v>0</v>
      </c>
      <c r="M224" s="135"/>
      <c r="N224" s="135"/>
      <c r="O224" s="123"/>
    </row>
    <row r="225" spans="1:15" s="68" customFormat="1" ht="44.25" customHeight="1" x14ac:dyDescent="0.25">
      <c r="A225" s="120"/>
      <c r="B225" s="112"/>
      <c r="C225" s="113"/>
      <c r="D225" s="108"/>
      <c r="E225" s="86"/>
      <c r="F225" s="90"/>
      <c r="G225" s="88"/>
      <c r="H225" s="77" t="s">
        <v>1358</v>
      </c>
      <c r="I225" s="170">
        <f>IF(H225="FACTURA",L225*1,IF(H225="RECIBO",L225/0.845,IF(H225="SIN IMPUESTO",L225*1,IF(H225="ALQUILER SIN RECIBO",L225/0.84,IF(H225="VIATICOS",L225/0.87,IF(H225=Hoja2!#REF!,0))))))</f>
        <v>0</v>
      </c>
      <c r="J225" s="143"/>
      <c r="L225" s="139">
        <f t="shared" si="31"/>
        <v>0</v>
      </c>
      <c r="M225" s="135"/>
      <c r="N225" s="135"/>
      <c r="O225" s="123"/>
    </row>
    <row r="226" spans="1:15" s="68" customFormat="1" ht="44.25" customHeight="1" x14ac:dyDescent="0.25">
      <c r="A226" s="120"/>
      <c r="B226" s="112"/>
      <c r="C226" s="113"/>
      <c r="D226" s="108"/>
      <c r="E226" s="86"/>
      <c r="F226" s="90"/>
      <c r="G226" s="88"/>
      <c r="H226" s="77" t="s">
        <v>1357</v>
      </c>
      <c r="I226" s="170">
        <f>IF(H226="FACTURA",L226*1,IF(H226="RECIBO",L226/0.845,IF(H226="SIN IMPUESTO",L226*1,IF(H226="ALQUILER SIN RECIBO",L226/0.84,IF(H226="VIATICOS",L226/0.87,IF(H226=Hoja2!#REF!,0))))))</f>
        <v>0</v>
      </c>
      <c r="J226" s="143"/>
      <c r="L226" s="139">
        <f t="shared" si="31"/>
        <v>0</v>
      </c>
      <c r="M226" s="135"/>
      <c r="N226" s="135"/>
      <c r="O226" s="123"/>
    </row>
    <row r="227" spans="1:15" s="68" customFormat="1" ht="51" customHeight="1" x14ac:dyDescent="0.25">
      <c r="A227" s="120"/>
      <c r="B227" s="184" t="s">
        <v>1542</v>
      </c>
      <c r="C227" s="209"/>
      <c r="D227" s="161"/>
      <c r="E227" s="161"/>
      <c r="F227" s="161"/>
      <c r="G227" s="161"/>
      <c r="H227" s="171"/>
      <c r="I227" s="169">
        <f>SUM(I212:I226)</f>
        <v>0</v>
      </c>
      <c r="J227" s="126"/>
      <c r="L227" s="139">
        <f>SUM(L212:L226)</f>
        <v>0</v>
      </c>
      <c r="M227" s="135"/>
      <c r="N227" s="135"/>
      <c r="O227" s="123"/>
    </row>
    <row r="228" spans="1:15" s="123" customFormat="1" ht="15" customHeight="1" x14ac:dyDescent="0.25">
      <c r="A228" s="120"/>
      <c r="B228" s="129"/>
      <c r="C228" s="248"/>
      <c r="D228" s="249"/>
      <c r="E228" s="250"/>
      <c r="F228" s="250"/>
      <c r="G228" s="122"/>
      <c r="H228" s="131"/>
      <c r="I228" s="131"/>
      <c r="J228" s="131"/>
      <c r="L228" s="131"/>
    </row>
    <row r="229" spans="1:15" s="68" customFormat="1" ht="51" customHeight="1" x14ac:dyDescent="0.25">
      <c r="A229" s="120"/>
      <c r="B229" s="161" t="s">
        <v>1368</v>
      </c>
      <c r="C229" s="161"/>
      <c r="D229" s="161"/>
      <c r="E229" s="161"/>
      <c r="F229" s="161"/>
      <c r="G229" s="161"/>
      <c r="H229" s="196"/>
      <c r="I229" s="169">
        <f>+I227+I204</f>
        <v>0</v>
      </c>
      <c r="J229" s="126"/>
      <c r="L229" s="155"/>
      <c r="M229" s="135"/>
      <c r="N229" s="135"/>
      <c r="O229" s="123"/>
    </row>
    <row r="230" spans="1:15" s="68" customFormat="1" ht="57" customHeight="1" x14ac:dyDescent="0.25">
      <c r="A230" s="120"/>
      <c r="B230" s="127"/>
      <c r="C230" s="127"/>
      <c r="D230" s="404"/>
      <c r="E230" s="404"/>
      <c r="F230" s="404"/>
      <c r="G230" s="404"/>
      <c r="H230" s="404"/>
      <c r="I230" s="404"/>
      <c r="J230" s="404"/>
      <c r="K230" s="432"/>
      <c r="L230" s="432"/>
      <c r="M230" s="135"/>
      <c r="N230" s="135"/>
      <c r="O230" s="123"/>
    </row>
    <row r="231" spans="1:15" s="68" customFormat="1" ht="57" customHeight="1" x14ac:dyDescent="0.25">
      <c r="A231" s="120"/>
      <c r="B231" s="385" t="s">
        <v>1511</v>
      </c>
      <c r="C231" s="385"/>
      <c r="D231" s="385"/>
      <c r="E231" s="385"/>
      <c r="F231" s="385"/>
      <c r="G231" s="385"/>
      <c r="H231" s="385"/>
      <c r="I231" s="385"/>
      <c r="J231" s="155"/>
      <c r="K231" s="145"/>
      <c r="L231" s="156"/>
      <c r="M231" s="135"/>
      <c r="N231" s="135"/>
      <c r="O231" s="123"/>
    </row>
    <row r="232" spans="1:15" s="68" customFormat="1" ht="57" customHeight="1" x14ac:dyDescent="0.25">
      <c r="A232" s="215">
        <v>5</v>
      </c>
      <c r="B232" s="295" t="s">
        <v>1512</v>
      </c>
      <c r="C232" s="123"/>
      <c r="D232" s="123"/>
      <c r="E232" s="123"/>
      <c r="F232" s="123"/>
      <c r="G232" s="141"/>
      <c r="H232" s="145"/>
      <c r="I232" s="155"/>
      <c r="J232" s="155"/>
      <c r="K232" s="145"/>
      <c r="L232" s="156"/>
      <c r="M232" s="135"/>
      <c r="N232" s="135"/>
      <c r="O232" s="123"/>
    </row>
    <row r="233" spans="1:15" s="68" customFormat="1" ht="15" customHeight="1" x14ac:dyDescent="0.25">
      <c r="A233" s="120"/>
      <c r="B233" s="123"/>
      <c r="C233" s="123"/>
      <c r="D233" s="123"/>
      <c r="E233" s="123"/>
      <c r="F233" s="141"/>
      <c r="G233" s="141"/>
      <c r="H233" s="145"/>
      <c r="I233" s="155"/>
      <c r="J233" s="155"/>
      <c r="K233" s="145"/>
      <c r="L233" s="156"/>
      <c r="M233" s="135"/>
      <c r="N233" s="135"/>
      <c r="O233" s="123"/>
    </row>
    <row r="234" spans="1:15" s="68" customFormat="1" ht="57" customHeight="1" x14ac:dyDescent="0.25">
      <c r="A234" s="120" t="s">
        <v>1519</v>
      </c>
      <c r="B234" s="161" t="s">
        <v>1514</v>
      </c>
      <c r="C234" s="161" t="s">
        <v>1538</v>
      </c>
      <c r="D234" s="161" t="s">
        <v>1515</v>
      </c>
      <c r="E234" s="161" t="s">
        <v>1532</v>
      </c>
      <c r="F234" s="161"/>
      <c r="G234" s="161" t="s">
        <v>4</v>
      </c>
      <c r="H234" s="160" t="s">
        <v>7</v>
      </c>
      <c r="I234" s="160" t="s">
        <v>1404</v>
      </c>
      <c r="J234" s="155"/>
      <c r="K234" s="145"/>
      <c r="L234" s="156"/>
      <c r="M234" s="135"/>
      <c r="N234" s="135"/>
      <c r="O234" s="123"/>
    </row>
    <row r="235" spans="1:15" s="68" customFormat="1" ht="57" customHeight="1" x14ac:dyDescent="0.25">
      <c r="A235" s="120"/>
      <c r="B235" s="114"/>
      <c r="C235" s="185" t="s">
        <v>1516</v>
      </c>
      <c r="D235" s="176" t="s">
        <v>1517</v>
      </c>
      <c r="E235" s="115"/>
      <c r="F235" s="92"/>
      <c r="G235" s="86"/>
      <c r="H235" s="93"/>
      <c r="I235" s="174">
        <f>+H235*G235</f>
        <v>0</v>
      </c>
      <c r="J235" s="155"/>
      <c r="K235" s="145"/>
      <c r="L235" s="156"/>
      <c r="M235" s="135"/>
      <c r="N235" s="135"/>
      <c r="O235" s="123"/>
    </row>
    <row r="236" spans="1:15" s="68" customFormat="1" ht="57" customHeight="1" x14ac:dyDescent="0.25">
      <c r="A236" s="120"/>
      <c r="B236" s="114"/>
      <c r="C236" s="185" t="s">
        <v>1516</v>
      </c>
      <c r="D236" s="176" t="s">
        <v>1517</v>
      </c>
      <c r="E236" s="115"/>
      <c r="F236" s="92"/>
      <c r="G236" s="86"/>
      <c r="H236" s="93"/>
      <c r="I236" s="174">
        <f>+H236*G236</f>
        <v>0</v>
      </c>
      <c r="J236" s="155"/>
      <c r="K236" s="145"/>
      <c r="L236" s="156"/>
      <c r="M236" s="135"/>
      <c r="N236" s="135"/>
      <c r="O236" s="123"/>
    </row>
    <row r="237" spans="1:15" s="68" customFormat="1" ht="57" customHeight="1" x14ac:dyDescent="0.25">
      <c r="A237" s="120"/>
      <c r="B237" s="186" t="s">
        <v>5</v>
      </c>
      <c r="C237" s="175"/>
      <c r="D237" s="175"/>
      <c r="E237" s="175"/>
      <c r="F237" s="175">
        <f>SUM(F235:F236)</f>
        <v>0</v>
      </c>
      <c r="G237" s="175">
        <f>SUM(G235:G236)</f>
        <v>0</v>
      </c>
      <c r="H237" s="162">
        <f>SUM(H235:H236)</f>
        <v>0</v>
      </c>
      <c r="I237" s="162">
        <f>SUM(I235:I236)</f>
        <v>0</v>
      </c>
      <c r="J237" s="155"/>
      <c r="K237" s="145"/>
      <c r="L237" s="156"/>
      <c r="M237" s="135"/>
      <c r="N237" s="135"/>
      <c r="O237" s="123"/>
    </row>
    <row r="238" spans="1:15" s="68" customFormat="1" ht="57" customHeight="1" x14ac:dyDescent="0.25">
      <c r="A238" s="120"/>
      <c r="B238" s="149"/>
      <c r="C238" s="404"/>
      <c r="D238" s="404"/>
      <c r="E238" s="404"/>
      <c r="F238" s="404"/>
      <c r="G238" s="404"/>
      <c r="H238" s="157"/>
      <c r="I238" s="155"/>
      <c r="J238" s="155"/>
      <c r="K238" s="145"/>
      <c r="L238" s="156"/>
      <c r="M238" s="135"/>
      <c r="N238" s="135"/>
      <c r="O238" s="123"/>
    </row>
    <row r="239" spans="1:15" s="68" customFormat="1" ht="39.75" customHeight="1" x14ac:dyDescent="0.25">
      <c r="A239" s="215">
        <v>6</v>
      </c>
      <c r="B239" s="295" t="s">
        <v>1518</v>
      </c>
      <c r="C239" s="135"/>
      <c r="D239" s="135"/>
      <c r="E239" s="135"/>
      <c r="F239" s="135"/>
      <c r="G239" s="141"/>
      <c r="H239" s="145"/>
      <c r="I239" s="155"/>
      <c r="J239" s="155"/>
      <c r="K239" s="145"/>
      <c r="L239" s="156"/>
      <c r="M239" s="135"/>
      <c r="N239" s="135"/>
      <c r="O239" s="123"/>
    </row>
    <row r="240" spans="1:15" s="68" customFormat="1" ht="5.25" customHeight="1" x14ac:dyDescent="0.25">
      <c r="A240" s="120"/>
      <c r="B240" s="123"/>
      <c r="C240" s="123"/>
      <c r="D240" s="123"/>
      <c r="E240" s="123"/>
      <c r="F240" s="141"/>
      <c r="G240" s="141"/>
      <c r="H240" s="145"/>
      <c r="I240" s="155"/>
      <c r="J240" s="155"/>
      <c r="K240" s="145"/>
      <c r="L240" s="156"/>
      <c r="M240" s="135"/>
      <c r="N240" s="135"/>
      <c r="O240" s="123"/>
    </row>
    <row r="241" spans="1:15" s="68" customFormat="1" ht="57" customHeight="1" x14ac:dyDescent="0.25">
      <c r="A241" s="120" t="s">
        <v>1523</v>
      </c>
      <c r="B241" s="159" t="s">
        <v>1525</v>
      </c>
      <c r="C241" s="161" t="s">
        <v>1539</v>
      </c>
      <c r="D241" s="159" t="s">
        <v>1515</v>
      </c>
      <c r="E241" s="159" t="s">
        <v>1403</v>
      </c>
      <c r="F241" s="159"/>
      <c r="G241" s="159" t="s">
        <v>4</v>
      </c>
      <c r="H241" s="160" t="s">
        <v>7</v>
      </c>
      <c r="I241" s="160" t="s">
        <v>1404</v>
      </c>
      <c r="J241" s="155"/>
      <c r="K241" s="145"/>
      <c r="L241" s="156"/>
      <c r="M241" s="135"/>
      <c r="N241" s="135"/>
      <c r="O241" s="123"/>
    </row>
    <row r="242" spans="1:15" s="68" customFormat="1" ht="57" customHeight="1" x14ac:dyDescent="0.25">
      <c r="A242" s="120"/>
      <c r="B242" s="114"/>
      <c r="C242" s="172" t="s">
        <v>1516</v>
      </c>
      <c r="D242" s="173" t="s">
        <v>1526</v>
      </c>
      <c r="E242" s="115"/>
      <c r="F242" s="92"/>
      <c r="G242" s="86"/>
      <c r="H242" s="93"/>
      <c r="I242" s="174">
        <f>+H242*G242</f>
        <v>0</v>
      </c>
      <c r="J242" s="155"/>
      <c r="K242" s="145"/>
      <c r="L242" s="156"/>
      <c r="M242" s="135"/>
      <c r="N242" s="135"/>
      <c r="O242" s="123"/>
    </row>
    <row r="243" spans="1:15" s="68" customFormat="1" ht="57" customHeight="1" x14ac:dyDescent="0.25">
      <c r="A243" s="120"/>
      <c r="B243" s="114"/>
      <c r="C243" s="187" t="s">
        <v>1516</v>
      </c>
      <c r="D243" s="188" t="s">
        <v>1526</v>
      </c>
      <c r="E243" s="189"/>
      <c r="F243" s="190"/>
      <c r="G243" s="191"/>
      <c r="H243" s="192"/>
      <c r="I243" s="193">
        <f>+H243*G243</f>
        <v>0</v>
      </c>
      <c r="J243" s="155"/>
      <c r="K243" s="145"/>
      <c r="L243" s="156"/>
      <c r="M243" s="135"/>
      <c r="N243" s="135"/>
      <c r="O243" s="123"/>
    </row>
    <row r="244" spans="1:15" s="68" customFormat="1" ht="57" customHeight="1" x14ac:dyDescent="0.25">
      <c r="A244" s="120"/>
      <c r="B244" s="194" t="s">
        <v>5</v>
      </c>
      <c r="C244" s="194"/>
      <c r="D244" s="194"/>
      <c r="E244" s="194"/>
      <c r="F244" s="194">
        <f>SUM(F242:F243)</f>
        <v>0</v>
      </c>
      <c r="G244" s="194">
        <f>SUM(G242:G243)</f>
        <v>0</v>
      </c>
      <c r="H244" s="195">
        <f>SUM(H242:H243)</f>
        <v>0</v>
      </c>
      <c r="I244" s="195">
        <f>SUM(I242:I243)</f>
        <v>0</v>
      </c>
      <c r="J244" s="155"/>
      <c r="K244" s="145"/>
      <c r="L244" s="156"/>
      <c r="M244" s="135"/>
      <c r="N244" s="135"/>
      <c r="O244" s="123"/>
    </row>
    <row r="245" spans="1:15" s="68" customFormat="1" ht="57" customHeight="1" x14ac:dyDescent="0.25">
      <c r="A245" s="120"/>
      <c r="B245" s="149"/>
      <c r="C245" s="141"/>
      <c r="D245" s="141"/>
      <c r="E245" s="141"/>
      <c r="F245" s="141"/>
      <c r="G245" s="141"/>
      <c r="H245" s="150"/>
      <c r="I245" s="155"/>
      <c r="J245" s="155"/>
      <c r="K245" s="145"/>
      <c r="L245" s="156"/>
      <c r="M245" s="135"/>
      <c r="N245" s="135"/>
      <c r="O245" s="123"/>
    </row>
    <row r="246" spans="1:15" s="68" customFormat="1" ht="57" customHeight="1" x14ac:dyDescent="0.25">
      <c r="A246" s="215">
        <v>7</v>
      </c>
      <c r="B246" s="295" t="s">
        <v>1522</v>
      </c>
      <c r="C246" s="135"/>
      <c r="D246" s="135"/>
      <c r="E246" s="135"/>
      <c r="F246" s="135"/>
      <c r="G246" s="141"/>
      <c r="H246" s="145"/>
      <c r="I246" s="155"/>
      <c r="J246" s="155"/>
      <c r="K246" s="145"/>
      <c r="L246" s="156"/>
      <c r="M246" s="135"/>
      <c r="N246" s="135"/>
      <c r="O246" s="123"/>
    </row>
    <row r="247" spans="1:15" s="68" customFormat="1" ht="6.75" customHeight="1" x14ac:dyDescent="0.25">
      <c r="A247" s="120"/>
      <c r="B247" s="123"/>
      <c r="C247" s="123"/>
      <c r="D247" s="123"/>
      <c r="E247" s="123"/>
      <c r="F247" s="141"/>
      <c r="G247" s="141"/>
      <c r="H247" s="145"/>
      <c r="I247" s="155"/>
      <c r="J247" s="155"/>
      <c r="K247" s="145"/>
      <c r="L247" s="156"/>
      <c r="M247" s="135"/>
      <c r="N247" s="135"/>
      <c r="O247" s="123"/>
    </row>
    <row r="248" spans="1:15" s="68" customFormat="1" ht="57" customHeight="1" x14ac:dyDescent="0.25">
      <c r="A248" s="120" t="s">
        <v>1547</v>
      </c>
      <c r="B248" s="161" t="s">
        <v>1520</v>
      </c>
      <c r="C248" s="161" t="s">
        <v>1538</v>
      </c>
      <c r="D248" s="161" t="s">
        <v>1521</v>
      </c>
      <c r="E248" s="161" t="s">
        <v>1403</v>
      </c>
      <c r="F248" s="161"/>
      <c r="G248" s="161" t="s">
        <v>2</v>
      </c>
      <c r="H248" s="160" t="s">
        <v>7</v>
      </c>
      <c r="I248" s="160" t="s">
        <v>1404</v>
      </c>
      <c r="J248" s="155"/>
      <c r="K248" s="145"/>
      <c r="L248" s="156"/>
      <c r="M248" s="135"/>
      <c r="N248" s="135"/>
      <c r="O248" s="123"/>
    </row>
    <row r="249" spans="1:15" s="68" customFormat="1" ht="57" customHeight="1" x14ac:dyDescent="0.25">
      <c r="A249" s="120"/>
      <c r="B249" s="111"/>
      <c r="C249" s="185" t="s">
        <v>1516</v>
      </c>
      <c r="D249" s="162" t="s">
        <v>1524</v>
      </c>
      <c r="E249" s="92"/>
      <c r="F249" s="92"/>
      <c r="G249" s="94"/>
      <c r="H249" s="95"/>
      <c r="I249" s="174">
        <f>+G249*H249</f>
        <v>0</v>
      </c>
      <c r="J249" s="155"/>
      <c r="K249" s="145"/>
      <c r="L249" s="156"/>
      <c r="M249" s="135"/>
      <c r="N249" s="135"/>
      <c r="O249" s="123"/>
    </row>
    <row r="250" spans="1:15" s="68" customFormat="1" ht="57" customHeight="1" x14ac:dyDescent="0.25">
      <c r="A250" s="120"/>
      <c r="B250" s="111"/>
      <c r="C250" s="185" t="s">
        <v>1516</v>
      </c>
      <c r="D250" s="162" t="s">
        <v>1524</v>
      </c>
      <c r="E250" s="92"/>
      <c r="F250" s="92"/>
      <c r="G250" s="94"/>
      <c r="H250" s="95"/>
      <c r="I250" s="174">
        <f>+G250*H250</f>
        <v>0</v>
      </c>
      <c r="J250" s="155"/>
      <c r="K250" s="145"/>
      <c r="L250" s="156"/>
      <c r="M250" s="135"/>
      <c r="N250" s="135"/>
      <c r="O250" s="123"/>
    </row>
    <row r="251" spans="1:15" s="68" customFormat="1" ht="57" customHeight="1" x14ac:dyDescent="0.25">
      <c r="A251" s="120"/>
      <c r="B251" s="175" t="s">
        <v>5</v>
      </c>
      <c r="C251" s="175"/>
      <c r="D251" s="175"/>
      <c r="E251" s="175"/>
      <c r="F251" s="176"/>
      <c r="G251" s="177">
        <f>SUM(G249:G250)</f>
        <v>0</v>
      </c>
      <c r="H251" s="178">
        <f>SUM(H249:H250)</f>
        <v>0</v>
      </c>
      <c r="I251" s="162">
        <f>SUM(I249:I250)</f>
        <v>0</v>
      </c>
      <c r="J251" s="155"/>
      <c r="K251" s="145"/>
      <c r="L251" s="156"/>
      <c r="M251" s="135"/>
      <c r="N251" s="135"/>
      <c r="O251" s="123"/>
    </row>
    <row r="252" spans="1:15" s="68" customFormat="1" ht="57" customHeight="1" x14ac:dyDescent="0.25">
      <c r="A252" s="120"/>
      <c r="B252" s="127"/>
      <c r="C252" s="127"/>
      <c r="D252" s="127"/>
      <c r="E252" s="127"/>
      <c r="F252" s="127"/>
      <c r="G252" s="127"/>
      <c r="H252" s="127"/>
      <c r="I252" s="155"/>
      <c r="J252" s="155"/>
      <c r="K252" s="155"/>
      <c r="L252" s="75"/>
      <c r="M252" s="135"/>
      <c r="N252" s="135"/>
      <c r="O252" s="123"/>
    </row>
    <row r="253" spans="1:15" s="91" customFormat="1" ht="57" customHeight="1" x14ac:dyDescent="0.25">
      <c r="A253" s="215">
        <v>8</v>
      </c>
      <c r="B253" s="216" t="s">
        <v>1419</v>
      </c>
      <c r="C253" s="151"/>
      <c r="D253" s="151"/>
      <c r="E253" s="151"/>
      <c r="F253" s="151"/>
      <c r="G253" s="151"/>
      <c r="H253" s="155"/>
      <c r="I253" s="155"/>
      <c r="J253" s="155"/>
      <c r="K253" s="128"/>
      <c r="L253" s="89"/>
      <c r="M253" s="136"/>
      <c r="N253" s="136"/>
      <c r="O253" s="137"/>
    </row>
    <row r="254" spans="1:15" s="68" customFormat="1" ht="11.25" customHeight="1" thickBot="1" x14ac:dyDescent="0.3">
      <c r="A254" s="120"/>
      <c r="B254" s="128"/>
      <c r="C254" s="152"/>
      <c r="D254" s="152"/>
      <c r="E254" s="128"/>
      <c r="F254" s="128"/>
      <c r="G254" s="128"/>
      <c r="H254" s="126"/>
      <c r="I254" s="155"/>
      <c r="J254" s="155"/>
      <c r="K254" s="127"/>
      <c r="L254" s="84"/>
      <c r="M254" s="135"/>
      <c r="N254" s="135"/>
      <c r="O254" s="123"/>
    </row>
    <row r="255" spans="1:15" s="68" customFormat="1" ht="67.5" customHeight="1" x14ac:dyDescent="0.25">
      <c r="A255" s="120" t="s">
        <v>1548</v>
      </c>
      <c r="B255" s="441" t="s">
        <v>1419</v>
      </c>
      <c r="C255" s="207" t="s">
        <v>1392</v>
      </c>
      <c r="D255" s="207" t="s">
        <v>1393</v>
      </c>
      <c r="E255" s="302" t="s">
        <v>1394</v>
      </c>
      <c r="F255" s="72"/>
      <c r="G255" s="127"/>
      <c r="H255" s="135"/>
      <c r="I255" s="155"/>
      <c r="J255" s="155"/>
      <c r="K255" s="155"/>
      <c r="L255" s="69" t="s">
        <v>1527</v>
      </c>
      <c r="M255" s="135"/>
      <c r="N255" s="135"/>
      <c r="O255" s="123"/>
    </row>
    <row r="256" spans="1:15" s="68" customFormat="1" ht="44.25" customHeight="1" thickBot="1" x14ac:dyDescent="0.3">
      <c r="A256" s="120"/>
      <c r="B256" s="442"/>
      <c r="C256" s="300">
        <f>E184+H23+I251+I229</f>
        <v>331.36094674556216</v>
      </c>
      <c r="D256" s="301">
        <f>IF(H17="SANTA CRUZ",0.21,IF(H17="COCHABAMBA",IF(L256&gt;50000,0.13,IF(L256&lt;50000,0.17))))</f>
        <v>0.17</v>
      </c>
      <c r="E256" s="299">
        <f>+(D256*C256)+('GASTO AUX '!G199)</f>
        <v>159.40619372266531</v>
      </c>
      <c r="F256" s="72"/>
      <c r="G256" s="127"/>
      <c r="H256" s="128"/>
      <c r="I256" s="123"/>
      <c r="J256" s="155"/>
      <c r="K256" s="155"/>
      <c r="L256" s="83">
        <f>+'GASTO AUX '!G195+'HOJA D TRABAJO'!I251+'HOJA D TRABAJO'!I244+'HOJA D TRABAJO'!I237+'HOJA D TRABAJO'!I229+'HOJA D TRABAJO'!H23+'HOJA D TRABAJO'!E184</f>
        <v>419.45909441728844</v>
      </c>
      <c r="M256" s="135"/>
      <c r="N256" s="135"/>
      <c r="O256" s="123"/>
    </row>
    <row r="257" spans="1:15" s="68" customFormat="1" ht="16.5" thickBot="1" x14ac:dyDescent="0.3">
      <c r="A257" s="120"/>
      <c r="B257" s="127"/>
      <c r="C257" s="127"/>
      <c r="D257" s="127"/>
      <c r="E257" s="127"/>
      <c r="F257" s="76"/>
      <c r="G257" s="127"/>
      <c r="H257" s="127"/>
      <c r="I257" s="126"/>
      <c r="J257" s="126"/>
      <c r="K257" s="126"/>
      <c r="L257" s="71"/>
      <c r="M257" s="123"/>
      <c r="N257" s="123"/>
      <c r="O257" s="123"/>
    </row>
    <row r="258" spans="1:15" s="68" customFormat="1" ht="77.25" customHeight="1" x14ac:dyDescent="0.25">
      <c r="A258" s="120" t="s">
        <v>1549</v>
      </c>
      <c r="B258" s="443" t="s">
        <v>19</v>
      </c>
      <c r="C258" s="207" t="s">
        <v>11</v>
      </c>
      <c r="D258" s="207" t="s">
        <v>31</v>
      </c>
      <c r="E258" s="208" t="s">
        <v>25</v>
      </c>
      <c r="F258" s="85"/>
      <c r="G258" s="127"/>
      <c r="H258" s="132"/>
      <c r="I258" s="132"/>
      <c r="J258" s="132"/>
      <c r="K258" s="132"/>
      <c r="L258" s="79"/>
      <c r="M258" s="123"/>
      <c r="N258" s="123"/>
      <c r="O258" s="123"/>
    </row>
    <row r="259" spans="1:15" s="68" customFormat="1" ht="42" customHeight="1" thickBot="1" x14ac:dyDescent="0.3">
      <c r="A259" s="120"/>
      <c r="B259" s="444"/>
      <c r="C259" s="297">
        <f>+C15</f>
        <v>30</v>
      </c>
      <c r="D259" s="298">
        <f>+Hoja2!F27</f>
        <v>5.4487179487179495E-4</v>
      </c>
      <c r="E259" s="299">
        <f>+D259*C259*(C256+'GASTO AUX '!$G$195+E256)</f>
        <v>9.4622210561338598</v>
      </c>
      <c r="F259" s="116"/>
      <c r="G259" s="127"/>
      <c r="H259" s="128"/>
      <c r="I259" s="149"/>
      <c r="J259" s="146"/>
      <c r="K259" s="157"/>
      <c r="L259" s="96"/>
      <c r="M259" s="123"/>
      <c r="N259" s="123"/>
      <c r="O259" s="123"/>
    </row>
    <row r="260" spans="1:15" s="68" customFormat="1" x14ac:dyDescent="0.25">
      <c r="A260" s="120"/>
      <c r="B260" s="123"/>
      <c r="C260" s="123"/>
      <c r="D260" s="123"/>
      <c r="E260" s="123"/>
      <c r="F260" s="74"/>
      <c r="G260" s="123"/>
      <c r="H260" s="123"/>
      <c r="I260" s="135"/>
      <c r="J260" s="135"/>
      <c r="K260" s="135"/>
      <c r="L260" s="73"/>
      <c r="M260" s="123"/>
      <c r="N260" s="123"/>
      <c r="O260" s="123"/>
    </row>
    <row r="261" spans="1:15" s="68" customFormat="1" x14ac:dyDescent="0.25">
      <c r="A261" s="120"/>
      <c r="B261" s="123"/>
      <c r="C261" s="123"/>
      <c r="D261" s="123"/>
      <c r="E261" s="123"/>
      <c r="F261" s="74"/>
      <c r="G261" s="123"/>
      <c r="H261" s="123"/>
      <c r="I261" s="135"/>
      <c r="J261" s="135"/>
      <c r="K261" s="135"/>
      <c r="L261" s="73"/>
      <c r="M261" s="123"/>
      <c r="N261" s="123"/>
      <c r="O261" s="123"/>
    </row>
    <row r="262" spans="1:15" s="68" customFormat="1" ht="30" customHeight="1" x14ac:dyDescent="0.25">
      <c r="A262" s="120"/>
      <c r="B262" s="198" t="s">
        <v>1540</v>
      </c>
      <c r="C262" s="199">
        <f>+IF(C269&lt;50000,0.16,IF(C269&gt;50000,0.15,))</f>
        <v>0.16</v>
      </c>
      <c r="D262" s="201"/>
      <c r="E262" s="435" t="s">
        <v>1541</v>
      </c>
      <c r="F262" s="435"/>
      <c r="G262" s="435"/>
      <c r="H262" s="200">
        <v>0.13</v>
      </c>
      <c r="I262" s="135"/>
      <c r="J262" s="135"/>
      <c r="K262" s="135"/>
      <c r="L262" s="73"/>
      <c r="M262" s="123"/>
      <c r="N262" s="123"/>
      <c r="O262" s="123"/>
    </row>
    <row r="263" spans="1:15" s="68" customFormat="1" x14ac:dyDescent="0.25">
      <c r="A263" s="120"/>
      <c r="B263" s="123"/>
      <c r="C263" s="123"/>
      <c r="D263" s="123"/>
      <c r="E263" s="123"/>
      <c r="F263" s="74"/>
      <c r="G263" s="123"/>
      <c r="H263" s="123"/>
      <c r="I263" s="135"/>
      <c r="J263" s="135"/>
      <c r="K263" s="135"/>
      <c r="L263" s="73"/>
      <c r="M263" s="123"/>
      <c r="N263" s="123"/>
      <c r="O263" s="123"/>
    </row>
    <row r="264" spans="1:15" s="68" customFormat="1" x14ac:dyDescent="0.25">
      <c r="A264" s="120"/>
      <c r="B264" s="123"/>
      <c r="C264" s="123"/>
      <c r="D264" s="123"/>
      <c r="E264" s="123"/>
      <c r="F264" s="74"/>
      <c r="G264" s="123"/>
      <c r="H264" s="123"/>
      <c r="I264" s="135"/>
      <c r="J264" s="135"/>
      <c r="K264" s="135"/>
      <c r="L264" s="73"/>
      <c r="M264" s="123"/>
      <c r="N264" s="123"/>
      <c r="O264" s="123"/>
    </row>
    <row r="265" spans="1:15" s="68" customFormat="1" x14ac:dyDescent="0.25">
      <c r="A265" s="120"/>
      <c r="B265" s="123"/>
      <c r="C265" s="123"/>
      <c r="D265" s="123"/>
      <c r="E265" s="123"/>
      <c r="F265" s="74"/>
      <c r="G265" s="123"/>
      <c r="H265" s="123"/>
      <c r="I265" s="135"/>
      <c r="J265" s="135"/>
      <c r="K265" s="135"/>
      <c r="L265" s="73"/>
      <c r="M265" s="123"/>
      <c r="N265" s="123"/>
      <c r="O265" s="123"/>
    </row>
    <row r="266" spans="1:15" s="68" customFormat="1" x14ac:dyDescent="0.25">
      <c r="A266" s="120"/>
      <c r="B266" s="123"/>
      <c r="C266" s="123"/>
      <c r="D266" s="123"/>
      <c r="E266" s="123"/>
      <c r="F266" s="74"/>
      <c r="G266" s="123"/>
      <c r="H266" s="123"/>
      <c r="I266" s="135"/>
      <c r="J266" s="135"/>
      <c r="K266" s="135"/>
      <c r="L266" s="73"/>
      <c r="M266" s="123"/>
      <c r="N266" s="123"/>
      <c r="O266" s="123"/>
    </row>
    <row r="267" spans="1:15" s="68" customFormat="1" ht="16.5" thickBot="1" x14ac:dyDescent="0.3">
      <c r="A267" s="123"/>
      <c r="B267" s="123"/>
      <c r="C267" s="123"/>
      <c r="D267" s="123"/>
      <c r="E267" s="123"/>
      <c r="F267" s="74"/>
      <c r="G267" s="123"/>
      <c r="H267" s="123"/>
      <c r="I267" s="135"/>
      <c r="J267" s="135"/>
      <c r="K267" s="135"/>
      <c r="L267" s="73"/>
      <c r="M267" s="123"/>
      <c r="N267" s="123"/>
      <c r="O267" s="123"/>
    </row>
    <row r="268" spans="1:15" s="68" customFormat="1" ht="21" x14ac:dyDescent="0.35">
      <c r="A268" s="296">
        <v>9</v>
      </c>
      <c r="B268" s="203" t="s">
        <v>8</v>
      </c>
      <c r="C268" s="425" t="s">
        <v>8</v>
      </c>
      <c r="D268" s="426"/>
      <c r="E268" s="148"/>
      <c r="F268" s="148"/>
      <c r="G268" s="123"/>
      <c r="H268" s="436" t="s">
        <v>1488</v>
      </c>
      <c r="I268" s="437"/>
      <c r="J268" s="202"/>
      <c r="K268" s="135"/>
      <c r="L268" s="73"/>
      <c r="M268" s="123"/>
      <c r="N268" s="123"/>
      <c r="O268" s="123"/>
    </row>
    <row r="269" spans="1:15" s="68" customFormat="1" ht="27" customHeight="1" x14ac:dyDescent="0.25">
      <c r="A269" s="120"/>
      <c r="B269" s="204" t="s">
        <v>15</v>
      </c>
      <c r="C269" s="427">
        <f>+E259+E256+I251+I244+I237+I229+H23+E184</f>
        <v>500.22936152436137</v>
      </c>
      <c r="D269" s="428"/>
      <c r="E269" s="123"/>
      <c r="F269" s="123"/>
      <c r="G269" s="123"/>
      <c r="H269" s="206" t="s">
        <v>1489</v>
      </c>
      <c r="I269" s="206">
        <f>+'Carta PDF'!F128</f>
        <v>672.92759347920037</v>
      </c>
      <c r="J269" s="135"/>
      <c r="K269" s="123"/>
      <c r="L269" s="97"/>
      <c r="M269" s="123"/>
      <c r="N269" s="123"/>
      <c r="O269" s="123"/>
    </row>
    <row r="270" spans="1:15" s="68" customFormat="1" ht="27" customHeight="1" x14ac:dyDescent="0.25">
      <c r="A270" s="120"/>
      <c r="B270" s="205" t="s">
        <v>1390</v>
      </c>
      <c r="C270" s="433">
        <f>IF(H15="EXTERNO",IF(OR($H$262="",$H$262=0),$C$269*$C$262,$H$262*$C$269),IF(H15="INTERNO",C269,))</f>
        <v>65.029816998166979</v>
      </c>
      <c r="D270" s="434"/>
      <c r="E270" s="123"/>
      <c r="F270" s="123"/>
      <c r="G270" s="123"/>
      <c r="H270" s="206" t="s">
        <v>1490</v>
      </c>
      <c r="I270" s="206">
        <f>+'Carta PDF'!E172</f>
        <v>0</v>
      </c>
      <c r="J270" s="123"/>
      <c r="K270" s="123"/>
      <c r="L270" s="97"/>
      <c r="M270" s="123"/>
      <c r="N270" s="123"/>
      <c r="O270" s="123"/>
    </row>
    <row r="271" spans="1:15" s="68" customFormat="1" ht="27" customHeight="1" x14ac:dyDescent="0.25">
      <c r="A271" s="120"/>
      <c r="B271" s="205" t="s">
        <v>17</v>
      </c>
      <c r="C271" s="427">
        <f>IF(H15="EXTERNO",C270+C269,IF(H15="INTERNO",C269,))</f>
        <v>565.25917852252837</v>
      </c>
      <c r="D271" s="428"/>
      <c r="E271" s="123"/>
      <c r="F271" s="123"/>
      <c r="G271" s="135"/>
      <c r="H271" s="206"/>
      <c r="I271" s="206"/>
      <c r="J271" s="123"/>
      <c r="K271" s="123"/>
      <c r="L271" s="97"/>
      <c r="M271" s="123"/>
      <c r="N271" s="123"/>
      <c r="O271" s="123"/>
    </row>
    <row r="272" spans="1:15" s="68" customFormat="1" ht="27" customHeight="1" thickBot="1" x14ac:dyDescent="0.4">
      <c r="A272" s="120"/>
      <c r="B272" s="179" t="s">
        <v>16</v>
      </c>
      <c r="C272" s="423">
        <f>IF(H15="EXTERNO",C271/0.84,IF(H15="INTERNO",C269))</f>
        <v>672.92759347920048</v>
      </c>
      <c r="D272" s="424"/>
      <c r="E272" s="150"/>
      <c r="F272" s="150"/>
      <c r="G272" s="123"/>
      <c r="H272" s="206" t="s">
        <v>5</v>
      </c>
      <c r="I272" s="206">
        <f>+I269+I270</f>
        <v>672.92759347920037</v>
      </c>
      <c r="J272" s="135"/>
      <c r="K272" s="123"/>
      <c r="L272" s="97"/>
      <c r="M272" s="123"/>
      <c r="N272" s="123"/>
      <c r="O272" s="123"/>
    </row>
    <row r="273" spans="1:15" s="68" customFormat="1" ht="27.75" customHeight="1" x14ac:dyDescent="0.25">
      <c r="A273" s="120"/>
      <c r="B273" s="123"/>
      <c r="C273" s="399" t="str">
        <f>+IF(H262=0,"",IF(H262=0,"",IF(H262&gt;=0.15,"",IF(H262&lt;0.15,"PARA COBRAR ESTE  F.E.E. NESESITA AUTORIZACION "))))</f>
        <v xml:space="preserve">PARA COBRAR ESTE  F.E.E. NESESITA AUTORIZACION </v>
      </c>
      <c r="D273" s="399"/>
      <c r="E273" s="153"/>
      <c r="F273" s="141"/>
      <c r="G273" s="141"/>
      <c r="H273" s="141"/>
      <c r="I273" s="141"/>
      <c r="J273" s="141"/>
      <c r="K273" s="141"/>
      <c r="L273" s="98"/>
      <c r="M273" s="123"/>
      <c r="N273" s="123"/>
      <c r="O273" s="123"/>
    </row>
    <row r="274" spans="1:15" s="68" customFormat="1" ht="27.75" customHeight="1" x14ac:dyDescent="0.25">
      <c r="A274" s="123"/>
      <c r="B274" s="123"/>
      <c r="C274" s="400"/>
      <c r="D274" s="400"/>
      <c r="E274" s="153"/>
      <c r="F274" s="147"/>
      <c r="G274" s="147"/>
      <c r="H274" s="147"/>
      <c r="I274" s="147"/>
      <c r="J274" s="147"/>
      <c r="K274" s="147"/>
      <c r="L274" s="99"/>
      <c r="M274" s="123"/>
      <c r="N274" s="123"/>
      <c r="O274" s="123"/>
    </row>
    <row r="275" spans="1:15" s="68" customFormat="1" ht="27.75" customHeight="1" x14ac:dyDescent="0.25">
      <c r="A275" s="120"/>
      <c r="B275" s="123"/>
      <c r="C275" s="153"/>
      <c r="D275" s="153"/>
      <c r="E275" s="153"/>
      <c r="F275" s="141"/>
      <c r="G275" s="141"/>
      <c r="H275" s="150"/>
      <c r="I275" s="150"/>
      <c r="J275" s="141"/>
      <c r="K275" s="141"/>
      <c r="L275" s="98"/>
      <c r="M275" s="123"/>
      <c r="N275" s="123"/>
      <c r="O275" s="123"/>
    </row>
    <row r="276" spans="1:15" s="68" customFormat="1" ht="27.75" customHeight="1" x14ac:dyDescent="0.25">
      <c r="A276" s="120"/>
      <c r="B276" s="123"/>
      <c r="C276" s="123"/>
      <c r="D276" s="123"/>
      <c r="E276" s="123"/>
      <c r="F276" s="154"/>
      <c r="G276" s="148"/>
      <c r="H276" s="148"/>
      <c r="I276" s="148"/>
      <c r="J276" s="148"/>
      <c r="K276" s="141"/>
      <c r="L276" s="98"/>
      <c r="M276" s="123"/>
      <c r="N276" s="123"/>
      <c r="O276" s="123"/>
    </row>
    <row r="277" spans="1:15" x14ac:dyDescent="0.25">
      <c r="A277" s="119"/>
      <c r="B277" s="220"/>
      <c r="C277" s="220"/>
      <c r="D277" s="220"/>
      <c r="E277" s="220"/>
      <c r="F277" s="220"/>
      <c r="G277" s="220"/>
      <c r="H277" s="220"/>
      <c r="I277" s="220"/>
      <c r="J277" s="220"/>
      <c r="K277" s="220"/>
      <c r="M277" s="220"/>
      <c r="N277" s="220"/>
      <c r="O277" s="220"/>
    </row>
    <row r="278" spans="1:15" x14ac:dyDescent="0.25">
      <c r="A278" s="119"/>
      <c r="B278" s="220"/>
      <c r="C278" s="220"/>
      <c r="D278" s="220"/>
      <c r="E278" s="220"/>
      <c r="F278" s="220"/>
      <c r="G278" s="220"/>
      <c r="H278" s="220"/>
      <c r="I278" s="220"/>
      <c r="J278" s="220"/>
      <c r="K278" s="220"/>
      <c r="M278" s="220"/>
      <c r="N278" s="220"/>
      <c r="O278" s="220"/>
    </row>
    <row r="279" spans="1:15" hidden="1" x14ac:dyDescent="0.25">
      <c r="A279" s="119"/>
      <c r="B279" s="220"/>
      <c r="C279" s="220"/>
      <c r="D279" s="220"/>
      <c r="E279" s="220"/>
      <c r="F279" s="220"/>
      <c r="G279" s="220"/>
      <c r="H279" s="220"/>
      <c r="I279" s="220"/>
      <c r="J279" s="220"/>
      <c r="K279" s="220"/>
      <c r="M279" s="220"/>
      <c r="N279" s="220"/>
      <c r="O279" s="220"/>
    </row>
    <row r="280" spans="1:15" x14ac:dyDescent="0.25">
      <c r="A280" s="119"/>
      <c r="B280" s="220"/>
      <c r="C280" s="220"/>
      <c r="D280" s="220"/>
      <c r="E280" s="220"/>
      <c r="F280" s="220"/>
      <c r="G280" s="220"/>
      <c r="H280" s="220"/>
      <c r="I280" s="220"/>
      <c r="J280" s="220"/>
      <c r="K280" s="220"/>
      <c r="M280" s="220"/>
      <c r="N280" s="220"/>
      <c r="O280" s="220"/>
    </row>
    <row r="281" spans="1:15" x14ac:dyDescent="0.25">
      <c r="A281" s="119"/>
      <c r="B281" s="220"/>
      <c r="C281" s="220"/>
      <c r="D281" s="220"/>
      <c r="E281" s="220"/>
      <c r="F281" s="220"/>
      <c r="G281" s="220"/>
      <c r="H281" s="220"/>
      <c r="I281" s="220"/>
      <c r="J281" s="220"/>
      <c r="K281" s="220"/>
      <c r="M281" s="220"/>
      <c r="N281" s="220"/>
      <c r="O281" s="220"/>
    </row>
    <row r="282" spans="1:15" x14ac:dyDescent="0.25">
      <c r="A282" s="62"/>
    </row>
    <row r="283" spans="1:15" x14ac:dyDescent="0.25">
      <c r="A283" s="62"/>
    </row>
    <row r="284" spans="1:15" x14ac:dyDescent="0.25">
      <c r="A284" s="62"/>
    </row>
  </sheetData>
  <protectedRanges>
    <protectedRange sqref="C253:G253" name="Rango3_1"/>
    <protectedRange sqref="C9 H11 C13 C15 H9 H13 D190:H203 D212:H226 C262 J190:J203 J212:J226 H15 D43 D155:G155 C190:C204 L27 B212:C227 D27:H27 D123:H123 D107:H107 D91:H91 D75:H75 D59:H59 D139:H139 B29:B40 D29:E40 B45:B56 D45:E56 B61:B72 D61:E72 B77:B88 D77:E88 B93:B104 E93:E104 B109:B120 E109:E120 B125:B136 E125:E136 B141:B152 E141:E152 B157:B168 E157:E168 B190:B203" name="Rango3"/>
    <protectedRange sqref="C29:C40 C45:C56 C61:C72 C77:C88 C93:D104 C109:D120 C125:D136 C141:D152 C157:D168" name="Rango4"/>
    <protectedRange sqref="C21:C22" name="Rango4_1"/>
    <protectedRange sqref="C21:C22" name="Rango3_1_1"/>
    <protectedRange sqref="G235:G236 H249:H250 C235:D237 G242:G243 C242:D244 B249:D251 B235:B238 B242:B245" name="Rango3_2"/>
    <protectedRange sqref="C17" name="Rango3_2_1"/>
    <protectedRange sqref="H17" name="Rango3_6"/>
  </protectedRanges>
  <mergeCells count="93">
    <mergeCell ref="C184:D184"/>
    <mergeCell ref="B6:I6"/>
    <mergeCell ref="B7:I7"/>
    <mergeCell ref="G139:H139"/>
    <mergeCell ref="G155:H155"/>
    <mergeCell ref="G43:H43"/>
    <mergeCell ref="G91:H91"/>
    <mergeCell ref="G27:H27"/>
    <mergeCell ref="G59:H59"/>
    <mergeCell ref="G75:H75"/>
    <mergeCell ref="G107:H107"/>
    <mergeCell ref="G123:H123"/>
    <mergeCell ref="D27:E27"/>
    <mergeCell ref="D59:E59"/>
    <mergeCell ref="D75:E75"/>
    <mergeCell ref="C183:D183"/>
    <mergeCell ref="C179:D179"/>
    <mergeCell ref="C180:D180"/>
    <mergeCell ref="C181:D181"/>
    <mergeCell ref="C182:D182"/>
    <mergeCell ref="D91:E91"/>
    <mergeCell ref="D107:E107"/>
    <mergeCell ref="C174:D174"/>
    <mergeCell ref="C175:D175"/>
    <mergeCell ref="C176:D176"/>
    <mergeCell ref="C177:D177"/>
    <mergeCell ref="C178:D178"/>
    <mergeCell ref="J188:L188"/>
    <mergeCell ref="D230:J230"/>
    <mergeCell ref="K230:L230"/>
    <mergeCell ref="C269:D269"/>
    <mergeCell ref="C270:D270"/>
    <mergeCell ref="E262:G262"/>
    <mergeCell ref="H268:I268"/>
    <mergeCell ref="B210:C210"/>
    <mergeCell ref="D210:I210"/>
    <mergeCell ref="B188:C188"/>
    <mergeCell ref="D188:I188"/>
    <mergeCell ref="B255:B256"/>
    <mergeCell ref="B258:B259"/>
    <mergeCell ref="H17:I17"/>
    <mergeCell ref="H13:I13"/>
    <mergeCell ref="H15:I15"/>
    <mergeCell ref="C272:D272"/>
    <mergeCell ref="C268:D268"/>
    <mergeCell ref="C271:D271"/>
    <mergeCell ref="E179:G179"/>
    <mergeCell ref="E180:G180"/>
    <mergeCell ref="E181:G181"/>
    <mergeCell ref="E182:G182"/>
    <mergeCell ref="D123:E123"/>
    <mergeCell ref="D139:E139"/>
    <mergeCell ref="D155:E155"/>
    <mergeCell ref="C171:D171"/>
    <mergeCell ref="C172:D172"/>
    <mergeCell ref="C173:D173"/>
    <mergeCell ref="B26:G26"/>
    <mergeCell ref="C9:D9"/>
    <mergeCell ref="C11:D11"/>
    <mergeCell ref="C13:D13"/>
    <mergeCell ref="F17:G17"/>
    <mergeCell ref="E2:G2"/>
    <mergeCell ref="C273:D274"/>
    <mergeCell ref="B25:G25"/>
    <mergeCell ref="B186:I186"/>
    <mergeCell ref="C238:G238"/>
    <mergeCell ref="B27:B28"/>
    <mergeCell ref="B43:B44"/>
    <mergeCell ref="B59:B60"/>
    <mergeCell ref="B75:B76"/>
    <mergeCell ref="B91:B92"/>
    <mergeCell ref="B107:B108"/>
    <mergeCell ref="B123:B124"/>
    <mergeCell ref="B139:B140"/>
    <mergeCell ref="B155:B156"/>
    <mergeCell ref="B2:B3"/>
    <mergeCell ref="C2:D2"/>
    <mergeCell ref="C3:D3"/>
    <mergeCell ref="B231:I231"/>
    <mergeCell ref="E171:G171"/>
    <mergeCell ref="E172:G172"/>
    <mergeCell ref="E173:G173"/>
    <mergeCell ref="E174:G174"/>
    <mergeCell ref="E175:G175"/>
    <mergeCell ref="E176:G176"/>
    <mergeCell ref="E177:G177"/>
    <mergeCell ref="E178:G178"/>
    <mergeCell ref="E183:G183"/>
    <mergeCell ref="D43:E43"/>
    <mergeCell ref="E184:G184"/>
    <mergeCell ref="E3:G3"/>
    <mergeCell ref="H9:I9"/>
    <mergeCell ref="H11:I11"/>
  </mergeCells>
  <conditionalFormatting sqref="H238">
    <cfRule type="colorScale" priority="13">
      <colorScale>
        <cfvo type="num" val="-1"/>
        <cfvo type="num" val="1"/>
        <color rgb="FFFF0000"/>
        <color rgb="FF00B050"/>
      </colorScale>
    </cfRule>
    <cfRule type="colorScale" priority="14">
      <colorScale>
        <cfvo type="num" val="&quot;&lt;0&quot;"/>
        <cfvo type="num" val="&quot;&gt;0&quot;"/>
        <color rgb="FFF65332"/>
        <color rgb="FF00B050"/>
      </colorScale>
    </cfRule>
    <cfRule type="colorScale" priority="15">
      <colorScale>
        <cfvo type="num" val="&quot;-&quot;"/>
        <cfvo type="num" val="&quot;+&quot;"/>
        <color rgb="FFF65332"/>
        <color rgb="FF00B050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5">
    <cfRule type="colorScale" priority="17">
      <colorScale>
        <cfvo type="num" val="-1"/>
        <cfvo type="num" val="1"/>
        <color rgb="FFFF0000"/>
        <color rgb="FF00B050"/>
      </colorScale>
    </cfRule>
    <cfRule type="colorScale" priority="18">
      <colorScale>
        <cfvo type="num" val="&quot;&lt;0&quot;"/>
        <cfvo type="num" val="&quot;&gt;0&quot;"/>
        <color rgb="FFF65332"/>
        <color rgb="FF00B050"/>
      </colorScale>
    </cfRule>
    <cfRule type="colorScale" priority="19">
      <colorScale>
        <cfvo type="num" val="&quot;-&quot;"/>
        <cfvo type="num" val="&quot;+&quot;"/>
        <color rgb="FFF65332"/>
        <color rgb="FF00B050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4">
    <dataValidation type="list" allowBlank="1" showInputMessage="1" showErrorMessage="1" sqref="C21:C22" xr:uid="{00000000-0002-0000-0000-000000000000}">
      <formula1>"DIAS,HRS"</formula1>
    </dataValidation>
    <dataValidation type="list" allowBlank="1" showInputMessage="1" showErrorMessage="1" sqref="L15 H15" xr:uid="{00000000-0002-0000-0000-000001000000}">
      <formula1>"INTERNO,EXTERNO"</formula1>
    </dataValidation>
    <dataValidation type="list" allowBlank="1" showInputMessage="1" showErrorMessage="1" sqref="C17" xr:uid="{00000000-0002-0000-0000-000002000000}">
      <formula1>"ALVARO VEGA,XIMENA CASSAB,OTROS "</formula1>
    </dataValidation>
    <dataValidation type="list" allowBlank="1" showInputMessage="1" showErrorMessage="1" sqref="H17:I17" xr:uid="{00000000-0002-0000-0000-000003000000}">
      <formula1>"SANTA CRUZ,COCHABAMBA"</formula1>
    </dataValidation>
  </dataValidations>
  <pageMargins left="0.23622047244094491" right="0.23622047244094491" top="0.15748031496062992" bottom="0.15748031496062992" header="0.31496062992125984" footer="0.31496062992125984"/>
  <pageSetup scale="35" orientation="portrait" r:id="rId1"/>
  <drawing r:id="rId2"/>
  <legacyDrawing r:id="rId3"/>
  <controls>
    <mc:AlternateContent xmlns:mc="http://schemas.openxmlformats.org/markup-compatibility/2006">
      <mc:Choice Requires="x14">
        <control shapeId="3173" r:id="rId4" name="CommandButton1">
          <controlPr defaultSize="0" autoLine="0" r:id="rId5">
            <anchor moveWithCells="1">
              <from>
                <xdr:col>8</xdr:col>
                <xdr:colOff>542925</xdr:colOff>
                <xdr:row>0</xdr:row>
                <xdr:rowOff>200025</xdr:rowOff>
              </from>
              <to>
                <xdr:col>8</xdr:col>
                <xdr:colOff>1247775</xdr:colOff>
                <xdr:row>2</xdr:row>
                <xdr:rowOff>190500</xdr:rowOff>
              </to>
            </anchor>
          </controlPr>
        </control>
      </mc:Choice>
      <mc:Fallback>
        <control shapeId="31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4000000}">
          <x14:formula1>
            <xm:f>Hoja2!$H$7:$H$11</xm:f>
          </x14:formula1>
          <xm:sqref>H212:H226</xm:sqref>
        </x14:dataValidation>
        <x14:dataValidation type="list" allowBlank="1" showInputMessage="1" showErrorMessage="1" xr:uid="{00000000-0002-0000-0000-000005000000}">
          <x14:formula1>
            <xm:f>Hoja2!$H$2:$H$5</xm:f>
          </x14:formula1>
          <xm:sqref>H190:H203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B2:P603"/>
  <sheetViews>
    <sheetView workbookViewId="0">
      <selection activeCell="D12" sqref="D12"/>
    </sheetView>
  </sheetViews>
  <sheetFormatPr baseColWidth="10" defaultRowHeight="15" x14ac:dyDescent="0.25"/>
  <cols>
    <col min="2" max="2" width="27.7109375" customWidth="1"/>
    <col min="4" max="4" width="32.28515625" customWidth="1"/>
    <col min="5" max="5" width="14.85546875" customWidth="1"/>
    <col min="16" max="16" width="11.7109375" bestFit="1" customWidth="1"/>
  </cols>
  <sheetData>
    <row r="2" spans="2:16" x14ac:dyDescent="0.25">
      <c r="B2" t="s">
        <v>26</v>
      </c>
      <c r="E2">
        <v>15</v>
      </c>
      <c r="H2" t="s">
        <v>14</v>
      </c>
      <c r="J2" t="s">
        <v>29</v>
      </c>
      <c r="L2" s="2">
        <v>0</v>
      </c>
      <c r="N2" t="s">
        <v>13</v>
      </c>
      <c r="O2">
        <v>1</v>
      </c>
      <c r="P2">
        <v>5</v>
      </c>
    </row>
    <row r="3" spans="2:16" x14ac:dyDescent="0.25">
      <c r="B3" t="s">
        <v>27</v>
      </c>
      <c r="C3" s="16"/>
      <c r="D3">
        <v>120</v>
      </c>
      <c r="E3">
        <v>30</v>
      </c>
      <c r="H3" t="s">
        <v>28</v>
      </c>
      <c r="J3" t="s">
        <v>30</v>
      </c>
      <c r="L3" s="2">
        <v>0.05</v>
      </c>
      <c r="N3" t="s">
        <v>33</v>
      </c>
      <c r="O3">
        <v>1.5</v>
      </c>
    </row>
    <row r="4" spans="2:16" x14ac:dyDescent="0.25">
      <c r="C4" s="17"/>
      <c r="E4">
        <v>45</v>
      </c>
      <c r="H4" t="s">
        <v>18</v>
      </c>
      <c r="L4" s="2">
        <v>0.1</v>
      </c>
      <c r="O4">
        <v>2</v>
      </c>
    </row>
    <row r="5" spans="2:16" x14ac:dyDescent="0.25">
      <c r="E5">
        <v>60</v>
      </c>
      <c r="L5" s="2">
        <v>0.15</v>
      </c>
      <c r="O5">
        <v>2.5</v>
      </c>
    </row>
    <row r="6" spans="2:16" x14ac:dyDescent="0.25">
      <c r="E6">
        <v>75</v>
      </c>
      <c r="L6" s="2">
        <v>0.2</v>
      </c>
      <c r="O6">
        <v>3</v>
      </c>
    </row>
    <row r="7" spans="2:16" x14ac:dyDescent="0.25">
      <c r="E7">
        <v>90</v>
      </c>
      <c r="H7" t="s">
        <v>14</v>
      </c>
      <c r="L7" s="2">
        <v>0.25</v>
      </c>
      <c r="O7">
        <v>3.5</v>
      </c>
    </row>
    <row r="8" spans="2:16" x14ac:dyDescent="0.25">
      <c r="E8">
        <v>120</v>
      </c>
      <c r="H8" t="s">
        <v>1354</v>
      </c>
      <c r="L8" s="2">
        <v>0.3</v>
      </c>
      <c r="O8">
        <v>4</v>
      </c>
    </row>
    <row r="9" spans="2:16" x14ac:dyDescent="0.25">
      <c r="H9" t="s">
        <v>1355</v>
      </c>
      <c r="L9" s="2">
        <v>0.35</v>
      </c>
      <c r="O9">
        <v>4.5</v>
      </c>
    </row>
    <row r="10" spans="2:16" x14ac:dyDescent="0.25">
      <c r="H10" t="s">
        <v>1358</v>
      </c>
      <c r="L10" s="2">
        <v>0.4</v>
      </c>
      <c r="O10">
        <v>5</v>
      </c>
    </row>
    <row r="11" spans="2:16" x14ac:dyDescent="0.25">
      <c r="C11" t="s">
        <v>33</v>
      </c>
      <c r="H11" t="s">
        <v>1357</v>
      </c>
      <c r="L11" s="2">
        <v>0.5</v>
      </c>
      <c r="O11">
        <v>5.5</v>
      </c>
    </row>
    <row r="12" spans="2:16" s="64" customFormat="1" x14ac:dyDescent="0.25">
      <c r="B12" s="64" t="s">
        <v>1508</v>
      </c>
      <c r="C12" s="64">
        <v>26</v>
      </c>
      <c r="D12" s="64">
        <f>+C12*8</f>
        <v>208</v>
      </c>
      <c r="L12" s="2"/>
    </row>
    <row r="13" spans="2:16" s="64" customFormat="1" x14ac:dyDescent="0.25">
      <c r="L13" s="2"/>
    </row>
    <row r="14" spans="2:16" s="64" customFormat="1" x14ac:dyDescent="0.25">
      <c r="L14" s="2"/>
    </row>
    <row r="15" spans="2:16" s="64" customFormat="1" x14ac:dyDescent="0.25">
      <c r="L15" s="2"/>
    </row>
    <row r="16" spans="2:16" s="64" customFormat="1" x14ac:dyDescent="0.25">
      <c r="L16" s="2"/>
    </row>
    <row r="19" spans="2:13" ht="45" x14ac:dyDescent="0.25">
      <c r="B19" s="3" t="s">
        <v>1364</v>
      </c>
      <c r="C19" s="4"/>
      <c r="D19" s="4" t="s">
        <v>1365</v>
      </c>
      <c r="E19" s="4"/>
      <c r="F19" s="4" t="s">
        <v>1366</v>
      </c>
      <c r="G19" s="4" t="s">
        <v>1367</v>
      </c>
      <c r="H19" s="4"/>
      <c r="I19" s="4"/>
      <c r="J19" s="4"/>
      <c r="K19" s="4"/>
    </row>
    <row r="21" spans="2:13" ht="36.75" customHeight="1" x14ac:dyDescent="0.25">
      <c r="B21" s="18">
        <v>12810942.899442106</v>
      </c>
      <c r="C21" s="1"/>
      <c r="D21" s="1">
        <v>2179769.7994421064</v>
      </c>
      <c r="E21" s="18">
        <f>+D21+B21</f>
        <v>14990712.698884213</v>
      </c>
      <c r="F21" s="1">
        <f>+D21/B21</f>
        <v>0.17014905277089568</v>
      </c>
      <c r="G21" s="1">
        <v>0.2</v>
      </c>
      <c r="H21" s="1"/>
      <c r="I21" s="1"/>
      <c r="J21" s="1"/>
      <c r="K21" s="1"/>
    </row>
    <row r="26" spans="2:13" ht="42.75" customHeight="1" x14ac:dyDescent="0.25">
      <c r="B26" s="7" t="s">
        <v>20</v>
      </c>
      <c r="C26" s="7" t="s">
        <v>21</v>
      </c>
      <c r="D26" s="7" t="s">
        <v>22</v>
      </c>
      <c r="E26" s="7" t="s">
        <v>23</v>
      </c>
      <c r="F26" s="7" t="s">
        <v>24</v>
      </c>
    </row>
    <row r="27" spans="2:13" ht="24.75" customHeight="1" x14ac:dyDescent="0.25">
      <c r="B27" s="6">
        <v>0.17</v>
      </c>
      <c r="C27" s="5">
        <v>208</v>
      </c>
      <c r="D27" s="5">
        <f>+C27*12</f>
        <v>2496</v>
      </c>
      <c r="E27" s="9">
        <f>+B27/D27</f>
        <v>6.8108974358974369E-5</v>
      </c>
      <c r="F27" s="8">
        <f>+E27*8</f>
        <v>5.4487179487179495E-4</v>
      </c>
    </row>
    <row r="30" spans="2:13" x14ac:dyDescent="0.25">
      <c r="B30" s="10"/>
      <c r="F30" s="10"/>
    </row>
    <row r="32" spans="2:13" x14ac:dyDescent="0.25">
      <c r="B32" t="str">
        <f>CONCATENATE(C32,"*",D32)</f>
        <v>01*TIGO</v>
      </c>
      <c r="C32" s="11" t="s">
        <v>34</v>
      </c>
      <c r="D32" s="12" t="s">
        <v>35</v>
      </c>
      <c r="F32" t="str">
        <f>CONCATENATE(G32,"*",H32)</f>
        <v>01*PRODUCTOS PUBLICITARIOS PARA CLIENTES</v>
      </c>
      <c r="G32" t="s">
        <v>34</v>
      </c>
      <c r="H32" t="s">
        <v>188</v>
      </c>
      <c r="L32" t="s">
        <v>206</v>
      </c>
      <c r="M32" t="s">
        <v>207</v>
      </c>
    </row>
    <row r="33" spans="2:13" x14ac:dyDescent="0.25">
      <c r="B33" t="str">
        <f t="shared" ref="B33:B96" si="0">CONCATENATE(C33,"*",D33)</f>
        <v>02*UNILEVER</v>
      </c>
      <c r="C33" s="11" t="s">
        <v>36</v>
      </c>
      <c r="D33" s="12" t="s">
        <v>37</v>
      </c>
      <c r="F33" t="str">
        <f t="shared" ref="F33:F96" si="1">CONCATENATE(G33,"*",H33)</f>
        <v>02*EQUIPOS PARA VENTA A CLIENTES</v>
      </c>
      <c r="G33" t="s">
        <v>36</v>
      </c>
      <c r="H33" t="s">
        <v>189</v>
      </c>
      <c r="L33" t="s">
        <v>208</v>
      </c>
      <c r="M33" t="s">
        <v>209</v>
      </c>
    </row>
    <row r="34" spans="2:13" x14ac:dyDescent="0.25">
      <c r="B34" t="str">
        <f t="shared" si="0"/>
        <v>03*ESIKA</v>
      </c>
      <c r="C34" s="11" t="s">
        <v>38</v>
      </c>
      <c r="D34" s="12" t="s">
        <v>39</v>
      </c>
      <c r="F34" t="str">
        <f t="shared" si="1"/>
        <v>03*EVENTOS</v>
      </c>
      <c r="G34" t="s">
        <v>38</v>
      </c>
      <c r="H34" t="s">
        <v>190</v>
      </c>
      <c r="L34" t="s">
        <v>210</v>
      </c>
      <c r="M34" t="s">
        <v>211</v>
      </c>
    </row>
    <row r="35" spans="2:13" x14ac:dyDescent="0.25">
      <c r="B35" t="str">
        <f t="shared" si="0"/>
        <v>04*KIMBERLY</v>
      </c>
      <c r="C35" s="11" t="s">
        <v>40</v>
      </c>
      <c r="D35" s="12" t="s">
        <v>41</v>
      </c>
      <c r="F35" t="str">
        <f t="shared" si="1"/>
        <v>04*FERIAS Y EXPOSICIONES</v>
      </c>
      <c r="G35" t="s">
        <v>40</v>
      </c>
      <c r="H35" t="s">
        <v>191</v>
      </c>
      <c r="L35" t="s">
        <v>212</v>
      </c>
      <c r="M35" t="s">
        <v>213</v>
      </c>
    </row>
    <row r="36" spans="2:13" x14ac:dyDescent="0.25">
      <c r="B36" t="str">
        <f t="shared" si="0"/>
        <v>05*ROBERTO LICHTENFELD</v>
      </c>
      <c r="C36" s="11" t="s">
        <v>42</v>
      </c>
      <c r="D36" s="12" t="s">
        <v>43</v>
      </c>
      <c r="F36" t="str">
        <f t="shared" si="1"/>
        <v>05*AUSPICIOS MENORES</v>
      </c>
      <c r="G36" t="s">
        <v>42</v>
      </c>
      <c r="H36" t="s">
        <v>192</v>
      </c>
      <c r="L36" t="s">
        <v>214</v>
      </c>
      <c r="M36" t="s">
        <v>215</v>
      </c>
    </row>
    <row r="37" spans="2:13" x14ac:dyDescent="0.25">
      <c r="B37" t="str">
        <f t="shared" si="0"/>
        <v>06*TUA CASA</v>
      </c>
      <c r="C37" s="11" t="s">
        <v>44</v>
      </c>
      <c r="D37" s="12" t="s">
        <v>45</v>
      </c>
      <c r="F37" t="str">
        <f t="shared" si="1"/>
        <v>06*SERVICIO DE LOGISTICA Y ARMADO DE IMAGEN</v>
      </c>
      <c r="G37" t="s">
        <v>44</v>
      </c>
      <c r="H37" t="s">
        <v>193</v>
      </c>
      <c r="L37" t="s">
        <v>216</v>
      </c>
      <c r="M37" t="s">
        <v>217</v>
      </c>
    </row>
    <row r="38" spans="2:13" x14ac:dyDescent="0.25">
      <c r="B38" t="str">
        <f t="shared" si="0"/>
        <v>07*GRUPO REGIONAL S.R.L.</v>
      </c>
      <c r="C38" s="11" t="s">
        <v>46</v>
      </c>
      <c r="D38" s="12" t="s">
        <v>47</v>
      </c>
      <c r="F38" t="str">
        <f t="shared" si="1"/>
        <v>07*EVENTOS CINE POP</v>
      </c>
      <c r="G38" t="s">
        <v>46</v>
      </c>
      <c r="H38" t="s">
        <v>194</v>
      </c>
      <c r="L38" t="s">
        <v>218</v>
      </c>
      <c r="M38" t="s">
        <v>219</v>
      </c>
    </row>
    <row r="39" spans="2:13" x14ac:dyDescent="0.25">
      <c r="B39" t="str">
        <f t="shared" si="0"/>
        <v>08*CGM</v>
      </c>
      <c r="C39" s="11" t="s">
        <v>48</v>
      </c>
      <c r="D39" s="12" t="s">
        <v>49</v>
      </c>
      <c r="F39" t="str">
        <f t="shared" si="1"/>
        <v>08*SERVICIOS DE DISEÑO</v>
      </c>
      <c r="G39" t="s">
        <v>48</v>
      </c>
      <c r="H39" t="s">
        <v>195</v>
      </c>
      <c r="L39" t="s">
        <v>220</v>
      </c>
      <c r="M39" t="s">
        <v>221</v>
      </c>
    </row>
    <row r="40" spans="2:13" x14ac:dyDescent="0.25">
      <c r="B40" t="str">
        <f t="shared" si="0"/>
        <v>09*BV FISCALIZADORA</v>
      </c>
      <c r="C40" s="11" t="s">
        <v>50</v>
      </c>
      <c r="D40" s="12" t="s">
        <v>51</v>
      </c>
      <c r="F40" t="str">
        <f t="shared" si="1"/>
        <v>09*SERVICIOS DE PUBLICIDAD</v>
      </c>
      <c r="G40" t="s">
        <v>50</v>
      </c>
      <c r="H40" t="s">
        <v>196</v>
      </c>
      <c r="L40" t="s">
        <v>222</v>
      </c>
      <c r="M40" t="s">
        <v>223</v>
      </c>
    </row>
    <row r="41" spans="2:13" x14ac:dyDescent="0.25">
      <c r="B41" t="str">
        <f t="shared" si="0"/>
        <v>10*E-FECTIVO ESPM S.A.</v>
      </c>
      <c r="C41" s="11" t="s">
        <v>52</v>
      </c>
      <c r="D41" s="12" t="s">
        <v>53</v>
      </c>
      <c r="F41" t="str">
        <f t="shared" si="1"/>
        <v>10*SERVICIO DE ALQUILER</v>
      </c>
      <c r="G41" t="s">
        <v>52</v>
      </c>
      <c r="H41" t="s">
        <v>197</v>
      </c>
      <c r="L41" t="s">
        <v>224</v>
      </c>
      <c r="M41" t="s">
        <v>225</v>
      </c>
    </row>
    <row r="42" spans="2:13" x14ac:dyDescent="0.25">
      <c r="B42" t="str">
        <f t="shared" si="0"/>
        <v>11*FEDERACION BOLIVIANA DE GOLF</v>
      </c>
      <c r="C42" s="11" t="s">
        <v>54</v>
      </c>
      <c r="D42" s="12" t="s">
        <v>55</v>
      </c>
      <c r="F42" t="str">
        <f t="shared" si="1"/>
        <v>11*SERVICIOS VARIOS</v>
      </c>
      <c r="G42" t="s">
        <v>54</v>
      </c>
      <c r="H42" t="s">
        <v>198</v>
      </c>
      <c r="L42" t="s">
        <v>226</v>
      </c>
      <c r="M42" t="s">
        <v>227</v>
      </c>
    </row>
    <row r="43" spans="2:13" x14ac:dyDescent="0.25">
      <c r="B43" t="str">
        <f t="shared" si="0"/>
        <v>12*BASE POPULAR</v>
      </c>
      <c r="C43" s="11" t="s">
        <v>56</v>
      </c>
      <c r="D43" s="12" t="s">
        <v>57</v>
      </c>
      <c r="F43" t="str">
        <f t="shared" si="1"/>
        <v xml:space="preserve">12*BTL IMPULSADORAS </v>
      </c>
      <c r="G43" t="s">
        <v>56</v>
      </c>
      <c r="H43" t="s">
        <v>199</v>
      </c>
      <c r="L43" t="s">
        <v>228</v>
      </c>
      <c r="M43" t="s">
        <v>229</v>
      </c>
    </row>
    <row r="44" spans="2:13" x14ac:dyDescent="0.25">
      <c r="B44" t="str">
        <f t="shared" si="0"/>
        <v>13*CBN</v>
      </c>
      <c r="C44" s="11" t="s">
        <v>58</v>
      </c>
      <c r="D44" s="12" t="s">
        <v>59</v>
      </c>
      <c r="F44" t="str">
        <f t="shared" si="1"/>
        <v xml:space="preserve">13*BTL REGISTRADORAS </v>
      </c>
      <c r="G44" t="s">
        <v>58</v>
      </c>
      <c r="H44" t="s">
        <v>200</v>
      </c>
      <c r="L44" t="s">
        <v>230</v>
      </c>
      <c r="M44" t="s">
        <v>231</v>
      </c>
    </row>
    <row r="45" spans="2:13" x14ac:dyDescent="0.25">
      <c r="B45" t="str">
        <f t="shared" si="0"/>
        <v>14*IMCRUZ</v>
      </c>
      <c r="C45" s="11" t="s">
        <v>60</v>
      </c>
      <c r="D45" s="12" t="s">
        <v>61</v>
      </c>
      <c r="F45" t="str">
        <f t="shared" si="1"/>
        <v>14*ADMINISTRACIÓN</v>
      </c>
      <c r="G45" t="s">
        <v>60</v>
      </c>
      <c r="H45" t="s">
        <v>201</v>
      </c>
      <c r="L45" t="s">
        <v>232</v>
      </c>
      <c r="M45" t="s">
        <v>233</v>
      </c>
    </row>
    <row r="46" spans="2:13" x14ac:dyDescent="0.25">
      <c r="B46" t="str">
        <f t="shared" si="0"/>
        <v>15*MARIO KISEN</v>
      </c>
      <c r="C46" s="11" t="s">
        <v>62</v>
      </c>
      <c r="D46" s="12" t="s">
        <v>63</v>
      </c>
      <c r="F46" t="str">
        <f t="shared" si="1"/>
        <v>15*TERCERIZACION PERSONAL</v>
      </c>
      <c r="G46" t="s">
        <v>62</v>
      </c>
      <c r="H46" t="s">
        <v>202</v>
      </c>
      <c r="L46" t="s">
        <v>234</v>
      </c>
      <c r="M46" t="s">
        <v>235</v>
      </c>
    </row>
    <row r="47" spans="2:13" x14ac:dyDescent="0.25">
      <c r="B47" t="str">
        <f t="shared" si="0"/>
        <v>16*SOFIA LTDA.</v>
      </c>
      <c r="C47" s="11" t="s">
        <v>64</v>
      </c>
      <c r="D47" s="12" t="s">
        <v>65</v>
      </c>
      <c r="F47" t="str">
        <f t="shared" si="1"/>
        <v>16*IMPORTACION PRODUCTOS</v>
      </c>
      <c r="G47" t="s">
        <v>64</v>
      </c>
      <c r="H47" t="s">
        <v>203</v>
      </c>
      <c r="L47" t="s">
        <v>236</v>
      </c>
      <c r="M47" t="s">
        <v>237</v>
      </c>
    </row>
    <row r="48" spans="2:13" x14ac:dyDescent="0.25">
      <c r="B48" t="str">
        <f t="shared" si="0"/>
        <v>17*ALICORP</v>
      </c>
      <c r="C48" s="11" t="s">
        <v>66</v>
      </c>
      <c r="D48" s="12" t="s">
        <v>67</v>
      </c>
      <c r="F48" t="str">
        <f t="shared" si="1"/>
        <v>17*VENTA DE COMIDA</v>
      </c>
      <c r="G48" t="s">
        <v>66</v>
      </c>
      <c r="H48" t="s">
        <v>204</v>
      </c>
      <c r="L48" t="s">
        <v>238</v>
      </c>
      <c r="M48" t="s">
        <v>239</v>
      </c>
    </row>
    <row r="49" spans="2:13" x14ac:dyDescent="0.25">
      <c r="B49" t="str">
        <f t="shared" si="0"/>
        <v>18*D&amp;M</v>
      </c>
      <c r="C49" s="11" t="s">
        <v>68</v>
      </c>
      <c r="D49" s="12" t="s">
        <v>69</v>
      </c>
      <c r="F49" t="str">
        <f t="shared" si="1"/>
        <v>18*SERVICIO DE IMPRESIÓN</v>
      </c>
      <c r="G49" t="s">
        <v>68</v>
      </c>
      <c r="H49" t="s">
        <v>205</v>
      </c>
      <c r="L49" t="s">
        <v>240</v>
      </c>
      <c r="M49" t="s">
        <v>241</v>
      </c>
    </row>
    <row r="50" spans="2:13" x14ac:dyDescent="0.25">
      <c r="B50" t="str">
        <f t="shared" si="0"/>
        <v>19*COMPANEX</v>
      </c>
      <c r="C50" s="11" t="s">
        <v>70</v>
      </c>
      <c r="D50" s="12" t="s">
        <v>71</v>
      </c>
      <c r="F50" t="str">
        <f t="shared" si="1"/>
        <v>19*</v>
      </c>
      <c r="G50" t="s">
        <v>70</v>
      </c>
      <c r="L50" t="s">
        <v>242</v>
      </c>
      <c r="M50" t="s">
        <v>243</v>
      </c>
    </row>
    <row r="51" spans="2:13" x14ac:dyDescent="0.25">
      <c r="B51" t="str">
        <f t="shared" si="0"/>
        <v>20*COMERCIAL IPORRE</v>
      </c>
      <c r="C51" s="11" t="s">
        <v>72</v>
      </c>
      <c r="D51" s="12" t="s">
        <v>73</v>
      </c>
      <c r="F51" t="str">
        <f t="shared" si="1"/>
        <v>20*</v>
      </c>
      <c r="G51" t="s">
        <v>72</v>
      </c>
      <c r="L51" t="s">
        <v>244</v>
      </c>
      <c r="M51" t="s">
        <v>245</v>
      </c>
    </row>
    <row r="52" spans="2:13" x14ac:dyDescent="0.25">
      <c r="B52" t="str">
        <f t="shared" si="0"/>
        <v>21*LUXOR AUTOMOTORS</v>
      </c>
      <c r="C52" s="11" t="s">
        <v>74</v>
      </c>
      <c r="D52" s="12" t="s">
        <v>75</v>
      </c>
      <c r="F52" t="str">
        <f t="shared" si="1"/>
        <v>21*</v>
      </c>
      <c r="G52" t="s">
        <v>74</v>
      </c>
      <c r="L52" t="s">
        <v>246</v>
      </c>
      <c r="M52" t="s">
        <v>247</v>
      </c>
    </row>
    <row r="53" spans="2:13" x14ac:dyDescent="0.25">
      <c r="B53" t="str">
        <f t="shared" si="0"/>
        <v>22*ELIZABETH ZURCO</v>
      </c>
      <c r="C53" s="11" t="s">
        <v>76</v>
      </c>
      <c r="D53" s="12" t="s">
        <v>77</v>
      </c>
      <c r="F53" t="str">
        <f t="shared" si="1"/>
        <v>22*</v>
      </c>
      <c r="G53" t="s">
        <v>76</v>
      </c>
      <c r="L53" t="s">
        <v>248</v>
      </c>
      <c r="M53" t="s">
        <v>249</v>
      </c>
    </row>
    <row r="54" spans="2:13" x14ac:dyDescent="0.25">
      <c r="B54" t="str">
        <f t="shared" si="0"/>
        <v>23*3 M</v>
      </c>
      <c r="C54" s="11" t="s">
        <v>78</v>
      </c>
      <c r="D54" s="12" t="s">
        <v>79</v>
      </c>
      <c r="F54" t="str">
        <f t="shared" si="1"/>
        <v>23*</v>
      </c>
      <c r="G54" t="s">
        <v>78</v>
      </c>
      <c r="L54" t="s">
        <v>250</v>
      </c>
      <c r="M54" t="s">
        <v>251</v>
      </c>
    </row>
    <row r="55" spans="2:13" x14ac:dyDescent="0.25">
      <c r="B55" t="str">
        <f t="shared" si="0"/>
        <v>24*LA HERRADURA</v>
      </c>
      <c r="C55" s="11" t="s">
        <v>80</v>
      </c>
      <c r="D55" s="12" t="s">
        <v>81</v>
      </c>
      <c r="F55" t="str">
        <f t="shared" si="1"/>
        <v>24*</v>
      </c>
      <c r="G55" t="s">
        <v>80</v>
      </c>
      <c r="L55" t="s">
        <v>252</v>
      </c>
      <c r="M55" t="s">
        <v>253</v>
      </c>
    </row>
    <row r="56" spans="2:13" x14ac:dyDescent="0.25">
      <c r="B56" t="str">
        <f t="shared" si="0"/>
        <v>25*RTC PERU</v>
      </c>
      <c r="C56" s="11" t="s">
        <v>82</v>
      </c>
      <c r="D56" s="12" t="s">
        <v>83</v>
      </c>
      <c r="F56" t="str">
        <f t="shared" si="1"/>
        <v>25*</v>
      </c>
      <c r="G56" t="s">
        <v>82</v>
      </c>
      <c r="L56" t="s">
        <v>254</v>
      </c>
      <c r="M56" t="s">
        <v>255</v>
      </c>
    </row>
    <row r="57" spans="2:13" x14ac:dyDescent="0.25">
      <c r="B57" t="str">
        <f t="shared" si="0"/>
        <v>26*PUBLICARTE</v>
      </c>
      <c r="C57" s="11" t="s">
        <v>84</v>
      </c>
      <c r="D57" s="12" t="s">
        <v>85</v>
      </c>
      <c r="F57" t="str">
        <f t="shared" si="1"/>
        <v>26*</v>
      </c>
      <c r="G57" t="s">
        <v>84</v>
      </c>
      <c r="L57" t="s">
        <v>256</v>
      </c>
      <c r="M57" t="s">
        <v>257</v>
      </c>
    </row>
    <row r="58" spans="2:13" x14ac:dyDescent="0.25">
      <c r="B58" t="str">
        <f t="shared" si="0"/>
        <v>27*SACI</v>
      </c>
      <c r="C58" s="11" t="s">
        <v>86</v>
      </c>
      <c r="D58" s="12" t="s">
        <v>87</v>
      </c>
      <c r="F58" t="str">
        <f t="shared" si="1"/>
        <v>27*</v>
      </c>
      <c r="G58" t="s">
        <v>86</v>
      </c>
      <c r="L58" t="s">
        <v>258</v>
      </c>
      <c r="M58" t="s">
        <v>259</v>
      </c>
    </row>
    <row r="59" spans="2:13" x14ac:dyDescent="0.25">
      <c r="B59" t="str">
        <f t="shared" si="0"/>
        <v>28*MADISA</v>
      </c>
      <c r="C59" s="11" t="s">
        <v>88</v>
      </c>
      <c r="D59" s="12" t="s">
        <v>89</v>
      </c>
      <c r="F59" t="str">
        <f t="shared" si="1"/>
        <v>28*</v>
      </c>
      <c r="G59" t="s">
        <v>88</v>
      </c>
      <c r="L59" t="s">
        <v>260</v>
      </c>
      <c r="M59" t="s">
        <v>261</v>
      </c>
    </row>
    <row r="60" spans="2:13" x14ac:dyDescent="0.25">
      <c r="B60" t="str">
        <f t="shared" si="0"/>
        <v>29*GUIDO SALVATIERRA ZABALA</v>
      </c>
      <c r="C60" s="11" t="s">
        <v>90</v>
      </c>
      <c r="D60" s="12" t="s">
        <v>91</v>
      </c>
      <c r="F60" t="str">
        <f t="shared" si="1"/>
        <v>29*</v>
      </c>
      <c r="G60" t="s">
        <v>90</v>
      </c>
      <c r="L60" t="s">
        <v>262</v>
      </c>
      <c r="M60" t="s">
        <v>263</v>
      </c>
    </row>
    <row r="61" spans="2:13" x14ac:dyDescent="0.25">
      <c r="B61" t="str">
        <f t="shared" si="0"/>
        <v>30*CORPORACION HOTELERA TEKA S.A.</v>
      </c>
      <c r="C61" s="11" t="s">
        <v>92</v>
      </c>
      <c r="D61" s="12" t="s">
        <v>93</v>
      </c>
      <c r="F61" t="str">
        <f t="shared" si="1"/>
        <v>30*</v>
      </c>
      <c r="G61" t="s">
        <v>92</v>
      </c>
      <c r="L61" t="s">
        <v>264</v>
      </c>
      <c r="M61" t="s">
        <v>265</v>
      </c>
    </row>
    <row r="62" spans="2:13" x14ac:dyDescent="0.25">
      <c r="B62" t="str">
        <f t="shared" si="0"/>
        <v>31*AUTOS CHERY</v>
      </c>
      <c r="C62" s="11" t="s">
        <v>94</v>
      </c>
      <c r="D62" s="12" t="s">
        <v>95</v>
      </c>
      <c r="F62" t="str">
        <f t="shared" si="1"/>
        <v>31*</v>
      </c>
      <c r="G62" t="s">
        <v>94</v>
      </c>
      <c r="L62" t="s">
        <v>266</v>
      </c>
      <c r="M62" t="s">
        <v>267</v>
      </c>
    </row>
    <row r="63" spans="2:13" x14ac:dyDescent="0.25">
      <c r="B63" t="str">
        <f t="shared" si="0"/>
        <v>32*ASTRIX</v>
      </c>
      <c r="C63" s="11" t="s">
        <v>96</v>
      </c>
      <c r="D63" s="12" t="s">
        <v>97</v>
      </c>
      <c r="F63" t="str">
        <f t="shared" si="1"/>
        <v>32*</v>
      </c>
      <c r="G63" t="s">
        <v>96</v>
      </c>
      <c r="L63" t="s">
        <v>268</v>
      </c>
      <c r="M63" t="s">
        <v>269</v>
      </c>
    </row>
    <row r="64" spans="2:13" x14ac:dyDescent="0.25">
      <c r="B64" t="str">
        <f t="shared" si="0"/>
        <v>33*NESTLE</v>
      </c>
      <c r="C64" s="11" t="s">
        <v>98</v>
      </c>
      <c r="D64" s="12" t="s">
        <v>99</v>
      </c>
      <c r="F64" t="str">
        <f t="shared" si="1"/>
        <v>33*</v>
      </c>
      <c r="G64" t="s">
        <v>98</v>
      </c>
      <c r="L64" t="s">
        <v>270</v>
      </c>
      <c r="M64" t="s">
        <v>271</v>
      </c>
    </row>
    <row r="65" spans="2:13" x14ac:dyDescent="0.25">
      <c r="B65" t="str">
        <f t="shared" si="0"/>
        <v>34*IASA</v>
      </c>
      <c r="C65" s="11" t="s">
        <v>100</v>
      </c>
      <c r="D65" s="12" t="s">
        <v>101</v>
      </c>
      <c r="F65" t="str">
        <f t="shared" si="1"/>
        <v>34*</v>
      </c>
      <c r="G65" t="s">
        <v>100</v>
      </c>
      <c r="L65" t="s">
        <v>272</v>
      </c>
      <c r="M65" t="s">
        <v>273</v>
      </c>
    </row>
    <row r="66" spans="2:13" x14ac:dyDescent="0.25">
      <c r="B66" t="str">
        <f t="shared" si="0"/>
        <v>35*FAGAL</v>
      </c>
      <c r="C66" s="11" t="s">
        <v>102</v>
      </c>
      <c r="D66" s="13" t="s">
        <v>103</v>
      </c>
      <c r="F66" t="str">
        <f t="shared" si="1"/>
        <v>35*</v>
      </c>
      <c r="G66" t="s">
        <v>102</v>
      </c>
      <c r="L66" t="s">
        <v>274</v>
      </c>
      <c r="M66" t="s">
        <v>275</v>
      </c>
    </row>
    <row r="67" spans="2:13" x14ac:dyDescent="0.25">
      <c r="B67" t="str">
        <f t="shared" si="0"/>
        <v>36*FONDO DE LA COMUNIDAD</v>
      </c>
      <c r="C67" s="11" t="s">
        <v>104</v>
      </c>
      <c r="D67" s="13" t="s">
        <v>105</v>
      </c>
      <c r="F67" t="str">
        <f t="shared" si="1"/>
        <v>36*</v>
      </c>
      <c r="G67" t="s">
        <v>104</v>
      </c>
      <c r="L67" t="s">
        <v>276</v>
      </c>
      <c r="M67" t="s">
        <v>277</v>
      </c>
    </row>
    <row r="68" spans="2:13" x14ac:dyDescent="0.25">
      <c r="B68" t="str">
        <f t="shared" si="0"/>
        <v>37*BATA</v>
      </c>
      <c r="C68" s="11" t="s">
        <v>106</v>
      </c>
      <c r="D68" s="13" t="s">
        <v>107</v>
      </c>
      <c r="F68" t="str">
        <f t="shared" si="1"/>
        <v>37*</v>
      </c>
      <c r="G68" t="s">
        <v>106</v>
      </c>
      <c r="L68" t="s">
        <v>278</v>
      </c>
      <c r="M68" t="s">
        <v>279</v>
      </c>
    </row>
    <row r="69" spans="2:13" x14ac:dyDescent="0.25">
      <c r="B69" t="str">
        <f t="shared" si="0"/>
        <v>38*ARCOR</v>
      </c>
      <c r="C69" s="11" t="s">
        <v>108</v>
      </c>
      <c r="D69" s="13" t="s">
        <v>32</v>
      </c>
      <c r="F69" t="str">
        <f t="shared" si="1"/>
        <v>38*</v>
      </c>
      <c r="G69" t="s">
        <v>108</v>
      </c>
      <c r="L69" t="s">
        <v>280</v>
      </c>
      <c r="M69" t="s">
        <v>281</v>
      </c>
    </row>
    <row r="70" spans="2:13" ht="30" x14ac:dyDescent="0.25">
      <c r="B70" t="str">
        <f t="shared" si="0"/>
        <v>39*CONSTRUCTORA COMERCIAL ARAUCARIA SRL</v>
      </c>
      <c r="C70" s="11" t="s">
        <v>109</v>
      </c>
      <c r="D70" s="13" t="s">
        <v>110</v>
      </c>
      <c r="F70" t="str">
        <f t="shared" si="1"/>
        <v>39*</v>
      </c>
      <c r="G70" t="s">
        <v>109</v>
      </c>
      <c r="L70" t="s">
        <v>282</v>
      </c>
      <c r="M70" t="s">
        <v>283</v>
      </c>
    </row>
    <row r="71" spans="2:13" ht="30" x14ac:dyDescent="0.25">
      <c r="B71" t="str">
        <f t="shared" si="0"/>
        <v>40*PROYECTOS INMOBILIARIOS EL DORAL S.A.</v>
      </c>
      <c r="C71" s="11" t="s">
        <v>111</v>
      </c>
      <c r="D71" s="13" t="s">
        <v>112</v>
      </c>
      <c r="F71" t="str">
        <f t="shared" si="1"/>
        <v>40*</v>
      </c>
      <c r="G71" t="s">
        <v>111</v>
      </c>
      <c r="L71" t="s">
        <v>284</v>
      </c>
      <c r="M71" t="s">
        <v>285</v>
      </c>
    </row>
    <row r="72" spans="2:13" x14ac:dyDescent="0.25">
      <c r="B72" t="str">
        <f t="shared" si="0"/>
        <v>41*CIMAL</v>
      </c>
      <c r="C72" s="11" t="s">
        <v>113</v>
      </c>
      <c r="D72" s="13" t="s">
        <v>114</v>
      </c>
      <c r="F72" t="str">
        <f t="shared" si="1"/>
        <v>41*</v>
      </c>
      <c r="G72" t="s">
        <v>113</v>
      </c>
      <c r="L72" t="s">
        <v>286</v>
      </c>
      <c r="M72" t="s">
        <v>287</v>
      </c>
    </row>
    <row r="73" spans="2:13" x14ac:dyDescent="0.25">
      <c r="B73" t="str">
        <f t="shared" si="0"/>
        <v>42*IMCRUZ</v>
      </c>
      <c r="C73" s="11" t="s">
        <v>115</v>
      </c>
      <c r="D73" s="13" t="s">
        <v>61</v>
      </c>
      <c r="F73" t="str">
        <f t="shared" si="1"/>
        <v>42*</v>
      </c>
      <c r="G73" t="s">
        <v>115</v>
      </c>
      <c r="L73" t="s">
        <v>288</v>
      </c>
      <c r="M73" t="s">
        <v>289</v>
      </c>
    </row>
    <row r="74" spans="2:13" x14ac:dyDescent="0.25">
      <c r="B74" t="str">
        <f t="shared" si="0"/>
        <v>43*FACTORY</v>
      </c>
      <c r="C74" s="11" t="s">
        <v>116</v>
      </c>
      <c r="D74" s="13" t="s">
        <v>117</v>
      </c>
      <c r="F74" t="str">
        <f t="shared" si="1"/>
        <v>43*</v>
      </c>
      <c r="G74" t="s">
        <v>116</v>
      </c>
      <c r="L74" t="s">
        <v>290</v>
      </c>
      <c r="M74" t="s">
        <v>291</v>
      </c>
    </row>
    <row r="75" spans="2:13" x14ac:dyDescent="0.25">
      <c r="B75" t="str">
        <f t="shared" si="0"/>
        <v>44*QUALITAT Y CAVO</v>
      </c>
      <c r="C75" s="11" t="s">
        <v>118</v>
      </c>
      <c r="D75" s="13" t="s">
        <v>119</v>
      </c>
      <c r="F75" t="str">
        <f t="shared" si="1"/>
        <v>44*</v>
      </c>
      <c r="G75" t="s">
        <v>118</v>
      </c>
      <c r="L75" t="s">
        <v>292</v>
      </c>
      <c r="M75" t="s">
        <v>293</v>
      </c>
    </row>
    <row r="76" spans="2:13" x14ac:dyDescent="0.25">
      <c r="B76" t="str">
        <f t="shared" si="0"/>
        <v>45*BELLCOS S.A.</v>
      </c>
      <c r="C76" s="11" t="s">
        <v>120</v>
      </c>
      <c r="D76" s="13" t="s">
        <v>121</v>
      </c>
      <c r="F76" t="str">
        <f t="shared" si="1"/>
        <v>45*</v>
      </c>
      <c r="G76" t="s">
        <v>120</v>
      </c>
      <c r="L76" t="s">
        <v>294</v>
      </c>
      <c r="M76" t="s">
        <v>295</v>
      </c>
    </row>
    <row r="77" spans="2:13" x14ac:dyDescent="0.25">
      <c r="B77" t="str">
        <f t="shared" si="0"/>
        <v>46*FANABOL S.R.L</v>
      </c>
      <c r="C77" s="11" t="s">
        <v>122</v>
      </c>
      <c r="D77" s="13" t="s">
        <v>123</v>
      </c>
      <c r="F77" t="str">
        <f t="shared" si="1"/>
        <v>46*</v>
      </c>
      <c r="G77" t="s">
        <v>122</v>
      </c>
      <c r="L77" t="s">
        <v>296</v>
      </c>
      <c r="M77" t="s">
        <v>297</v>
      </c>
    </row>
    <row r="78" spans="2:13" x14ac:dyDescent="0.25">
      <c r="B78" t="str">
        <f t="shared" si="0"/>
        <v>47*RELEVANT COMMS LTDA.</v>
      </c>
      <c r="C78" s="11" t="s">
        <v>124</v>
      </c>
      <c r="D78" s="13" t="s">
        <v>125</v>
      </c>
      <c r="F78" t="str">
        <f t="shared" si="1"/>
        <v>47*</v>
      </c>
      <c r="G78" t="s">
        <v>124</v>
      </c>
      <c r="L78" t="s">
        <v>298</v>
      </c>
      <c r="M78" t="s">
        <v>299</v>
      </c>
    </row>
    <row r="79" spans="2:13" x14ac:dyDescent="0.25">
      <c r="B79" t="str">
        <f t="shared" si="0"/>
        <v>48*BNB</v>
      </c>
      <c r="C79" s="11" t="s">
        <v>126</v>
      </c>
      <c r="D79" s="13" t="s">
        <v>127</v>
      </c>
      <c r="F79" t="str">
        <f t="shared" si="1"/>
        <v>48*</v>
      </c>
      <c r="G79" t="s">
        <v>126</v>
      </c>
      <c r="L79" t="s">
        <v>300</v>
      </c>
      <c r="M79" t="s">
        <v>301</v>
      </c>
    </row>
    <row r="80" spans="2:13" x14ac:dyDescent="0.25">
      <c r="B80" t="str">
        <f t="shared" si="0"/>
        <v>49*RIVERO</v>
      </c>
      <c r="C80" s="11" t="s">
        <v>128</v>
      </c>
      <c r="D80" s="13" t="s">
        <v>129</v>
      </c>
      <c r="F80" t="str">
        <f t="shared" si="1"/>
        <v>49*</v>
      </c>
      <c r="G80" t="s">
        <v>128</v>
      </c>
      <c r="L80" t="s">
        <v>302</v>
      </c>
      <c r="M80" t="s">
        <v>303</v>
      </c>
    </row>
    <row r="81" spans="2:13" x14ac:dyDescent="0.25">
      <c r="B81" t="str">
        <f t="shared" si="0"/>
        <v>50*OLIVA</v>
      </c>
      <c r="C81" s="11" t="s">
        <v>130</v>
      </c>
      <c r="D81" s="13" t="s">
        <v>131</v>
      </c>
      <c r="F81" t="str">
        <f t="shared" si="1"/>
        <v>50*</v>
      </c>
      <c r="G81" t="s">
        <v>130</v>
      </c>
      <c r="L81" t="s">
        <v>304</v>
      </c>
      <c r="M81" t="s">
        <v>305</v>
      </c>
    </row>
    <row r="82" spans="2:13" x14ac:dyDescent="0.25">
      <c r="B82" t="str">
        <f t="shared" si="0"/>
        <v>51*BUGGY</v>
      </c>
      <c r="C82" s="11" t="s">
        <v>132</v>
      </c>
      <c r="D82" s="13" t="s">
        <v>133</v>
      </c>
      <c r="F82" t="str">
        <f t="shared" si="1"/>
        <v>51*</v>
      </c>
      <c r="G82" t="s">
        <v>132</v>
      </c>
      <c r="L82" t="s">
        <v>306</v>
      </c>
      <c r="M82" t="s">
        <v>307</v>
      </c>
    </row>
    <row r="83" spans="2:13" x14ac:dyDescent="0.25">
      <c r="B83" t="str">
        <f t="shared" si="0"/>
        <v>52*GALINDO</v>
      </c>
      <c r="C83" s="11" t="s">
        <v>134</v>
      </c>
      <c r="D83" s="13" t="s">
        <v>135</v>
      </c>
      <c r="F83" t="str">
        <f t="shared" si="1"/>
        <v>52*</v>
      </c>
      <c r="G83" t="s">
        <v>134</v>
      </c>
      <c r="L83" t="s">
        <v>308</v>
      </c>
      <c r="M83" t="s">
        <v>309</v>
      </c>
    </row>
    <row r="84" spans="2:13" x14ac:dyDescent="0.25">
      <c r="B84" t="str">
        <f t="shared" si="0"/>
        <v>53*EL CORTIJO</v>
      </c>
      <c r="C84" s="11" t="s">
        <v>136</v>
      </c>
      <c r="D84" s="13" t="s">
        <v>137</v>
      </c>
      <c r="F84" t="str">
        <f t="shared" si="1"/>
        <v>53*</v>
      </c>
      <c r="G84" t="s">
        <v>136</v>
      </c>
      <c r="L84" t="s">
        <v>310</v>
      </c>
      <c r="M84" t="s">
        <v>311</v>
      </c>
    </row>
    <row r="85" spans="2:13" x14ac:dyDescent="0.25">
      <c r="B85" t="str">
        <f t="shared" si="0"/>
        <v>54*ROJAS</v>
      </c>
      <c r="C85" s="11" t="s">
        <v>138</v>
      </c>
      <c r="D85" s="13" t="s">
        <v>139</v>
      </c>
      <c r="F85" t="str">
        <f t="shared" si="1"/>
        <v>54*</v>
      </c>
      <c r="G85" t="s">
        <v>138</v>
      </c>
      <c r="L85" t="s">
        <v>312</v>
      </c>
      <c r="M85" t="s">
        <v>313</v>
      </c>
    </row>
    <row r="86" spans="2:13" x14ac:dyDescent="0.25">
      <c r="B86" t="str">
        <f t="shared" si="0"/>
        <v>55*TROPICAL TOURS LTDA.</v>
      </c>
      <c r="C86" s="11" t="s">
        <v>140</v>
      </c>
      <c r="D86" s="13" t="s">
        <v>141</v>
      </c>
      <c r="F86" t="str">
        <f t="shared" si="1"/>
        <v>55*</v>
      </c>
      <c r="G86" t="s">
        <v>140</v>
      </c>
      <c r="L86" t="s">
        <v>314</v>
      </c>
      <c r="M86" t="s">
        <v>315</v>
      </c>
    </row>
    <row r="87" spans="2:13" x14ac:dyDescent="0.25">
      <c r="B87" t="str">
        <f t="shared" si="0"/>
        <v>56*</v>
      </c>
      <c r="C87" s="11" t="s">
        <v>142</v>
      </c>
      <c r="D87" s="14"/>
      <c r="F87" t="str">
        <f t="shared" si="1"/>
        <v>56*</v>
      </c>
      <c r="G87" t="s">
        <v>142</v>
      </c>
      <c r="L87" t="s">
        <v>316</v>
      </c>
      <c r="M87" t="s">
        <v>317</v>
      </c>
    </row>
    <row r="88" spans="2:13" x14ac:dyDescent="0.25">
      <c r="B88" t="str">
        <f t="shared" si="0"/>
        <v>57*</v>
      </c>
      <c r="C88" s="11" t="s">
        <v>143</v>
      </c>
      <c r="D88" s="14"/>
      <c r="F88" t="str">
        <f t="shared" si="1"/>
        <v>57*</v>
      </c>
      <c r="G88" t="s">
        <v>143</v>
      </c>
      <c r="L88" t="s">
        <v>318</v>
      </c>
      <c r="M88" t="s">
        <v>319</v>
      </c>
    </row>
    <row r="89" spans="2:13" x14ac:dyDescent="0.25">
      <c r="B89" t="str">
        <f t="shared" si="0"/>
        <v>58*</v>
      </c>
      <c r="C89" s="11" t="s">
        <v>144</v>
      </c>
      <c r="D89" s="14"/>
      <c r="F89" t="str">
        <f t="shared" si="1"/>
        <v>58*</v>
      </c>
      <c r="G89" t="s">
        <v>144</v>
      </c>
      <c r="L89" t="s">
        <v>320</v>
      </c>
      <c r="M89" t="s">
        <v>321</v>
      </c>
    </row>
    <row r="90" spans="2:13" x14ac:dyDescent="0.25">
      <c r="B90" t="str">
        <f t="shared" si="0"/>
        <v>59*</v>
      </c>
      <c r="C90" s="11" t="s">
        <v>145</v>
      </c>
      <c r="D90" s="14"/>
      <c r="F90" t="str">
        <f t="shared" si="1"/>
        <v>59*</v>
      </c>
      <c r="G90" t="s">
        <v>145</v>
      </c>
      <c r="L90" t="s">
        <v>322</v>
      </c>
      <c r="M90" t="s">
        <v>323</v>
      </c>
    </row>
    <row r="91" spans="2:13" x14ac:dyDescent="0.25">
      <c r="B91" t="str">
        <f t="shared" si="0"/>
        <v>60*</v>
      </c>
      <c r="C91" s="11" t="s">
        <v>146</v>
      </c>
      <c r="D91" s="14"/>
      <c r="F91" t="str">
        <f t="shared" si="1"/>
        <v>60*</v>
      </c>
      <c r="G91" t="s">
        <v>146</v>
      </c>
      <c r="L91" t="s">
        <v>324</v>
      </c>
      <c r="M91" t="s">
        <v>325</v>
      </c>
    </row>
    <row r="92" spans="2:13" x14ac:dyDescent="0.25">
      <c r="B92" t="str">
        <f t="shared" si="0"/>
        <v>61*</v>
      </c>
      <c r="C92" s="11" t="s">
        <v>147</v>
      </c>
      <c r="D92" s="14"/>
      <c r="F92" t="str">
        <f t="shared" si="1"/>
        <v>61*</v>
      </c>
      <c r="G92" t="s">
        <v>147</v>
      </c>
      <c r="L92" t="s">
        <v>326</v>
      </c>
      <c r="M92" t="s">
        <v>327</v>
      </c>
    </row>
    <row r="93" spans="2:13" x14ac:dyDescent="0.25">
      <c r="B93" t="str">
        <f t="shared" si="0"/>
        <v>62*</v>
      </c>
      <c r="C93" s="11" t="s">
        <v>148</v>
      </c>
      <c r="D93" s="14"/>
      <c r="F93" t="str">
        <f t="shared" si="1"/>
        <v>62*</v>
      </c>
      <c r="G93" t="s">
        <v>148</v>
      </c>
      <c r="L93" t="s">
        <v>328</v>
      </c>
      <c r="M93" t="s">
        <v>329</v>
      </c>
    </row>
    <row r="94" spans="2:13" x14ac:dyDescent="0.25">
      <c r="B94" t="str">
        <f t="shared" si="0"/>
        <v>63*</v>
      </c>
      <c r="C94" s="11" t="s">
        <v>149</v>
      </c>
      <c r="D94" s="14"/>
      <c r="F94" t="str">
        <f t="shared" si="1"/>
        <v>63*</v>
      </c>
      <c r="G94" t="s">
        <v>149</v>
      </c>
      <c r="L94" t="s">
        <v>330</v>
      </c>
      <c r="M94" t="s">
        <v>331</v>
      </c>
    </row>
    <row r="95" spans="2:13" x14ac:dyDescent="0.25">
      <c r="B95" t="str">
        <f t="shared" si="0"/>
        <v>64*</v>
      </c>
      <c r="C95" s="11" t="s">
        <v>150</v>
      </c>
      <c r="D95" s="14"/>
      <c r="F95" t="str">
        <f t="shared" si="1"/>
        <v>64*</v>
      </c>
      <c r="G95" t="s">
        <v>150</v>
      </c>
      <c r="L95" t="s">
        <v>332</v>
      </c>
      <c r="M95" t="s">
        <v>333</v>
      </c>
    </row>
    <row r="96" spans="2:13" x14ac:dyDescent="0.25">
      <c r="B96" t="str">
        <f t="shared" si="0"/>
        <v>65*</v>
      </c>
      <c r="C96" s="11" t="s">
        <v>151</v>
      </c>
      <c r="D96" s="14"/>
      <c r="F96" t="str">
        <f t="shared" si="1"/>
        <v>65*</v>
      </c>
      <c r="G96" t="s">
        <v>151</v>
      </c>
      <c r="L96" t="s">
        <v>334</v>
      </c>
      <c r="M96" t="s">
        <v>335</v>
      </c>
    </row>
    <row r="97" spans="2:13" x14ac:dyDescent="0.25">
      <c r="B97" t="str">
        <f t="shared" ref="B97:B131" si="2">CONCATENATE(C97,"*",D97)</f>
        <v>66*</v>
      </c>
      <c r="C97" s="11" t="s">
        <v>152</v>
      </c>
      <c r="D97" s="14"/>
      <c r="F97" t="str">
        <f t="shared" ref="F97:F131" si="3">CONCATENATE(G97,"*",H97)</f>
        <v>66*</v>
      </c>
      <c r="G97" t="s">
        <v>152</v>
      </c>
      <c r="L97" t="s">
        <v>336</v>
      </c>
      <c r="M97" t="s">
        <v>337</v>
      </c>
    </row>
    <row r="98" spans="2:13" x14ac:dyDescent="0.25">
      <c r="B98" t="str">
        <f t="shared" si="2"/>
        <v>67*</v>
      </c>
      <c r="C98" s="11" t="s">
        <v>153</v>
      </c>
      <c r="D98" s="14"/>
      <c r="F98" t="str">
        <f t="shared" si="3"/>
        <v>67*</v>
      </c>
      <c r="G98" t="s">
        <v>153</v>
      </c>
      <c r="L98" t="s">
        <v>338</v>
      </c>
      <c r="M98" t="s">
        <v>339</v>
      </c>
    </row>
    <row r="99" spans="2:13" x14ac:dyDescent="0.25">
      <c r="B99" t="str">
        <f t="shared" si="2"/>
        <v>68*</v>
      </c>
      <c r="C99" s="11" t="s">
        <v>154</v>
      </c>
      <c r="D99" s="14"/>
      <c r="F99" t="str">
        <f t="shared" si="3"/>
        <v>68*</v>
      </c>
      <c r="G99" t="s">
        <v>154</v>
      </c>
      <c r="L99" t="s">
        <v>340</v>
      </c>
      <c r="M99" t="s">
        <v>341</v>
      </c>
    </row>
    <row r="100" spans="2:13" x14ac:dyDescent="0.25">
      <c r="B100" t="str">
        <f t="shared" si="2"/>
        <v>69*</v>
      </c>
      <c r="C100" s="11" t="s">
        <v>155</v>
      </c>
      <c r="D100" s="14"/>
      <c r="F100" t="str">
        <f t="shared" si="3"/>
        <v>69*</v>
      </c>
      <c r="G100" t="s">
        <v>155</v>
      </c>
      <c r="L100" t="s">
        <v>342</v>
      </c>
      <c r="M100" t="s">
        <v>343</v>
      </c>
    </row>
    <row r="101" spans="2:13" x14ac:dyDescent="0.25">
      <c r="B101" t="str">
        <f t="shared" si="2"/>
        <v>70*</v>
      </c>
      <c r="C101" s="11" t="s">
        <v>156</v>
      </c>
      <c r="D101" s="14"/>
      <c r="F101" t="str">
        <f t="shared" si="3"/>
        <v>70*</v>
      </c>
      <c r="G101" t="s">
        <v>156</v>
      </c>
      <c r="L101" t="s">
        <v>344</v>
      </c>
      <c r="M101" t="s">
        <v>345</v>
      </c>
    </row>
    <row r="102" spans="2:13" x14ac:dyDescent="0.25">
      <c r="B102" t="str">
        <f t="shared" si="2"/>
        <v>71*</v>
      </c>
      <c r="C102" s="11" t="s">
        <v>157</v>
      </c>
      <c r="D102" s="14"/>
      <c r="F102" t="str">
        <f t="shared" si="3"/>
        <v>71*</v>
      </c>
      <c r="G102" t="s">
        <v>157</v>
      </c>
      <c r="L102" t="s">
        <v>346</v>
      </c>
      <c r="M102" t="s">
        <v>347</v>
      </c>
    </row>
    <row r="103" spans="2:13" x14ac:dyDescent="0.25">
      <c r="B103" t="str">
        <f t="shared" si="2"/>
        <v>72*</v>
      </c>
      <c r="C103" s="11" t="s">
        <v>158</v>
      </c>
      <c r="D103" s="14"/>
      <c r="F103" t="str">
        <f t="shared" si="3"/>
        <v>72*</v>
      </c>
      <c r="G103" t="s">
        <v>158</v>
      </c>
      <c r="L103" t="s">
        <v>348</v>
      </c>
      <c r="M103" t="s">
        <v>349</v>
      </c>
    </row>
    <row r="104" spans="2:13" x14ac:dyDescent="0.25">
      <c r="B104" t="str">
        <f t="shared" si="2"/>
        <v>73*</v>
      </c>
      <c r="C104" s="11" t="s">
        <v>159</v>
      </c>
      <c r="D104" s="14"/>
      <c r="F104" t="str">
        <f t="shared" si="3"/>
        <v>73*</v>
      </c>
      <c r="G104" t="s">
        <v>159</v>
      </c>
      <c r="L104" t="s">
        <v>350</v>
      </c>
      <c r="M104" t="s">
        <v>351</v>
      </c>
    </row>
    <row r="105" spans="2:13" x14ac:dyDescent="0.25">
      <c r="B105" t="str">
        <f t="shared" si="2"/>
        <v>74*</v>
      </c>
      <c r="C105" s="11" t="s">
        <v>160</v>
      </c>
      <c r="D105" s="14"/>
      <c r="F105" t="str">
        <f t="shared" si="3"/>
        <v>74*</v>
      </c>
      <c r="G105" t="s">
        <v>160</v>
      </c>
      <c r="L105" t="s">
        <v>352</v>
      </c>
      <c r="M105" t="s">
        <v>353</v>
      </c>
    </row>
    <row r="106" spans="2:13" x14ac:dyDescent="0.25">
      <c r="B106" t="str">
        <f t="shared" si="2"/>
        <v>75*</v>
      </c>
      <c r="C106" s="11" t="s">
        <v>161</v>
      </c>
      <c r="D106" s="14"/>
      <c r="F106" t="str">
        <f t="shared" si="3"/>
        <v>75*</v>
      </c>
      <c r="G106" t="s">
        <v>161</v>
      </c>
      <c r="L106" t="s">
        <v>354</v>
      </c>
      <c r="M106" t="s">
        <v>355</v>
      </c>
    </row>
    <row r="107" spans="2:13" x14ac:dyDescent="0.25">
      <c r="B107" t="str">
        <f t="shared" si="2"/>
        <v>76*</v>
      </c>
      <c r="C107" s="11" t="s">
        <v>162</v>
      </c>
      <c r="D107" s="14"/>
      <c r="F107" t="str">
        <f t="shared" si="3"/>
        <v>76*</v>
      </c>
      <c r="G107" t="s">
        <v>162</v>
      </c>
      <c r="L107" t="s">
        <v>356</v>
      </c>
      <c r="M107" t="s">
        <v>357</v>
      </c>
    </row>
    <row r="108" spans="2:13" x14ac:dyDescent="0.25">
      <c r="B108" t="str">
        <f t="shared" si="2"/>
        <v>77*</v>
      </c>
      <c r="C108" s="11" t="s">
        <v>163</v>
      </c>
      <c r="D108" s="14"/>
      <c r="F108" t="str">
        <f t="shared" si="3"/>
        <v>77*</v>
      </c>
      <c r="G108" t="s">
        <v>163</v>
      </c>
      <c r="L108" t="s">
        <v>358</v>
      </c>
      <c r="M108" t="s">
        <v>359</v>
      </c>
    </row>
    <row r="109" spans="2:13" x14ac:dyDescent="0.25">
      <c r="B109" t="str">
        <f t="shared" si="2"/>
        <v>78*</v>
      </c>
      <c r="C109" s="11" t="s">
        <v>164</v>
      </c>
      <c r="D109" s="14"/>
      <c r="F109" t="str">
        <f t="shared" si="3"/>
        <v>78*</v>
      </c>
      <c r="G109" t="s">
        <v>164</v>
      </c>
      <c r="L109" t="s">
        <v>360</v>
      </c>
      <c r="M109" t="s">
        <v>361</v>
      </c>
    </row>
    <row r="110" spans="2:13" x14ac:dyDescent="0.25">
      <c r="B110" t="str">
        <f t="shared" si="2"/>
        <v>79*</v>
      </c>
      <c r="C110" s="11" t="s">
        <v>165</v>
      </c>
      <c r="D110" s="14"/>
      <c r="F110" t="str">
        <f t="shared" si="3"/>
        <v>79*</v>
      </c>
      <c r="G110" t="s">
        <v>165</v>
      </c>
      <c r="L110" t="s">
        <v>362</v>
      </c>
      <c r="M110" t="s">
        <v>363</v>
      </c>
    </row>
    <row r="111" spans="2:13" x14ac:dyDescent="0.25">
      <c r="B111" t="str">
        <f t="shared" si="2"/>
        <v>80*</v>
      </c>
      <c r="C111" s="11" t="s">
        <v>166</v>
      </c>
      <c r="D111" s="14"/>
      <c r="F111" t="str">
        <f t="shared" si="3"/>
        <v>80*</v>
      </c>
      <c r="G111" t="s">
        <v>166</v>
      </c>
      <c r="L111" t="s">
        <v>364</v>
      </c>
      <c r="M111" t="s">
        <v>365</v>
      </c>
    </row>
    <row r="112" spans="2:13" x14ac:dyDescent="0.25">
      <c r="B112" t="str">
        <f t="shared" si="2"/>
        <v>81*</v>
      </c>
      <c r="C112" s="11" t="s">
        <v>167</v>
      </c>
      <c r="D112" s="14"/>
      <c r="F112" t="str">
        <f t="shared" si="3"/>
        <v>81*</v>
      </c>
      <c r="G112" t="s">
        <v>167</v>
      </c>
      <c r="L112" t="s">
        <v>366</v>
      </c>
      <c r="M112" t="s">
        <v>367</v>
      </c>
    </row>
    <row r="113" spans="2:13" x14ac:dyDescent="0.25">
      <c r="B113" t="str">
        <f t="shared" si="2"/>
        <v>82*</v>
      </c>
      <c r="C113" s="11" t="s">
        <v>168</v>
      </c>
      <c r="D113" s="14"/>
      <c r="F113" t="str">
        <f t="shared" si="3"/>
        <v>82*</v>
      </c>
      <c r="G113" t="s">
        <v>168</v>
      </c>
      <c r="L113" t="s">
        <v>368</v>
      </c>
      <c r="M113" t="s">
        <v>369</v>
      </c>
    </row>
    <row r="114" spans="2:13" x14ac:dyDescent="0.25">
      <c r="B114" t="str">
        <f t="shared" si="2"/>
        <v>83*</v>
      </c>
      <c r="C114" s="11" t="s">
        <v>169</v>
      </c>
      <c r="D114" s="14"/>
      <c r="F114" t="str">
        <f t="shared" si="3"/>
        <v>83*</v>
      </c>
      <c r="G114" t="s">
        <v>169</v>
      </c>
      <c r="L114" t="s">
        <v>370</v>
      </c>
      <c r="M114" t="s">
        <v>371</v>
      </c>
    </row>
    <row r="115" spans="2:13" x14ac:dyDescent="0.25">
      <c r="B115" t="str">
        <f t="shared" si="2"/>
        <v>84*</v>
      </c>
      <c r="C115" s="11" t="s">
        <v>170</v>
      </c>
      <c r="D115" s="14"/>
      <c r="F115" t="str">
        <f t="shared" si="3"/>
        <v>84*</v>
      </c>
      <c r="G115" t="s">
        <v>170</v>
      </c>
      <c r="L115" t="s">
        <v>372</v>
      </c>
      <c r="M115" t="s">
        <v>373</v>
      </c>
    </row>
    <row r="116" spans="2:13" x14ac:dyDescent="0.25">
      <c r="B116" t="str">
        <f t="shared" si="2"/>
        <v>85*</v>
      </c>
      <c r="C116" s="11" t="s">
        <v>171</v>
      </c>
      <c r="D116" s="14"/>
      <c r="F116" t="str">
        <f t="shared" si="3"/>
        <v>85*</v>
      </c>
      <c r="G116" t="s">
        <v>171</v>
      </c>
      <c r="L116" t="s">
        <v>374</v>
      </c>
      <c r="M116" t="s">
        <v>375</v>
      </c>
    </row>
    <row r="117" spans="2:13" x14ac:dyDescent="0.25">
      <c r="B117" t="str">
        <f t="shared" si="2"/>
        <v>86*</v>
      </c>
      <c r="C117" s="11" t="s">
        <v>172</v>
      </c>
      <c r="D117" s="14"/>
      <c r="F117" t="str">
        <f t="shared" si="3"/>
        <v>86*</v>
      </c>
      <c r="G117" t="s">
        <v>172</v>
      </c>
      <c r="L117" t="s">
        <v>376</v>
      </c>
      <c r="M117" t="s">
        <v>377</v>
      </c>
    </row>
    <row r="118" spans="2:13" x14ac:dyDescent="0.25">
      <c r="B118" t="str">
        <f t="shared" si="2"/>
        <v>87*</v>
      </c>
      <c r="C118" s="11" t="s">
        <v>173</v>
      </c>
      <c r="D118" s="14"/>
      <c r="F118" t="str">
        <f t="shared" si="3"/>
        <v>87*</v>
      </c>
      <c r="G118" t="s">
        <v>173</v>
      </c>
      <c r="L118" t="s">
        <v>378</v>
      </c>
      <c r="M118" t="s">
        <v>379</v>
      </c>
    </row>
    <row r="119" spans="2:13" x14ac:dyDescent="0.25">
      <c r="B119" t="str">
        <f t="shared" si="2"/>
        <v>88*</v>
      </c>
      <c r="C119" s="11" t="s">
        <v>174</v>
      </c>
      <c r="D119" s="14"/>
      <c r="F119" t="str">
        <f t="shared" si="3"/>
        <v>88*</v>
      </c>
      <c r="G119" t="s">
        <v>174</v>
      </c>
      <c r="L119" t="s">
        <v>380</v>
      </c>
      <c r="M119" t="s">
        <v>381</v>
      </c>
    </row>
    <row r="120" spans="2:13" x14ac:dyDescent="0.25">
      <c r="B120" t="str">
        <f t="shared" si="2"/>
        <v>89*</v>
      </c>
      <c r="C120" s="11" t="s">
        <v>175</v>
      </c>
      <c r="D120" s="14"/>
      <c r="F120" t="str">
        <f t="shared" si="3"/>
        <v>89*</v>
      </c>
      <c r="G120" t="s">
        <v>175</v>
      </c>
      <c r="L120" t="s">
        <v>382</v>
      </c>
      <c r="M120" t="s">
        <v>383</v>
      </c>
    </row>
    <row r="121" spans="2:13" x14ac:dyDescent="0.25">
      <c r="B121" t="str">
        <f t="shared" si="2"/>
        <v>90*</v>
      </c>
      <c r="C121" s="11" t="s">
        <v>176</v>
      </c>
      <c r="D121" s="14"/>
      <c r="F121" t="str">
        <f t="shared" si="3"/>
        <v>90*</v>
      </c>
      <c r="G121" t="s">
        <v>176</v>
      </c>
      <c r="L121" t="s">
        <v>384</v>
      </c>
      <c r="M121" t="s">
        <v>385</v>
      </c>
    </row>
    <row r="122" spans="2:13" x14ac:dyDescent="0.25">
      <c r="B122" t="str">
        <f t="shared" si="2"/>
        <v>91*</v>
      </c>
      <c r="C122" s="11" t="s">
        <v>177</v>
      </c>
      <c r="D122" s="14"/>
      <c r="F122" t="str">
        <f t="shared" si="3"/>
        <v>91*</v>
      </c>
      <c r="G122" t="s">
        <v>177</v>
      </c>
      <c r="L122" t="s">
        <v>386</v>
      </c>
      <c r="M122" t="s">
        <v>387</v>
      </c>
    </row>
    <row r="123" spans="2:13" x14ac:dyDescent="0.25">
      <c r="B123" t="str">
        <f t="shared" si="2"/>
        <v>92*</v>
      </c>
      <c r="C123" s="11" t="s">
        <v>178</v>
      </c>
      <c r="D123" s="14"/>
      <c r="F123" t="str">
        <f t="shared" si="3"/>
        <v>92*</v>
      </c>
      <c r="G123" t="s">
        <v>178</v>
      </c>
      <c r="L123" t="s">
        <v>388</v>
      </c>
      <c r="M123" t="s">
        <v>389</v>
      </c>
    </row>
    <row r="124" spans="2:13" x14ac:dyDescent="0.25">
      <c r="B124" t="str">
        <f t="shared" si="2"/>
        <v>93*</v>
      </c>
      <c r="C124" s="11" t="s">
        <v>179</v>
      </c>
      <c r="D124" s="14"/>
      <c r="F124" t="str">
        <f t="shared" si="3"/>
        <v>93*</v>
      </c>
      <c r="G124" t="s">
        <v>179</v>
      </c>
      <c r="L124" t="s">
        <v>390</v>
      </c>
      <c r="M124" t="s">
        <v>391</v>
      </c>
    </row>
    <row r="125" spans="2:13" x14ac:dyDescent="0.25">
      <c r="B125" t="str">
        <f t="shared" si="2"/>
        <v>94*</v>
      </c>
      <c r="C125" s="11" t="s">
        <v>180</v>
      </c>
      <c r="D125" s="14"/>
      <c r="F125" t="str">
        <f t="shared" si="3"/>
        <v>94*</v>
      </c>
      <c r="G125" t="s">
        <v>180</v>
      </c>
      <c r="L125" t="s">
        <v>392</v>
      </c>
      <c r="M125" t="s">
        <v>393</v>
      </c>
    </row>
    <row r="126" spans="2:13" x14ac:dyDescent="0.25">
      <c r="B126" t="str">
        <f t="shared" si="2"/>
        <v>95*</v>
      </c>
      <c r="C126" s="11" t="s">
        <v>181</v>
      </c>
      <c r="D126" s="14"/>
      <c r="F126" t="str">
        <f t="shared" si="3"/>
        <v>95*</v>
      </c>
      <c r="G126" t="s">
        <v>181</v>
      </c>
      <c r="L126" t="s">
        <v>394</v>
      </c>
      <c r="M126" t="s">
        <v>395</v>
      </c>
    </row>
    <row r="127" spans="2:13" x14ac:dyDescent="0.25">
      <c r="B127" t="str">
        <f t="shared" si="2"/>
        <v>96*</v>
      </c>
      <c r="C127" s="11" t="s">
        <v>182</v>
      </c>
      <c r="D127" s="14"/>
      <c r="F127" t="str">
        <f t="shared" si="3"/>
        <v>96*</v>
      </c>
      <c r="G127" t="s">
        <v>182</v>
      </c>
      <c r="L127" t="s">
        <v>396</v>
      </c>
      <c r="M127" t="s">
        <v>397</v>
      </c>
    </row>
    <row r="128" spans="2:13" x14ac:dyDescent="0.25">
      <c r="B128" t="str">
        <f t="shared" si="2"/>
        <v>97*</v>
      </c>
      <c r="C128" s="11" t="s">
        <v>183</v>
      </c>
      <c r="D128" s="14"/>
      <c r="F128" t="str">
        <f t="shared" si="3"/>
        <v>97*</v>
      </c>
      <c r="G128" t="s">
        <v>183</v>
      </c>
      <c r="L128" t="s">
        <v>398</v>
      </c>
      <c r="M128" t="s">
        <v>399</v>
      </c>
    </row>
    <row r="129" spans="2:13" x14ac:dyDescent="0.25">
      <c r="B129" t="str">
        <f t="shared" si="2"/>
        <v>98*</v>
      </c>
      <c r="C129" s="11" t="s">
        <v>184</v>
      </c>
      <c r="D129" s="14"/>
      <c r="F129" t="str">
        <f t="shared" si="3"/>
        <v>98*</v>
      </c>
      <c r="G129" t="s">
        <v>184</v>
      </c>
      <c r="L129" t="s">
        <v>400</v>
      </c>
      <c r="M129" t="s">
        <v>401</v>
      </c>
    </row>
    <row r="130" spans="2:13" x14ac:dyDescent="0.25">
      <c r="B130" t="str">
        <f t="shared" si="2"/>
        <v>99*</v>
      </c>
      <c r="C130" s="11" t="s">
        <v>185</v>
      </c>
      <c r="D130" s="14"/>
      <c r="F130" t="str">
        <f t="shared" si="3"/>
        <v>99*</v>
      </c>
      <c r="G130" t="s">
        <v>185</v>
      </c>
      <c r="L130" t="s">
        <v>402</v>
      </c>
      <c r="M130" t="s">
        <v>403</v>
      </c>
    </row>
    <row r="131" spans="2:13" x14ac:dyDescent="0.25">
      <c r="B131" t="str">
        <f t="shared" si="2"/>
        <v>100*</v>
      </c>
      <c r="C131" s="11" t="s">
        <v>186</v>
      </c>
      <c r="D131" s="14"/>
      <c r="F131" t="str">
        <f t="shared" si="3"/>
        <v>100*</v>
      </c>
      <c r="G131" t="s">
        <v>186</v>
      </c>
      <c r="L131" t="s">
        <v>186</v>
      </c>
      <c r="M131" t="s">
        <v>404</v>
      </c>
    </row>
    <row r="132" spans="2:13" x14ac:dyDescent="0.25">
      <c r="C132" s="15" t="s">
        <v>187</v>
      </c>
      <c r="D132" s="15" t="s">
        <v>187</v>
      </c>
      <c r="L132" t="s">
        <v>405</v>
      </c>
      <c r="M132" t="s">
        <v>406</v>
      </c>
    </row>
    <row r="133" spans="2:13" x14ac:dyDescent="0.25">
      <c r="L133" t="s">
        <v>407</v>
      </c>
      <c r="M133" t="s">
        <v>408</v>
      </c>
    </row>
    <row r="134" spans="2:13" x14ac:dyDescent="0.25">
      <c r="L134" t="s">
        <v>409</v>
      </c>
      <c r="M134" t="s">
        <v>410</v>
      </c>
    </row>
    <row r="135" spans="2:13" x14ac:dyDescent="0.25">
      <c r="L135" t="s">
        <v>411</v>
      </c>
      <c r="M135" t="s">
        <v>410</v>
      </c>
    </row>
    <row r="136" spans="2:13" x14ac:dyDescent="0.25">
      <c r="L136" t="s">
        <v>412</v>
      </c>
      <c r="M136" t="s">
        <v>413</v>
      </c>
    </row>
    <row r="137" spans="2:13" x14ac:dyDescent="0.25">
      <c r="L137" t="s">
        <v>414</v>
      </c>
      <c r="M137" t="s">
        <v>415</v>
      </c>
    </row>
    <row r="138" spans="2:13" x14ac:dyDescent="0.25">
      <c r="L138" t="s">
        <v>416</v>
      </c>
      <c r="M138" t="s">
        <v>417</v>
      </c>
    </row>
    <row r="139" spans="2:13" x14ac:dyDescent="0.25">
      <c r="B139" t="s">
        <v>1340</v>
      </c>
      <c r="D139" t="b">
        <v>1</v>
      </c>
      <c r="E139" t="s">
        <v>1353</v>
      </c>
      <c r="F139">
        <f>IF(D139=E139,Hoja2!H31,0)</f>
        <v>0</v>
      </c>
      <c r="L139" t="s">
        <v>418</v>
      </c>
      <c r="M139" t="s">
        <v>419</v>
      </c>
    </row>
    <row r="140" spans="2:13" x14ac:dyDescent="0.25">
      <c r="B140" t="s">
        <v>1341</v>
      </c>
      <c r="E140" t="b">
        <v>0</v>
      </c>
      <c r="L140" t="s">
        <v>420</v>
      </c>
      <c r="M140" t="s">
        <v>421</v>
      </c>
    </row>
    <row r="141" spans="2:13" x14ac:dyDescent="0.25">
      <c r="B141" t="s">
        <v>1342</v>
      </c>
      <c r="L141" t="s">
        <v>422</v>
      </c>
      <c r="M141" t="s">
        <v>423</v>
      </c>
    </row>
    <row r="142" spans="2:13" x14ac:dyDescent="0.25">
      <c r="B142" t="s">
        <v>1343</v>
      </c>
      <c r="L142" t="s">
        <v>424</v>
      </c>
      <c r="M142" t="s">
        <v>425</v>
      </c>
    </row>
    <row r="143" spans="2:13" x14ac:dyDescent="0.25">
      <c r="B143" t="s">
        <v>1344</v>
      </c>
      <c r="L143" t="s">
        <v>426</v>
      </c>
      <c r="M143" t="s">
        <v>427</v>
      </c>
    </row>
    <row r="144" spans="2:13" x14ac:dyDescent="0.25">
      <c r="B144" t="s">
        <v>1345</v>
      </c>
      <c r="L144" t="s">
        <v>428</v>
      </c>
      <c r="M144" t="s">
        <v>429</v>
      </c>
    </row>
    <row r="145" spans="2:13" x14ac:dyDescent="0.25">
      <c r="B145" t="s">
        <v>1346</v>
      </c>
      <c r="L145" t="s">
        <v>430</v>
      </c>
      <c r="M145" t="s">
        <v>431</v>
      </c>
    </row>
    <row r="146" spans="2:13" x14ac:dyDescent="0.25">
      <c r="B146" t="s">
        <v>1347</v>
      </c>
      <c r="L146" t="s">
        <v>432</v>
      </c>
      <c r="M146" t="s">
        <v>433</v>
      </c>
    </row>
    <row r="147" spans="2:13" x14ac:dyDescent="0.25">
      <c r="B147" t="s">
        <v>1348</v>
      </c>
      <c r="L147" t="s">
        <v>434</v>
      </c>
      <c r="M147" t="s">
        <v>435</v>
      </c>
    </row>
    <row r="148" spans="2:13" x14ac:dyDescent="0.25">
      <c r="B148" t="s">
        <v>1349</v>
      </c>
      <c r="L148" t="s">
        <v>436</v>
      </c>
      <c r="M148" t="s">
        <v>437</v>
      </c>
    </row>
    <row r="149" spans="2:13" x14ac:dyDescent="0.25">
      <c r="B149" t="s">
        <v>1350</v>
      </c>
      <c r="L149" t="s">
        <v>438</v>
      </c>
      <c r="M149" t="s">
        <v>439</v>
      </c>
    </row>
    <row r="150" spans="2:13" x14ac:dyDescent="0.25">
      <c r="B150" t="s">
        <v>1351</v>
      </c>
      <c r="L150" t="s">
        <v>440</v>
      </c>
      <c r="M150" t="s">
        <v>441</v>
      </c>
    </row>
    <row r="151" spans="2:13" x14ac:dyDescent="0.25">
      <c r="B151" t="s">
        <v>1352</v>
      </c>
      <c r="L151" t="s">
        <v>442</v>
      </c>
      <c r="M151" t="s">
        <v>443</v>
      </c>
    </row>
    <row r="152" spans="2:13" x14ac:dyDescent="0.25">
      <c r="L152" t="s">
        <v>444</v>
      </c>
      <c r="M152" t="s">
        <v>445</v>
      </c>
    </row>
    <row r="153" spans="2:13" x14ac:dyDescent="0.25">
      <c r="L153" t="s">
        <v>446</v>
      </c>
      <c r="M153" t="s">
        <v>447</v>
      </c>
    </row>
    <row r="154" spans="2:13" x14ac:dyDescent="0.25">
      <c r="L154" t="s">
        <v>448</v>
      </c>
      <c r="M154" t="s">
        <v>449</v>
      </c>
    </row>
    <row r="155" spans="2:13" x14ac:dyDescent="0.25">
      <c r="L155" t="s">
        <v>450</v>
      </c>
      <c r="M155" t="s">
        <v>451</v>
      </c>
    </row>
    <row r="156" spans="2:13" x14ac:dyDescent="0.25">
      <c r="L156" t="s">
        <v>452</v>
      </c>
      <c r="M156" t="s">
        <v>453</v>
      </c>
    </row>
    <row r="157" spans="2:13" x14ac:dyDescent="0.25">
      <c r="L157" t="s">
        <v>454</v>
      </c>
      <c r="M157" t="s">
        <v>455</v>
      </c>
    </row>
    <row r="158" spans="2:13" x14ac:dyDescent="0.25">
      <c r="L158" t="s">
        <v>456</v>
      </c>
      <c r="M158" t="s">
        <v>457</v>
      </c>
    </row>
    <row r="159" spans="2:13" x14ac:dyDescent="0.25">
      <c r="L159" t="s">
        <v>458</v>
      </c>
      <c r="M159" t="s">
        <v>459</v>
      </c>
    </row>
    <row r="160" spans="2:13" x14ac:dyDescent="0.25">
      <c r="L160" t="s">
        <v>460</v>
      </c>
      <c r="M160" t="s">
        <v>461</v>
      </c>
    </row>
    <row r="161" spans="12:13" x14ac:dyDescent="0.25">
      <c r="L161" t="s">
        <v>462</v>
      </c>
      <c r="M161" t="s">
        <v>463</v>
      </c>
    </row>
    <row r="162" spans="12:13" x14ac:dyDescent="0.25">
      <c r="L162" t="s">
        <v>464</v>
      </c>
      <c r="M162" t="s">
        <v>465</v>
      </c>
    </row>
    <row r="163" spans="12:13" x14ac:dyDescent="0.25">
      <c r="L163" t="s">
        <v>466</v>
      </c>
      <c r="M163" t="s">
        <v>467</v>
      </c>
    </row>
    <row r="164" spans="12:13" x14ac:dyDescent="0.25">
      <c r="L164" t="s">
        <v>468</v>
      </c>
      <c r="M164" t="s">
        <v>469</v>
      </c>
    </row>
    <row r="165" spans="12:13" x14ac:dyDescent="0.25">
      <c r="L165" t="s">
        <v>470</v>
      </c>
      <c r="M165" t="s">
        <v>471</v>
      </c>
    </row>
    <row r="166" spans="12:13" x14ac:dyDescent="0.25">
      <c r="L166" t="s">
        <v>472</v>
      </c>
      <c r="M166" t="s">
        <v>473</v>
      </c>
    </row>
    <row r="167" spans="12:13" x14ac:dyDescent="0.25">
      <c r="L167" t="s">
        <v>474</v>
      </c>
      <c r="M167" t="s">
        <v>475</v>
      </c>
    </row>
    <row r="168" spans="12:13" x14ac:dyDescent="0.25">
      <c r="L168" t="s">
        <v>476</v>
      </c>
      <c r="M168" t="s">
        <v>477</v>
      </c>
    </row>
    <row r="169" spans="12:13" x14ac:dyDescent="0.25">
      <c r="L169" t="s">
        <v>478</v>
      </c>
      <c r="M169" t="s">
        <v>479</v>
      </c>
    </row>
    <row r="170" spans="12:13" x14ac:dyDescent="0.25">
      <c r="L170" t="s">
        <v>480</v>
      </c>
      <c r="M170" t="s">
        <v>481</v>
      </c>
    </row>
    <row r="171" spans="12:13" x14ac:dyDescent="0.25">
      <c r="L171" t="s">
        <v>482</v>
      </c>
      <c r="M171" t="s">
        <v>483</v>
      </c>
    </row>
    <row r="172" spans="12:13" x14ac:dyDescent="0.25">
      <c r="L172" t="s">
        <v>484</v>
      </c>
      <c r="M172" t="s">
        <v>485</v>
      </c>
    </row>
    <row r="173" spans="12:13" x14ac:dyDescent="0.25">
      <c r="L173" t="s">
        <v>486</v>
      </c>
      <c r="M173" t="s">
        <v>487</v>
      </c>
    </row>
    <row r="174" spans="12:13" x14ac:dyDescent="0.25">
      <c r="L174" t="s">
        <v>488</v>
      </c>
      <c r="M174" t="s">
        <v>489</v>
      </c>
    </row>
    <row r="175" spans="12:13" x14ac:dyDescent="0.25">
      <c r="L175" t="s">
        <v>490</v>
      </c>
      <c r="M175" t="s">
        <v>491</v>
      </c>
    </row>
    <row r="176" spans="12:13" x14ac:dyDescent="0.25">
      <c r="L176" t="s">
        <v>492</v>
      </c>
      <c r="M176" t="s">
        <v>493</v>
      </c>
    </row>
    <row r="177" spans="12:13" x14ac:dyDescent="0.25">
      <c r="L177" t="s">
        <v>494</v>
      </c>
      <c r="M177" t="s">
        <v>495</v>
      </c>
    </row>
    <row r="178" spans="12:13" x14ac:dyDescent="0.25">
      <c r="L178" t="s">
        <v>496</v>
      </c>
      <c r="M178" t="s">
        <v>497</v>
      </c>
    </row>
    <row r="179" spans="12:13" x14ac:dyDescent="0.25">
      <c r="L179" t="s">
        <v>498</v>
      </c>
      <c r="M179" t="s">
        <v>499</v>
      </c>
    </row>
    <row r="180" spans="12:13" x14ac:dyDescent="0.25">
      <c r="L180" t="s">
        <v>500</v>
      </c>
      <c r="M180" t="s">
        <v>501</v>
      </c>
    </row>
    <row r="181" spans="12:13" x14ac:dyDescent="0.25">
      <c r="L181" t="s">
        <v>502</v>
      </c>
      <c r="M181" t="s">
        <v>503</v>
      </c>
    </row>
    <row r="182" spans="12:13" x14ac:dyDescent="0.25">
      <c r="L182" t="s">
        <v>504</v>
      </c>
      <c r="M182" t="s">
        <v>505</v>
      </c>
    </row>
    <row r="183" spans="12:13" x14ac:dyDescent="0.25">
      <c r="L183" t="s">
        <v>506</v>
      </c>
      <c r="M183" t="s">
        <v>507</v>
      </c>
    </row>
    <row r="184" spans="12:13" x14ac:dyDescent="0.25">
      <c r="L184" t="s">
        <v>508</v>
      </c>
      <c r="M184" t="s">
        <v>509</v>
      </c>
    </row>
    <row r="185" spans="12:13" x14ac:dyDescent="0.25">
      <c r="L185" t="s">
        <v>510</v>
      </c>
      <c r="M185" t="s">
        <v>511</v>
      </c>
    </row>
    <row r="186" spans="12:13" x14ac:dyDescent="0.25">
      <c r="L186" t="s">
        <v>512</v>
      </c>
      <c r="M186" t="s">
        <v>513</v>
      </c>
    </row>
    <row r="187" spans="12:13" x14ac:dyDescent="0.25">
      <c r="L187" t="s">
        <v>514</v>
      </c>
      <c r="M187" t="s">
        <v>515</v>
      </c>
    </row>
    <row r="188" spans="12:13" x14ac:dyDescent="0.25">
      <c r="L188" t="s">
        <v>516</v>
      </c>
      <c r="M188" t="s">
        <v>517</v>
      </c>
    </row>
    <row r="189" spans="12:13" x14ac:dyDescent="0.25">
      <c r="L189" t="s">
        <v>518</v>
      </c>
      <c r="M189" t="s">
        <v>519</v>
      </c>
    </row>
    <row r="190" spans="12:13" x14ac:dyDescent="0.25">
      <c r="L190" t="s">
        <v>520</v>
      </c>
      <c r="M190" t="s">
        <v>521</v>
      </c>
    </row>
    <row r="191" spans="12:13" x14ac:dyDescent="0.25">
      <c r="L191" t="s">
        <v>522</v>
      </c>
      <c r="M191" t="s">
        <v>523</v>
      </c>
    </row>
    <row r="192" spans="12:13" x14ac:dyDescent="0.25">
      <c r="L192" t="s">
        <v>524</v>
      </c>
      <c r="M192" t="s">
        <v>525</v>
      </c>
    </row>
    <row r="193" spans="12:13" x14ac:dyDescent="0.25">
      <c r="L193" t="s">
        <v>526</v>
      </c>
      <c r="M193" t="s">
        <v>527</v>
      </c>
    </row>
    <row r="194" spans="12:13" x14ac:dyDescent="0.25">
      <c r="L194" t="s">
        <v>528</v>
      </c>
      <c r="M194" t="s">
        <v>529</v>
      </c>
    </row>
    <row r="195" spans="12:13" x14ac:dyDescent="0.25">
      <c r="L195" t="s">
        <v>530</v>
      </c>
      <c r="M195" t="s">
        <v>531</v>
      </c>
    </row>
    <row r="196" spans="12:13" x14ac:dyDescent="0.25">
      <c r="L196" t="s">
        <v>532</v>
      </c>
      <c r="M196" t="s">
        <v>533</v>
      </c>
    </row>
    <row r="197" spans="12:13" x14ac:dyDescent="0.25">
      <c r="L197" t="s">
        <v>534</v>
      </c>
      <c r="M197" t="s">
        <v>535</v>
      </c>
    </row>
    <row r="198" spans="12:13" x14ac:dyDescent="0.25">
      <c r="L198" t="s">
        <v>536</v>
      </c>
      <c r="M198" t="s">
        <v>537</v>
      </c>
    </row>
    <row r="199" spans="12:13" x14ac:dyDescent="0.25">
      <c r="L199" t="s">
        <v>538</v>
      </c>
      <c r="M199" t="s">
        <v>539</v>
      </c>
    </row>
    <row r="200" spans="12:13" x14ac:dyDescent="0.25">
      <c r="L200" t="s">
        <v>540</v>
      </c>
      <c r="M200" t="s">
        <v>541</v>
      </c>
    </row>
    <row r="201" spans="12:13" x14ac:dyDescent="0.25">
      <c r="L201" t="s">
        <v>542</v>
      </c>
      <c r="M201" t="s">
        <v>543</v>
      </c>
    </row>
    <row r="202" spans="12:13" x14ac:dyDescent="0.25">
      <c r="L202" t="s">
        <v>544</v>
      </c>
      <c r="M202" t="s">
        <v>545</v>
      </c>
    </row>
    <row r="203" spans="12:13" x14ac:dyDescent="0.25">
      <c r="L203" t="s">
        <v>546</v>
      </c>
      <c r="M203" t="s">
        <v>547</v>
      </c>
    </row>
    <row r="204" spans="12:13" x14ac:dyDescent="0.25">
      <c r="L204" t="s">
        <v>548</v>
      </c>
      <c r="M204" t="s">
        <v>549</v>
      </c>
    </row>
    <row r="205" spans="12:13" x14ac:dyDescent="0.25">
      <c r="L205" t="s">
        <v>550</v>
      </c>
      <c r="M205" t="s">
        <v>551</v>
      </c>
    </row>
    <row r="206" spans="12:13" x14ac:dyDescent="0.25">
      <c r="L206" t="s">
        <v>552</v>
      </c>
      <c r="M206" t="s">
        <v>553</v>
      </c>
    </row>
    <row r="207" spans="12:13" x14ac:dyDescent="0.25">
      <c r="L207" t="s">
        <v>554</v>
      </c>
      <c r="M207" t="s">
        <v>555</v>
      </c>
    </row>
    <row r="208" spans="12:13" x14ac:dyDescent="0.25">
      <c r="L208" t="s">
        <v>556</v>
      </c>
      <c r="M208" t="s">
        <v>557</v>
      </c>
    </row>
    <row r="209" spans="12:13" x14ac:dyDescent="0.25">
      <c r="L209" t="s">
        <v>558</v>
      </c>
      <c r="M209" t="s">
        <v>559</v>
      </c>
    </row>
    <row r="210" spans="12:13" x14ac:dyDescent="0.25">
      <c r="L210" t="s">
        <v>560</v>
      </c>
      <c r="M210" t="s">
        <v>561</v>
      </c>
    </row>
    <row r="211" spans="12:13" x14ac:dyDescent="0.25">
      <c r="L211" t="s">
        <v>562</v>
      </c>
      <c r="M211" t="s">
        <v>563</v>
      </c>
    </row>
    <row r="212" spans="12:13" x14ac:dyDescent="0.25">
      <c r="L212" t="s">
        <v>564</v>
      </c>
      <c r="M212" t="s">
        <v>565</v>
      </c>
    </row>
    <row r="213" spans="12:13" x14ac:dyDescent="0.25">
      <c r="L213" t="s">
        <v>566</v>
      </c>
      <c r="M213" t="s">
        <v>567</v>
      </c>
    </row>
    <row r="214" spans="12:13" x14ac:dyDescent="0.25">
      <c r="L214" t="s">
        <v>568</v>
      </c>
      <c r="M214" t="s">
        <v>569</v>
      </c>
    </row>
    <row r="215" spans="12:13" x14ac:dyDescent="0.25">
      <c r="L215" t="s">
        <v>570</v>
      </c>
      <c r="M215" t="s">
        <v>571</v>
      </c>
    </row>
    <row r="216" spans="12:13" x14ac:dyDescent="0.25">
      <c r="L216" t="s">
        <v>572</v>
      </c>
      <c r="M216" t="s">
        <v>573</v>
      </c>
    </row>
    <row r="217" spans="12:13" x14ac:dyDescent="0.25">
      <c r="L217" t="s">
        <v>574</v>
      </c>
      <c r="M217" t="s">
        <v>575</v>
      </c>
    </row>
    <row r="218" spans="12:13" x14ac:dyDescent="0.25">
      <c r="L218" t="s">
        <v>576</v>
      </c>
      <c r="M218" t="s">
        <v>577</v>
      </c>
    </row>
    <row r="219" spans="12:13" x14ac:dyDescent="0.25">
      <c r="L219" t="s">
        <v>578</v>
      </c>
      <c r="M219" t="s">
        <v>579</v>
      </c>
    </row>
    <row r="220" spans="12:13" x14ac:dyDescent="0.25">
      <c r="L220" t="s">
        <v>580</v>
      </c>
      <c r="M220" t="s">
        <v>581</v>
      </c>
    </row>
    <row r="221" spans="12:13" x14ac:dyDescent="0.25">
      <c r="L221" t="s">
        <v>582</v>
      </c>
      <c r="M221" t="s">
        <v>583</v>
      </c>
    </row>
    <row r="222" spans="12:13" x14ac:dyDescent="0.25">
      <c r="L222" t="s">
        <v>584</v>
      </c>
      <c r="M222" t="s">
        <v>585</v>
      </c>
    </row>
    <row r="223" spans="12:13" x14ac:dyDescent="0.25">
      <c r="L223" t="s">
        <v>586</v>
      </c>
      <c r="M223" t="s">
        <v>587</v>
      </c>
    </row>
    <row r="224" spans="12:13" x14ac:dyDescent="0.25">
      <c r="L224" t="s">
        <v>588</v>
      </c>
      <c r="M224" t="s">
        <v>589</v>
      </c>
    </row>
    <row r="225" spans="12:13" x14ac:dyDescent="0.25">
      <c r="L225" t="s">
        <v>590</v>
      </c>
      <c r="M225" t="s">
        <v>591</v>
      </c>
    </row>
    <row r="226" spans="12:13" x14ac:dyDescent="0.25">
      <c r="L226" t="s">
        <v>592</v>
      </c>
      <c r="M226" t="s">
        <v>593</v>
      </c>
    </row>
    <row r="227" spans="12:13" x14ac:dyDescent="0.25">
      <c r="L227" t="s">
        <v>594</v>
      </c>
      <c r="M227" t="s">
        <v>595</v>
      </c>
    </row>
    <row r="228" spans="12:13" x14ac:dyDescent="0.25">
      <c r="L228" t="s">
        <v>596</v>
      </c>
      <c r="M228" t="s">
        <v>597</v>
      </c>
    </row>
    <row r="229" spans="12:13" x14ac:dyDescent="0.25">
      <c r="L229" t="s">
        <v>598</v>
      </c>
      <c r="M229" t="s">
        <v>599</v>
      </c>
    </row>
    <row r="230" spans="12:13" x14ac:dyDescent="0.25">
      <c r="L230" t="s">
        <v>600</v>
      </c>
      <c r="M230" t="s">
        <v>601</v>
      </c>
    </row>
    <row r="231" spans="12:13" x14ac:dyDescent="0.25">
      <c r="L231" t="s">
        <v>602</v>
      </c>
      <c r="M231" t="s">
        <v>603</v>
      </c>
    </row>
    <row r="232" spans="12:13" x14ac:dyDescent="0.25">
      <c r="L232" t="s">
        <v>604</v>
      </c>
      <c r="M232" t="s">
        <v>605</v>
      </c>
    </row>
    <row r="233" spans="12:13" x14ac:dyDescent="0.25">
      <c r="L233" t="s">
        <v>606</v>
      </c>
      <c r="M233" t="s">
        <v>607</v>
      </c>
    </row>
    <row r="234" spans="12:13" x14ac:dyDescent="0.25">
      <c r="L234" t="s">
        <v>608</v>
      </c>
      <c r="M234" t="s">
        <v>609</v>
      </c>
    </row>
    <row r="235" spans="12:13" x14ac:dyDescent="0.25">
      <c r="L235" t="s">
        <v>610</v>
      </c>
      <c r="M235" t="s">
        <v>263</v>
      </c>
    </row>
    <row r="236" spans="12:13" x14ac:dyDescent="0.25">
      <c r="L236" t="s">
        <v>611</v>
      </c>
      <c r="M236" t="s">
        <v>612</v>
      </c>
    </row>
    <row r="237" spans="12:13" x14ac:dyDescent="0.25">
      <c r="L237" t="s">
        <v>613</v>
      </c>
      <c r="M237" t="s">
        <v>614</v>
      </c>
    </row>
    <row r="238" spans="12:13" x14ac:dyDescent="0.25">
      <c r="L238" t="s">
        <v>615</v>
      </c>
      <c r="M238" t="s">
        <v>616</v>
      </c>
    </row>
    <row r="239" spans="12:13" x14ac:dyDescent="0.25">
      <c r="L239" t="s">
        <v>617</v>
      </c>
      <c r="M239" t="s">
        <v>618</v>
      </c>
    </row>
    <row r="240" spans="12:13" x14ac:dyDescent="0.25">
      <c r="L240" t="s">
        <v>619</v>
      </c>
      <c r="M240" t="s">
        <v>620</v>
      </c>
    </row>
    <row r="241" spans="12:13" x14ac:dyDescent="0.25">
      <c r="L241" t="s">
        <v>621</v>
      </c>
      <c r="M241" t="s">
        <v>622</v>
      </c>
    </row>
    <row r="242" spans="12:13" x14ac:dyDescent="0.25">
      <c r="L242" t="s">
        <v>623</v>
      </c>
      <c r="M242" t="s">
        <v>624</v>
      </c>
    </row>
    <row r="243" spans="12:13" x14ac:dyDescent="0.25">
      <c r="L243" t="s">
        <v>625</v>
      </c>
      <c r="M243" t="s">
        <v>626</v>
      </c>
    </row>
    <row r="244" spans="12:13" x14ac:dyDescent="0.25">
      <c r="L244" t="s">
        <v>627</v>
      </c>
      <c r="M244" t="s">
        <v>628</v>
      </c>
    </row>
    <row r="245" spans="12:13" x14ac:dyDescent="0.25">
      <c r="L245" t="s">
        <v>629</v>
      </c>
      <c r="M245" t="s">
        <v>630</v>
      </c>
    </row>
    <row r="246" spans="12:13" x14ac:dyDescent="0.25">
      <c r="L246" t="s">
        <v>631</v>
      </c>
      <c r="M246" t="s">
        <v>632</v>
      </c>
    </row>
    <row r="247" spans="12:13" x14ac:dyDescent="0.25">
      <c r="L247" t="s">
        <v>633</v>
      </c>
      <c r="M247" t="s">
        <v>634</v>
      </c>
    </row>
    <row r="248" spans="12:13" x14ac:dyDescent="0.25">
      <c r="L248" t="s">
        <v>635</v>
      </c>
      <c r="M248" t="s">
        <v>636</v>
      </c>
    </row>
    <row r="249" spans="12:13" x14ac:dyDescent="0.25">
      <c r="L249" t="s">
        <v>637</v>
      </c>
      <c r="M249" t="s">
        <v>638</v>
      </c>
    </row>
    <row r="250" spans="12:13" x14ac:dyDescent="0.25">
      <c r="L250" t="s">
        <v>639</v>
      </c>
      <c r="M250" t="s">
        <v>640</v>
      </c>
    </row>
    <row r="251" spans="12:13" x14ac:dyDescent="0.25">
      <c r="L251" t="s">
        <v>641</v>
      </c>
      <c r="M251" t="s">
        <v>642</v>
      </c>
    </row>
    <row r="252" spans="12:13" x14ac:dyDescent="0.25">
      <c r="L252" t="s">
        <v>643</v>
      </c>
      <c r="M252" t="s">
        <v>644</v>
      </c>
    </row>
    <row r="253" spans="12:13" x14ac:dyDescent="0.25">
      <c r="L253" t="s">
        <v>645</v>
      </c>
      <c r="M253" t="s">
        <v>646</v>
      </c>
    </row>
    <row r="254" spans="12:13" x14ac:dyDescent="0.25">
      <c r="L254" t="s">
        <v>647</v>
      </c>
      <c r="M254" t="s">
        <v>648</v>
      </c>
    </row>
    <row r="255" spans="12:13" x14ac:dyDescent="0.25">
      <c r="L255" t="s">
        <v>649</v>
      </c>
      <c r="M255" t="s">
        <v>650</v>
      </c>
    </row>
    <row r="256" spans="12:13" x14ac:dyDescent="0.25">
      <c r="L256" t="s">
        <v>651</v>
      </c>
      <c r="M256" t="s">
        <v>652</v>
      </c>
    </row>
    <row r="257" spans="12:13" x14ac:dyDescent="0.25">
      <c r="L257" t="s">
        <v>653</v>
      </c>
      <c r="M257" t="s">
        <v>654</v>
      </c>
    </row>
    <row r="258" spans="12:13" x14ac:dyDescent="0.25">
      <c r="L258" t="s">
        <v>655</v>
      </c>
      <c r="M258" t="s">
        <v>656</v>
      </c>
    </row>
    <row r="259" spans="12:13" x14ac:dyDescent="0.25">
      <c r="L259" t="s">
        <v>657</v>
      </c>
      <c r="M259" t="s">
        <v>658</v>
      </c>
    </row>
    <row r="260" spans="12:13" x14ac:dyDescent="0.25">
      <c r="L260" t="s">
        <v>659</v>
      </c>
      <c r="M260" t="s">
        <v>660</v>
      </c>
    </row>
    <row r="261" spans="12:13" x14ac:dyDescent="0.25">
      <c r="L261" t="s">
        <v>661</v>
      </c>
      <c r="M261" t="s">
        <v>662</v>
      </c>
    </row>
    <row r="262" spans="12:13" x14ac:dyDescent="0.25">
      <c r="L262" t="s">
        <v>663</v>
      </c>
      <c r="M262" t="s">
        <v>664</v>
      </c>
    </row>
    <row r="263" spans="12:13" x14ac:dyDescent="0.25">
      <c r="L263" t="s">
        <v>665</v>
      </c>
      <c r="M263" t="s">
        <v>666</v>
      </c>
    </row>
    <row r="264" spans="12:13" x14ac:dyDescent="0.25">
      <c r="L264" t="s">
        <v>667</v>
      </c>
      <c r="M264" t="s">
        <v>668</v>
      </c>
    </row>
    <row r="265" spans="12:13" x14ac:dyDescent="0.25">
      <c r="L265" t="s">
        <v>669</v>
      </c>
      <c r="M265" t="s">
        <v>670</v>
      </c>
    </row>
    <row r="266" spans="12:13" x14ac:dyDescent="0.25">
      <c r="L266" t="s">
        <v>671</v>
      </c>
      <c r="M266" t="s">
        <v>672</v>
      </c>
    </row>
    <row r="267" spans="12:13" x14ac:dyDescent="0.25">
      <c r="L267" t="s">
        <v>673</v>
      </c>
      <c r="M267" t="s">
        <v>674</v>
      </c>
    </row>
    <row r="268" spans="12:13" x14ac:dyDescent="0.25">
      <c r="L268" t="s">
        <v>675</v>
      </c>
      <c r="M268" t="s">
        <v>676</v>
      </c>
    </row>
    <row r="269" spans="12:13" x14ac:dyDescent="0.25">
      <c r="L269" t="s">
        <v>677</v>
      </c>
      <c r="M269" t="s">
        <v>678</v>
      </c>
    </row>
    <row r="270" spans="12:13" x14ac:dyDescent="0.25">
      <c r="L270" t="s">
        <v>679</v>
      </c>
      <c r="M270" t="s">
        <v>680</v>
      </c>
    </row>
    <row r="271" spans="12:13" x14ac:dyDescent="0.25">
      <c r="L271" t="s">
        <v>681</v>
      </c>
      <c r="M271" t="s">
        <v>682</v>
      </c>
    </row>
    <row r="272" spans="12:13" x14ac:dyDescent="0.25">
      <c r="L272" t="s">
        <v>683</v>
      </c>
      <c r="M272" t="s">
        <v>684</v>
      </c>
    </row>
    <row r="273" spans="12:13" x14ac:dyDescent="0.25">
      <c r="L273" t="s">
        <v>685</v>
      </c>
      <c r="M273" t="s">
        <v>686</v>
      </c>
    </row>
    <row r="274" spans="12:13" x14ac:dyDescent="0.25">
      <c r="L274" t="s">
        <v>687</v>
      </c>
      <c r="M274" t="s">
        <v>688</v>
      </c>
    </row>
    <row r="275" spans="12:13" x14ac:dyDescent="0.25">
      <c r="L275" t="s">
        <v>689</v>
      </c>
      <c r="M275" t="s">
        <v>690</v>
      </c>
    </row>
    <row r="276" spans="12:13" x14ac:dyDescent="0.25">
      <c r="L276" t="s">
        <v>691</v>
      </c>
      <c r="M276" t="s">
        <v>692</v>
      </c>
    </row>
    <row r="277" spans="12:13" x14ac:dyDescent="0.25">
      <c r="L277" t="s">
        <v>693</v>
      </c>
      <c r="M277" t="s">
        <v>694</v>
      </c>
    </row>
    <row r="278" spans="12:13" x14ac:dyDescent="0.25">
      <c r="L278" t="s">
        <v>695</v>
      </c>
      <c r="M278" t="s">
        <v>696</v>
      </c>
    </row>
    <row r="279" spans="12:13" x14ac:dyDescent="0.25">
      <c r="L279" t="s">
        <v>697</v>
      </c>
      <c r="M279" t="s">
        <v>698</v>
      </c>
    </row>
    <row r="280" spans="12:13" x14ac:dyDescent="0.25">
      <c r="L280" t="s">
        <v>699</v>
      </c>
      <c r="M280" t="s">
        <v>700</v>
      </c>
    </row>
    <row r="281" spans="12:13" x14ac:dyDescent="0.25">
      <c r="L281" t="s">
        <v>701</v>
      </c>
      <c r="M281" t="s">
        <v>702</v>
      </c>
    </row>
    <row r="282" spans="12:13" x14ac:dyDescent="0.25">
      <c r="L282" t="s">
        <v>703</v>
      </c>
      <c r="M282" t="s">
        <v>704</v>
      </c>
    </row>
    <row r="283" spans="12:13" x14ac:dyDescent="0.25">
      <c r="L283" t="s">
        <v>705</v>
      </c>
      <c r="M283" t="s">
        <v>706</v>
      </c>
    </row>
    <row r="284" spans="12:13" x14ac:dyDescent="0.25">
      <c r="L284" t="s">
        <v>707</v>
      </c>
      <c r="M284" t="s">
        <v>708</v>
      </c>
    </row>
    <row r="285" spans="12:13" x14ac:dyDescent="0.25">
      <c r="L285" t="s">
        <v>709</v>
      </c>
      <c r="M285" t="s">
        <v>710</v>
      </c>
    </row>
    <row r="286" spans="12:13" x14ac:dyDescent="0.25">
      <c r="L286" t="s">
        <v>711</v>
      </c>
      <c r="M286" t="s">
        <v>712</v>
      </c>
    </row>
    <row r="287" spans="12:13" x14ac:dyDescent="0.25">
      <c r="L287" t="s">
        <v>713</v>
      </c>
      <c r="M287" t="s">
        <v>277</v>
      </c>
    </row>
    <row r="288" spans="12:13" x14ac:dyDescent="0.25">
      <c r="L288" t="s">
        <v>714</v>
      </c>
      <c r="M288" t="s">
        <v>715</v>
      </c>
    </row>
    <row r="289" spans="12:13" x14ac:dyDescent="0.25">
      <c r="L289" t="s">
        <v>716</v>
      </c>
      <c r="M289" t="s">
        <v>717</v>
      </c>
    </row>
    <row r="290" spans="12:13" x14ac:dyDescent="0.25">
      <c r="L290" t="s">
        <v>718</v>
      </c>
      <c r="M290" t="s">
        <v>719</v>
      </c>
    </row>
    <row r="291" spans="12:13" x14ac:dyDescent="0.25">
      <c r="L291" t="s">
        <v>720</v>
      </c>
      <c r="M291" t="s">
        <v>721</v>
      </c>
    </row>
    <row r="292" spans="12:13" x14ac:dyDescent="0.25">
      <c r="L292" t="s">
        <v>722</v>
      </c>
      <c r="M292" t="s">
        <v>723</v>
      </c>
    </row>
    <row r="293" spans="12:13" x14ac:dyDescent="0.25">
      <c r="L293" t="s">
        <v>724</v>
      </c>
      <c r="M293" t="s">
        <v>725</v>
      </c>
    </row>
    <row r="294" spans="12:13" x14ac:dyDescent="0.25">
      <c r="L294" t="s">
        <v>726</v>
      </c>
      <c r="M294" t="s">
        <v>727</v>
      </c>
    </row>
    <row r="295" spans="12:13" x14ac:dyDescent="0.25">
      <c r="L295" t="s">
        <v>728</v>
      </c>
      <c r="M295" t="s">
        <v>729</v>
      </c>
    </row>
    <row r="296" spans="12:13" x14ac:dyDescent="0.25">
      <c r="L296" t="s">
        <v>730</v>
      </c>
      <c r="M296" t="s">
        <v>731</v>
      </c>
    </row>
    <row r="297" spans="12:13" x14ac:dyDescent="0.25">
      <c r="L297" t="s">
        <v>732</v>
      </c>
      <c r="M297" t="s">
        <v>733</v>
      </c>
    </row>
    <row r="298" spans="12:13" x14ac:dyDescent="0.25">
      <c r="L298" t="s">
        <v>734</v>
      </c>
      <c r="M298" t="s">
        <v>735</v>
      </c>
    </row>
    <row r="299" spans="12:13" x14ac:dyDescent="0.25">
      <c r="L299" t="s">
        <v>736</v>
      </c>
      <c r="M299" t="s">
        <v>737</v>
      </c>
    </row>
    <row r="300" spans="12:13" x14ac:dyDescent="0.25">
      <c r="L300" t="s">
        <v>738</v>
      </c>
      <c r="M300" t="s">
        <v>739</v>
      </c>
    </row>
    <row r="301" spans="12:13" x14ac:dyDescent="0.25">
      <c r="L301" t="s">
        <v>740</v>
      </c>
      <c r="M301" t="s">
        <v>741</v>
      </c>
    </row>
    <row r="302" spans="12:13" x14ac:dyDescent="0.25">
      <c r="L302" t="s">
        <v>742</v>
      </c>
      <c r="M302" t="s">
        <v>743</v>
      </c>
    </row>
    <row r="303" spans="12:13" x14ac:dyDescent="0.25">
      <c r="L303" t="s">
        <v>744</v>
      </c>
      <c r="M303" t="s">
        <v>745</v>
      </c>
    </row>
    <row r="304" spans="12:13" x14ac:dyDescent="0.25">
      <c r="L304" t="s">
        <v>746</v>
      </c>
      <c r="M304" t="s">
        <v>747</v>
      </c>
    </row>
    <row r="305" spans="12:13" x14ac:dyDescent="0.25">
      <c r="L305" t="s">
        <v>748</v>
      </c>
      <c r="M305" t="s">
        <v>749</v>
      </c>
    </row>
    <row r="306" spans="12:13" x14ac:dyDescent="0.25">
      <c r="L306" t="s">
        <v>750</v>
      </c>
      <c r="M306" t="s">
        <v>751</v>
      </c>
    </row>
    <row r="307" spans="12:13" x14ac:dyDescent="0.25">
      <c r="L307" t="s">
        <v>752</v>
      </c>
      <c r="M307" t="s">
        <v>753</v>
      </c>
    </row>
    <row r="308" spans="12:13" x14ac:dyDescent="0.25">
      <c r="L308" t="s">
        <v>754</v>
      </c>
      <c r="M308" t="s">
        <v>755</v>
      </c>
    </row>
    <row r="309" spans="12:13" x14ac:dyDescent="0.25">
      <c r="L309" t="s">
        <v>756</v>
      </c>
      <c r="M309" t="s">
        <v>757</v>
      </c>
    </row>
    <row r="310" spans="12:13" x14ac:dyDescent="0.25">
      <c r="L310" t="s">
        <v>758</v>
      </c>
      <c r="M310" t="s">
        <v>759</v>
      </c>
    </row>
    <row r="311" spans="12:13" x14ac:dyDescent="0.25">
      <c r="L311" t="s">
        <v>760</v>
      </c>
      <c r="M311" t="s">
        <v>761</v>
      </c>
    </row>
    <row r="312" spans="12:13" x14ac:dyDescent="0.25">
      <c r="L312" t="s">
        <v>762</v>
      </c>
      <c r="M312" t="s">
        <v>763</v>
      </c>
    </row>
    <row r="313" spans="12:13" x14ac:dyDescent="0.25">
      <c r="L313" t="s">
        <v>764</v>
      </c>
      <c r="M313" t="s">
        <v>765</v>
      </c>
    </row>
    <row r="314" spans="12:13" x14ac:dyDescent="0.25">
      <c r="L314" t="s">
        <v>766</v>
      </c>
      <c r="M314" t="s">
        <v>767</v>
      </c>
    </row>
    <row r="315" spans="12:13" x14ac:dyDescent="0.25">
      <c r="L315" t="s">
        <v>768</v>
      </c>
      <c r="M315" t="s">
        <v>769</v>
      </c>
    </row>
    <row r="316" spans="12:13" x14ac:dyDescent="0.25">
      <c r="L316" t="s">
        <v>770</v>
      </c>
      <c r="M316" t="s">
        <v>771</v>
      </c>
    </row>
    <row r="317" spans="12:13" x14ac:dyDescent="0.25">
      <c r="L317" t="s">
        <v>772</v>
      </c>
      <c r="M317" t="s">
        <v>773</v>
      </c>
    </row>
    <row r="318" spans="12:13" x14ac:dyDescent="0.25">
      <c r="L318" t="s">
        <v>774</v>
      </c>
      <c r="M318" t="s">
        <v>775</v>
      </c>
    </row>
    <row r="319" spans="12:13" x14ac:dyDescent="0.25">
      <c r="L319" t="s">
        <v>776</v>
      </c>
      <c r="M319" t="s">
        <v>777</v>
      </c>
    </row>
    <row r="320" spans="12:13" x14ac:dyDescent="0.25">
      <c r="L320" t="s">
        <v>778</v>
      </c>
      <c r="M320" t="s">
        <v>779</v>
      </c>
    </row>
    <row r="321" spans="12:13" x14ac:dyDescent="0.25">
      <c r="L321" t="s">
        <v>780</v>
      </c>
      <c r="M321" t="s">
        <v>781</v>
      </c>
    </row>
    <row r="322" spans="12:13" x14ac:dyDescent="0.25">
      <c r="L322" t="s">
        <v>782</v>
      </c>
      <c r="M322" t="s">
        <v>783</v>
      </c>
    </row>
    <row r="323" spans="12:13" x14ac:dyDescent="0.25">
      <c r="L323" t="s">
        <v>784</v>
      </c>
      <c r="M323" t="s">
        <v>785</v>
      </c>
    </row>
    <row r="324" spans="12:13" x14ac:dyDescent="0.25">
      <c r="L324" t="s">
        <v>786</v>
      </c>
      <c r="M324" t="s">
        <v>787</v>
      </c>
    </row>
    <row r="325" spans="12:13" x14ac:dyDescent="0.25">
      <c r="L325" t="s">
        <v>788</v>
      </c>
      <c r="M325" t="s">
        <v>789</v>
      </c>
    </row>
    <row r="326" spans="12:13" x14ac:dyDescent="0.25">
      <c r="L326" t="s">
        <v>790</v>
      </c>
      <c r="M326" t="s">
        <v>791</v>
      </c>
    </row>
    <row r="327" spans="12:13" x14ac:dyDescent="0.25">
      <c r="L327" t="s">
        <v>792</v>
      </c>
      <c r="M327" t="s">
        <v>793</v>
      </c>
    </row>
    <row r="328" spans="12:13" x14ac:dyDescent="0.25">
      <c r="L328" t="s">
        <v>794</v>
      </c>
      <c r="M328" t="s">
        <v>795</v>
      </c>
    </row>
    <row r="329" spans="12:13" x14ac:dyDescent="0.25">
      <c r="L329" t="s">
        <v>796</v>
      </c>
      <c r="M329" t="s">
        <v>797</v>
      </c>
    </row>
    <row r="330" spans="12:13" x14ac:dyDescent="0.25">
      <c r="L330" t="s">
        <v>798</v>
      </c>
      <c r="M330" t="s">
        <v>799</v>
      </c>
    </row>
    <row r="331" spans="12:13" x14ac:dyDescent="0.25">
      <c r="L331" t="s">
        <v>800</v>
      </c>
      <c r="M331" t="s">
        <v>801</v>
      </c>
    </row>
    <row r="332" spans="12:13" x14ac:dyDescent="0.25">
      <c r="L332" t="s">
        <v>802</v>
      </c>
      <c r="M332" t="s">
        <v>803</v>
      </c>
    </row>
    <row r="333" spans="12:13" x14ac:dyDescent="0.25">
      <c r="L333" t="s">
        <v>804</v>
      </c>
      <c r="M333" t="s">
        <v>805</v>
      </c>
    </row>
    <row r="334" spans="12:13" x14ac:dyDescent="0.25">
      <c r="L334" t="s">
        <v>806</v>
      </c>
      <c r="M334" t="s">
        <v>807</v>
      </c>
    </row>
    <row r="335" spans="12:13" x14ac:dyDescent="0.25">
      <c r="L335" t="s">
        <v>808</v>
      </c>
      <c r="M335" t="s">
        <v>809</v>
      </c>
    </row>
    <row r="336" spans="12:13" x14ac:dyDescent="0.25">
      <c r="L336" t="s">
        <v>810</v>
      </c>
      <c r="M336" t="s">
        <v>811</v>
      </c>
    </row>
    <row r="337" spans="12:13" x14ac:dyDescent="0.25">
      <c r="L337" t="s">
        <v>812</v>
      </c>
      <c r="M337" t="s">
        <v>813</v>
      </c>
    </row>
    <row r="338" spans="12:13" x14ac:dyDescent="0.25">
      <c r="L338" t="s">
        <v>814</v>
      </c>
      <c r="M338" t="s">
        <v>815</v>
      </c>
    </row>
    <row r="339" spans="12:13" x14ac:dyDescent="0.25">
      <c r="L339" t="s">
        <v>816</v>
      </c>
      <c r="M339" t="s">
        <v>817</v>
      </c>
    </row>
    <row r="340" spans="12:13" x14ac:dyDescent="0.25">
      <c r="L340" t="s">
        <v>818</v>
      </c>
      <c r="M340" t="s">
        <v>819</v>
      </c>
    </row>
    <row r="341" spans="12:13" x14ac:dyDescent="0.25">
      <c r="L341" t="s">
        <v>820</v>
      </c>
      <c r="M341" t="s">
        <v>821</v>
      </c>
    </row>
    <row r="342" spans="12:13" x14ac:dyDescent="0.25">
      <c r="L342" t="s">
        <v>822</v>
      </c>
      <c r="M342" t="s">
        <v>823</v>
      </c>
    </row>
    <row r="343" spans="12:13" x14ac:dyDescent="0.25">
      <c r="L343" t="s">
        <v>824</v>
      </c>
      <c r="M343" t="s">
        <v>825</v>
      </c>
    </row>
    <row r="344" spans="12:13" x14ac:dyDescent="0.25">
      <c r="L344" t="s">
        <v>826</v>
      </c>
      <c r="M344" t="s">
        <v>827</v>
      </c>
    </row>
    <row r="345" spans="12:13" x14ac:dyDescent="0.25">
      <c r="L345" t="s">
        <v>828</v>
      </c>
      <c r="M345" t="s">
        <v>829</v>
      </c>
    </row>
    <row r="346" spans="12:13" x14ac:dyDescent="0.25">
      <c r="L346" t="s">
        <v>830</v>
      </c>
      <c r="M346" t="s">
        <v>831</v>
      </c>
    </row>
    <row r="347" spans="12:13" x14ac:dyDescent="0.25">
      <c r="L347" t="s">
        <v>832</v>
      </c>
      <c r="M347" t="s">
        <v>833</v>
      </c>
    </row>
    <row r="348" spans="12:13" x14ac:dyDescent="0.25">
      <c r="L348" t="s">
        <v>834</v>
      </c>
      <c r="M348" t="s">
        <v>835</v>
      </c>
    </row>
    <row r="349" spans="12:13" x14ac:dyDescent="0.25">
      <c r="L349" t="s">
        <v>836</v>
      </c>
      <c r="M349" t="s">
        <v>837</v>
      </c>
    </row>
    <row r="350" spans="12:13" x14ac:dyDescent="0.25">
      <c r="L350" t="s">
        <v>838</v>
      </c>
      <c r="M350" t="s">
        <v>839</v>
      </c>
    </row>
    <row r="351" spans="12:13" x14ac:dyDescent="0.25">
      <c r="L351" t="s">
        <v>840</v>
      </c>
      <c r="M351" t="s">
        <v>841</v>
      </c>
    </row>
    <row r="352" spans="12:13" x14ac:dyDescent="0.25">
      <c r="L352" t="s">
        <v>842</v>
      </c>
      <c r="M352" t="s">
        <v>843</v>
      </c>
    </row>
    <row r="353" spans="12:13" x14ac:dyDescent="0.25">
      <c r="L353" t="s">
        <v>844</v>
      </c>
      <c r="M353" t="s">
        <v>845</v>
      </c>
    </row>
    <row r="354" spans="12:13" x14ac:dyDescent="0.25">
      <c r="L354" t="s">
        <v>846</v>
      </c>
      <c r="M354" t="s">
        <v>847</v>
      </c>
    </row>
    <row r="355" spans="12:13" x14ac:dyDescent="0.25">
      <c r="L355" t="s">
        <v>848</v>
      </c>
      <c r="M355" t="s">
        <v>849</v>
      </c>
    </row>
    <row r="356" spans="12:13" x14ac:dyDescent="0.25">
      <c r="L356" t="s">
        <v>850</v>
      </c>
      <c r="M356" t="s">
        <v>851</v>
      </c>
    </row>
    <row r="357" spans="12:13" x14ac:dyDescent="0.25">
      <c r="L357" t="s">
        <v>852</v>
      </c>
      <c r="M357" t="s">
        <v>853</v>
      </c>
    </row>
    <row r="358" spans="12:13" x14ac:dyDescent="0.25">
      <c r="L358" t="s">
        <v>854</v>
      </c>
      <c r="M358" t="s">
        <v>855</v>
      </c>
    </row>
    <row r="359" spans="12:13" x14ac:dyDescent="0.25">
      <c r="L359" t="s">
        <v>856</v>
      </c>
      <c r="M359" t="s">
        <v>857</v>
      </c>
    </row>
    <row r="360" spans="12:13" x14ac:dyDescent="0.25">
      <c r="L360" t="s">
        <v>858</v>
      </c>
      <c r="M360" t="s">
        <v>859</v>
      </c>
    </row>
    <row r="361" spans="12:13" x14ac:dyDescent="0.25">
      <c r="L361" t="s">
        <v>860</v>
      </c>
      <c r="M361" t="s">
        <v>861</v>
      </c>
    </row>
    <row r="362" spans="12:13" x14ac:dyDescent="0.25">
      <c r="L362" t="s">
        <v>862</v>
      </c>
      <c r="M362" t="s">
        <v>863</v>
      </c>
    </row>
    <row r="363" spans="12:13" x14ac:dyDescent="0.25">
      <c r="L363" t="s">
        <v>864</v>
      </c>
      <c r="M363" t="s">
        <v>865</v>
      </c>
    </row>
    <row r="364" spans="12:13" x14ac:dyDescent="0.25">
      <c r="L364" t="s">
        <v>866</v>
      </c>
      <c r="M364" t="s">
        <v>867</v>
      </c>
    </row>
    <row r="365" spans="12:13" x14ac:dyDescent="0.25">
      <c r="L365" t="s">
        <v>868</v>
      </c>
      <c r="M365" t="s">
        <v>869</v>
      </c>
    </row>
    <row r="366" spans="12:13" x14ac:dyDescent="0.25">
      <c r="L366" t="s">
        <v>870</v>
      </c>
      <c r="M366" t="s">
        <v>871</v>
      </c>
    </row>
    <row r="367" spans="12:13" x14ac:dyDescent="0.25">
      <c r="L367" t="s">
        <v>872</v>
      </c>
      <c r="M367" t="s">
        <v>873</v>
      </c>
    </row>
    <row r="368" spans="12:13" x14ac:dyDescent="0.25">
      <c r="L368" t="s">
        <v>874</v>
      </c>
      <c r="M368" t="s">
        <v>875</v>
      </c>
    </row>
    <row r="369" spans="12:13" x14ac:dyDescent="0.25">
      <c r="L369" t="s">
        <v>876</v>
      </c>
      <c r="M369" t="s">
        <v>877</v>
      </c>
    </row>
    <row r="370" spans="12:13" x14ac:dyDescent="0.25">
      <c r="L370" t="s">
        <v>878</v>
      </c>
      <c r="M370" t="s">
        <v>879</v>
      </c>
    </row>
    <row r="371" spans="12:13" x14ac:dyDescent="0.25">
      <c r="L371" t="s">
        <v>880</v>
      </c>
      <c r="M371" t="s">
        <v>881</v>
      </c>
    </row>
    <row r="372" spans="12:13" x14ac:dyDescent="0.25">
      <c r="L372" t="s">
        <v>882</v>
      </c>
      <c r="M372" t="s">
        <v>883</v>
      </c>
    </row>
    <row r="373" spans="12:13" x14ac:dyDescent="0.25">
      <c r="L373" t="s">
        <v>884</v>
      </c>
      <c r="M373" t="s">
        <v>885</v>
      </c>
    </row>
    <row r="374" spans="12:13" x14ac:dyDescent="0.25">
      <c r="L374" t="s">
        <v>886</v>
      </c>
      <c r="M374" t="s">
        <v>887</v>
      </c>
    </row>
    <row r="375" spans="12:13" x14ac:dyDescent="0.25">
      <c r="L375" t="s">
        <v>888</v>
      </c>
      <c r="M375" t="s">
        <v>889</v>
      </c>
    </row>
    <row r="376" spans="12:13" x14ac:dyDescent="0.25">
      <c r="L376" t="s">
        <v>890</v>
      </c>
      <c r="M376" t="s">
        <v>891</v>
      </c>
    </row>
    <row r="377" spans="12:13" x14ac:dyDescent="0.25">
      <c r="L377" t="s">
        <v>892</v>
      </c>
      <c r="M377" t="s">
        <v>893</v>
      </c>
    </row>
    <row r="378" spans="12:13" x14ac:dyDescent="0.25">
      <c r="L378" t="s">
        <v>894</v>
      </c>
      <c r="M378" t="s">
        <v>895</v>
      </c>
    </row>
    <row r="379" spans="12:13" x14ac:dyDescent="0.25">
      <c r="L379" t="s">
        <v>896</v>
      </c>
      <c r="M379" t="s">
        <v>897</v>
      </c>
    </row>
    <row r="380" spans="12:13" x14ac:dyDescent="0.25">
      <c r="L380" t="s">
        <v>898</v>
      </c>
      <c r="M380" t="s">
        <v>899</v>
      </c>
    </row>
    <row r="381" spans="12:13" x14ac:dyDescent="0.25">
      <c r="L381" t="s">
        <v>900</v>
      </c>
      <c r="M381" t="s">
        <v>901</v>
      </c>
    </row>
    <row r="382" spans="12:13" x14ac:dyDescent="0.25">
      <c r="L382" t="s">
        <v>902</v>
      </c>
      <c r="M382" t="s">
        <v>903</v>
      </c>
    </row>
    <row r="383" spans="12:13" x14ac:dyDescent="0.25">
      <c r="L383" t="s">
        <v>904</v>
      </c>
      <c r="M383" t="s">
        <v>905</v>
      </c>
    </row>
    <row r="384" spans="12:13" x14ac:dyDescent="0.25">
      <c r="L384" t="s">
        <v>906</v>
      </c>
      <c r="M384" t="s">
        <v>907</v>
      </c>
    </row>
    <row r="385" spans="12:13" x14ac:dyDescent="0.25">
      <c r="L385" t="s">
        <v>908</v>
      </c>
      <c r="M385" t="s">
        <v>909</v>
      </c>
    </row>
    <row r="386" spans="12:13" x14ac:dyDescent="0.25">
      <c r="L386" t="s">
        <v>910</v>
      </c>
      <c r="M386" t="s">
        <v>911</v>
      </c>
    </row>
    <row r="387" spans="12:13" x14ac:dyDescent="0.25">
      <c r="L387" t="s">
        <v>912</v>
      </c>
      <c r="M387" t="s">
        <v>913</v>
      </c>
    </row>
    <row r="388" spans="12:13" x14ac:dyDescent="0.25">
      <c r="L388" t="s">
        <v>914</v>
      </c>
      <c r="M388" t="s">
        <v>915</v>
      </c>
    </row>
    <row r="389" spans="12:13" x14ac:dyDescent="0.25">
      <c r="L389" t="s">
        <v>916</v>
      </c>
      <c r="M389" t="s">
        <v>917</v>
      </c>
    </row>
    <row r="390" spans="12:13" x14ac:dyDescent="0.25">
      <c r="L390" t="s">
        <v>918</v>
      </c>
      <c r="M390" t="s">
        <v>919</v>
      </c>
    </row>
    <row r="391" spans="12:13" x14ac:dyDescent="0.25">
      <c r="L391" t="s">
        <v>920</v>
      </c>
      <c r="M391" t="s">
        <v>921</v>
      </c>
    </row>
    <row r="392" spans="12:13" x14ac:dyDescent="0.25">
      <c r="L392" t="s">
        <v>922</v>
      </c>
      <c r="M392" t="s">
        <v>923</v>
      </c>
    </row>
    <row r="393" spans="12:13" x14ac:dyDescent="0.25">
      <c r="L393" t="s">
        <v>924</v>
      </c>
      <c r="M393" t="s">
        <v>925</v>
      </c>
    </row>
    <row r="394" spans="12:13" x14ac:dyDescent="0.25">
      <c r="L394" t="s">
        <v>926</v>
      </c>
      <c r="M394" t="s">
        <v>927</v>
      </c>
    </row>
    <row r="395" spans="12:13" x14ac:dyDescent="0.25">
      <c r="L395" t="s">
        <v>928</v>
      </c>
      <c r="M395" t="s">
        <v>929</v>
      </c>
    </row>
    <row r="396" spans="12:13" x14ac:dyDescent="0.25">
      <c r="L396" t="s">
        <v>930</v>
      </c>
      <c r="M396" t="s">
        <v>931</v>
      </c>
    </row>
    <row r="397" spans="12:13" x14ac:dyDescent="0.25">
      <c r="L397" t="s">
        <v>932</v>
      </c>
      <c r="M397" t="s">
        <v>933</v>
      </c>
    </row>
    <row r="398" spans="12:13" x14ac:dyDescent="0.25">
      <c r="L398" t="s">
        <v>934</v>
      </c>
      <c r="M398" t="s">
        <v>935</v>
      </c>
    </row>
    <row r="399" spans="12:13" x14ac:dyDescent="0.25">
      <c r="L399" t="s">
        <v>936</v>
      </c>
      <c r="M399" t="s">
        <v>937</v>
      </c>
    </row>
    <row r="400" spans="12:13" x14ac:dyDescent="0.25">
      <c r="L400" t="s">
        <v>938</v>
      </c>
      <c r="M400" t="s">
        <v>939</v>
      </c>
    </row>
    <row r="401" spans="12:13" x14ac:dyDescent="0.25">
      <c r="L401" t="s">
        <v>940</v>
      </c>
      <c r="M401" t="s">
        <v>941</v>
      </c>
    </row>
    <row r="402" spans="12:13" x14ac:dyDescent="0.25">
      <c r="L402" t="s">
        <v>942</v>
      </c>
      <c r="M402" t="s">
        <v>943</v>
      </c>
    </row>
    <row r="403" spans="12:13" x14ac:dyDescent="0.25">
      <c r="L403" t="s">
        <v>944</v>
      </c>
      <c r="M403" t="s">
        <v>945</v>
      </c>
    </row>
    <row r="404" spans="12:13" x14ac:dyDescent="0.25">
      <c r="L404" t="s">
        <v>946</v>
      </c>
      <c r="M404" t="s">
        <v>947</v>
      </c>
    </row>
    <row r="405" spans="12:13" x14ac:dyDescent="0.25">
      <c r="L405" t="s">
        <v>948</v>
      </c>
      <c r="M405" t="s">
        <v>949</v>
      </c>
    </row>
    <row r="406" spans="12:13" x14ac:dyDescent="0.25">
      <c r="L406" t="s">
        <v>950</v>
      </c>
      <c r="M406" t="s">
        <v>951</v>
      </c>
    </row>
    <row r="407" spans="12:13" x14ac:dyDescent="0.25">
      <c r="L407" t="s">
        <v>952</v>
      </c>
      <c r="M407" t="s">
        <v>953</v>
      </c>
    </row>
    <row r="408" spans="12:13" x14ac:dyDescent="0.25">
      <c r="L408" t="s">
        <v>954</v>
      </c>
      <c r="M408" t="s">
        <v>955</v>
      </c>
    </row>
    <row r="409" spans="12:13" x14ac:dyDescent="0.25">
      <c r="L409" t="s">
        <v>956</v>
      </c>
      <c r="M409" t="s">
        <v>957</v>
      </c>
    </row>
    <row r="410" spans="12:13" x14ac:dyDescent="0.25">
      <c r="L410" t="s">
        <v>958</v>
      </c>
      <c r="M410" t="s">
        <v>959</v>
      </c>
    </row>
    <row r="411" spans="12:13" x14ac:dyDescent="0.25">
      <c r="L411" t="s">
        <v>960</v>
      </c>
      <c r="M411" t="s">
        <v>961</v>
      </c>
    </row>
    <row r="412" spans="12:13" x14ac:dyDescent="0.25">
      <c r="L412" t="s">
        <v>962</v>
      </c>
      <c r="M412" t="s">
        <v>963</v>
      </c>
    </row>
    <row r="413" spans="12:13" x14ac:dyDescent="0.25">
      <c r="L413" t="s">
        <v>964</v>
      </c>
      <c r="M413" t="s">
        <v>965</v>
      </c>
    </row>
    <row r="414" spans="12:13" x14ac:dyDescent="0.25">
      <c r="L414" t="s">
        <v>966</v>
      </c>
      <c r="M414" t="s">
        <v>967</v>
      </c>
    </row>
    <row r="415" spans="12:13" x14ac:dyDescent="0.25">
      <c r="L415" t="s">
        <v>968</v>
      </c>
      <c r="M415" t="s">
        <v>969</v>
      </c>
    </row>
    <row r="416" spans="12:13" x14ac:dyDescent="0.25">
      <c r="L416" t="s">
        <v>970</v>
      </c>
      <c r="M416" t="s">
        <v>971</v>
      </c>
    </row>
    <row r="417" spans="12:13" x14ac:dyDescent="0.25">
      <c r="L417" t="s">
        <v>972</v>
      </c>
      <c r="M417" t="s">
        <v>973</v>
      </c>
    </row>
    <row r="418" spans="12:13" x14ac:dyDescent="0.25">
      <c r="L418" t="s">
        <v>974</v>
      </c>
      <c r="M418" t="s">
        <v>975</v>
      </c>
    </row>
    <row r="419" spans="12:13" x14ac:dyDescent="0.25">
      <c r="L419" t="s">
        <v>976</v>
      </c>
      <c r="M419" t="s">
        <v>977</v>
      </c>
    </row>
    <row r="420" spans="12:13" x14ac:dyDescent="0.25">
      <c r="L420" t="s">
        <v>978</v>
      </c>
      <c r="M420" t="s">
        <v>979</v>
      </c>
    </row>
    <row r="421" spans="12:13" x14ac:dyDescent="0.25">
      <c r="L421" t="s">
        <v>980</v>
      </c>
      <c r="M421" t="s">
        <v>981</v>
      </c>
    </row>
    <row r="422" spans="12:13" x14ac:dyDescent="0.25">
      <c r="L422" t="s">
        <v>982</v>
      </c>
      <c r="M422" t="s">
        <v>983</v>
      </c>
    </row>
    <row r="423" spans="12:13" x14ac:dyDescent="0.25">
      <c r="L423" t="s">
        <v>984</v>
      </c>
      <c r="M423" t="s">
        <v>985</v>
      </c>
    </row>
    <row r="424" spans="12:13" x14ac:dyDescent="0.25">
      <c r="L424" t="s">
        <v>986</v>
      </c>
      <c r="M424" t="s">
        <v>987</v>
      </c>
    </row>
    <row r="425" spans="12:13" x14ac:dyDescent="0.25">
      <c r="L425" t="s">
        <v>988</v>
      </c>
      <c r="M425" t="s">
        <v>989</v>
      </c>
    </row>
    <row r="426" spans="12:13" x14ac:dyDescent="0.25">
      <c r="L426" t="s">
        <v>990</v>
      </c>
      <c r="M426" t="s">
        <v>991</v>
      </c>
    </row>
    <row r="427" spans="12:13" x14ac:dyDescent="0.25">
      <c r="L427" t="s">
        <v>992</v>
      </c>
      <c r="M427" t="s">
        <v>993</v>
      </c>
    </row>
    <row r="428" spans="12:13" x14ac:dyDescent="0.25">
      <c r="L428" t="s">
        <v>994</v>
      </c>
      <c r="M428" t="s">
        <v>995</v>
      </c>
    </row>
    <row r="429" spans="12:13" x14ac:dyDescent="0.25">
      <c r="L429" t="s">
        <v>996</v>
      </c>
      <c r="M429" t="s">
        <v>997</v>
      </c>
    </row>
    <row r="430" spans="12:13" x14ac:dyDescent="0.25">
      <c r="L430" t="s">
        <v>998</v>
      </c>
      <c r="M430" t="s">
        <v>999</v>
      </c>
    </row>
    <row r="431" spans="12:13" x14ac:dyDescent="0.25">
      <c r="L431" t="s">
        <v>1000</v>
      </c>
      <c r="M431" t="s">
        <v>1001</v>
      </c>
    </row>
    <row r="432" spans="12:13" x14ac:dyDescent="0.25">
      <c r="L432" t="s">
        <v>1002</v>
      </c>
      <c r="M432" t="s">
        <v>1003</v>
      </c>
    </row>
    <row r="433" spans="12:13" x14ac:dyDescent="0.25">
      <c r="L433" t="s">
        <v>1004</v>
      </c>
      <c r="M433" t="s">
        <v>1005</v>
      </c>
    </row>
    <row r="434" spans="12:13" x14ac:dyDescent="0.25">
      <c r="L434" t="s">
        <v>1006</v>
      </c>
      <c r="M434" t="s">
        <v>1007</v>
      </c>
    </row>
    <row r="435" spans="12:13" x14ac:dyDescent="0.25">
      <c r="L435" t="s">
        <v>1008</v>
      </c>
      <c r="M435" t="s">
        <v>1009</v>
      </c>
    </row>
    <row r="436" spans="12:13" x14ac:dyDescent="0.25">
      <c r="L436" t="s">
        <v>1010</v>
      </c>
      <c r="M436" t="s">
        <v>1011</v>
      </c>
    </row>
    <row r="437" spans="12:13" x14ac:dyDescent="0.25">
      <c r="L437" t="s">
        <v>1012</v>
      </c>
      <c r="M437" t="s">
        <v>1013</v>
      </c>
    </row>
    <row r="438" spans="12:13" x14ac:dyDescent="0.25">
      <c r="L438" t="s">
        <v>1014</v>
      </c>
      <c r="M438" t="s">
        <v>1015</v>
      </c>
    </row>
    <row r="439" spans="12:13" x14ac:dyDescent="0.25">
      <c r="L439" t="s">
        <v>1016</v>
      </c>
      <c r="M439" t="s">
        <v>1017</v>
      </c>
    </row>
    <row r="440" spans="12:13" x14ac:dyDescent="0.25">
      <c r="L440" t="s">
        <v>1018</v>
      </c>
      <c r="M440" t="s">
        <v>1019</v>
      </c>
    </row>
    <row r="441" spans="12:13" x14ac:dyDescent="0.25">
      <c r="L441" t="s">
        <v>1020</v>
      </c>
      <c r="M441" t="s">
        <v>1021</v>
      </c>
    </row>
    <row r="442" spans="12:13" x14ac:dyDescent="0.25">
      <c r="L442" t="s">
        <v>1022</v>
      </c>
      <c r="M442" t="s">
        <v>1023</v>
      </c>
    </row>
    <row r="443" spans="12:13" x14ac:dyDescent="0.25">
      <c r="L443" t="s">
        <v>1024</v>
      </c>
      <c r="M443" t="s">
        <v>1025</v>
      </c>
    </row>
    <row r="444" spans="12:13" x14ac:dyDescent="0.25">
      <c r="L444" t="s">
        <v>1026</v>
      </c>
      <c r="M444" t="s">
        <v>1027</v>
      </c>
    </row>
    <row r="445" spans="12:13" x14ac:dyDescent="0.25">
      <c r="L445" t="s">
        <v>1028</v>
      </c>
      <c r="M445" t="s">
        <v>1029</v>
      </c>
    </row>
    <row r="446" spans="12:13" x14ac:dyDescent="0.25">
      <c r="L446" t="s">
        <v>1030</v>
      </c>
      <c r="M446" t="s">
        <v>1031</v>
      </c>
    </row>
    <row r="447" spans="12:13" x14ac:dyDescent="0.25">
      <c r="L447" t="s">
        <v>1032</v>
      </c>
      <c r="M447" t="s">
        <v>1033</v>
      </c>
    </row>
    <row r="448" spans="12:13" x14ac:dyDescent="0.25">
      <c r="L448" t="s">
        <v>1034</v>
      </c>
      <c r="M448" t="s">
        <v>1035</v>
      </c>
    </row>
    <row r="449" spans="12:13" x14ac:dyDescent="0.25">
      <c r="L449" t="s">
        <v>1036</v>
      </c>
      <c r="M449" t="s">
        <v>1037</v>
      </c>
    </row>
    <row r="450" spans="12:13" x14ac:dyDescent="0.25">
      <c r="L450" t="s">
        <v>1038</v>
      </c>
      <c r="M450" t="s">
        <v>1039</v>
      </c>
    </row>
    <row r="451" spans="12:13" x14ac:dyDescent="0.25">
      <c r="L451" t="s">
        <v>1040</v>
      </c>
      <c r="M451" t="s">
        <v>1041</v>
      </c>
    </row>
    <row r="452" spans="12:13" x14ac:dyDescent="0.25">
      <c r="L452" t="s">
        <v>1042</v>
      </c>
      <c r="M452" t="s">
        <v>1043</v>
      </c>
    </row>
    <row r="453" spans="12:13" x14ac:dyDescent="0.25">
      <c r="L453" t="s">
        <v>1044</v>
      </c>
      <c r="M453" t="s">
        <v>1045</v>
      </c>
    </row>
    <row r="454" spans="12:13" x14ac:dyDescent="0.25">
      <c r="L454" t="s">
        <v>1046</v>
      </c>
      <c r="M454" t="s">
        <v>1047</v>
      </c>
    </row>
    <row r="455" spans="12:13" x14ac:dyDescent="0.25">
      <c r="L455" t="s">
        <v>1048</v>
      </c>
      <c r="M455" t="s">
        <v>1049</v>
      </c>
    </row>
    <row r="456" spans="12:13" x14ac:dyDescent="0.25">
      <c r="L456" t="s">
        <v>1050</v>
      </c>
      <c r="M456" t="s">
        <v>1051</v>
      </c>
    </row>
    <row r="457" spans="12:13" x14ac:dyDescent="0.25">
      <c r="L457" t="s">
        <v>1052</v>
      </c>
      <c r="M457" t="s">
        <v>1053</v>
      </c>
    </row>
    <row r="458" spans="12:13" x14ac:dyDescent="0.25">
      <c r="L458" t="s">
        <v>1054</v>
      </c>
      <c r="M458" t="s">
        <v>1055</v>
      </c>
    </row>
    <row r="459" spans="12:13" x14ac:dyDescent="0.25">
      <c r="L459" t="s">
        <v>1056</v>
      </c>
      <c r="M459" t="s">
        <v>1057</v>
      </c>
    </row>
    <row r="460" spans="12:13" x14ac:dyDescent="0.25">
      <c r="L460" t="s">
        <v>1058</v>
      </c>
      <c r="M460" t="s">
        <v>1059</v>
      </c>
    </row>
    <row r="461" spans="12:13" x14ac:dyDescent="0.25">
      <c r="L461" t="s">
        <v>1060</v>
      </c>
      <c r="M461" t="s">
        <v>1061</v>
      </c>
    </row>
    <row r="462" spans="12:13" x14ac:dyDescent="0.25">
      <c r="L462" t="s">
        <v>1062</v>
      </c>
      <c r="M462" t="s">
        <v>1063</v>
      </c>
    </row>
    <row r="463" spans="12:13" x14ac:dyDescent="0.25">
      <c r="L463" t="s">
        <v>1064</v>
      </c>
      <c r="M463" t="s">
        <v>1065</v>
      </c>
    </row>
    <row r="464" spans="12:13" x14ac:dyDescent="0.25">
      <c r="L464" t="s">
        <v>1066</v>
      </c>
      <c r="M464" t="s">
        <v>1067</v>
      </c>
    </row>
    <row r="465" spans="12:13" x14ac:dyDescent="0.25">
      <c r="L465" t="s">
        <v>1068</v>
      </c>
      <c r="M465" t="s">
        <v>1069</v>
      </c>
    </row>
    <row r="466" spans="12:13" x14ac:dyDescent="0.25">
      <c r="L466" t="s">
        <v>1070</v>
      </c>
      <c r="M466" t="s">
        <v>493</v>
      </c>
    </row>
    <row r="467" spans="12:13" x14ac:dyDescent="0.25">
      <c r="L467" t="s">
        <v>1071</v>
      </c>
      <c r="M467" t="s">
        <v>1072</v>
      </c>
    </row>
    <row r="468" spans="12:13" x14ac:dyDescent="0.25">
      <c r="L468" t="s">
        <v>1073</v>
      </c>
      <c r="M468" t="s">
        <v>1074</v>
      </c>
    </row>
    <row r="469" spans="12:13" x14ac:dyDescent="0.25">
      <c r="L469" t="s">
        <v>1075</v>
      </c>
      <c r="M469" t="s">
        <v>1076</v>
      </c>
    </row>
    <row r="470" spans="12:13" x14ac:dyDescent="0.25">
      <c r="L470" t="s">
        <v>1077</v>
      </c>
      <c r="M470" t="s">
        <v>1078</v>
      </c>
    </row>
    <row r="471" spans="12:13" x14ac:dyDescent="0.25">
      <c r="L471" t="s">
        <v>1079</v>
      </c>
      <c r="M471" t="s">
        <v>1080</v>
      </c>
    </row>
    <row r="472" spans="12:13" x14ac:dyDescent="0.25">
      <c r="L472" t="s">
        <v>1081</v>
      </c>
      <c r="M472" t="s">
        <v>1082</v>
      </c>
    </row>
    <row r="473" spans="12:13" x14ac:dyDescent="0.25">
      <c r="L473" t="s">
        <v>1083</v>
      </c>
      <c r="M473" t="s">
        <v>1084</v>
      </c>
    </row>
    <row r="474" spans="12:13" x14ac:dyDescent="0.25">
      <c r="L474" t="s">
        <v>1085</v>
      </c>
      <c r="M474" t="s">
        <v>1086</v>
      </c>
    </row>
    <row r="475" spans="12:13" x14ac:dyDescent="0.25">
      <c r="L475" t="s">
        <v>1087</v>
      </c>
      <c r="M475" t="s">
        <v>1088</v>
      </c>
    </row>
    <row r="476" spans="12:13" x14ac:dyDescent="0.25">
      <c r="L476" t="s">
        <v>1089</v>
      </c>
      <c r="M476" t="s">
        <v>1090</v>
      </c>
    </row>
    <row r="477" spans="12:13" x14ac:dyDescent="0.25">
      <c r="L477" t="s">
        <v>1091</v>
      </c>
      <c r="M477" t="s">
        <v>1092</v>
      </c>
    </row>
    <row r="478" spans="12:13" x14ac:dyDescent="0.25">
      <c r="L478" t="s">
        <v>1093</v>
      </c>
      <c r="M478" t="s">
        <v>1094</v>
      </c>
    </row>
    <row r="479" spans="12:13" x14ac:dyDescent="0.25">
      <c r="L479" t="s">
        <v>1095</v>
      </c>
      <c r="M479" t="s">
        <v>1096</v>
      </c>
    </row>
    <row r="480" spans="12:13" x14ac:dyDescent="0.25">
      <c r="L480" t="s">
        <v>1097</v>
      </c>
      <c r="M480" t="s">
        <v>1098</v>
      </c>
    </row>
    <row r="481" spans="12:13" x14ac:dyDescent="0.25">
      <c r="L481" t="s">
        <v>1099</v>
      </c>
      <c r="M481" t="s">
        <v>1100</v>
      </c>
    </row>
    <row r="482" spans="12:13" x14ac:dyDescent="0.25">
      <c r="L482" t="s">
        <v>1101</v>
      </c>
      <c r="M482" t="s">
        <v>1102</v>
      </c>
    </row>
    <row r="483" spans="12:13" x14ac:dyDescent="0.25">
      <c r="L483" t="s">
        <v>1103</v>
      </c>
      <c r="M483" t="s">
        <v>1104</v>
      </c>
    </row>
    <row r="484" spans="12:13" x14ac:dyDescent="0.25">
      <c r="L484" t="s">
        <v>1105</v>
      </c>
      <c r="M484" t="s">
        <v>1106</v>
      </c>
    </row>
    <row r="485" spans="12:13" x14ac:dyDescent="0.25">
      <c r="L485" t="s">
        <v>1107</v>
      </c>
      <c r="M485" t="s">
        <v>1108</v>
      </c>
    </row>
    <row r="486" spans="12:13" x14ac:dyDescent="0.25">
      <c r="L486" t="s">
        <v>1109</v>
      </c>
      <c r="M486" t="s">
        <v>1110</v>
      </c>
    </row>
    <row r="487" spans="12:13" x14ac:dyDescent="0.25">
      <c r="L487" t="s">
        <v>1111</v>
      </c>
      <c r="M487" t="s">
        <v>1112</v>
      </c>
    </row>
    <row r="488" spans="12:13" x14ac:dyDescent="0.25">
      <c r="L488" t="s">
        <v>1113</v>
      </c>
      <c r="M488" t="s">
        <v>1114</v>
      </c>
    </row>
    <row r="489" spans="12:13" x14ac:dyDescent="0.25">
      <c r="L489" t="s">
        <v>1115</v>
      </c>
      <c r="M489" t="s">
        <v>1116</v>
      </c>
    </row>
    <row r="490" spans="12:13" x14ac:dyDescent="0.25">
      <c r="L490" t="s">
        <v>1117</v>
      </c>
      <c r="M490" t="s">
        <v>1118</v>
      </c>
    </row>
    <row r="491" spans="12:13" x14ac:dyDescent="0.25">
      <c r="L491" t="s">
        <v>1119</v>
      </c>
      <c r="M491" t="s">
        <v>1120</v>
      </c>
    </row>
    <row r="492" spans="12:13" x14ac:dyDescent="0.25">
      <c r="L492" t="s">
        <v>1121</v>
      </c>
      <c r="M492" t="s">
        <v>1122</v>
      </c>
    </row>
    <row r="493" spans="12:13" x14ac:dyDescent="0.25">
      <c r="L493" t="s">
        <v>1123</v>
      </c>
      <c r="M493" t="s">
        <v>1124</v>
      </c>
    </row>
    <row r="494" spans="12:13" x14ac:dyDescent="0.25">
      <c r="L494" t="s">
        <v>1125</v>
      </c>
      <c r="M494" t="s">
        <v>1126</v>
      </c>
    </row>
    <row r="495" spans="12:13" x14ac:dyDescent="0.25">
      <c r="L495" t="s">
        <v>1127</v>
      </c>
      <c r="M495" t="s">
        <v>1128</v>
      </c>
    </row>
    <row r="496" spans="12:13" x14ac:dyDescent="0.25">
      <c r="L496" t="s">
        <v>1129</v>
      </c>
      <c r="M496" t="s">
        <v>1130</v>
      </c>
    </row>
    <row r="497" spans="12:13" x14ac:dyDescent="0.25">
      <c r="L497" t="s">
        <v>1131</v>
      </c>
      <c r="M497" t="s">
        <v>1132</v>
      </c>
    </row>
    <row r="498" spans="12:13" x14ac:dyDescent="0.25">
      <c r="L498" t="s">
        <v>1133</v>
      </c>
      <c r="M498" t="s">
        <v>1057</v>
      </c>
    </row>
    <row r="499" spans="12:13" x14ac:dyDescent="0.25">
      <c r="L499" t="s">
        <v>1134</v>
      </c>
      <c r="M499" t="s">
        <v>1135</v>
      </c>
    </row>
    <row r="500" spans="12:13" x14ac:dyDescent="0.25">
      <c r="L500" t="s">
        <v>1136</v>
      </c>
      <c r="M500" t="s">
        <v>1137</v>
      </c>
    </row>
    <row r="501" spans="12:13" x14ac:dyDescent="0.25">
      <c r="L501" t="s">
        <v>1138</v>
      </c>
      <c r="M501" t="s">
        <v>1139</v>
      </c>
    </row>
    <row r="502" spans="12:13" x14ac:dyDescent="0.25">
      <c r="L502" t="s">
        <v>1140</v>
      </c>
      <c r="M502" t="s">
        <v>1141</v>
      </c>
    </row>
    <row r="503" spans="12:13" x14ac:dyDescent="0.25">
      <c r="L503" t="s">
        <v>1142</v>
      </c>
      <c r="M503" t="s">
        <v>1143</v>
      </c>
    </row>
    <row r="504" spans="12:13" x14ac:dyDescent="0.25">
      <c r="L504" t="s">
        <v>1144</v>
      </c>
      <c r="M504" t="s">
        <v>1145</v>
      </c>
    </row>
    <row r="505" spans="12:13" x14ac:dyDescent="0.25">
      <c r="L505" t="s">
        <v>1146</v>
      </c>
      <c r="M505" t="s">
        <v>1147</v>
      </c>
    </row>
    <row r="506" spans="12:13" x14ac:dyDescent="0.25">
      <c r="L506" t="s">
        <v>1148</v>
      </c>
      <c r="M506" t="s">
        <v>1149</v>
      </c>
    </row>
    <row r="507" spans="12:13" x14ac:dyDescent="0.25">
      <c r="L507" t="s">
        <v>1150</v>
      </c>
      <c r="M507" t="s">
        <v>1151</v>
      </c>
    </row>
    <row r="508" spans="12:13" x14ac:dyDescent="0.25">
      <c r="L508" t="s">
        <v>1152</v>
      </c>
      <c r="M508" t="s">
        <v>1153</v>
      </c>
    </row>
    <row r="509" spans="12:13" x14ac:dyDescent="0.25">
      <c r="L509" t="s">
        <v>1154</v>
      </c>
      <c r="M509" t="s">
        <v>1155</v>
      </c>
    </row>
    <row r="510" spans="12:13" x14ac:dyDescent="0.25">
      <c r="L510" t="s">
        <v>1156</v>
      </c>
      <c r="M510" t="s">
        <v>1157</v>
      </c>
    </row>
    <row r="511" spans="12:13" x14ac:dyDescent="0.25">
      <c r="L511" t="s">
        <v>1158</v>
      </c>
      <c r="M511" t="s">
        <v>1159</v>
      </c>
    </row>
    <row r="512" spans="12:13" x14ac:dyDescent="0.25">
      <c r="L512" t="s">
        <v>1160</v>
      </c>
      <c r="M512" t="s">
        <v>1161</v>
      </c>
    </row>
    <row r="513" spans="12:13" x14ac:dyDescent="0.25">
      <c r="L513" t="s">
        <v>1162</v>
      </c>
      <c r="M513" t="s">
        <v>1163</v>
      </c>
    </row>
    <row r="514" spans="12:13" x14ac:dyDescent="0.25">
      <c r="L514" t="s">
        <v>1164</v>
      </c>
      <c r="M514" t="s">
        <v>1165</v>
      </c>
    </row>
    <row r="515" spans="12:13" x14ac:dyDescent="0.25">
      <c r="L515" t="s">
        <v>1166</v>
      </c>
      <c r="M515" t="s">
        <v>1167</v>
      </c>
    </row>
    <row r="516" spans="12:13" x14ac:dyDescent="0.25">
      <c r="L516" t="s">
        <v>1168</v>
      </c>
      <c r="M516" t="s">
        <v>1169</v>
      </c>
    </row>
    <row r="517" spans="12:13" x14ac:dyDescent="0.25">
      <c r="L517" t="s">
        <v>1170</v>
      </c>
      <c r="M517" t="s">
        <v>1171</v>
      </c>
    </row>
    <row r="518" spans="12:13" x14ac:dyDescent="0.25">
      <c r="L518" t="s">
        <v>1172</v>
      </c>
      <c r="M518" t="s">
        <v>1173</v>
      </c>
    </row>
    <row r="519" spans="12:13" x14ac:dyDescent="0.25">
      <c r="L519" t="s">
        <v>1174</v>
      </c>
      <c r="M519" t="s">
        <v>1175</v>
      </c>
    </row>
    <row r="520" spans="12:13" x14ac:dyDescent="0.25">
      <c r="L520" t="s">
        <v>1176</v>
      </c>
      <c r="M520" t="s">
        <v>1177</v>
      </c>
    </row>
    <row r="521" spans="12:13" x14ac:dyDescent="0.25">
      <c r="L521" t="s">
        <v>1178</v>
      </c>
      <c r="M521" t="s">
        <v>1179</v>
      </c>
    </row>
    <row r="522" spans="12:13" x14ac:dyDescent="0.25">
      <c r="L522" t="s">
        <v>1180</v>
      </c>
      <c r="M522" t="s">
        <v>1181</v>
      </c>
    </row>
    <row r="523" spans="12:13" x14ac:dyDescent="0.25">
      <c r="L523" t="s">
        <v>1182</v>
      </c>
      <c r="M523" t="s">
        <v>1183</v>
      </c>
    </row>
    <row r="524" spans="12:13" x14ac:dyDescent="0.25">
      <c r="L524" t="s">
        <v>1184</v>
      </c>
      <c r="M524" t="s">
        <v>1185</v>
      </c>
    </row>
    <row r="525" spans="12:13" x14ac:dyDescent="0.25">
      <c r="L525" t="s">
        <v>1186</v>
      </c>
      <c r="M525" t="s">
        <v>1187</v>
      </c>
    </row>
    <row r="526" spans="12:13" x14ac:dyDescent="0.25">
      <c r="L526" t="s">
        <v>1188</v>
      </c>
      <c r="M526" t="s">
        <v>1189</v>
      </c>
    </row>
    <row r="527" spans="12:13" x14ac:dyDescent="0.25">
      <c r="L527" t="s">
        <v>1190</v>
      </c>
      <c r="M527" t="s">
        <v>1191</v>
      </c>
    </row>
    <row r="528" spans="12:13" x14ac:dyDescent="0.25">
      <c r="L528" t="s">
        <v>1192</v>
      </c>
      <c r="M528" t="s">
        <v>1193</v>
      </c>
    </row>
    <row r="529" spans="12:13" x14ac:dyDescent="0.25">
      <c r="L529" t="s">
        <v>1194</v>
      </c>
      <c r="M529" t="s">
        <v>1195</v>
      </c>
    </row>
    <row r="530" spans="12:13" x14ac:dyDescent="0.25">
      <c r="L530" t="s">
        <v>1196</v>
      </c>
      <c r="M530" t="s">
        <v>1197</v>
      </c>
    </row>
    <row r="531" spans="12:13" x14ac:dyDescent="0.25">
      <c r="L531" t="s">
        <v>1198</v>
      </c>
      <c r="M531" t="s">
        <v>1199</v>
      </c>
    </row>
    <row r="532" spans="12:13" x14ac:dyDescent="0.25">
      <c r="L532" t="s">
        <v>1200</v>
      </c>
      <c r="M532" t="s">
        <v>1201</v>
      </c>
    </row>
    <row r="533" spans="12:13" x14ac:dyDescent="0.25">
      <c r="L533" t="s">
        <v>1202</v>
      </c>
      <c r="M533" t="s">
        <v>1203</v>
      </c>
    </row>
    <row r="534" spans="12:13" x14ac:dyDescent="0.25">
      <c r="L534" t="s">
        <v>1204</v>
      </c>
      <c r="M534" t="s">
        <v>1205</v>
      </c>
    </row>
    <row r="535" spans="12:13" x14ac:dyDescent="0.25">
      <c r="L535" t="s">
        <v>1206</v>
      </c>
      <c r="M535" t="s">
        <v>1207</v>
      </c>
    </row>
    <row r="536" spans="12:13" x14ac:dyDescent="0.25">
      <c r="L536" t="s">
        <v>1208</v>
      </c>
      <c r="M536" t="s">
        <v>1209</v>
      </c>
    </row>
    <row r="537" spans="12:13" x14ac:dyDescent="0.25">
      <c r="L537" t="s">
        <v>1210</v>
      </c>
      <c r="M537" t="s">
        <v>1211</v>
      </c>
    </row>
    <row r="538" spans="12:13" x14ac:dyDescent="0.25">
      <c r="L538" t="s">
        <v>1212</v>
      </c>
      <c r="M538" t="s">
        <v>1213</v>
      </c>
    </row>
    <row r="539" spans="12:13" x14ac:dyDescent="0.25">
      <c r="L539" t="s">
        <v>1214</v>
      </c>
      <c r="M539" t="s">
        <v>1215</v>
      </c>
    </row>
    <row r="540" spans="12:13" x14ac:dyDescent="0.25">
      <c r="L540" t="s">
        <v>1216</v>
      </c>
      <c r="M540" t="s">
        <v>1217</v>
      </c>
    </row>
    <row r="541" spans="12:13" x14ac:dyDescent="0.25">
      <c r="L541" t="s">
        <v>1218</v>
      </c>
      <c r="M541" t="s">
        <v>1219</v>
      </c>
    </row>
    <row r="542" spans="12:13" x14ac:dyDescent="0.25">
      <c r="L542" t="s">
        <v>1220</v>
      </c>
      <c r="M542" t="s">
        <v>1221</v>
      </c>
    </row>
    <row r="543" spans="12:13" x14ac:dyDescent="0.25">
      <c r="L543" t="s">
        <v>1222</v>
      </c>
      <c r="M543" t="s">
        <v>1223</v>
      </c>
    </row>
    <row r="544" spans="12:13" x14ac:dyDescent="0.25">
      <c r="L544" t="s">
        <v>1224</v>
      </c>
      <c r="M544" t="s">
        <v>1165</v>
      </c>
    </row>
    <row r="545" spans="12:13" x14ac:dyDescent="0.25">
      <c r="L545" t="s">
        <v>1225</v>
      </c>
      <c r="M545" t="s">
        <v>1226</v>
      </c>
    </row>
    <row r="546" spans="12:13" x14ac:dyDescent="0.25">
      <c r="L546" t="s">
        <v>1227</v>
      </c>
      <c r="M546" t="s">
        <v>1228</v>
      </c>
    </row>
    <row r="547" spans="12:13" x14ac:dyDescent="0.25">
      <c r="L547" t="s">
        <v>1229</v>
      </c>
      <c r="M547" t="s">
        <v>1230</v>
      </c>
    </row>
    <row r="548" spans="12:13" x14ac:dyDescent="0.25">
      <c r="L548" t="s">
        <v>1231</v>
      </c>
      <c r="M548" t="s">
        <v>1232</v>
      </c>
    </row>
    <row r="549" spans="12:13" x14ac:dyDescent="0.25">
      <c r="L549" t="s">
        <v>1233</v>
      </c>
      <c r="M549" t="s">
        <v>1234</v>
      </c>
    </row>
    <row r="550" spans="12:13" x14ac:dyDescent="0.25">
      <c r="L550" t="s">
        <v>1235</v>
      </c>
      <c r="M550" t="s">
        <v>1171</v>
      </c>
    </row>
    <row r="551" spans="12:13" x14ac:dyDescent="0.25">
      <c r="L551" t="s">
        <v>1236</v>
      </c>
      <c r="M551" t="s">
        <v>1237</v>
      </c>
    </row>
    <row r="552" spans="12:13" x14ac:dyDescent="0.25">
      <c r="L552" t="s">
        <v>1238</v>
      </c>
      <c r="M552" t="s">
        <v>1239</v>
      </c>
    </row>
    <row r="553" spans="12:13" x14ac:dyDescent="0.25">
      <c r="L553" t="s">
        <v>1240</v>
      </c>
      <c r="M553" t="s">
        <v>1241</v>
      </c>
    </row>
    <row r="554" spans="12:13" x14ac:dyDescent="0.25">
      <c r="L554" t="s">
        <v>1242</v>
      </c>
      <c r="M554" t="s">
        <v>1243</v>
      </c>
    </row>
    <row r="555" spans="12:13" x14ac:dyDescent="0.25">
      <c r="L555" t="s">
        <v>1244</v>
      </c>
      <c r="M555" t="s">
        <v>1245</v>
      </c>
    </row>
    <row r="556" spans="12:13" x14ac:dyDescent="0.25">
      <c r="L556" t="s">
        <v>1246</v>
      </c>
      <c r="M556" t="s">
        <v>1247</v>
      </c>
    </row>
    <row r="557" spans="12:13" x14ac:dyDescent="0.25">
      <c r="L557" t="s">
        <v>1248</v>
      </c>
      <c r="M557" t="s">
        <v>1249</v>
      </c>
    </row>
    <row r="558" spans="12:13" x14ac:dyDescent="0.25">
      <c r="L558" t="s">
        <v>1250</v>
      </c>
      <c r="M558" t="s">
        <v>1251</v>
      </c>
    </row>
    <row r="559" spans="12:13" x14ac:dyDescent="0.25">
      <c r="L559" t="s">
        <v>1252</v>
      </c>
      <c r="M559" t="s">
        <v>1253</v>
      </c>
    </row>
    <row r="560" spans="12:13" x14ac:dyDescent="0.25">
      <c r="L560" t="s">
        <v>1254</v>
      </c>
      <c r="M560" t="s">
        <v>1255</v>
      </c>
    </row>
    <row r="561" spans="12:13" x14ac:dyDescent="0.25">
      <c r="L561" t="s">
        <v>1256</v>
      </c>
      <c r="M561" t="s">
        <v>1257</v>
      </c>
    </row>
    <row r="562" spans="12:13" x14ac:dyDescent="0.25">
      <c r="L562" t="s">
        <v>1258</v>
      </c>
      <c r="M562" t="s">
        <v>1259</v>
      </c>
    </row>
    <row r="563" spans="12:13" x14ac:dyDescent="0.25">
      <c r="L563" t="s">
        <v>1260</v>
      </c>
      <c r="M563" t="s">
        <v>1261</v>
      </c>
    </row>
    <row r="564" spans="12:13" x14ac:dyDescent="0.25">
      <c r="L564" t="s">
        <v>1262</v>
      </c>
      <c r="M564" t="s">
        <v>1263</v>
      </c>
    </row>
    <row r="565" spans="12:13" x14ac:dyDescent="0.25">
      <c r="L565" t="s">
        <v>1264</v>
      </c>
      <c r="M565" t="s">
        <v>1265</v>
      </c>
    </row>
    <row r="566" spans="12:13" x14ac:dyDescent="0.25">
      <c r="L566" t="s">
        <v>1266</v>
      </c>
      <c r="M566" t="s">
        <v>1267</v>
      </c>
    </row>
    <row r="567" spans="12:13" x14ac:dyDescent="0.25">
      <c r="L567" t="s">
        <v>1268</v>
      </c>
      <c r="M567" t="s">
        <v>1269</v>
      </c>
    </row>
    <row r="568" spans="12:13" x14ac:dyDescent="0.25">
      <c r="L568" t="s">
        <v>1270</v>
      </c>
      <c r="M568" t="s">
        <v>1271</v>
      </c>
    </row>
    <row r="569" spans="12:13" x14ac:dyDescent="0.25">
      <c r="L569" t="s">
        <v>1272</v>
      </c>
      <c r="M569" t="s">
        <v>1273</v>
      </c>
    </row>
    <row r="570" spans="12:13" x14ac:dyDescent="0.25">
      <c r="L570" t="s">
        <v>1274</v>
      </c>
      <c r="M570" t="s">
        <v>1275</v>
      </c>
    </row>
    <row r="571" spans="12:13" x14ac:dyDescent="0.25">
      <c r="L571" t="s">
        <v>1276</v>
      </c>
      <c r="M571" t="s">
        <v>1277</v>
      </c>
    </row>
    <row r="572" spans="12:13" x14ac:dyDescent="0.25">
      <c r="L572" t="s">
        <v>1278</v>
      </c>
      <c r="M572" t="s">
        <v>1279</v>
      </c>
    </row>
    <row r="573" spans="12:13" x14ac:dyDescent="0.25">
      <c r="L573" t="s">
        <v>1280</v>
      </c>
      <c r="M573" t="s">
        <v>1281</v>
      </c>
    </row>
    <row r="574" spans="12:13" x14ac:dyDescent="0.25">
      <c r="L574" t="s">
        <v>1282</v>
      </c>
      <c r="M574" t="s">
        <v>1283</v>
      </c>
    </row>
    <row r="575" spans="12:13" x14ac:dyDescent="0.25">
      <c r="L575" t="s">
        <v>1284</v>
      </c>
      <c r="M575" t="s">
        <v>1285</v>
      </c>
    </row>
    <row r="576" spans="12:13" x14ac:dyDescent="0.25">
      <c r="L576" t="s">
        <v>1286</v>
      </c>
      <c r="M576" t="s">
        <v>1287</v>
      </c>
    </row>
    <row r="577" spans="12:13" x14ac:dyDescent="0.25">
      <c r="L577" t="s">
        <v>1288</v>
      </c>
      <c r="M577" t="s">
        <v>1289</v>
      </c>
    </row>
    <row r="578" spans="12:13" x14ac:dyDescent="0.25">
      <c r="L578" t="s">
        <v>1290</v>
      </c>
      <c r="M578" t="s">
        <v>1291</v>
      </c>
    </row>
    <row r="579" spans="12:13" x14ac:dyDescent="0.25">
      <c r="L579" t="s">
        <v>1292</v>
      </c>
      <c r="M579" t="s">
        <v>1293</v>
      </c>
    </row>
    <row r="580" spans="12:13" x14ac:dyDescent="0.25">
      <c r="L580" t="s">
        <v>1294</v>
      </c>
      <c r="M580" t="s">
        <v>1295</v>
      </c>
    </row>
    <row r="581" spans="12:13" x14ac:dyDescent="0.25">
      <c r="L581" t="s">
        <v>1296</v>
      </c>
      <c r="M581" t="s">
        <v>1297</v>
      </c>
    </row>
    <row r="582" spans="12:13" x14ac:dyDescent="0.25">
      <c r="L582" t="s">
        <v>1298</v>
      </c>
      <c r="M582" t="s">
        <v>1299</v>
      </c>
    </row>
    <row r="583" spans="12:13" x14ac:dyDescent="0.25">
      <c r="L583" t="s">
        <v>1300</v>
      </c>
      <c r="M583" t="s">
        <v>1301</v>
      </c>
    </row>
    <row r="584" spans="12:13" x14ac:dyDescent="0.25">
      <c r="L584" t="s">
        <v>1302</v>
      </c>
      <c r="M584" t="s">
        <v>1303</v>
      </c>
    </row>
    <row r="585" spans="12:13" x14ac:dyDescent="0.25">
      <c r="L585" t="s">
        <v>1304</v>
      </c>
      <c r="M585" t="s">
        <v>1305</v>
      </c>
    </row>
    <row r="586" spans="12:13" x14ac:dyDescent="0.25">
      <c r="L586" t="s">
        <v>1306</v>
      </c>
      <c r="M586" t="s">
        <v>1307</v>
      </c>
    </row>
    <row r="587" spans="12:13" x14ac:dyDescent="0.25">
      <c r="L587" t="s">
        <v>1308</v>
      </c>
      <c r="M587" t="s">
        <v>1309</v>
      </c>
    </row>
    <row r="588" spans="12:13" x14ac:dyDescent="0.25">
      <c r="L588" t="s">
        <v>1310</v>
      </c>
      <c r="M588" t="s">
        <v>1311</v>
      </c>
    </row>
    <row r="589" spans="12:13" x14ac:dyDescent="0.25">
      <c r="L589" t="s">
        <v>1312</v>
      </c>
      <c r="M589" t="s">
        <v>1313</v>
      </c>
    </row>
    <row r="590" spans="12:13" x14ac:dyDescent="0.25">
      <c r="L590" t="s">
        <v>1314</v>
      </c>
      <c r="M590" t="s">
        <v>1315</v>
      </c>
    </row>
    <row r="591" spans="12:13" x14ac:dyDescent="0.25">
      <c r="L591" t="s">
        <v>1316</v>
      </c>
      <c r="M591" t="s">
        <v>1317</v>
      </c>
    </row>
    <row r="592" spans="12:13" x14ac:dyDescent="0.25">
      <c r="L592" t="s">
        <v>1318</v>
      </c>
      <c r="M592" t="s">
        <v>1319</v>
      </c>
    </row>
    <row r="593" spans="12:13" x14ac:dyDescent="0.25">
      <c r="L593" t="s">
        <v>1320</v>
      </c>
      <c r="M593" t="s">
        <v>1321</v>
      </c>
    </row>
    <row r="594" spans="12:13" x14ac:dyDescent="0.25">
      <c r="L594" t="s">
        <v>1322</v>
      </c>
      <c r="M594" t="s">
        <v>1323</v>
      </c>
    </row>
    <row r="595" spans="12:13" x14ac:dyDescent="0.25">
      <c r="L595" t="s">
        <v>1324</v>
      </c>
      <c r="M595" t="s">
        <v>1325</v>
      </c>
    </row>
    <row r="596" spans="12:13" x14ac:dyDescent="0.25">
      <c r="L596" t="s">
        <v>1326</v>
      </c>
      <c r="M596" t="s">
        <v>1327</v>
      </c>
    </row>
    <row r="597" spans="12:13" x14ac:dyDescent="0.25">
      <c r="L597" t="s">
        <v>1328</v>
      </c>
      <c r="M597" t="s">
        <v>1329</v>
      </c>
    </row>
    <row r="598" spans="12:13" x14ac:dyDescent="0.25">
      <c r="L598" t="s">
        <v>1330</v>
      </c>
      <c r="M598" t="s">
        <v>1331</v>
      </c>
    </row>
    <row r="599" spans="12:13" x14ac:dyDescent="0.25">
      <c r="L599" t="s">
        <v>1332</v>
      </c>
      <c r="M599" t="s">
        <v>1333</v>
      </c>
    </row>
    <row r="600" spans="12:13" x14ac:dyDescent="0.25">
      <c r="L600" t="s">
        <v>1334</v>
      </c>
      <c r="M600" t="s">
        <v>1335</v>
      </c>
    </row>
    <row r="601" spans="12:13" x14ac:dyDescent="0.25">
      <c r="L601" t="s">
        <v>1336</v>
      </c>
    </row>
    <row r="602" spans="12:13" x14ac:dyDescent="0.25">
      <c r="L602" t="s">
        <v>1337</v>
      </c>
    </row>
    <row r="603" spans="12:13" x14ac:dyDescent="0.25">
      <c r="L603" t="s">
        <v>1338</v>
      </c>
    </row>
  </sheetData>
  <dataValidations count="2">
    <dataValidation type="list" allowBlank="1" showInputMessage="1" showErrorMessage="1" sqref="D3" xr:uid="{00000000-0002-0000-0100-000000000000}">
      <formula1>$E$2:$E$8</formula1>
    </dataValidation>
    <dataValidation type="list" allowBlank="1" showInputMessage="1" showErrorMessage="1" sqref="P2" xr:uid="{00000000-0002-0000-0100-000001000000}">
      <formula1>$O$2:$O$11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0"/>
  <dimension ref="A3:G210"/>
  <sheetViews>
    <sheetView showGridLines="0" view="pageLayout" topLeftCell="A16" zoomScale="80" zoomScaleNormal="100" zoomScaleSheetLayoutView="106" zoomScalePageLayoutView="80" workbookViewId="0">
      <selection activeCell="B195" sqref="B195"/>
    </sheetView>
  </sheetViews>
  <sheetFormatPr baseColWidth="10" defaultRowHeight="15" x14ac:dyDescent="0.25"/>
  <cols>
    <col min="1" max="1" width="7.85546875" customWidth="1"/>
    <col min="2" max="2" width="36.42578125" customWidth="1"/>
    <col min="3" max="3" width="16.28515625" bestFit="1" customWidth="1"/>
    <col min="4" max="4" width="21.28515625" bestFit="1" customWidth="1"/>
    <col min="5" max="5" width="23.28515625" style="10" bestFit="1" customWidth="1"/>
    <col min="6" max="6" width="14.7109375" customWidth="1"/>
    <col min="7" max="7" width="15.85546875" customWidth="1"/>
  </cols>
  <sheetData>
    <row r="3" spans="1:7" ht="15.75" x14ac:dyDescent="0.25">
      <c r="A3" s="53"/>
      <c r="B3" s="53"/>
      <c r="C3" s="53"/>
      <c r="D3" s="53"/>
      <c r="E3" s="21"/>
      <c r="F3" s="53"/>
      <c r="G3" s="53"/>
    </row>
    <row r="4" spans="1:7" ht="15.75" x14ac:dyDescent="0.25">
      <c r="A4" s="53"/>
      <c r="B4" s="53"/>
      <c r="C4" s="53"/>
      <c r="D4" s="53"/>
      <c r="E4" s="21"/>
      <c r="F4" s="53"/>
      <c r="G4" s="53"/>
    </row>
    <row r="5" spans="1:7" ht="15.75" x14ac:dyDescent="0.25">
      <c r="A5" s="466">
        <f ca="1">TODAY()</f>
        <v>43503</v>
      </c>
      <c r="B5" s="466"/>
      <c r="C5" s="466"/>
      <c r="D5" s="466"/>
      <c r="E5" s="466"/>
      <c r="F5" s="466"/>
      <c r="G5" s="466"/>
    </row>
    <row r="6" spans="1:7" ht="15.75" x14ac:dyDescent="0.25">
      <c r="A6" s="53"/>
      <c r="B6" s="53"/>
      <c r="C6" s="53"/>
      <c r="D6" s="53"/>
      <c r="E6" s="21"/>
      <c r="F6" s="53"/>
      <c r="G6" s="53"/>
    </row>
    <row r="7" spans="1:7" ht="15.75" x14ac:dyDescent="0.25">
      <c r="A7" s="459" t="s">
        <v>1414</v>
      </c>
      <c r="B7" s="459"/>
      <c r="C7" s="459"/>
      <c r="D7" s="459"/>
      <c r="E7" s="459"/>
      <c r="F7" s="459"/>
      <c r="G7" s="459"/>
    </row>
    <row r="8" spans="1:7" ht="15.75" x14ac:dyDescent="0.25">
      <c r="A8" s="459" t="str">
        <f>IF('HOJA D TRABAJO'!H15="EXTERNO",'HOJA D TRABAJO'!C9,IF('HOJA D TRABAJO'!H15="INTERNO","GRUPO REGIONAL SRL "))</f>
        <v>Maira Crespo - AIDISA</v>
      </c>
      <c r="B8" s="459"/>
      <c r="C8" s="459"/>
      <c r="D8" s="459"/>
      <c r="E8" s="459"/>
      <c r="F8" s="459"/>
      <c r="G8" s="459"/>
    </row>
    <row r="9" spans="1:7" ht="15.75" x14ac:dyDescent="0.25">
      <c r="A9" s="459" t="s">
        <v>1415</v>
      </c>
      <c r="B9" s="459"/>
      <c r="C9" s="459"/>
      <c r="D9" s="459"/>
      <c r="E9" s="459"/>
      <c r="F9" s="459"/>
      <c r="G9" s="459"/>
    </row>
    <row r="10" spans="1:7" ht="15.75" x14ac:dyDescent="0.25">
      <c r="A10" s="53"/>
      <c r="B10" s="53"/>
      <c r="C10" s="53"/>
      <c r="D10" s="53"/>
      <c r="E10" s="21"/>
      <c r="F10" s="53"/>
      <c r="G10" s="53"/>
    </row>
    <row r="11" spans="1:7" ht="15.75" x14ac:dyDescent="0.25">
      <c r="A11" s="53"/>
      <c r="B11" s="467" t="s">
        <v>1577</v>
      </c>
      <c r="C11" s="467"/>
      <c r="D11" s="467"/>
      <c r="E11" s="467"/>
      <c r="F11" s="467"/>
      <c r="G11" s="467"/>
    </row>
    <row r="12" spans="1:7" ht="15.75" x14ac:dyDescent="0.25">
      <c r="A12" s="53"/>
      <c r="B12" s="53"/>
      <c r="C12" s="53"/>
      <c r="D12" s="53"/>
      <c r="E12" s="21"/>
      <c r="F12" s="53"/>
      <c r="G12" s="53"/>
    </row>
    <row r="13" spans="1:7" ht="15.75" x14ac:dyDescent="0.25">
      <c r="A13" s="458" t="s">
        <v>1426</v>
      </c>
      <c r="B13" s="458"/>
      <c r="C13" s="458"/>
      <c r="D13" s="458"/>
      <c r="E13" s="458"/>
      <c r="F13" s="458"/>
      <c r="G13" s="458"/>
    </row>
    <row r="14" spans="1:7" ht="15.75" x14ac:dyDescent="0.25">
      <c r="A14" s="53"/>
      <c r="B14" s="53"/>
      <c r="C14" s="53"/>
      <c r="D14" s="53"/>
      <c r="E14" s="21"/>
      <c r="F14" s="53"/>
      <c r="G14" s="53"/>
    </row>
    <row r="15" spans="1:7" ht="48" customHeight="1" x14ac:dyDescent="0.25">
      <c r="A15" s="460" t="s">
        <v>1572</v>
      </c>
      <c r="B15" s="460"/>
      <c r="C15" s="460"/>
      <c r="D15" s="460"/>
      <c r="E15" s="460"/>
      <c r="F15" s="460"/>
      <c r="G15" s="460"/>
    </row>
    <row r="16" spans="1:7" ht="15.75" x14ac:dyDescent="0.25">
      <c r="A16" s="53"/>
      <c r="B16" s="53"/>
      <c r="C16" s="53"/>
      <c r="D16" s="53"/>
      <c r="E16" s="21"/>
      <c r="F16" s="53"/>
      <c r="G16" s="53"/>
    </row>
    <row r="17" spans="1:7" ht="15.75" x14ac:dyDescent="0.25">
      <c r="A17" s="461" t="s">
        <v>1427</v>
      </c>
      <c r="B17" s="462"/>
      <c r="C17" s="462"/>
      <c r="D17" s="462"/>
      <c r="E17" s="462"/>
      <c r="F17" s="462"/>
      <c r="G17" s="462"/>
    </row>
    <row r="18" spans="1:7" ht="15.75" x14ac:dyDescent="0.25">
      <c r="A18" s="53"/>
      <c r="B18" s="60"/>
      <c r="C18" s="60"/>
      <c r="D18" s="60"/>
      <c r="E18" s="65"/>
      <c r="F18" s="60"/>
      <c r="G18" s="53"/>
    </row>
    <row r="19" spans="1:7" ht="27.75" customHeight="1" x14ac:dyDescent="0.25">
      <c r="A19" s="53"/>
      <c r="B19" s="304" t="s">
        <v>3</v>
      </c>
      <c r="C19" s="304" t="s">
        <v>2</v>
      </c>
      <c r="D19" s="304" t="s">
        <v>1428</v>
      </c>
      <c r="E19" s="382" t="s">
        <v>1424</v>
      </c>
      <c r="F19" s="304" t="s">
        <v>1404</v>
      </c>
      <c r="G19" s="53"/>
    </row>
    <row r="20" spans="1:7" s="55" customFormat="1" ht="27.75" customHeight="1" x14ac:dyDescent="0.25">
      <c r="A20" s="22"/>
      <c r="B20" s="306" t="str">
        <f>+'HOJA D TRABAJO'!B29&amp;" "&amp;'HOJA D TRABAJO'!$D$27</f>
        <v xml:space="preserve">IMPULSADORAS SUPERMERCADO IC NORTE  COCHABAMBA </v>
      </c>
      <c r="C20" s="307">
        <f>+'HOJA D TRABAJO'!C29</f>
        <v>1</v>
      </c>
      <c r="D20" s="307">
        <f>+'HOJA 1 AUX'!G5</f>
        <v>4</v>
      </c>
      <c r="E20" s="308">
        <f>IF('HOJA D TRABAJO'!$H$15="EXTERNO",'HOJA 1 AUX'!$G$20,IF('HOJA D TRABAJO'!$H$15="INTERNO",SUM('HOJA 1 AUX'!$G$10:$G$14)))</f>
        <v>168.23189836980009</v>
      </c>
      <c r="F20" s="308">
        <f>+(C20*D20)*E20</f>
        <v>672.92759347920037</v>
      </c>
      <c r="G20" s="19"/>
    </row>
    <row r="21" spans="1:7" s="55" customFormat="1" ht="27.75" hidden="1" customHeight="1" x14ac:dyDescent="0.25">
      <c r="A21" s="22"/>
      <c r="B21" s="306" t="str">
        <f>+'HOJA D TRABAJO'!B30&amp;" "&amp;'HOJA D TRABAJO'!$D$27</f>
        <v xml:space="preserve"> COCHABAMBA </v>
      </c>
      <c r="C21" s="307">
        <f>+'HOJA D TRABAJO'!C30</f>
        <v>0</v>
      </c>
      <c r="D21" s="307">
        <f>+'HOJA 1 AUX'!O5</f>
        <v>0</v>
      </c>
      <c r="E21" s="308">
        <f>IF('HOJA D TRABAJO'!$H$15="EXTERNO",'HOJA 1 AUX'!$O$20,IF('HOJA D TRABAJO'!$H$15="INTERNO",SUM('HOJA 1 AUX'!$O$10:$O$14)))</f>
        <v>0</v>
      </c>
      <c r="F21" s="308">
        <f t="shared" ref="F21:F84" si="0">+(C21*D21)*E21</f>
        <v>0</v>
      </c>
      <c r="G21" s="19"/>
    </row>
    <row r="22" spans="1:7" s="55" customFormat="1" ht="27.75" hidden="1" customHeight="1" x14ac:dyDescent="0.25">
      <c r="A22" s="22"/>
      <c r="B22" s="306" t="str">
        <f>+'HOJA D TRABAJO'!B31&amp;" "&amp;'HOJA D TRABAJO'!$D$27</f>
        <v xml:space="preserve"> COCHABAMBA </v>
      </c>
      <c r="C22" s="307">
        <f>+'HOJA D TRABAJO'!C31</f>
        <v>0</v>
      </c>
      <c r="D22" s="307">
        <f>+'HOJA 1 AUX'!G24</f>
        <v>0</v>
      </c>
      <c r="E22" s="308">
        <f>IF('HOJA D TRABAJO'!$H$15="EXTERNO",'HOJA 1 AUX'!$G$38,IF('HOJA D TRABAJO'!$H$15="INTERNO",SUM('HOJA 1 AUX'!$G$28:$G$32)))</f>
        <v>0</v>
      </c>
      <c r="F22" s="308">
        <f t="shared" si="0"/>
        <v>0</v>
      </c>
      <c r="G22" s="19"/>
    </row>
    <row r="23" spans="1:7" s="55" customFormat="1" ht="27.75" hidden="1" customHeight="1" x14ac:dyDescent="0.25">
      <c r="A23" s="22"/>
      <c r="B23" s="306" t="str">
        <f>+'HOJA D TRABAJO'!B32&amp;" "&amp;'HOJA D TRABAJO'!$D$27</f>
        <v xml:space="preserve"> COCHABAMBA </v>
      </c>
      <c r="C23" s="307">
        <f>+'HOJA D TRABAJO'!C32</f>
        <v>0</v>
      </c>
      <c r="D23" s="307">
        <f>+'HOJA 1 AUX'!O24</f>
        <v>0</v>
      </c>
      <c r="E23" s="308">
        <f>IF('HOJA D TRABAJO'!$H$15="EXTERNO",'HOJA 1 AUX'!$O$38,IF('HOJA D TRABAJO'!$H$15="INTERNO",SUM('HOJA 1 AUX'!$O$28:$O$32)))</f>
        <v>0</v>
      </c>
      <c r="F23" s="308">
        <f t="shared" si="0"/>
        <v>0</v>
      </c>
      <c r="G23" s="19"/>
    </row>
    <row r="24" spans="1:7" s="55" customFormat="1" ht="27.75" hidden="1" customHeight="1" x14ac:dyDescent="0.25">
      <c r="A24" s="22"/>
      <c r="B24" s="306" t="str">
        <f>+'HOJA D TRABAJO'!B33&amp;" "&amp;'HOJA D TRABAJO'!$D$27</f>
        <v xml:space="preserve"> COCHABAMBA </v>
      </c>
      <c r="C24" s="307">
        <f>+'HOJA D TRABAJO'!C33</f>
        <v>0</v>
      </c>
      <c r="D24" s="307">
        <f>+'HOJA 1 AUX'!G43</f>
        <v>0</v>
      </c>
      <c r="E24" s="308">
        <f>IF('HOJA D TRABAJO'!$H$15="EXTERNO",'HOJA 1 AUX'!$G$58,IF('HOJA D TRABAJO'!$H$15="INTERNO",SUM('HOJA 1 AUX'!$G$48:$G$52)))</f>
        <v>0</v>
      </c>
      <c r="F24" s="308">
        <f t="shared" si="0"/>
        <v>0</v>
      </c>
      <c r="G24" s="19"/>
    </row>
    <row r="25" spans="1:7" s="55" customFormat="1" ht="27.75" hidden="1" customHeight="1" x14ac:dyDescent="0.25">
      <c r="A25" s="22"/>
      <c r="B25" s="306" t="str">
        <f>+'HOJA D TRABAJO'!B34&amp;" "&amp;'HOJA D TRABAJO'!$D$27</f>
        <v xml:space="preserve"> COCHABAMBA </v>
      </c>
      <c r="C25" s="307">
        <f>+'HOJA D TRABAJO'!C34</f>
        <v>0</v>
      </c>
      <c r="D25" s="307">
        <f>+'HOJA 1 AUX'!O43</f>
        <v>0</v>
      </c>
      <c r="E25" s="308">
        <f>IF('HOJA D TRABAJO'!$H$15="EXTERNO",'HOJA 1 AUX'!$O$58,IF('HOJA D TRABAJO'!$H$15="INTERNO",SUM('HOJA 1 AUX'!$O$48:$O$52)))</f>
        <v>0</v>
      </c>
      <c r="F25" s="308">
        <f t="shared" si="0"/>
        <v>0</v>
      </c>
      <c r="G25" s="19"/>
    </row>
    <row r="26" spans="1:7" s="55" customFormat="1" ht="27.75" hidden="1" customHeight="1" x14ac:dyDescent="0.25">
      <c r="A26" s="22"/>
      <c r="B26" s="306" t="str">
        <f>+'HOJA D TRABAJO'!B35&amp;" "&amp;'HOJA D TRABAJO'!$D$27</f>
        <v xml:space="preserve"> COCHABAMBA </v>
      </c>
      <c r="C26" s="307">
        <f>+'HOJA D TRABAJO'!C35</f>
        <v>0</v>
      </c>
      <c r="D26" s="307">
        <f>+'HOJA 1 AUX'!G62</f>
        <v>0</v>
      </c>
      <c r="E26" s="308">
        <f>IF('HOJA D TRABAJO'!$H$15="EXTERNO",'HOJA 1 AUX'!$G$77,IF('HOJA D TRABAJO'!$H$15="INTERNO",SUM('HOJA 1 AUX'!$G$67:$G$71)))</f>
        <v>0</v>
      </c>
      <c r="F26" s="308">
        <f t="shared" si="0"/>
        <v>0</v>
      </c>
      <c r="G26" s="19"/>
    </row>
    <row r="27" spans="1:7" s="55" customFormat="1" ht="27.75" hidden="1" customHeight="1" x14ac:dyDescent="0.25">
      <c r="A27" s="22"/>
      <c r="B27" s="306" t="str">
        <f>+'HOJA D TRABAJO'!B36&amp;" "&amp;'HOJA D TRABAJO'!$D$27</f>
        <v xml:space="preserve"> COCHABAMBA </v>
      </c>
      <c r="C27" s="307">
        <f>+'HOJA D TRABAJO'!C36</f>
        <v>0</v>
      </c>
      <c r="D27" s="307">
        <f>+'HOJA 1 AUX'!O62</f>
        <v>0</v>
      </c>
      <c r="E27" s="308">
        <f>IF('HOJA D TRABAJO'!$H$15="EXTERNO",'HOJA 1 AUX'!$O$77,IF('HOJA D TRABAJO'!$H$15="INTERNO",SUM('HOJA 1 AUX'!$O$67:$O$71)))</f>
        <v>0</v>
      </c>
      <c r="F27" s="308">
        <f t="shared" si="0"/>
        <v>0</v>
      </c>
      <c r="G27" s="19"/>
    </row>
    <row r="28" spans="1:7" s="55" customFormat="1" ht="27.75" hidden="1" customHeight="1" x14ac:dyDescent="0.25">
      <c r="A28" s="22"/>
      <c r="B28" s="306" t="str">
        <f>+'HOJA D TRABAJO'!B37&amp;" "&amp;'HOJA D TRABAJO'!$D$27</f>
        <v xml:space="preserve"> COCHABAMBA </v>
      </c>
      <c r="C28" s="307">
        <f>+'HOJA D TRABAJO'!C37</f>
        <v>0</v>
      </c>
      <c r="D28" s="307">
        <f>+'HOJA 1 AUX'!G82</f>
        <v>0</v>
      </c>
      <c r="E28" s="308">
        <f>IF('HOJA D TRABAJO'!$H$15="EXTERNO",'HOJA 1 AUX'!$G$97,IF('HOJA D TRABAJO'!$H$15="INTERNO",SUM('HOJA 1 AUX'!$G$87:$G$91)))</f>
        <v>0</v>
      </c>
      <c r="F28" s="308">
        <f t="shared" si="0"/>
        <v>0</v>
      </c>
      <c r="G28" s="19"/>
    </row>
    <row r="29" spans="1:7" s="55" customFormat="1" ht="27.75" hidden="1" customHeight="1" x14ac:dyDescent="0.25">
      <c r="A29" s="22"/>
      <c r="B29" s="306" t="str">
        <f>+'HOJA D TRABAJO'!B38&amp;" "&amp;'HOJA D TRABAJO'!$D$27</f>
        <v xml:space="preserve"> COCHABAMBA </v>
      </c>
      <c r="C29" s="307">
        <f>+'HOJA D TRABAJO'!C38</f>
        <v>0</v>
      </c>
      <c r="D29" s="307">
        <f>+'HOJA 1 AUX'!O82</f>
        <v>0</v>
      </c>
      <c r="E29" s="308">
        <f>IF('HOJA D TRABAJO'!$H$15="EXTERNO",'HOJA 1 AUX'!$O$97,IF('HOJA D TRABAJO'!$H$15="INTERNO",SUM('HOJA 1 AUX'!$O$87:$O$91)))</f>
        <v>0</v>
      </c>
      <c r="F29" s="308">
        <f t="shared" si="0"/>
        <v>0</v>
      </c>
      <c r="G29" s="19"/>
    </row>
    <row r="30" spans="1:7" s="55" customFormat="1" ht="27.75" hidden="1" customHeight="1" x14ac:dyDescent="0.25">
      <c r="A30" s="22"/>
      <c r="B30" s="306" t="str">
        <f>+'HOJA D TRABAJO'!B39&amp;" "&amp;'HOJA D TRABAJO'!$D$27</f>
        <v xml:space="preserve"> COCHABAMBA </v>
      </c>
      <c r="C30" s="307">
        <f>+'HOJA D TRABAJO'!C39</f>
        <v>0</v>
      </c>
      <c r="D30" s="307">
        <f>+'HOJA 1 AUX'!G101</f>
        <v>0</v>
      </c>
      <c r="E30" s="308">
        <f>IF('HOJA D TRABAJO'!$H$15="EXTERNO",'HOJA 1 AUX'!$G$116,IF('HOJA D TRABAJO'!$H$15="INTERNO",SUM('HOJA 1 AUX'!$G$106:$G$110)))</f>
        <v>0</v>
      </c>
      <c r="F30" s="308">
        <f t="shared" si="0"/>
        <v>0</v>
      </c>
      <c r="G30" s="19"/>
    </row>
    <row r="31" spans="1:7" s="55" customFormat="1" ht="27.75" hidden="1" customHeight="1" x14ac:dyDescent="0.25">
      <c r="A31" s="22"/>
      <c r="B31" s="306" t="str">
        <f>+'HOJA D TRABAJO'!B40&amp;" "&amp;'HOJA D TRABAJO'!$D$27</f>
        <v xml:space="preserve"> COCHABAMBA </v>
      </c>
      <c r="C31" s="307">
        <f>+'HOJA D TRABAJO'!C40</f>
        <v>0</v>
      </c>
      <c r="D31" s="307">
        <f>+'HOJA 1 AUX'!O101</f>
        <v>0</v>
      </c>
      <c r="E31" s="308">
        <f>IF('HOJA D TRABAJO'!$H$15="EXTERNO",'HOJA 1 AUX'!$O$116,IF('HOJA D TRABAJO'!$H$15="INTERNO",SUM('HOJA 1 AUX'!$O$106:$O$110)))</f>
        <v>0</v>
      </c>
      <c r="F31" s="308">
        <f t="shared" si="0"/>
        <v>0</v>
      </c>
      <c r="G31" s="19"/>
    </row>
    <row r="32" spans="1:7" s="55" customFormat="1" ht="27.75" hidden="1" customHeight="1" x14ac:dyDescent="0.25">
      <c r="A32" s="22"/>
      <c r="B32" s="306" t="str">
        <f>+'HOJA D TRABAJO'!B29 &amp; " " &amp;'HOJA D TRABAJO'!$D$43</f>
        <v>IMPULSADORAS SUPERMERCADO IC NORTE  CHAPARE</v>
      </c>
      <c r="C32" s="307">
        <f>+'HOJA D TRABAJO'!C45</f>
        <v>0</v>
      </c>
      <c r="D32" s="307">
        <f>+'HOJA D TRABAJO'!D45</f>
        <v>0</v>
      </c>
      <c r="E32" s="308">
        <f>IF('HOJA D TRABAJO'!$H$15="EXTERNO",'HOJA 2 AUX'!$G$20,IF('HOJA D TRABAJO'!$H$15="INTERNO",SUM('HOJA 2 AUX'!$G$10:$G$14)))</f>
        <v>0</v>
      </c>
      <c r="F32" s="308">
        <f t="shared" si="0"/>
        <v>0</v>
      </c>
      <c r="G32" s="19"/>
    </row>
    <row r="33" spans="1:7" s="55" customFormat="1" ht="27.75" hidden="1" customHeight="1" x14ac:dyDescent="0.25">
      <c r="A33" s="22"/>
      <c r="B33" s="306" t="str">
        <f>+'HOJA D TRABAJO'!B30 &amp; " " &amp;'HOJA D TRABAJO'!$D$43</f>
        <v xml:space="preserve"> CHAPARE</v>
      </c>
      <c r="C33" s="307">
        <f>+'HOJA D TRABAJO'!C46</f>
        <v>0</v>
      </c>
      <c r="D33" s="307">
        <f>+'HOJA D TRABAJO'!D46</f>
        <v>0</v>
      </c>
      <c r="E33" s="308">
        <f>IF('HOJA D TRABAJO'!$H$15="EXTERNO",'HOJA 2 AUX'!$O$20,IF('HOJA D TRABAJO'!$H$15="INTERNO",SUM('HOJA 2 AUX'!$O$10:$O$14)))</f>
        <v>0</v>
      </c>
      <c r="F33" s="308">
        <f t="shared" si="0"/>
        <v>0</v>
      </c>
      <c r="G33" s="19"/>
    </row>
    <row r="34" spans="1:7" s="55" customFormat="1" ht="27.75" hidden="1" customHeight="1" x14ac:dyDescent="0.25">
      <c r="A34" s="22"/>
      <c r="B34" s="306" t="str">
        <f>+'HOJA D TRABAJO'!B31 &amp; " " &amp;'HOJA D TRABAJO'!$D$43</f>
        <v xml:space="preserve"> CHAPARE</v>
      </c>
      <c r="C34" s="307">
        <f>+'HOJA D TRABAJO'!C47</f>
        <v>0</v>
      </c>
      <c r="D34" s="307">
        <f>+'HOJA D TRABAJO'!D47</f>
        <v>0</v>
      </c>
      <c r="E34" s="308">
        <f>IF('HOJA D TRABAJO'!$H$15="EXTERNO",'HOJA 2 AUX'!$G$38,IF('HOJA D TRABAJO'!$H$15="INTERNO",SUM('HOJA 2 AUX'!$G$28:$G$32)))</f>
        <v>0</v>
      </c>
      <c r="F34" s="308">
        <f t="shared" si="0"/>
        <v>0</v>
      </c>
      <c r="G34" s="19"/>
    </row>
    <row r="35" spans="1:7" s="55" customFormat="1" ht="27.75" hidden="1" customHeight="1" x14ac:dyDescent="0.25">
      <c r="A35" s="22"/>
      <c r="B35" s="306" t="str">
        <f>+'HOJA D TRABAJO'!B32 &amp; " " &amp;'HOJA D TRABAJO'!$D$43</f>
        <v xml:space="preserve"> CHAPARE</v>
      </c>
      <c r="C35" s="307">
        <f>+'HOJA D TRABAJO'!C48</f>
        <v>0</v>
      </c>
      <c r="D35" s="307">
        <f>+'HOJA D TRABAJO'!D48</f>
        <v>0</v>
      </c>
      <c r="E35" s="308">
        <f>IF('HOJA D TRABAJO'!$H$15="EXTERNO",'HOJA 2 AUX'!$O$38,IF('HOJA D TRABAJO'!$H$15="INTERNO",SUM('HOJA 2 AUX'!$O$28:$O$32)))</f>
        <v>0</v>
      </c>
      <c r="F35" s="308">
        <f t="shared" si="0"/>
        <v>0</v>
      </c>
      <c r="G35" s="19"/>
    </row>
    <row r="36" spans="1:7" s="55" customFormat="1" ht="27.75" hidden="1" customHeight="1" x14ac:dyDescent="0.25">
      <c r="A36" s="22"/>
      <c r="B36" s="306" t="str">
        <f>+'HOJA D TRABAJO'!B33 &amp; " " &amp;'HOJA D TRABAJO'!$D$43</f>
        <v xml:space="preserve"> CHAPARE</v>
      </c>
      <c r="C36" s="307">
        <f>+'HOJA D TRABAJO'!C49</f>
        <v>0</v>
      </c>
      <c r="D36" s="307">
        <f>+'HOJA D TRABAJO'!D49</f>
        <v>0</v>
      </c>
      <c r="E36" s="308">
        <f>IF('HOJA D TRABAJO'!$H$15="EXTERNO",'HOJA 2 AUX'!$G$58,IF('HOJA D TRABAJO'!$H$15="INTERNO",SUM('HOJA 2 AUX'!$G$48:$G$52)))</f>
        <v>0</v>
      </c>
      <c r="F36" s="308">
        <f t="shared" si="0"/>
        <v>0</v>
      </c>
      <c r="G36" s="19"/>
    </row>
    <row r="37" spans="1:7" s="55" customFormat="1" ht="27.75" hidden="1" customHeight="1" x14ac:dyDescent="0.25">
      <c r="A37" s="22"/>
      <c r="B37" s="306" t="str">
        <f>+'HOJA D TRABAJO'!B34 &amp; " " &amp;'HOJA D TRABAJO'!$D$43</f>
        <v xml:space="preserve"> CHAPARE</v>
      </c>
      <c r="C37" s="307">
        <f>+'HOJA D TRABAJO'!C50</f>
        <v>0</v>
      </c>
      <c r="D37" s="307">
        <f>+'HOJA D TRABAJO'!D50</f>
        <v>0</v>
      </c>
      <c r="E37" s="308">
        <f>IF('HOJA D TRABAJO'!$H$15="EXTERNO",'HOJA 2 AUX'!$O$58,IF('HOJA D TRABAJO'!$H$15="INTERNO",SUM('HOJA 2 AUX'!$O$48:$O$52)))</f>
        <v>0</v>
      </c>
      <c r="F37" s="308">
        <f t="shared" si="0"/>
        <v>0</v>
      </c>
      <c r="G37" s="19"/>
    </row>
    <row r="38" spans="1:7" s="55" customFormat="1" ht="27.75" hidden="1" customHeight="1" x14ac:dyDescent="0.25">
      <c r="A38" s="22"/>
      <c r="B38" s="306" t="str">
        <f>+'HOJA D TRABAJO'!B35 &amp; " " &amp;'HOJA D TRABAJO'!$D$43</f>
        <v xml:space="preserve"> CHAPARE</v>
      </c>
      <c r="C38" s="307">
        <f>+'HOJA D TRABAJO'!C51</f>
        <v>0</v>
      </c>
      <c r="D38" s="307">
        <f>+'HOJA D TRABAJO'!D51</f>
        <v>0</v>
      </c>
      <c r="E38" s="308">
        <f>IF('HOJA D TRABAJO'!$H$15="EXTERNO",'HOJA 2 AUX'!$G$77,IF('HOJA D TRABAJO'!$H$15="INTERNO",SUM('HOJA 2 AUX'!$G$67:$G$71)))</f>
        <v>0</v>
      </c>
      <c r="F38" s="308">
        <f t="shared" si="0"/>
        <v>0</v>
      </c>
      <c r="G38" s="19"/>
    </row>
    <row r="39" spans="1:7" s="55" customFormat="1" ht="27.75" hidden="1" customHeight="1" x14ac:dyDescent="0.25">
      <c r="A39" s="22"/>
      <c r="B39" s="306" t="str">
        <f>+'HOJA D TRABAJO'!B36 &amp; " " &amp;'HOJA D TRABAJO'!$D$43</f>
        <v xml:space="preserve"> CHAPARE</v>
      </c>
      <c r="C39" s="307">
        <f>+'HOJA D TRABAJO'!C52</f>
        <v>0</v>
      </c>
      <c r="D39" s="307">
        <f>+'HOJA D TRABAJO'!D52</f>
        <v>0</v>
      </c>
      <c r="E39" s="308">
        <f>IF('HOJA D TRABAJO'!$H$15="EXTERNO",'HOJA 2 AUX'!$O$77,IF('HOJA D TRABAJO'!$H$15="INTERNO",SUM('HOJA 2 AUX'!$O$67:$O$71)))</f>
        <v>0</v>
      </c>
      <c r="F39" s="308">
        <f t="shared" si="0"/>
        <v>0</v>
      </c>
      <c r="G39" s="19"/>
    </row>
    <row r="40" spans="1:7" s="55" customFormat="1" ht="27.75" hidden="1" customHeight="1" x14ac:dyDescent="0.25">
      <c r="A40" s="22"/>
      <c r="B40" s="306" t="str">
        <f>+'HOJA D TRABAJO'!B37 &amp; " " &amp;'HOJA D TRABAJO'!$D$43</f>
        <v xml:space="preserve"> CHAPARE</v>
      </c>
      <c r="C40" s="307">
        <f>+'HOJA D TRABAJO'!C53</f>
        <v>0</v>
      </c>
      <c r="D40" s="307">
        <f>+'HOJA D TRABAJO'!D53</f>
        <v>0</v>
      </c>
      <c r="E40" s="308">
        <f>IF('HOJA D TRABAJO'!$H$15="EXTERNO",'HOJA 2 AUX'!$G$95,IF('HOJA D TRABAJO'!$H$15="INTERNO",SUM('HOJA 2 AUX'!$G$85:$G$89)))</f>
        <v>0</v>
      </c>
      <c r="F40" s="308">
        <f t="shared" si="0"/>
        <v>0</v>
      </c>
      <c r="G40" s="19"/>
    </row>
    <row r="41" spans="1:7" s="55" customFormat="1" ht="27.75" hidden="1" customHeight="1" x14ac:dyDescent="0.25">
      <c r="A41" s="22"/>
      <c r="B41" s="306" t="str">
        <f>+'HOJA D TRABAJO'!B38 &amp; " " &amp;'HOJA D TRABAJO'!$D$43</f>
        <v xml:space="preserve"> CHAPARE</v>
      </c>
      <c r="C41" s="307">
        <f>+'HOJA D TRABAJO'!C54</f>
        <v>0</v>
      </c>
      <c r="D41" s="307">
        <f>+'HOJA D TRABAJO'!D54</f>
        <v>0</v>
      </c>
      <c r="E41" s="308">
        <f>IF('HOJA D TRABAJO'!$H$15="EXTERNO",'HOJA 2 AUX'!$O$95,IF('HOJA D TRABAJO'!$H$15="INTERNO",SUM('HOJA 2 AUX'!$O$85:$O$89)))</f>
        <v>0</v>
      </c>
      <c r="F41" s="308">
        <f t="shared" si="0"/>
        <v>0</v>
      </c>
      <c r="G41" s="19"/>
    </row>
    <row r="42" spans="1:7" s="55" customFormat="1" ht="27.75" hidden="1" customHeight="1" x14ac:dyDescent="0.25">
      <c r="A42" s="22"/>
      <c r="B42" s="306" t="str">
        <f>+'HOJA D TRABAJO'!B39 &amp; " " &amp;'HOJA D TRABAJO'!$D$43</f>
        <v xml:space="preserve"> CHAPARE</v>
      </c>
      <c r="C42" s="307">
        <f>+'HOJA D TRABAJO'!C55</f>
        <v>0</v>
      </c>
      <c r="D42" s="307">
        <f>+'HOJA D TRABAJO'!D55</f>
        <v>0</v>
      </c>
      <c r="E42" s="308">
        <f>IF('HOJA D TRABAJO'!$H$15="EXTERNO",'HOJA 2 AUX'!$G$115,IF('HOJA D TRABAJO'!$H$15="INTERNO",SUM('HOJA 2 AUX'!G105:G109)))</f>
        <v>0</v>
      </c>
      <c r="F42" s="308">
        <f t="shared" si="0"/>
        <v>0</v>
      </c>
      <c r="G42" s="19"/>
    </row>
    <row r="43" spans="1:7" s="55" customFormat="1" ht="27.75" hidden="1" customHeight="1" x14ac:dyDescent="0.25">
      <c r="A43" s="22"/>
      <c r="B43" s="306" t="str">
        <f>+'HOJA D TRABAJO'!B40 &amp; " " &amp;'HOJA D TRABAJO'!$D$43</f>
        <v xml:space="preserve"> CHAPARE</v>
      </c>
      <c r="C43" s="307">
        <f>+'HOJA D TRABAJO'!C56</f>
        <v>0</v>
      </c>
      <c r="D43" s="307">
        <f>+'HOJA D TRABAJO'!D56</f>
        <v>0</v>
      </c>
      <c r="E43" s="308">
        <f>IF('HOJA D TRABAJO'!$H$15="EXTERNO",'HOJA 2 AUX'!$O$115,IF('HOJA D TRABAJO'!$H$15="INTERNO",SUM('HOJA 2 AUX'!O105:O109)))</f>
        <v>0</v>
      </c>
      <c r="F43" s="308">
        <f t="shared" si="0"/>
        <v>0</v>
      </c>
      <c r="G43" s="19"/>
    </row>
    <row r="44" spans="1:7" s="55" customFormat="1" ht="27.75" hidden="1" customHeight="1" x14ac:dyDescent="0.25">
      <c r="A44" s="22"/>
      <c r="B44" s="379">
        <f>+'HOJA D TRABAJO'!B61</f>
        <v>0</v>
      </c>
      <c r="C44" s="307">
        <f>+'HOJA D TRABAJO'!C61</f>
        <v>0</v>
      </c>
      <c r="D44" s="307">
        <f>+'HOJA D TRABAJO'!D61</f>
        <v>0</v>
      </c>
      <c r="E44" s="308">
        <f>IF('HOJA D TRABAJO'!$H$15="EXTERNO",'HOJA 3 AUX'!$G$20,IF('HOJA D TRABAJO'!$H$15="INTERNO",SUM('HOJA 3 AUX'!$G$10:$G$14)))</f>
        <v>0</v>
      </c>
      <c r="F44" s="380">
        <f t="shared" si="0"/>
        <v>0</v>
      </c>
      <c r="G44" s="19"/>
    </row>
    <row r="45" spans="1:7" s="55" customFormat="1" ht="32.25" hidden="1" customHeight="1" x14ac:dyDescent="0.25">
      <c r="A45" s="22"/>
      <c r="B45" s="379">
        <f>+'HOJA D TRABAJO'!B62</f>
        <v>0</v>
      </c>
      <c r="C45" s="307">
        <f>+'HOJA D TRABAJO'!C62</f>
        <v>0</v>
      </c>
      <c r="D45" s="307">
        <f>+'HOJA D TRABAJO'!D62</f>
        <v>0</v>
      </c>
      <c r="E45" s="308">
        <f>IF('HOJA D TRABAJO'!$H$15="EXTERNO",'HOJA 3 AUX'!$O$20,IF('HOJA D TRABAJO'!$H$15="INTERNO",SUM('HOJA 3 AUX'!$O$10:$O$14)))</f>
        <v>0</v>
      </c>
      <c r="F45" s="308">
        <f t="shared" si="0"/>
        <v>0</v>
      </c>
      <c r="G45" s="19"/>
    </row>
    <row r="46" spans="1:7" s="55" customFormat="1" ht="20.25" hidden="1" customHeight="1" x14ac:dyDescent="0.25">
      <c r="A46" s="22"/>
      <c r="B46" s="306" t="str">
        <f>+'HOJA D TRABAJO'!B31&amp;" "&amp;'HOJA D TRABAJO'!$D$59</f>
        <v xml:space="preserve"> LA PAZ</v>
      </c>
      <c r="C46" s="307">
        <f>+'HOJA D TRABAJO'!C63</f>
        <v>0</v>
      </c>
      <c r="D46" s="307">
        <f>+'HOJA D TRABAJO'!D63</f>
        <v>0</v>
      </c>
      <c r="E46" s="308">
        <f>IF('HOJA D TRABAJO'!$H$15="EXTERNO",'HOJA 3 AUX'!$G$38,IF('HOJA D TRABAJO'!$H$15="INTERNO",SUM('HOJA 3 AUX'!$G$28:$G$32)))</f>
        <v>0</v>
      </c>
      <c r="F46" s="308">
        <f t="shared" si="0"/>
        <v>0</v>
      </c>
      <c r="G46" s="19"/>
    </row>
    <row r="47" spans="1:7" s="55" customFormat="1" ht="20.25" hidden="1" customHeight="1" x14ac:dyDescent="0.25">
      <c r="A47" s="22"/>
      <c r="B47" s="306" t="str">
        <f>+'HOJA D TRABAJO'!B32&amp;" "&amp;'HOJA D TRABAJO'!$D$59</f>
        <v xml:space="preserve"> LA PAZ</v>
      </c>
      <c r="C47" s="307">
        <f>+'HOJA D TRABAJO'!C64</f>
        <v>0</v>
      </c>
      <c r="D47" s="307">
        <f>+'HOJA D TRABAJO'!D64</f>
        <v>0</v>
      </c>
      <c r="E47" s="308">
        <f>IF('HOJA D TRABAJO'!$H$15="EXTERNO",'HOJA 3 AUX'!$O$38,IF('HOJA D TRABAJO'!$H$15="INTERNO",SUM('HOJA 3 AUX'!$O$28:$O$32)))</f>
        <v>0</v>
      </c>
      <c r="F47" s="308">
        <f t="shared" si="0"/>
        <v>0</v>
      </c>
      <c r="G47" s="19"/>
    </row>
    <row r="48" spans="1:7" s="55" customFormat="1" ht="20.25" hidden="1" customHeight="1" x14ac:dyDescent="0.25">
      <c r="A48" s="22"/>
      <c r="B48" s="306" t="str">
        <f>+'HOJA D TRABAJO'!B33&amp;" "&amp;'HOJA D TRABAJO'!$D$59</f>
        <v xml:space="preserve"> LA PAZ</v>
      </c>
      <c r="C48" s="307">
        <f>+'HOJA D TRABAJO'!C65</f>
        <v>0</v>
      </c>
      <c r="D48" s="307">
        <f>+'HOJA D TRABAJO'!D65</f>
        <v>0</v>
      </c>
      <c r="E48" s="308">
        <f>IF('HOJA D TRABAJO'!$H$15="EXTERNO",'HOJA 3 AUX'!$G$58,IF('HOJA D TRABAJO'!$H$15="INTERNO",SUM('HOJA 3 AUX'!$G$48:$G$52)))</f>
        <v>0</v>
      </c>
      <c r="F48" s="308">
        <f t="shared" si="0"/>
        <v>0</v>
      </c>
      <c r="G48" s="19"/>
    </row>
    <row r="49" spans="1:7" s="55" customFormat="1" ht="20.25" hidden="1" customHeight="1" x14ac:dyDescent="0.25">
      <c r="A49" s="22"/>
      <c r="B49" s="306" t="str">
        <f>+'HOJA D TRABAJO'!B34&amp;" "&amp;'HOJA D TRABAJO'!$D$59</f>
        <v xml:space="preserve"> LA PAZ</v>
      </c>
      <c r="C49" s="307">
        <f>+'HOJA D TRABAJO'!C66</f>
        <v>0</v>
      </c>
      <c r="D49" s="307">
        <f>+'HOJA D TRABAJO'!D66</f>
        <v>0</v>
      </c>
      <c r="E49" s="308">
        <f>IF('HOJA D TRABAJO'!$H$15="EXTERNO",'HOJA 3 AUX'!$O$58,IF('HOJA D TRABAJO'!$H$15="INTERNO",SUM('HOJA 3 AUX'!$O$48:$O$52)))</f>
        <v>0</v>
      </c>
      <c r="F49" s="308">
        <f t="shared" si="0"/>
        <v>0</v>
      </c>
      <c r="G49" s="19"/>
    </row>
    <row r="50" spans="1:7" s="55" customFormat="1" ht="20.25" hidden="1" customHeight="1" x14ac:dyDescent="0.25">
      <c r="A50" s="22"/>
      <c r="B50" s="306" t="str">
        <f>+'HOJA D TRABAJO'!B35&amp;" "&amp;'HOJA D TRABAJO'!$D$59</f>
        <v xml:space="preserve"> LA PAZ</v>
      </c>
      <c r="C50" s="307">
        <f>+'HOJA D TRABAJO'!C67</f>
        <v>0</v>
      </c>
      <c r="D50" s="307">
        <f>+'HOJA D TRABAJO'!D67</f>
        <v>0</v>
      </c>
      <c r="E50" s="308">
        <f>IF('HOJA D TRABAJO'!$H$15="EXTERNO",'HOJA 3 AUX'!$G$77,IF('HOJA D TRABAJO'!$H$15="INTERNO",SUM('HOJA 3 AUX'!$G$67:$G$71)))</f>
        <v>0</v>
      </c>
      <c r="F50" s="308">
        <f t="shared" si="0"/>
        <v>0</v>
      </c>
      <c r="G50" s="19"/>
    </row>
    <row r="51" spans="1:7" s="55" customFormat="1" ht="20.25" hidden="1" customHeight="1" x14ac:dyDescent="0.25">
      <c r="A51" s="22"/>
      <c r="B51" s="306" t="str">
        <f>+'HOJA D TRABAJO'!B36&amp;" "&amp;'HOJA D TRABAJO'!$D$59</f>
        <v xml:space="preserve"> LA PAZ</v>
      </c>
      <c r="C51" s="307">
        <f>+'HOJA D TRABAJO'!C68</f>
        <v>0</v>
      </c>
      <c r="D51" s="307">
        <f>+'HOJA D TRABAJO'!D68</f>
        <v>0</v>
      </c>
      <c r="E51" s="308">
        <f>IF('HOJA D TRABAJO'!$H$15="EXTERNO",'HOJA 3 AUX'!$O$77,IF('HOJA D TRABAJO'!$H$15="INTERNO",SUM('HOJA 3 AUX'!$O$67:$O$71)))</f>
        <v>0</v>
      </c>
      <c r="F51" s="308">
        <f t="shared" si="0"/>
        <v>0</v>
      </c>
      <c r="G51" s="19"/>
    </row>
    <row r="52" spans="1:7" s="55" customFormat="1" ht="20.25" hidden="1" customHeight="1" x14ac:dyDescent="0.25">
      <c r="A52" s="22"/>
      <c r="B52" s="306" t="str">
        <f>+'HOJA D TRABAJO'!B37&amp;" "&amp;'HOJA D TRABAJO'!$D$59</f>
        <v xml:space="preserve"> LA PAZ</v>
      </c>
      <c r="C52" s="307">
        <f>+'HOJA D TRABAJO'!C69</f>
        <v>0</v>
      </c>
      <c r="D52" s="307">
        <f>+'HOJA D TRABAJO'!D69</f>
        <v>0</v>
      </c>
      <c r="E52" s="308">
        <f>IF('HOJA D TRABAJO'!$H$15="EXTERNO",'HOJA 3 AUX'!$G$95,IF('HOJA D TRABAJO'!$H$15="INTERNO",SUM('HOJA 3 AUX'!G85:G89)))</f>
        <v>0</v>
      </c>
      <c r="F52" s="308">
        <f t="shared" si="0"/>
        <v>0</v>
      </c>
      <c r="G52" s="19"/>
    </row>
    <row r="53" spans="1:7" s="55" customFormat="1" ht="20.25" hidden="1" customHeight="1" x14ac:dyDescent="0.25">
      <c r="A53" s="22"/>
      <c r="B53" s="306" t="str">
        <f>+'HOJA D TRABAJO'!B38&amp;" "&amp;'HOJA D TRABAJO'!$D$59</f>
        <v xml:space="preserve"> LA PAZ</v>
      </c>
      <c r="C53" s="307">
        <f>+'HOJA D TRABAJO'!C70</f>
        <v>0</v>
      </c>
      <c r="D53" s="307">
        <f>+'HOJA D TRABAJO'!D70</f>
        <v>0</v>
      </c>
      <c r="E53" s="308">
        <f>IF('HOJA D TRABAJO'!$H$15="EXTERNO",'HOJA 3 AUX'!$O$95,IF('HOJA D TRABAJO'!$H$15="INTERNO",SUM('HOJA 3 AUX'!$O$85:$O$89)))</f>
        <v>0</v>
      </c>
      <c r="F53" s="308">
        <f t="shared" si="0"/>
        <v>0</v>
      </c>
      <c r="G53" s="19"/>
    </row>
    <row r="54" spans="1:7" s="55" customFormat="1" ht="20.25" hidden="1" customHeight="1" x14ac:dyDescent="0.25">
      <c r="A54" s="22"/>
      <c r="B54" s="306" t="str">
        <f>+'HOJA D TRABAJO'!B39&amp;" "&amp;'HOJA D TRABAJO'!$D$59</f>
        <v xml:space="preserve"> LA PAZ</v>
      </c>
      <c r="C54" s="307">
        <f>+'HOJA D TRABAJO'!C71</f>
        <v>0</v>
      </c>
      <c r="D54" s="307">
        <f>+'HOJA D TRABAJO'!D71</f>
        <v>0</v>
      </c>
      <c r="E54" s="308">
        <f>IF('HOJA D TRABAJO'!$H$15="EXTERNO",'HOJA 3 AUX'!$G$115,IF('HOJA D TRABAJO'!$H$15="INTERNO",SUM('HOJA 3 AUX'!G105:G109)))</f>
        <v>0</v>
      </c>
      <c r="F54" s="308">
        <f t="shared" si="0"/>
        <v>0</v>
      </c>
      <c r="G54" s="19"/>
    </row>
    <row r="55" spans="1:7" s="55" customFormat="1" ht="20.25" hidden="1" customHeight="1" x14ac:dyDescent="0.25">
      <c r="A55" s="22"/>
      <c r="B55" s="306" t="str">
        <f>+'HOJA D TRABAJO'!B40&amp;" "&amp;'HOJA D TRABAJO'!$D$59</f>
        <v xml:space="preserve"> LA PAZ</v>
      </c>
      <c r="C55" s="307">
        <f>+'HOJA D TRABAJO'!C72</f>
        <v>0</v>
      </c>
      <c r="D55" s="307">
        <f>+'HOJA D TRABAJO'!D72</f>
        <v>0</v>
      </c>
      <c r="E55" s="308">
        <f>IF('HOJA D TRABAJO'!$H$15="EXTERNO",'HOJA 3 AUX'!$O$115,IF('HOJA D TRABAJO'!$H$15="INTERNO",SUM('HOJA 3 AUX'!$O$105:$O$109)))</f>
        <v>0</v>
      </c>
      <c r="F55" s="308">
        <f t="shared" si="0"/>
        <v>0</v>
      </c>
      <c r="G55" s="19"/>
    </row>
    <row r="56" spans="1:7" s="55" customFormat="1" ht="20.25" hidden="1" customHeight="1" x14ac:dyDescent="0.25">
      <c r="A56" s="22"/>
      <c r="B56" s="306" t="str">
        <f>+'HOJA D TRABAJO'!B29&amp;"  "&amp;'HOJA D TRABAJO'!$D$75</f>
        <v>IMPULSADORAS SUPERMERCADO IC NORTE   TARIJA</v>
      </c>
      <c r="C56" s="307">
        <f>+'HOJA D TRABAJO'!C77</f>
        <v>0</v>
      </c>
      <c r="D56" s="307">
        <f>+'HOJA D TRABAJO'!D77</f>
        <v>0</v>
      </c>
      <c r="E56" s="308">
        <f>IF('HOJA D TRABAJO'!$H$15="EXTERNO",'HOJA 4 AUX'!$G$20,IF('HOJA D TRABAJO'!$H$15="INTERNO",SUM('HOJA 4 AUX'!$G$10:$G$14)))</f>
        <v>0</v>
      </c>
      <c r="F56" s="308">
        <f t="shared" si="0"/>
        <v>0</v>
      </c>
      <c r="G56" s="19"/>
    </row>
    <row r="57" spans="1:7" s="55" customFormat="1" ht="20.25" hidden="1" customHeight="1" x14ac:dyDescent="0.25">
      <c r="A57" s="22"/>
      <c r="B57" s="306" t="str">
        <f>+'HOJA D TRABAJO'!B30&amp;"  "&amp;'HOJA D TRABAJO'!$D$75</f>
        <v xml:space="preserve">  TARIJA</v>
      </c>
      <c r="C57" s="307">
        <f>+'HOJA D TRABAJO'!C78</f>
        <v>0</v>
      </c>
      <c r="D57" s="307">
        <f>+'HOJA D TRABAJO'!D78</f>
        <v>0</v>
      </c>
      <c r="E57" s="308">
        <f>IF('HOJA D TRABAJO'!$H$15="EXTERNO",'HOJA 4 AUX'!$O$20,IF('HOJA D TRABAJO'!$H$15="INTERNO",SUM('HOJA 4 AUX'!$O$10:$O$14)))</f>
        <v>0</v>
      </c>
      <c r="F57" s="308">
        <f t="shared" si="0"/>
        <v>0</v>
      </c>
      <c r="G57" s="19"/>
    </row>
    <row r="58" spans="1:7" s="55" customFormat="1" ht="20.25" hidden="1" customHeight="1" x14ac:dyDescent="0.25">
      <c r="A58" s="22"/>
      <c r="B58" s="306" t="str">
        <f>+'HOJA D TRABAJO'!B31&amp;"  "&amp;'HOJA D TRABAJO'!$D$75</f>
        <v xml:space="preserve">  TARIJA</v>
      </c>
      <c r="C58" s="307">
        <f>+'HOJA D TRABAJO'!C79</f>
        <v>0</v>
      </c>
      <c r="D58" s="307">
        <f>+'HOJA D TRABAJO'!D79</f>
        <v>0</v>
      </c>
      <c r="E58" s="308">
        <f>IF('HOJA D TRABAJO'!$H$15="EXTERNO",'HOJA 4 AUX'!$G$38,IF('HOJA D TRABAJO'!$H$15="INTERNO",SUM('HOJA 4 AUX'!$G$28:$G$32)))</f>
        <v>0</v>
      </c>
      <c r="F58" s="308">
        <f t="shared" si="0"/>
        <v>0</v>
      </c>
      <c r="G58" s="19"/>
    </row>
    <row r="59" spans="1:7" s="55" customFormat="1" ht="20.25" hidden="1" customHeight="1" x14ac:dyDescent="0.25">
      <c r="A59" s="22"/>
      <c r="B59" s="306" t="str">
        <f>+'HOJA D TRABAJO'!B32&amp;"  "&amp;'HOJA D TRABAJO'!$D$75</f>
        <v xml:space="preserve">  TARIJA</v>
      </c>
      <c r="C59" s="307">
        <f>+'HOJA D TRABAJO'!C80</f>
        <v>0</v>
      </c>
      <c r="D59" s="307">
        <f>+'HOJA D TRABAJO'!D80</f>
        <v>0</v>
      </c>
      <c r="E59" s="308">
        <f>IF('HOJA D TRABAJO'!$H$15="EXTERNO",'HOJA 4 AUX'!$O$38,IF('HOJA D TRABAJO'!$H$15="INTERNO",SUM('HOJA 4 AUX'!$O$28:$O$32)))</f>
        <v>0</v>
      </c>
      <c r="F59" s="308">
        <f t="shared" si="0"/>
        <v>0</v>
      </c>
      <c r="G59" s="19"/>
    </row>
    <row r="60" spans="1:7" s="55" customFormat="1" ht="20.25" hidden="1" customHeight="1" x14ac:dyDescent="0.25">
      <c r="A60" s="22"/>
      <c r="B60" s="306" t="str">
        <f>+'HOJA D TRABAJO'!B33&amp;"  "&amp;'HOJA D TRABAJO'!$D$75</f>
        <v xml:space="preserve">  TARIJA</v>
      </c>
      <c r="C60" s="307">
        <f>+'HOJA D TRABAJO'!C81</f>
        <v>0</v>
      </c>
      <c r="D60" s="307">
        <f>+'HOJA D TRABAJO'!D81</f>
        <v>0</v>
      </c>
      <c r="E60" s="308">
        <f>IF('HOJA D TRABAJO'!$H$15="EXTERNO",'HOJA 4 AUX'!$G$58,IF('HOJA D TRABAJO'!$H$15="INTERNO",SUM('HOJA 4 AUX'!$G$48:$G$52)))</f>
        <v>0</v>
      </c>
      <c r="F60" s="308">
        <f t="shared" si="0"/>
        <v>0</v>
      </c>
      <c r="G60" s="19"/>
    </row>
    <row r="61" spans="1:7" s="55" customFormat="1" ht="20.25" hidden="1" customHeight="1" x14ac:dyDescent="0.25">
      <c r="A61" s="22"/>
      <c r="B61" s="306" t="str">
        <f>+'HOJA D TRABAJO'!B34&amp;"  "&amp;'HOJA D TRABAJO'!$D$75</f>
        <v xml:space="preserve">  TARIJA</v>
      </c>
      <c r="C61" s="307">
        <f>+'HOJA D TRABAJO'!C82</f>
        <v>0</v>
      </c>
      <c r="D61" s="307">
        <f>+'HOJA D TRABAJO'!D82</f>
        <v>0</v>
      </c>
      <c r="E61" s="308">
        <f>IF('HOJA D TRABAJO'!$H$15="EXTERNO",'HOJA 4 AUX'!$O$58,IF('HOJA D TRABAJO'!$H$15="INTERNO",SUM('HOJA 4 AUX'!$O$48:$O$52)))</f>
        <v>0</v>
      </c>
      <c r="F61" s="308">
        <f t="shared" si="0"/>
        <v>0</v>
      </c>
      <c r="G61" s="19"/>
    </row>
    <row r="62" spans="1:7" s="55" customFormat="1" ht="20.25" hidden="1" customHeight="1" x14ac:dyDescent="0.25">
      <c r="A62" s="22"/>
      <c r="B62" s="306" t="str">
        <f>+'HOJA D TRABAJO'!B35&amp;"  "&amp;'HOJA D TRABAJO'!$D$75</f>
        <v xml:space="preserve">  TARIJA</v>
      </c>
      <c r="C62" s="307">
        <f>+'HOJA D TRABAJO'!C83</f>
        <v>0</v>
      </c>
      <c r="D62" s="307">
        <f>+'HOJA D TRABAJO'!D83</f>
        <v>0</v>
      </c>
      <c r="E62" s="308">
        <f>IF('HOJA D TRABAJO'!$H$15="EXTERNO",'HOJA 4 AUX'!$G$77,IF('HOJA D TRABAJO'!$H$15="INTERNO",SUM('HOJA 4 AUX'!$G$67:$G$71)))</f>
        <v>0</v>
      </c>
      <c r="F62" s="308">
        <f t="shared" si="0"/>
        <v>0</v>
      </c>
      <c r="G62" s="19"/>
    </row>
    <row r="63" spans="1:7" s="55" customFormat="1" ht="20.25" hidden="1" customHeight="1" x14ac:dyDescent="0.25">
      <c r="A63" s="22"/>
      <c r="B63" s="306" t="str">
        <f>+'HOJA D TRABAJO'!B36&amp;"  "&amp;'HOJA D TRABAJO'!$D$75</f>
        <v xml:space="preserve">  TARIJA</v>
      </c>
      <c r="C63" s="307">
        <f>+'HOJA D TRABAJO'!C84</f>
        <v>0</v>
      </c>
      <c r="D63" s="307">
        <f>+'HOJA D TRABAJO'!D84</f>
        <v>0</v>
      </c>
      <c r="E63" s="308">
        <f>IF('HOJA D TRABAJO'!$H$15="EXTERNO",'HOJA 4 AUX'!$O$77,IF('HOJA D TRABAJO'!$H$15="INTERNO",SUM('HOJA 4 AUX'!$O$67:$O$71)))</f>
        <v>0</v>
      </c>
      <c r="F63" s="308">
        <f t="shared" si="0"/>
        <v>0</v>
      </c>
      <c r="G63" s="19"/>
    </row>
    <row r="64" spans="1:7" s="55" customFormat="1" ht="20.25" hidden="1" customHeight="1" x14ac:dyDescent="0.25">
      <c r="A64" s="22"/>
      <c r="B64" s="306" t="str">
        <f>+'HOJA D TRABAJO'!B37&amp;"  "&amp;'HOJA D TRABAJO'!$D$75</f>
        <v xml:space="preserve">  TARIJA</v>
      </c>
      <c r="C64" s="307">
        <f>+'HOJA D TRABAJO'!C85</f>
        <v>0</v>
      </c>
      <c r="D64" s="307">
        <f>+'HOJA D TRABAJO'!D85</f>
        <v>0</v>
      </c>
      <c r="E64" s="308">
        <f>IF('HOJA D TRABAJO'!$H$15="EXTERNO",'HOJA 4 AUX'!$G$95,IF('HOJA D TRABAJO'!$H$15="INTERNO",SUM('HOJA 4 AUX'!G85:G89)))</f>
        <v>0</v>
      </c>
      <c r="F64" s="308">
        <f t="shared" si="0"/>
        <v>0</v>
      </c>
      <c r="G64" s="19"/>
    </row>
    <row r="65" spans="1:7" s="55" customFormat="1" ht="20.25" hidden="1" customHeight="1" x14ac:dyDescent="0.25">
      <c r="A65" s="22"/>
      <c r="B65" s="306" t="str">
        <f>+'HOJA D TRABAJO'!B38&amp;"  "&amp;'HOJA D TRABAJO'!$D$75</f>
        <v xml:space="preserve">  TARIJA</v>
      </c>
      <c r="C65" s="307">
        <f>+'HOJA D TRABAJO'!C86</f>
        <v>0</v>
      </c>
      <c r="D65" s="307">
        <f>+'HOJA D TRABAJO'!D86</f>
        <v>0</v>
      </c>
      <c r="E65" s="308">
        <f>IF('HOJA D TRABAJO'!$H$15="EXTERNO",'HOJA 4 AUX'!$O$95,IF('HOJA D TRABAJO'!$H$15="INTERNO",SUM('HOJA 4 AUX'!$O$85:$O$89)))</f>
        <v>0</v>
      </c>
      <c r="F65" s="308">
        <f t="shared" si="0"/>
        <v>0</v>
      </c>
      <c r="G65" s="19"/>
    </row>
    <row r="66" spans="1:7" s="55" customFormat="1" ht="20.25" hidden="1" customHeight="1" x14ac:dyDescent="0.25">
      <c r="A66" s="22"/>
      <c r="B66" s="306" t="str">
        <f>+'HOJA D TRABAJO'!B39&amp;"  "&amp;'HOJA D TRABAJO'!$D$75</f>
        <v xml:space="preserve">  TARIJA</v>
      </c>
      <c r="C66" s="307">
        <f>+'HOJA D TRABAJO'!C87</f>
        <v>0</v>
      </c>
      <c r="D66" s="307">
        <f>+'HOJA D TRABAJO'!D87</f>
        <v>0</v>
      </c>
      <c r="E66" s="308">
        <f>IF('HOJA D TRABAJO'!$H$15="EXTERNO",'HOJA 4 AUX'!$G$115,IF('HOJA D TRABAJO'!$H$15="INTERNO",SUM('HOJA 4 AUX'!G105:G109)))</f>
        <v>0</v>
      </c>
      <c r="F66" s="308">
        <f t="shared" si="0"/>
        <v>0</v>
      </c>
      <c r="G66" s="19"/>
    </row>
    <row r="67" spans="1:7" s="55" customFormat="1" ht="20.25" hidden="1" customHeight="1" x14ac:dyDescent="0.25">
      <c r="A67" s="22"/>
      <c r="B67" s="306" t="str">
        <f>+'HOJA D TRABAJO'!B40&amp;"  "&amp;'HOJA D TRABAJO'!$D$75</f>
        <v xml:space="preserve">  TARIJA</v>
      </c>
      <c r="C67" s="307">
        <f>+'HOJA D TRABAJO'!C88</f>
        <v>0</v>
      </c>
      <c r="D67" s="307">
        <f>+'HOJA D TRABAJO'!D88</f>
        <v>0</v>
      </c>
      <c r="E67" s="308">
        <f>IF('HOJA D TRABAJO'!$H$15="EXTERNO",'HOJA 4 AUX'!$O$115,IF('HOJA D TRABAJO'!$H$15="INTERNO",SUM('HOJA 4 AUX'!O105:O109)))</f>
        <v>0</v>
      </c>
      <c r="F67" s="308">
        <f t="shared" si="0"/>
        <v>0</v>
      </c>
      <c r="G67" s="19"/>
    </row>
    <row r="68" spans="1:7" s="55" customFormat="1" ht="20.25" hidden="1" customHeight="1" x14ac:dyDescent="0.25">
      <c r="A68" s="22"/>
      <c r="B68" s="306" t="str">
        <f>+'HOJA D TRABAJO'!B29&amp;" " &amp;'HOJA D TRABAJO'!$D$91</f>
        <v>IMPULSADORAS SUPERMERCADO IC NORTE  POTOSI</v>
      </c>
      <c r="C68" s="307">
        <f>+'HOJA D TRABAJO'!C93</f>
        <v>0</v>
      </c>
      <c r="D68" s="307">
        <f>+'HOJA D TRABAJO'!D93</f>
        <v>0</v>
      </c>
      <c r="E68" s="308">
        <f>IF('HOJA D TRABAJO'!$H$15="EXTERNO",'HOJA 5 AUX'!$G$20,IF('HOJA D TRABAJO'!$H$15="INTERNO",SUM('HOJA 5 AUX'!$G$10:$G$14)))</f>
        <v>0</v>
      </c>
      <c r="F68" s="308">
        <f t="shared" si="0"/>
        <v>0</v>
      </c>
      <c r="G68" s="19"/>
    </row>
    <row r="69" spans="1:7" s="55" customFormat="1" ht="20.25" hidden="1" customHeight="1" x14ac:dyDescent="0.25">
      <c r="A69" s="22"/>
      <c r="B69" s="306" t="str">
        <f>+'HOJA D TRABAJO'!B30&amp;" " &amp;'HOJA D TRABAJO'!$D$91</f>
        <v xml:space="preserve"> POTOSI</v>
      </c>
      <c r="C69" s="307">
        <f>+'HOJA D TRABAJO'!C94</f>
        <v>0</v>
      </c>
      <c r="D69" s="307">
        <f>+'HOJA D TRABAJO'!D94</f>
        <v>0</v>
      </c>
      <c r="E69" s="308">
        <f>IF('HOJA D TRABAJO'!$H$15="EXTERNO",'HOJA 5 AUX'!$O$20,IF('HOJA D TRABAJO'!$H$15="INTERNO",SUM('HOJA 5 AUX'!$O$10:$O$14)))</f>
        <v>0</v>
      </c>
      <c r="F69" s="308">
        <f t="shared" si="0"/>
        <v>0</v>
      </c>
      <c r="G69" s="19"/>
    </row>
    <row r="70" spans="1:7" s="55" customFormat="1" ht="20.25" hidden="1" customHeight="1" x14ac:dyDescent="0.25">
      <c r="A70" s="22"/>
      <c r="B70" s="306" t="str">
        <f>+'HOJA D TRABAJO'!B31&amp;" " &amp;'HOJA D TRABAJO'!$D$91</f>
        <v xml:space="preserve"> POTOSI</v>
      </c>
      <c r="C70" s="307">
        <f>+'HOJA D TRABAJO'!C95</f>
        <v>0</v>
      </c>
      <c r="D70" s="307">
        <f>+'HOJA D TRABAJO'!D95</f>
        <v>0</v>
      </c>
      <c r="E70" s="308">
        <f>IF('HOJA D TRABAJO'!$H$15="EXTERNO",'HOJA 5 AUX'!$G$38,IF('HOJA D TRABAJO'!$H$15="INTERNO",SUM('HOJA 5 AUX'!$G$28:$G$32)))</f>
        <v>0</v>
      </c>
      <c r="F70" s="308">
        <f t="shared" si="0"/>
        <v>0</v>
      </c>
      <c r="G70" s="19"/>
    </row>
    <row r="71" spans="1:7" s="55" customFormat="1" ht="20.25" hidden="1" customHeight="1" x14ac:dyDescent="0.25">
      <c r="A71" s="22"/>
      <c r="B71" s="306" t="str">
        <f>+'HOJA D TRABAJO'!B32&amp;" " &amp;'HOJA D TRABAJO'!$D$91</f>
        <v xml:space="preserve"> POTOSI</v>
      </c>
      <c r="C71" s="307">
        <f>+'HOJA D TRABAJO'!C96</f>
        <v>0</v>
      </c>
      <c r="D71" s="307">
        <f>+'HOJA D TRABAJO'!D96</f>
        <v>0</v>
      </c>
      <c r="E71" s="308">
        <f>IF('HOJA D TRABAJO'!$H$15="EXTERNO",'HOJA 5 AUX'!$O$38,IF('HOJA D TRABAJO'!$H$15="INTERNO",SUM('HOJA 5 AUX'!$O$28:$O$32)))</f>
        <v>0</v>
      </c>
      <c r="F71" s="308">
        <f t="shared" si="0"/>
        <v>0</v>
      </c>
      <c r="G71" s="19"/>
    </row>
    <row r="72" spans="1:7" s="55" customFormat="1" ht="20.25" hidden="1" customHeight="1" x14ac:dyDescent="0.25">
      <c r="A72" s="22"/>
      <c r="B72" s="306" t="str">
        <f>+'HOJA D TRABAJO'!B33&amp;" " &amp;'HOJA D TRABAJO'!$D$91</f>
        <v xml:space="preserve"> POTOSI</v>
      </c>
      <c r="C72" s="307">
        <f>+'HOJA D TRABAJO'!C97</f>
        <v>0</v>
      </c>
      <c r="D72" s="307">
        <f>+'HOJA D TRABAJO'!D97</f>
        <v>0</v>
      </c>
      <c r="E72" s="308">
        <f>IF('HOJA D TRABAJO'!$H$15="EXTERNO",'HOJA 5 AUX'!$G$58,IF('HOJA D TRABAJO'!$H$15="INTERNO",SUM('HOJA 5 AUX'!$G$48:$G$52)))</f>
        <v>0</v>
      </c>
      <c r="F72" s="308">
        <f t="shared" si="0"/>
        <v>0</v>
      </c>
      <c r="G72" s="19"/>
    </row>
    <row r="73" spans="1:7" s="55" customFormat="1" ht="20.25" hidden="1" customHeight="1" x14ac:dyDescent="0.25">
      <c r="A73" s="22"/>
      <c r="B73" s="306" t="str">
        <f>+'HOJA D TRABAJO'!B34&amp;" " &amp;'HOJA D TRABAJO'!$D$91</f>
        <v xml:space="preserve"> POTOSI</v>
      </c>
      <c r="C73" s="307">
        <f>+'HOJA D TRABAJO'!C98</f>
        <v>0</v>
      </c>
      <c r="D73" s="307">
        <f>+'HOJA D TRABAJO'!D98</f>
        <v>0</v>
      </c>
      <c r="E73" s="308">
        <f>IF('HOJA D TRABAJO'!$H$15="EXTERNO",'HOJA 5 AUX'!$O$58,IF('HOJA D TRABAJO'!$H$15="INTERNO",SUM('HOJA 5 AUX'!$O$48:$O$52)))</f>
        <v>0</v>
      </c>
      <c r="F73" s="308">
        <f t="shared" si="0"/>
        <v>0</v>
      </c>
      <c r="G73" s="19"/>
    </row>
    <row r="74" spans="1:7" s="55" customFormat="1" ht="20.25" hidden="1" customHeight="1" x14ac:dyDescent="0.25">
      <c r="A74" s="22"/>
      <c r="B74" s="306" t="str">
        <f>+'HOJA D TRABAJO'!B35&amp;" " &amp;'HOJA D TRABAJO'!$D$91</f>
        <v xml:space="preserve"> POTOSI</v>
      </c>
      <c r="C74" s="307">
        <f>+'HOJA D TRABAJO'!C99</f>
        <v>0</v>
      </c>
      <c r="D74" s="307">
        <f>+'HOJA D TRABAJO'!D99</f>
        <v>0</v>
      </c>
      <c r="E74" s="308">
        <f>IF('HOJA D TRABAJO'!$H$15="EXTERNO",'HOJA 5 AUX'!$G$77,IF('HOJA D TRABAJO'!$H$15="INTERNO",SUM('HOJA 5 AUX'!$G$67:$G$71)))</f>
        <v>0</v>
      </c>
      <c r="F74" s="308">
        <f t="shared" si="0"/>
        <v>0</v>
      </c>
      <c r="G74" s="19"/>
    </row>
    <row r="75" spans="1:7" s="55" customFormat="1" ht="20.25" hidden="1" customHeight="1" x14ac:dyDescent="0.25">
      <c r="A75" s="22"/>
      <c r="B75" s="306" t="str">
        <f>+'HOJA D TRABAJO'!B36&amp;" " &amp;'HOJA D TRABAJO'!$D$91</f>
        <v xml:space="preserve"> POTOSI</v>
      </c>
      <c r="C75" s="307">
        <f>+'HOJA D TRABAJO'!C100</f>
        <v>0</v>
      </c>
      <c r="D75" s="307">
        <f>+'HOJA D TRABAJO'!D100</f>
        <v>0</v>
      </c>
      <c r="E75" s="308">
        <f>IF('HOJA D TRABAJO'!$H$15="EXTERNO",'HOJA 5 AUX'!$O$77,IF('HOJA D TRABAJO'!$H$15="INTERNO",SUM('HOJA 5 AUX'!$O$67:$O$71)))</f>
        <v>0</v>
      </c>
      <c r="F75" s="308">
        <f t="shared" si="0"/>
        <v>0</v>
      </c>
      <c r="G75" s="19"/>
    </row>
    <row r="76" spans="1:7" s="55" customFormat="1" ht="20.25" hidden="1" customHeight="1" x14ac:dyDescent="0.25">
      <c r="A76" s="22"/>
      <c r="B76" s="306" t="str">
        <f>+'HOJA D TRABAJO'!B37&amp;" " &amp;'HOJA D TRABAJO'!$D$91</f>
        <v xml:space="preserve"> POTOSI</v>
      </c>
      <c r="C76" s="307">
        <f>+'HOJA D TRABAJO'!C101</f>
        <v>0</v>
      </c>
      <c r="D76" s="307">
        <f>+'HOJA D TRABAJO'!D101</f>
        <v>0</v>
      </c>
      <c r="E76" s="308">
        <f>IF('HOJA D TRABAJO'!$H$15="EXTERNO",'HOJA 5 AUX'!$G$95,IF('HOJA D TRABAJO'!$H$15="INTERNO",SUM('HOJA 5 AUX'!$G$85:$G$89)))</f>
        <v>0</v>
      </c>
      <c r="F76" s="308">
        <f t="shared" si="0"/>
        <v>0</v>
      </c>
      <c r="G76" s="19"/>
    </row>
    <row r="77" spans="1:7" s="55" customFormat="1" ht="20.25" hidden="1" customHeight="1" x14ac:dyDescent="0.25">
      <c r="A77" s="22"/>
      <c r="B77" s="306" t="str">
        <f>+'HOJA D TRABAJO'!B38&amp;" " &amp;'HOJA D TRABAJO'!$D$91</f>
        <v xml:space="preserve"> POTOSI</v>
      </c>
      <c r="C77" s="307">
        <f>+'HOJA D TRABAJO'!C102</f>
        <v>0</v>
      </c>
      <c r="D77" s="307">
        <f>+'HOJA D TRABAJO'!D102</f>
        <v>0</v>
      </c>
      <c r="E77" s="308">
        <f>IF('HOJA D TRABAJO'!$H$15="EXTERNO",'HOJA 5 AUX'!$O$95,IF('HOJA D TRABAJO'!$H$15="INTERNO",SUM('HOJA 5 AUX'!$O$85:$O$89)))</f>
        <v>0</v>
      </c>
      <c r="F77" s="308">
        <f t="shared" si="0"/>
        <v>0</v>
      </c>
      <c r="G77" s="19"/>
    </row>
    <row r="78" spans="1:7" s="55" customFormat="1" ht="20.25" hidden="1" customHeight="1" x14ac:dyDescent="0.25">
      <c r="A78" s="22"/>
      <c r="B78" s="306" t="str">
        <f>+'HOJA D TRABAJO'!B39&amp;" " &amp;'HOJA D TRABAJO'!$D$91</f>
        <v xml:space="preserve"> POTOSI</v>
      </c>
      <c r="C78" s="307">
        <f>+'HOJA D TRABAJO'!C103</f>
        <v>0</v>
      </c>
      <c r="D78" s="307">
        <f>+'HOJA D TRABAJO'!D103</f>
        <v>0</v>
      </c>
      <c r="E78" s="308">
        <f>IF('HOJA D TRABAJO'!$H$15="EXTERNO",'HOJA 5 AUX'!$G$115,IF('HOJA D TRABAJO'!$H$15="INTERNO",SUM('HOJA 5 AUX'!$G$105:$G$109)))</f>
        <v>0</v>
      </c>
      <c r="F78" s="308">
        <f t="shared" si="0"/>
        <v>0</v>
      </c>
      <c r="G78" s="19"/>
    </row>
    <row r="79" spans="1:7" s="55" customFormat="1" ht="20.25" hidden="1" customHeight="1" x14ac:dyDescent="0.25">
      <c r="A79" s="22"/>
      <c r="B79" s="306" t="str">
        <f>+'HOJA D TRABAJO'!B40&amp;" " &amp;'HOJA D TRABAJO'!$D$91</f>
        <v xml:space="preserve"> POTOSI</v>
      </c>
      <c r="C79" s="307">
        <f>+'HOJA D TRABAJO'!C104</f>
        <v>0</v>
      </c>
      <c r="D79" s="307">
        <f>+'HOJA D TRABAJO'!D104</f>
        <v>0</v>
      </c>
      <c r="E79" s="308">
        <f>IF('HOJA D TRABAJO'!$H$15="EXTERNO",'HOJA 5 AUX'!$O$115,IF('HOJA D TRABAJO'!$H$15="INTERNO",SUM('HOJA 5 AUX'!$O$105:$O$109)))</f>
        <v>0</v>
      </c>
      <c r="F79" s="308">
        <f t="shared" si="0"/>
        <v>0</v>
      </c>
      <c r="G79" s="19"/>
    </row>
    <row r="80" spans="1:7" s="55" customFormat="1" ht="20.25" hidden="1" customHeight="1" x14ac:dyDescent="0.25">
      <c r="A80" s="22"/>
      <c r="B80" s="306" t="str">
        <f>+'HOJA D TRABAJO'!B29&amp;"  " &amp;'HOJA D TRABAJO'!$D$107</f>
        <v>IMPULSADORAS SUPERMERCADO IC NORTE   SUCRE</v>
      </c>
      <c r="C80" s="307">
        <f>+'HOJA D TRABAJO'!C109</f>
        <v>0</v>
      </c>
      <c r="D80" s="307">
        <f>+'HOJA D TRABAJO'!D109</f>
        <v>0</v>
      </c>
      <c r="E80" s="308">
        <f>IF('HOJA D TRABAJO'!$H$15="EXTERNO",'HOJA 6 AUX'!$G$20,IF('HOJA D TRABAJO'!$H$15="INTERNO",SUM('HOJA 6 AUX'!$G$10:$G$14)))</f>
        <v>0</v>
      </c>
      <c r="F80" s="308">
        <f t="shared" si="0"/>
        <v>0</v>
      </c>
      <c r="G80" s="19"/>
    </row>
    <row r="81" spans="1:7" s="55" customFormat="1" ht="20.25" hidden="1" customHeight="1" x14ac:dyDescent="0.25">
      <c r="A81" s="22"/>
      <c r="B81" s="306" t="str">
        <f>+'HOJA D TRABAJO'!B30&amp;"  " &amp;'HOJA D TRABAJO'!$D$107</f>
        <v xml:space="preserve">  SUCRE</v>
      </c>
      <c r="C81" s="307">
        <f>+'HOJA D TRABAJO'!C110</f>
        <v>0</v>
      </c>
      <c r="D81" s="307">
        <f>+'HOJA D TRABAJO'!D110</f>
        <v>0</v>
      </c>
      <c r="E81" s="308">
        <f>IF('HOJA D TRABAJO'!$H$15="EXTERNO",'HOJA 6 AUX'!$O$20,IF('HOJA D TRABAJO'!$H$15="INTERNO",SUM('HOJA 6 AUX'!$O$10:$O$14)))</f>
        <v>0</v>
      </c>
      <c r="F81" s="308">
        <f t="shared" si="0"/>
        <v>0</v>
      </c>
      <c r="G81" s="19"/>
    </row>
    <row r="82" spans="1:7" s="55" customFormat="1" ht="20.25" hidden="1" customHeight="1" x14ac:dyDescent="0.25">
      <c r="A82" s="22"/>
      <c r="B82" s="306" t="str">
        <f>+'HOJA D TRABAJO'!B31&amp;"  " &amp;'HOJA D TRABAJO'!$D$107</f>
        <v xml:space="preserve">  SUCRE</v>
      </c>
      <c r="C82" s="307">
        <f>+'HOJA D TRABAJO'!C111</f>
        <v>0</v>
      </c>
      <c r="D82" s="307">
        <f>+'HOJA D TRABAJO'!D111</f>
        <v>0</v>
      </c>
      <c r="E82" s="308">
        <f>IF('HOJA D TRABAJO'!$H$15="EXTERNO",'HOJA 6 AUX'!$G$38,IF('HOJA D TRABAJO'!$H$15="INTERNO",SUM('HOJA 6 AUX'!$G$28:$G$32)))</f>
        <v>0</v>
      </c>
      <c r="F82" s="308">
        <f t="shared" si="0"/>
        <v>0</v>
      </c>
      <c r="G82" s="19"/>
    </row>
    <row r="83" spans="1:7" s="55" customFormat="1" ht="20.25" hidden="1" customHeight="1" x14ac:dyDescent="0.25">
      <c r="A83" s="22"/>
      <c r="B83" s="306" t="str">
        <f>+'HOJA D TRABAJO'!B32&amp;"  " &amp;'HOJA D TRABAJO'!$D$107</f>
        <v xml:space="preserve">  SUCRE</v>
      </c>
      <c r="C83" s="307">
        <f>+'HOJA D TRABAJO'!C112</f>
        <v>0</v>
      </c>
      <c r="D83" s="307">
        <f>+'HOJA D TRABAJO'!D112</f>
        <v>0</v>
      </c>
      <c r="E83" s="308">
        <f>IF('HOJA D TRABAJO'!$H$15="EXTERNO",'HOJA 6 AUX'!$O$38,IF('HOJA D TRABAJO'!$H$15="INTERNO",SUM('HOJA 6 AUX'!$O$28:$O$32)))</f>
        <v>0</v>
      </c>
      <c r="F83" s="308">
        <f t="shared" si="0"/>
        <v>0</v>
      </c>
      <c r="G83" s="19"/>
    </row>
    <row r="84" spans="1:7" s="55" customFormat="1" ht="20.25" hidden="1" customHeight="1" x14ac:dyDescent="0.25">
      <c r="A84" s="22"/>
      <c r="B84" s="306" t="str">
        <f>+'HOJA D TRABAJO'!B33&amp;"  " &amp;'HOJA D TRABAJO'!$D$107</f>
        <v xml:space="preserve">  SUCRE</v>
      </c>
      <c r="C84" s="307">
        <f>+'HOJA D TRABAJO'!C113</f>
        <v>0</v>
      </c>
      <c r="D84" s="307">
        <f>+'HOJA D TRABAJO'!D113</f>
        <v>0</v>
      </c>
      <c r="E84" s="308">
        <f>IF('HOJA D TRABAJO'!$H$15="EXTERNO",'HOJA 6 AUX'!$G$58,IF('HOJA D TRABAJO'!$H$15="INTERNO",SUM('HOJA 6 AUX'!$G$48:$G$52)))</f>
        <v>0</v>
      </c>
      <c r="F84" s="308">
        <f t="shared" si="0"/>
        <v>0</v>
      </c>
      <c r="G84" s="19"/>
    </row>
    <row r="85" spans="1:7" s="55" customFormat="1" ht="20.25" hidden="1" customHeight="1" x14ac:dyDescent="0.25">
      <c r="A85" s="22"/>
      <c r="B85" s="306" t="str">
        <f>+'HOJA D TRABAJO'!B34&amp;"  " &amp;'HOJA D TRABAJO'!$D$107</f>
        <v xml:space="preserve">  SUCRE</v>
      </c>
      <c r="C85" s="307">
        <f>+'HOJA D TRABAJO'!C114</f>
        <v>0</v>
      </c>
      <c r="D85" s="307">
        <f>+'HOJA D TRABAJO'!D114</f>
        <v>0</v>
      </c>
      <c r="E85" s="308">
        <f>IF('HOJA D TRABAJO'!$H$15="EXTERNO",'HOJA 6 AUX'!$O$58,IF('HOJA D TRABAJO'!$H$15="INTERNO",SUM('HOJA 6 AUX'!$O$48:$O$52)))</f>
        <v>0</v>
      </c>
      <c r="F85" s="308">
        <f t="shared" ref="F85:F127" si="1">+(C85*D85)*E85</f>
        <v>0</v>
      </c>
      <c r="G85" s="19"/>
    </row>
    <row r="86" spans="1:7" s="55" customFormat="1" ht="20.25" hidden="1" customHeight="1" x14ac:dyDescent="0.25">
      <c r="A86" s="22"/>
      <c r="B86" s="306" t="str">
        <f>+'HOJA D TRABAJO'!B35&amp;"  " &amp;'HOJA D TRABAJO'!$D$107</f>
        <v xml:space="preserve">  SUCRE</v>
      </c>
      <c r="C86" s="307">
        <f>+'HOJA D TRABAJO'!C115</f>
        <v>0</v>
      </c>
      <c r="D86" s="307">
        <f>+'HOJA D TRABAJO'!D115</f>
        <v>0</v>
      </c>
      <c r="E86" s="308">
        <f>IF('HOJA D TRABAJO'!$H$15="EXTERNO",'HOJA 6 AUX'!$G$77,IF('HOJA D TRABAJO'!$H$15="INTERNO",SUM('HOJA 6 AUX'!$G$67:$G$71)))</f>
        <v>0</v>
      </c>
      <c r="F86" s="308">
        <f t="shared" si="1"/>
        <v>0</v>
      </c>
      <c r="G86" s="19"/>
    </row>
    <row r="87" spans="1:7" s="55" customFormat="1" ht="20.25" hidden="1" customHeight="1" x14ac:dyDescent="0.25">
      <c r="A87" s="22"/>
      <c r="B87" s="306" t="str">
        <f>+'HOJA D TRABAJO'!B36&amp;"  " &amp;'HOJA D TRABAJO'!$D$107</f>
        <v xml:space="preserve">  SUCRE</v>
      </c>
      <c r="C87" s="307">
        <f>+'HOJA D TRABAJO'!C116</f>
        <v>0</v>
      </c>
      <c r="D87" s="307">
        <f>+'HOJA D TRABAJO'!D116</f>
        <v>0</v>
      </c>
      <c r="E87" s="308">
        <f>IF('HOJA D TRABAJO'!$H$15="EXTERNO",'HOJA 6 AUX'!$O$77,IF('HOJA D TRABAJO'!$H$15="INTERNO",SUM('HOJA 6 AUX'!$O$67:$O$71)))</f>
        <v>0</v>
      </c>
      <c r="F87" s="308">
        <f t="shared" si="1"/>
        <v>0</v>
      </c>
      <c r="G87" s="19"/>
    </row>
    <row r="88" spans="1:7" s="55" customFormat="1" ht="20.25" hidden="1" customHeight="1" x14ac:dyDescent="0.25">
      <c r="A88" s="22"/>
      <c r="B88" s="306" t="str">
        <f>+'HOJA D TRABAJO'!B37&amp;"  " &amp;'HOJA D TRABAJO'!$D$107</f>
        <v xml:space="preserve">  SUCRE</v>
      </c>
      <c r="C88" s="307">
        <f>+'HOJA D TRABAJO'!C117</f>
        <v>0</v>
      </c>
      <c r="D88" s="307">
        <f>+'HOJA D TRABAJO'!D117</f>
        <v>0</v>
      </c>
      <c r="E88" s="308">
        <f>IF('HOJA D TRABAJO'!$H$15="EXTERNO",'HOJA 6 AUX'!$G$95,IF('HOJA D TRABAJO'!$H$15="INTERNO",SUM('HOJA 6 AUX'!$G$85:$G$89)))</f>
        <v>0</v>
      </c>
      <c r="F88" s="308">
        <f t="shared" si="1"/>
        <v>0</v>
      </c>
      <c r="G88" s="19"/>
    </row>
    <row r="89" spans="1:7" s="55" customFormat="1" ht="20.25" hidden="1" customHeight="1" x14ac:dyDescent="0.25">
      <c r="A89" s="22"/>
      <c r="B89" s="306" t="str">
        <f>+'HOJA D TRABAJO'!B38&amp;"  " &amp;'HOJA D TRABAJO'!$D$107</f>
        <v xml:space="preserve">  SUCRE</v>
      </c>
      <c r="C89" s="307">
        <f>+'HOJA D TRABAJO'!C118</f>
        <v>0</v>
      </c>
      <c r="D89" s="307">
        <f>+'HOJA D TRABAJO'!D118</f>
        <v>0</v>
      </c>
      <c r="E89" s="308">
        <f>IF('HOJA D TRABAJO'!$H$15="EXTERNO",'HOJA 6 AUX'!$O$95,IF('HOJA D TRABAJO'!$H$15="INTERNO",SUM('HOJA 6 AUX'!$O$85:$O$89)))</f>
        <v>0</v>
      </c>
      <c r="F89" s="308">
        <f t="shared" si="1"/>
        <v>0</v>
      </c>
      <c r="G89" s="19"/>
    </row>
    <row r="90" spans="1:7" s="55" customFormat="1" ht="20.25" hidden="1" customHeight="1" x14ac:dyDescent="0.25">
      <c r="A90" s="22"/>
      <c r="B90" s="306" t="str">
        <f>+'HOJA D TRABAJO'!B39&amp;"  " &amp;'HOJA D TRABAJO'!$D$107</f>
        <v xml:space="preserve">  SUCRE</v>
      </c>
      <c r="C90" s="307">
        <f>+'HOJA D TRABAJO'!C119</f>
        <v>0</v>
      </c>
      <c r="D90" s="307">
        <f>+'HOJA D TRABAJO'!D119</f>
        <v>0</v>
      </c>
      <c r="E90" s="308">
        <f>IF('HOJA D TRABAJO'!$H$15="EXTERNO",'HOJA 6 AUX'!$G$115,IF('HOJA D TRABAJO'!$H$15="INTERNO",SUM('HOJA 6 AUX'!$G$105:$G$109)))</f>
        <v>0</v>
      </c>
      <c r="F90" s="308">
        <f t="shared" si="1"/>
        <v>0</v>
      </c>
      <c r="G90" s="19"/>
    </row>
    <row r="91" spans="1:7" s="55" customFormat="1" ht="20.25" hidden="1" customHeight="1" x14ac:dyDescent="0.25">
      <c r="A91" s="22"/>
      <c r="B91" s="306" t="str">
        <f>+'HOJA D TRABAJO'!B40&amp;"  " &amp;'HOJA D TRABAJO'!$D$107</f>
        <v xml:space="preserve">  SUCRE</v>
      </c>
      <c r="C91" s="307">
        <f>+'HOJA D TRABAJO'!C120</f>
        <v>0</v>
      </c>
      <c r="D91" s="307">
        <f>+'HOJA D TRABAJO'!D120</f>
        <v>0</v>
      </c>
      <c r="E91" s="308">
        <f>IF('HOJA D TRABAJO'!$H$15="EXTERNO",'HOJA 6 AUX'!$O$115,IF('HOJA D TRABAJO'!$H$15="INTERNO",SUM('HOJA 6 AUX'!$O$105:$O$109)))</f>
        <v>0</v>
      </c>
      <c r="F91" s="308">
        <f t="shared" si="1"/>
        <v>0</v>
      </c>
      <c r="G91" s="19"/>
    </row>
    <row r="92" spans="1:7" s="55" customFormat="1" ht="20.25" hidden="1" customHeight="1" x14ac:dyDescent="0.25">
      <c r="A92" s="22"/>
      <c r="B92" s="306" t="str">
        <f>+'HOJA D TRABAJO'!B29&amp;" "&amp;'HOJA D TRABAJO'!$D$123</f>
        <v>IMPULSADORAS SUPERMERCADO IC NORTE  ORURO</v>
      </c>
      <c r="C92" s="307">
        <f>+'HOJA D TRABAJO'!C125</f>
        <v>0</v>
      </c>
      <c r="D92" s="307">
        <f>+'HOJA D TRABAJO'!D125</f>
        <v>0</v>
      </c>
      <c r="E92" s="308">
        <f>IF('HOJA D TRABAJO'!$H$15="EXTERNO",'HOJA 7 AUX'!$G$20,IF('HOJA D TRABAJO'!$H$15="INTERNO",SUM('HOJA 7 AUX'!$G$10:$G$14)))</f>
        <v>0</v>
      </c>
      <c r="F92" s="308">
        <f t="shared" si="1"/>
        <v>0</v>
      </c>
      <c r="G92" s="19"/>
    </row>
    <row r="93" spans="1:7" s="55" customFormat="1" ht="20.25" hidden="1" customHeight="1" x14ac:dyDescent="0.25">
      <c r="A93" s="22"/>
      <c r="B93" s="306" t="str">
        <f>+'HOJA D TRABAJO'!B30&amp;" "&amp;'HOJA D TRABAJO'!$D$123</f>
        <v xml:space="preserve"> ORURO</v>
      </c>
      <c r="C93" s="307">
        <f>+'HOJA D TRABAJO'!C126</f>
        <v>0</v>
      </c>
      <c r="D93" s="307">
        <f>+'HOJA D TRABAJO'!D126</f>
        <v>0</v>
      </c>
      <c r="E93" s="308">
        <f>IF('HOJA D TRABAJO'!$H$15="EXTERNO",'HOJA 7 AUX'!$O$20,IF('HOJA D TRABAJO'!$H$15="INTERNO",SUM('HOJA 7 AUX'!$O$10:$O$14)))</f>
        <v>0</v>
      </c>
      <c r="F93" s="308">
        <f t="shared" si="1"/>
        <v>0</v>
      </c>
      <c r="G93" s="19"/>
    </row>
    <row r="94" spans="1:7" s="55" customFormat="1" ht="20.25" hidden="1" customHeight="1" x14ac:dyDescent="0.25">
      <c r="A94" s="22"/>
      <c r="B94" s="306" t="str">
        <f>+'HOJA D TRABAJO'!B31&amp;" "&amp;'HOJA D TRABAJO'!$D$123</f>
        <v xml:space="preserve"> ORURO</v>
      </c>
      <c r="C94" s="307">
        <f>+'HOJA D TRABAJO'!C127</f>
        <v>0</v>
      </c>
      <c r="D94" s="307">
        <f>+'HOJA D TRABAJO'!D127</f>
        <v>0</v>
      </c>
      <c r="E94" s="308">
        <f>IF('HOJA D TRABAJO'!$H$15="EXTERNO",'HOJA 7 AUX'!$G$38,IF('HOJA D TRABAJO'!$H$15="INTERNO",SUM('HOJA 7 AUX'!$G$28:$G$32)))</f>
        <v>0</v>
      </c>
      <c r="F94" s="308">
        <f t="shared" si="1"/>
        <v>0</v>
      </c>
      <c r="G94" s="19"/>
    </row>
    <row r="95" spans="1:7" s="55" customFormat="1" ht="20.25" hidden="1" customHeight="1" x14ac:dyDescent="0.25">
      <c r="A95" s="22"/>
      <c r="B95" s="306" t="str">
        <f>+'HOJA D TRABAJO'!B32&amp;" "&amp;'HOJA D TRABAJO'!$D$123</f>
        <v xml:space="preserve"> ORURO</v>
      </c>
      <c r="C95" s="307">
        <f>+'HOJA D TRABAJO'!C128</f>
        <v>0</v>
      </c>
      <c r="D95" s="307">
        <f>+'HOJA D TRABAJO'!D128</f>
        <v>0</v>
      </c>
      <c r="E95" s="308">
        <f>IF('HOJA D TRABAJO'!$H$15="EXTERNO",'HOJA 7 AUX'!$O$38,IF('HOJA D TRABAJO'!$H$15="INTERNO",SUM('HOJA 7 AUX'!$O$28:$O$32)))</f>
        <v>0</v>
      </c>
      <c r="F95" s="308">
        <f t="shared" si="1"/>
        <v>0</v>
      </c>
      <c r="G95" s="19"/>
    </row>
    <row r="96" spans="1:7" s="55" customFormat="1" ht="20.25" hidden="1" customHeight="1" x14ac:dyDescent="0.25">
      <c r="A96" s="22"/>
      <c r="B96" s="306" t="str">
        <f>+'HOJA D TRABAJO'!B33&amp;" "&amp;'HOJA D TRABAJO'!$D$123</f>
        <v xml:space="preserve"> ORURO</v>
      </c>
      <c r="C96" s="307">
        <f>+'HOJA D TRABAJO'!C129</f>
        <v>0</v>
      </c>
      <c r="D96" s="307">
        <f>+'HOJA D TRABAJO'!D129</f>
        <v>0</v>
      </c>
      <c r="E96" s="308">
        <f>IF('HOJA D TRABAJO'!$H$15="EXTERNO",'HOJA 7 AUX'!$G$58,IF('HOJA D TRABAJO'!$H$15="INTERNO",SUM('HOJA 7 AUX'!$G$48:$G$52)))</f>
        <v>0</v>
      </c>
      <c r="F96" s="308">
        <f t="shared" si="1"/>
        <v>0</v>
      </c>
      <c r="G96" s="19"/>
    </row>
    <row r="97" spans="1:7" s="55" customFormat="1" ht="20.25" hidden="1" customHeight="1" x14ac:dyDescent="0.25">
      <c r="A97" s="22"/>
      <c r="B97" s="306" t="str">
        <f>+'HOJA D TRABAJO'!B34&amp;" "&amp;'HOJA D TRABAJO'!$D$123</f>
        <v xml:space="preserve"> ORURO</v>
      </c>
      <c r="C97" s="307">
        <f>+'HOJA D TRABAJO'!C130</f>
        <v>0</v>
      </c>
      <c r="D97" s="307">
        <f>+'HOJA D TRABAJO'!D130</f>
        <v>0</v>
      </c>
      <c r="E97" s="308">
        <f>IF('HOJA D TRABAJO'!$H$15="EXTERNO",'HOJA 7 AUX'!$O$58,IF('HOJA D TRABAJO'!$H$15="INTERNO",SUM('HOJA 7 AUX'!$O$48:$O$52)))</f>
        <v>0</v>
      </c>
      <c r="F97" s="308">
        <f t="shared" si="1"/>
        <v>0</v>
      </c>
      <c r="G97" s="19"/>
    </row>
    <row r="98" spans="1:7" s="55" customFormat="1" ht="20.25" hidden="1" customHeight="1" x14ac:dyDescent="0.25">
      <c r="A98" s="22"/>
      <c r="B98" s="306" t="str">
        <f>+'HOJA D TRABAJO'!B35&amp;" "&amp;'HOJA D TRABAJO'!$D$123</f>
        <v xml:space="preserve"> ORURO</v>
      </c>
      <c r="C98" s="307">
        <f>+'HOJA D TRABAJO'!C131</f>
        <v>0</v>
      </c>
      <c r="D98" s="307">
        <f>+'HOJA D TRABAJO'!D131</f>
        <v>0</v>
      </c>
      <c r="E98" s="308">
        <f>IF('HOJA D TRABAJO'!$H$15="EXTERNO",'HOJA 7 AUX'!$G$77,IF('HOJA D TRABAJO'!$H$15="INTERNO",SUM('HOJA 7 AUX'!$G$67:$G$71)))</f>
        <v>0</v>
      </c>
      <c r="F98" s="308">
        <f t="shared" si="1"/>
        <v>0</v>
      </c>
      <c r="G98" s="19"/>
    </row>
    <row r="99" spans="1:7" s="55" customFormat="1" ht="20.25" hidden="1" customHeight="1" x14ac:dyDescent="0.25">
      <c r="A99" s="22"/>
      <c r="B99" s="306" t="str">
        <f>+'HOJA D TRABAJO'!B36&amp;" "&amp;'HOJA D TRABAJO'!$D$123</f>
        <v xml:space="preserve"> ORURO</v>
      </c>
      <c r="C99" s="307">
        <f>+'HOJA D TRABAJO'!C132</f>
        <v>0</v>
      </c>
      <c r="D99" s="307">
        <f>+'HOJA D TRABAJO'!D132</f>
        <v>0</v>
      </c>
      <c r="E99" s="308">
        <f>IF('HOJA D TRABAJO'!$H$15="EXTERNO",'HOJA 7 AUX'!$O$77,IF('HOJA D TRABAJO'!$H$15="INTERNO",SUM('HOJA 7 AUX'!$O$67:$O$71)))</f>
        <v>0</v>
      </c>
      <c r="F99" s="308">
        <f t="shared" si="1"/>
        <v>0</v>
      </c>
      <c r="G99" s="19"/>
    </row>
    <row r="100" spans="1:7" s="55" customFormat="1" ht="20.25" hidden="1" customHeight="1" x14ac:dyDescent="0.25">
      <c r="A100" s="22"/>
      <c r="B100" s="306" t="str">
        <f>+'HOJA D TRABAJO'!B37&amp;" "&amp;'HOJA D TRABAJO'!$D$123</f>
        <v xml:space="preserve"> ORURO</v>
      </c>
      <c r="C100" s="307">
        <f>+'HOJA D TRABAJO'!C133</f>
        <v>0</v>
      </c>
      <c r="D100" s="307">
        <f>+'HOJA D TRABAJO'!D133</f>
        <v>0</v>
      </c>
      <c r="E100" s="308">
        <f>IF('HOJA D TRABAJO'!$H$15="EXTERNO",'HOJA 7 AUX'!$G$95,IF('HOJA D TRABAJO'!$H$15="INTERNO",SUM('HOJA 7 AUX'!$G$85:$G$89)))</f>
        <v>0</v>
      </c>
      <c r="F100" s="308">
        <f t="shared" si="1"/>
        <v>0</v>
      </c>
      <c r="G100" s="19"/>
    </row>
    <row r="101" spans="1:7" s="55" customFormat="1" ht="20.25" hidden="1" customHeight="1" x14ac:dyDescent="0.25">
      <c r="A101" s="22"/>
      <c r="B101" s="306" t="str">
        <f>+'HOJA D TRABAJO'!B38&amp;" "&amp;'HOJA D TRABAJO'!$D$123</f>
        <v xml:space="preserve"> ORURO</v>
      </c>
      <c r="C101" s="307">
        <f>+'HOJA D TRABAJO'!C134</f>
        <v>0</v>
      </c>
      <c r="D101" s="307">
        <f>+'HOJA D TRABAJO'!D134</f>
        <v>0</v>
      </c>
      <c r="E101" s="308">
        <f>IF('HOJA D TRABAJO'!$H$15="EXTERNO",'HOJA 7 AUX'!$O$95,IF('HOJA D TRABAJO'!$H$15="INTERNO",SUM('HOJA 7 AUX'!$O$85:$O$89)))</f>
        <v>0</v>
      </c>
      <c r="F101" s="308">
        <f t="shared" si="1"/>
        <v>0</v>
      </c>
      <c r="G101" s="19"/>
    </row>
    <row r="102" spans="1:7" s="55" customFormat="1" ht="20.25" hidden="1" customHeight="1" x14ac:dyDescent="0.25">
      <c r="A102" s="22"/>
      <c r="B102" s="306" t="str">
        <f>+'HOJA D TRABAJO'!B39&amp;" "&amp;'HOJA D TRABAJO'!$D$123</f>
        <v xml:space="preserve"> ORURO</v>
      </c>
      <c r="C102" s="307">
        <f>+'HOJA D TRABAJO'!C135</f>
        <v>0</v>
      </c>
      <c r="D102" s="307">
        <f>+'HOJA D TRABAJO'!D135</f>
        <v>0</v>
      </c>
      <c r="E102" s="308">
        <f>IF('HOJA D TRABAJO'!$H$15="EXTERNO",'HOJA 7 AUX'!$G$115,IF('HOJA D TRABAJO'!$H$15="INTERNO",SUM('HOJA 7 AUX'!$G$105:$G$109)))</f>
        <v>0</v>
      </c>
      <c r="F102" s="308">
        <f t="shared" si="1"/>
        <v>0</v>
      </c>
      <c r="G102" s="19"/>
    </row>
    <row r="103" spans="1:7" s="55" customFormat="1" ht="20.25" hidden="1" customHeight="1" x14ac:dyDescent="0.25">
      <c r="A103" s="22"/>
      <c r="B103" s="306" t="str">
        <f>+'HOJA D TRABAJO'!B40&amp;" "&amp;'HOJA D TRABAJO'!$D$123</f>
        <v xml:space="preserve"> ORURO</v>
      </c>
      <c r="C103" s="307">
        <f>+'HOJA D TRABAJO'!C136</f>
        <v>0</v>
      </c>
      <c r="D103" s="307">
        <f>+'HOJA D TRABAJO'!D136</f>
        <v>0</v>
      </c>
      <c r="E103" s="308">
        <f>IF('HOJA D TRABAJO'!$H$15="EXTERNO",'HOJA 7 AUX'!$O$115,IF('HOJA D TRABAJO'!$H$15="INTERNO",SUM('HOJA 7 AUX'!$O$105:$O$109)))</f>
        <v>0</v>
      </c>
      <c r="F103" s="308">
        <f t="shared" si="1"/>
        <v>0</v>
      </c>
      <c r="G103" s="19"/>
    </row>
    <row r="104" spans="1:7" s="55" customFormat="1" ht="20.25" hidden="1" customHeight="1" x14ac:dyDescent="0.25">
      <c r="A104" s="22"/>
      <c r="B104" s="306" t="str">
        <f>+'HOJA D TRABAJO'!B29&amp; "  "&amp;'HOJA D TRABAJO'!$D$139</f>
        <v>IMPULSADORAS SUPERMERCADO IC NORTE   EL ALTO</v>
      </c>
      <c r="C104" s="307">
        <f>+'HOJA D TRABAJO'!C141</f>
        <v>0</v>
      </c>
      <c r="D104" s="307">
        <f>+'HOJA D TRABAJO'!D141</f>
        <v>0</v>
      </c>
      <c r="E104" s="308">
        <f>IF('HOJA D TRABAJO'!$H$15="EXTERNO",'HOJA 8 AUX'!$G$20,IF('HOJA D TRABAJO'!$H$15="INTERNO",SUM('HOJA 8 AUX'!$G$10:$G$14)))</f>
        <v>0</v>
      </c>
      <c r="F104" s="308">
        <f t="shared" si="1"/>
        <v>0</v>
      </c>
      <c r="G104" s="19"/>
    </row>
    <row r="105" spans="1:7" s="55" customFormat="1" ht="20.25" hidden="1" customHeight="1" x14ac:dyDescent="0.25">
      <c r="A105" s="22"/>
      <c r="B105" s="306" t="str">
        <f>+'HOJA D TRABAJO'!B30&amp; "  "&amp;'HOJA D TRABAJO'!$D$139</f>
        <v xml:space="preserve">  EL ALTO</v>
      </c>
      <c r="C105" s="307">
        <f>+'HOJA D TRABAJO'!C142</f>
        <v>0</v>
      </c>
      <c r="D105" s="307">
        <f>+'HOJA D TRABAJO'!D142</f>
        <v>0</v>
      </c>
      <c r="E105" s="308">
        <f>IF('HOJA D TRABAJO'!$H$15="EXTERNO",'HOJA 8 AUX'!$O$20,IF('HOJA D TRABAJO'!$H$15="INTERNO",SUM('HOJA 8 AUX'!$O$10:$O$14)))</f>
        <v>0</v>
      </c>
      <c r="F105" s="308">
        <f t="shared" si="1"/>
        <v>0</v>
      </c>
      <c r="G105" s="19"/>
    </row>
    <row r="106" spans="1:7" s="55" customFormat="1" ht="20.25" hidden="1" customHeight="1" x14ac:dyDescent="0.25">
      <c r="A106" s="22"/>
      <c r="B106" s="306" t="str">
        <f>+'HOJA D TRABAJO'!B31&amp; "  "&amp;'HOJA D TRABAJO'!$D$139</f>
        <v xml:space="preserve">  EL ALTO</v>
      </c>
      <c r="C106" s="307">
        <f>+'HOJA D TRABAJO'!C143</f>
        <v>0</v>
      </c>
      <c r="D106" s="307">
        <f>+'HOJA D TRABAJO'!D143</f>
        <v>0</v>
      </c>
      <c r="E106" s="308">
        <f>IF('HOJA D TRABAJO'!$H$15="EXTERNO",'HOJA 8 AUX'!$G$38,IF('HOJA D TRABAJO'!$H$15="INTERNO",SUM('HOJA 8 AUX'!$G$28:$G$32)))</f>
        <v>0</v>
      </c>
      <c r="F106" s="308">
        <f t="shared" si="1"/>
        <v>0</v>
      </c>
      <c r="G106" s="19"/>
    </row>
    <row r="107" spans="1:7" s="55" customFormat="1" ht="20.25" hidden="1" customHeight="1" x14ac:dyDescent="0.25">
      <c r="A107" s="22"/>
      <c r="B107" s="306" t="str">
        <f>+'HOJA D TRABAJO'!B32&amp; "  "&amp;'HOJA D TRABAJO'!$D$139</f>
        <v xml:space="preserve">  EL ALTO</v>
      </c>
      <c r="C107" s="307">
        <f>+'HOJA D TRABAJO'!C144</f>
        <v>0</v>
      </c>
      <c r="D107" s="307">
        <f>+'HOJA D TRABAJO'!D144</f>
        <v>0</v>
      </c>
      <c r="E107" s="308">
        <f>IF('HOJA D TRABAJO'!$H$15="EXTERNO",'HOJA 8 AUX'!$O$38,IF('HOJA D TRABAJO'!$H$15="INTERNO",SUM('HOJA 8 AUX'!$O$28:$O$32)))</f>
        <v>0</v>
      </c>
      <c r="F107" s="308">
        <f t="shared" si="1"/>
        <v>0</v>
      </c>
      <c r="G107" s="19"/>
    </row>
    <row r="108" spans="1:7" s="55" customFormat="1" ht="20.25" hidden="1" customHeight="1" x14ac:dyDescent="0.25">
      <c r="A108" s="22"/>
      <c r="B108" s="306" t="str">
        <f>+'HOJA D TRABAJO'!B33&amp; "  "&amp;'HOJA D TRABAJO'!$D$139</f>
        <v xml:space="preserve">  EL ALTO</v>
      </c>
      <c r="C108" s="307">
        <f>+'HOJA D TRABAJO'!C145</f>
        <v>0</v>
      </c>
      <c r="D108" s="307">
        <f>+'HOJA D TRABAJO'!D145</f>
        <v>0</v>
      </c>
      <c r="E108" s="308">
        <f>IF('HOJA D TRABAJO'!$H$15="EXTERNO",'HOJA 8 AUX'!$G$58,IF('HOJA D TRABAJO'!$H$15="INTERNO",SUM('HOJA 8 AUX'!$G$48:$G$52)))</f>
        <v>0</v>
      </c>
      <c r="F108" s="308">
        <f t="shared" si="1"/>
        <v>0</v>
      </c>
      <c r="G108" s="19"/>
    </row>
    <row r="109" spans="1:7" s="55" customFormat="1" ht="20.25" hidden="1" customHeight="1" x14ac:dyDescent="0.25">
      <c r="A109" s="22"/>
      <c r="B109" s="306" t="str">
        <f>+'HOJA D TRABAJO'!B34&amp; "  "&amp;'HOJA D TRABAJO'!$D$139</f>
        <v xml:space="preserve">  EL ALTO</v>
      </c>
      <c r="C109" s="307">
        <f>+'HOJA D TRABAJO'!C146</f>
        <v>0</v>
      </c>
      <c r="D109" s="307">
        <f>+'HOJA D TRABAJO'!D146</f>
        <v>0</v>
      </c>
      <c r="E109" s="308">
        <f>IF('HOJA D TRABAJO'!$H$15="EXTERNO",'HOJA 8 AUX'!$O$58,IF('HOJA D TRABAJO'!$H$15="INTERNO",SUM('HOJA 8 AUX'!$O$48:$O$52)))</f>
        <v>0</v>
      </c>
      <c r="F109" s="308">
        <f t="shared" si="1"/>
        <v>0</v>
      </c>
      <c r="G109" s="19"/>
    </row>
    <row r="110" spans="1:7" s="55" customFormat="1" ht="20.25" hidden="1" customHeight="1" x14ac:dyDescent="0.25">
      <c r="A110" s="22"/>
      <c r="B110" s="306" t="str">
        <f>+'HOJA D TRABAJO'!B35&amp; "  "&amp;'HOJA D TRABAJO'!$D$139</f>
        <v xml:space="preserve">  EL ALTO</v>
      </c>
      <c r="C110" s="307">
        <f>+'HOJA D TRABAJO'!C147</f>
        <v>0</v>
      </c>
      <c r="D110" s="307">
        <f>+'HOJA D TRABAJO'!D147</f>
        <v>0</v>
      </c>
      <c r="E110" s="308">
        <f>IF('HOJA D TRABAJO'!$H$15="EXTERNO",'HOJA 8 AUX'!$G$77,IF('HOJA D TRABAJO'!$H$15="INTERNO",SUM('HOJA 8 AUX'!$G$67:$G$71)))</f>
        <v>0</v>
      </c>
      <c r="F110" s="308">
        <f t="shared" si="1"/>
        <v>0</v>
      </c>
      <c r="G110" s="19"/>
    </row>
    <row r="111" spans="1:7" s="55" customFormat="1" ht="20.25" hidden="1" customHeight="1" x14ac:dyDescent="0.25">
      <c r="A111" s="22"/>
      <c r="B111" s="306" t="str">
        <f>+'HOJA D TRABAJO'!B36&amp; "  "&amp;'HOJA D TRABAJO'!$D$139</f>
        <v xml:space="preserve">  EL ALTO</v>
      </c>
      <c r="C111" s="307">
        <f>+'HOJA D TRABAJO'!C148</f>
        <v>0</v>
      </c>
      <c r="D111" s="307">
        <f>+'HOJA D TRABAJO'!D148</f>
        <v>0</v>
      </c>
      <c r="E111" s="308">
        <f>IF('HOJA D TRABAJO'!$H$15="EXTERNO",'HOJA 8 AUX'!$O$77,IF('HOJA D TRABAJO'!$H$15="INTERNO",SUM('HOJA 8 AUX'!$O$67:$O$71)))</f>
        <v>0</v>
      </c>
      <c r="F111" s="308">
        <f t="shared" si="1"/>
        <v>0</v>
      </c>
      <c r="G111" s="19"/>
    </row>
    <row r="112" spans="1:7" s="55" customFormat="1" ht="20.25" hidden="1" customHeight="1" x14ac:dyDescent="0.25">
      <c r="A112" s="22"/>
      <c r="B112" s="306" t="str">
        <f>+'HOJA D TRABAJO'!B37&amp; "  "&amp;'HOJA D TRABAJO'!$D$139</f>
        <v xml:space="preserve">  EL ALTO</v>
      </c>
      <c r="C112" s="307">
        <f>+'HOJA D TRABAJO'!C149</f>
        <v>0</v>
      </c>
      <c r="D112" s="307">
        <f>+'HOJA D TRABAJO'!D149</f>
        <v>0</v>
      </c>
      <c r="E112" s="308">
        <f>IF('HOJA D TRABAJO'!$H$15="EXTERNO",'HOJA 8 AUX'!$G$95,IF('HOJA D TRABAJO'!$H$15="INTERNO",SUM('HOJA 8 AUX'!$G$85:$G$89)))</f>
        <v>0</v>
      </c>
      <c r="F112" s="308">
        <f t="shared" si="1"/>
        <v>0</v>
      </c>
      <c r="G112" s="19"/>
    </row>
    <row r="113" spans="1:7" s="55" customFormat="1" ht="20.25" hidden="1" customHeight="1" x14ac:dyDescent="0.25">
      <c r="A113" s="22"/>
      <c r="B113" s="306" t="str">
        <f>+'HOJA D TRABAJO'!B38&amp; "  "&amp;'HOJA D TRABAJO'!$D$139</f>
        <v xml:space="preserve">  EL ALTO</v>
      </c>
      <c r="C113" s="307">
        <f>+'HOJA D TRABAJO'!C150</f>
        <v>0</v>
      </c>
      <c r="D113" s="307">
        <f>+'HOJA D TRABAJO'!D150</f>
        <v>0</v>
      </c>
      <c r="E113" s="308">
        <f>IF('HOJA D TRABAJO'!$H$15="EXTERNO",'HOJA 8 AUX'!$O$95,IF('HOJA D TRABAJO'!$H$15="INTERNO",SUM('HOJA 8 AUX'!$O$85:$O$89)))</f>
        <v>0</v>
      </c>
      <c r="F113" s="308">
        <f t="shared" si="1"/>
        <v>0</v>
      </c>
      <c r="G113" s="19"/>
    </row>
    <row r="114" spans="1:7" s="55" customFormat="1" ht="20.25" hidden="1" customHeight="1" x14ac:dyDescent="0.25">
      <c r="A114" s="22"/>
      <c r="B114" s="306" t="str">
        <f>+'HOJA D TRABAJO'!B39&amp; "  "&amp;'HOJA D TRABAJO'!$D$139</f>
        <v xml:space="preserve">  EL ALTO</v>
      </c>
      <c r="C114" s="307">
        <f>+'HOJA D TRABAJO'!C151</f>
        <v>0</v>
      </c>
      <c r="D114" s="307">
        <f>+'HOJA D TRABAJO'!D151</f>
        <v>0</v>
      </c>
      <c r="E114" s="308">
        <f>IF('HOJA D TRABAJO'!$H$15="EXTERNO",'HOJA 8 AUX'!$G$115,IF('HOJA D TRABAJO'!$H$15="INTERNO",SUM('HOJA 8 AUX'!$G$105:$G$109)))</f>
        <v>0</v>
      </c>
      <c r="F114" s="308">
        <f t="shared" si="1"/>
        <v>0</v>
      </c>
      <c r="G114" s="19"/>
    </row>
    <row r="115" spans="1:7" s="55" customFormat="1" ht="20.25" hidden="1" customHeight="1" x14ac:dyDescent="0.25">
      <c r="A115" s="22"/>
      <c r="B115" s="306" t="str">
        <f>+'HOJA D TRABAJO'!B40&amp; "  "&amp;'HOJA D TRABAJO'!$D$139</f>
        <v xml:space="preserve">  EL ALTO</v>
      </c>
      <c r="C115" s="307">
        <f>+'HOJA D TRABAJO'!C152</f>
        <v>0</v>
      </c>
      <c r="D115" s="307">
        <f>+'HOJA D TRABAJO'!D152</f>
        <v>0</v>
      </c>
      <c r="E115" s="308">
        <f>IF('HOJA D TRABAJO'!$H$15="EXTERNO",'HOJA 8 AUX'!$O$115,IF('HOJA D TRABAJO'!$H$15="INTERNO",SUM('HOJA 8 AUX'!$O$105:$O$109)))</f>
        <v>0</v>
      </c>
      <c r="F115" s="308">
        <f t="shared" si="1"/>
        <v>0</v>
      </c>
      <c r="G115" s="19"/>
    </row>
    <row r="116" spans="1:7" s="55" customFormat="1" ht="20.25" hidden="1" customHeight="1" x14ac:dyDescent="0.25">
      <c r="A116" s="22"/>
      <c r="B116" s="306" t="str">
        <f>+'HOJA D TRABAJO'!B29&amp; " "&amp;'HOJA D TRABAJO'!$D$155</f>
        <v>IMPULSADORAS SUPERMERCADO IC NORTE  PANDO</v>
      </c>
      <c r="C116" s="307">
        <f>+'HOJA D TRABAJO'!C157</f>
        <v>0</v>
      </c>
      <c r="D116" s="307">
        <f>+'HOJA D TRABAJO'!D157</f>
        <v>0</v>
      </c>
      <c r="E116" s="308">
        <f>IF('HOJA D TRABAJO'!$H$15="EXTERNO",'HOJA 9 AUX'!$G$20,IF('HOJA D TRABAJO'!$H$15="INTERNO",SUM('HOJA 9 AUX'!$G$10:$G$14)))</f>
        <v>0</v>
      </c>
      <c r="F116" s="308">
        <f t="shared" si="1"/>
        <v>0</v>
      </c>
      <c r="G116" s="19"/>
    </row>
    <row r="117" spans="1:7" s="55" customFormat="1" ht="20.25" hidden="1" customHeight="1" x14ac:dyDescent="0.25">
      <c r="A117" s="22"/>
      <c r="B117" s="306" t="str">
        <f>+'HOJA D TRABAJO'!B30&amp; " "&amp;'HOJA D TRABAJO'!$D$155</f>
        <v xml:space="preserve"> PANDO</v>
      </c>
      <c r="C117" s="307">
        <f>+'HOJA D TRABAJO'!C158</f>
        <v>0</v>
      </c>
      <c r="D117" s="307">
        <f>+'HOJA D TRABAJO'!D158</f>
        <v>0</v>
      </c>
      <c r="E117" s="308">
        <f>IF('HOJA D TRABAJO'!$H$15="EXTERNO",'HOJA 9 AUX'!$O$20,IF('HOJA D TRABAJO'!$H$15="INTERNO",SUM('HOJA 9 AUX'!$O$10:$O$14)))</f>
        <v>0</v>
      </c>
      <c r="F117" s="308">
        <f t="shared" si="1"/>
        <v>0</v>
      </c>
      <c r="G117" s="19"/>
    </row>
    <row r="118" spans="1:7" s="55" customFormat="1" ht="20.25" hidden="1" customHeight="1" x14ac:dyDescent="0.25">
      <c r="A118" s="22"/>
      <c r="B118" s="306" t="str">
        <f>+'HOJA D TRABAJO'!B31&amp; " "&amp;'HOJA D TRABAJO'!$D$155</f>
        <v xml:space="preserve"> PANDO</v>
      </c>
      <c r="C118" s="307">
        <f>+'HOJA D TRABAJO'!C159</f>
        <v>0</v>
      </c>
      <c r="D118" s="307">
        <f>+'HOJA D TRABAJO'!D159</f>
        <v>0</v>
      </c>
      <c r="E118" s="308">
        <f>IF('HOJA D TRABAJO'!$H$15="EXTERNO",'HOJA 9 AUX'!$G$38,IF('HOJA D TRABAJO'!$H$15="INTERNO",SUM('HOJA 9 AUX'!$G$28:$G$32)))</f>
        <v>0</v>
      </c>
      <c r="F118" s="308">
        <f t="shared" si="1"/>
        <v>0</v>
      </c>
      <c r="G118" s="19"/>
    </row>
    <row r="119" spans="1:7" s="55" customFormat="1" ht="20.25" hidden="1" customHeight="1" x14ac:dyDescent="0.25">
      <c r="A119" s="22"/>
      <c r="B119" s="306" t="str">
        <f>+'HOJA D TRABAJO'!B32&amp; " "&amp;'HOJA D TRABAJO'!$D$155</f>
        <v xml:space="preserve"> PANDO</v>
      </c>
      <c r="C119" s="307">
        <f>+'HOJA D TRABAJO'!C160</f>
        <v>0</v>
      </c>
      <c r="D119" s="307">
        <f>+'HOJA D TRABAJO'!D160</f>
        <v>0</v>
      </c>
      <c r="E119" s="308">
        <f>IF('HOJA D TRABAJO'!$H$15="EXTERNO",'HOJA 9 AUX'!$O$38,IF('HOJA D TRABAJO'!$H$15="INTERNO",SUM('HOJA 9 AUX'!$O$28:$O$32)))</f>
        <v>0</v>
      </c>
      <c r="F119" s="308">
        <f t="shared" si="1"/>
        <v>0</v>
      </c>
      <c r="G119" s="19"/>
    </row>
    <row r="120" spans="1:7" s="55" customFormat="1" ht="20.25" hidden="1" customHeight="1" x14ac:dyDescent="0.25">
      <c r="A120" s="22"/>
      <c r="B120" s="306" t="str">
        <f>+'HOJA D TRABAJO'!B33&amp; " "&amp;'HOJA D TRABAJO'!$D$155</f>
        <v xml:space="preserve"> PANDO</v>
      </c>
      <c r="C120" s="307">
        <f>+'HOJA D TRABAJO'!C161</f>
        <v>0</v>
      </c>
      <c r="D120" s="307">
        <f>+'HOJA D TRABAJO'!D161</f>
        <v>0</v>
      </c>
      <c r="E120" s="308">
        <f>IF('HOJA D TRABAJO'!$H$15="EXTERNO",'HOJA 9 AUX'!$G$58,IF('HOJA D TRABAJO'!$H$15="INTERNO",SUM('HOJA 9 AUX'!$G$48:$G$52)))</f>
        <v>0</v>
      </c>
      <c r="F120" s="308">
        <f t="shared" si="1"/>
        <v>0</v>
      </c>
      <c r="G120" s="19"/>
    </row>
    <row r="121" spans="1:7" s="55" customFormat="1" ht="20.25" hidden="1" customHeight="1" x14ac:dyDescent="0.25">
      <c r="A121" s="22"/>
      <c r="B121" s="306" t="str">
        <f>+'HOJA D TRABAJO'!B34&amp; " "&amp;'HOJA D TRABAJO'!$D$155</f>
        <v xml:space="preserve"> PANDO</v>
      </c>
      <c r="C121" s="307">
        <f>+'HOJA D TRABAJO'!C162</f>
        <v>0</v>
      </c>
      <c r="D121" s="307">
        <f>+'HOJA D TRABAJO'!D162</f>
        <v>0</v>
      </c>
      <c r="E121" s="308">
        <f>IF('HOJA D TRABAJO'!$H$15="EXTERNO",'HOJA 9 AUX'!$O$58,IF('HOJA D TRABAJO'!$H$15="INTERNO",SUM('HOJA 9 AUX'!$O$48:$O$52)))</f>
        <v>0</v>
      </c>
      <c r="F121" s="308">
        <f t="shared" si="1"/>
        <v>0</v>
      </c>
      <c r="G121" s="19"/>
    </row>
    <row r="122" spans="1:7" s="55" customFormat="1" ht="20.25" hidden="1" customHeight="1" x14ac:dyDescent="0.25">
      <c r="A122" s="22"/>
      <c r="B122" s="306" t="str">
        <f>+'HOJA D TRABAJO'!B35&amp; " "&amp;'HOJA D TRABAJO'!$D$155</f>
        <v xml:space="preserve"> PANDO</v>
      </c>
      <c r="C122" s="307">
        <f>+'HOJA D TRABAJO'!C163</f>
        <v>0</v>
      </c>
      <c r="D122" s="307">
        <f>+'HOJA D TRABAJO'!D163</f>
        <v>0</v>
      </c>
      <c r="E122" s="308">
        <f>IF('HOJA D TRABAJO'!$H$15="EXTERNO",'HOJA 9 AUX'!$G$77,IF('HOJA D TRABAJO'!$H$15="INTERNO",SUM('HOJA 9 AUX'!$G$67:$G$71)))</f>
        <v>0</v>
      </c>
      <c r="F122" s="308">
        <f t="shared" si="1"/>
        <v>0</v>
      </c>
      <c r="G122" s="19"/>
    </row>
    <row r="123" spans="1:7" s="55" customFormat="1" ht="20.25" hidden="1" customHeight="1" x14ac:dyDescent="0.25">
      <c r="A123" s="22"/>
      <c r="B123" s="306" t="str">
        <f>+'HOJA D TRABAJO'!B36&amp; " "&amp;'HOJA D TRABAJO'!$D$155</f>
        <v xml:space="preserve"> PANDO</v>
      </c>
      <c r="C123" s="307">
        <f>+'HOJA D TRABAJO'!C164</f>
        <v>0</v>
      </c>
      <c r="D123" s="307">
        <f>+'HOJA D TRABAJO'!D164</f>
        <v>0</v>
      </c>
      <c r="E123" s="308">
        <f>IF('HOJA D TRABAJO'!$H$15="EXTERNO",'HOJA 9 AUX'!$O$77,IF('HOJA D TRABAJO'!$H$15="INTERNO",SUM('HOJA 9 AUX'!$O$67:$O$71)))</f>
        <v>0</v>
      </c>
      <c r="F123" s="308">
        <f t="shared" si="1"/>
        <v>0</v>
      </c>
      <c r="G123" s="19"/>
    </row>
    <row r="124" spans="1:7" s="55" customFormat="1" ht="20.25" hidden="1" customHeight="1" x14ac:dyDescent="0.25">
      <c r="A124" s="22"/>
      <c r="B124" s="306" t="str">
        <f>+'HOJA D TRABAJO'!B37&amp; " "&amp;'HOJA D TRABAJO'!$D$155</f>
        <v xml:space="preserve"> PANDO</v>
      </c>
      <c r="C124" s="307">
        <f>+'HOJA D TRABAJO'!C165</f>
        <v>0</v>
      </c>
      <c r="D124" s="307">
        <f>+'HOJA D TRABAJO'!D165</f>
        <v>0</v>
      </c>
      <c r="E124" s="308">
        <f>IF('HOJA D TRABAJO'!$H$15="EXTERNO",'HOJA 9 AUX'!$G$95,IF('HOJA D TRABAJO'!$H$15="INTERNO",SUM('HOJA 9 AUX'!$G$85:$G$89)))</f>
        <v>0</v>
      </c>
      <c r="F124" s="308">
        <f t="shared" si="1"/>
        <v>0</v>
      </c>
      <c r="G124" s="19"/>
    </row>
    <row r="125" spans="1:7" s="55" customFormat="1" ht="20.25" hidden="1" customHeight="1" x14ac:dyDescent="0.25">
      <c r="A125" s="22"/>
      <c r="B125" s="306" t="str">
        <f>+'HOJA D TRABAJO'!B38&amp; " "&amp;'HOJA D TRABAJO'!$D$155</f>
        <v xml:space="preserve"> PANDO</v>
      </c>
      <c r="C125" s="307">
        <f>+'HOJA D TRABAJO'!C166</f>
        <v>0</v>
      </c>
      <c r="D125" s="307">
        <f>+'HOJA D TRABAJO'!D166</f>
        <v>0</v>
      </c>
      <c r="E125" s="308">
        <f>IF('HOJA D TRABAJO'!$H$15="EXTERNO",'HOJA 9 AUX'!$O$95,IF('HOJA D TRABAJO'!$H$15="INTERNO",SUM('HOJA 9 AUX'!$O$85:$O$89)))</f>
        <v>0</v>
      </c>
      <c r="F125" s="308">
        <f t="shared" si="1"/>
        <v>0</v>
      </c>
      <c r="G125" s="19"/>
    </row>
    <row r="126" spans="1:7" s="55" customFormat="1" ht="20.25" hidden="1" customHeight="1" x14ac:dyDescent="0.25">
      <c r="A126" s="22"/>
      <c r="B126" s="306" t="str">
        <f>+'HOJA D TRABAJO'!B39&amp; " "&amp;'HOJA D TRABAJO'!$D$155</f>
        <v xml:space="preserve"> PANDO</v>
      </c>
      <c r="C126" s="307">
        <f>+'HOJA D TRABAJO'!C167</f>
        <v>0</v>
      </c>
      <c r="D126" s="307">
        <f>+'HOJA D TRABAJO'!D167</f>
        <v>0</v>
      </c>
      <c r="E126" s="308">
        <f>IF('HOJA D TRABAJO'!$H$15="EXTERNO",'HOJA 9 AUX'!$G$115,IF('HOJA D TRABAJO'!$H$15="INTERNO",SUM('HOJA 9 AUX'!$G$105:$G$109)))</f>
        <v>0</v>
      </c>
      <c r="F126" s="308">
        <f t="shared" si="1"/>
        <v>0</v>
      </c>
      <c r="G126" s="19"/>
    </row>
    <row r="127" spans="1:7" s="55" customFormat="1" ht="8.25" hidden="1" customHeight="1" x14ac:dyDescent="0.25">
      <c r="A127" s="22"/>
      <c r="B127" s="306" t="str">
        <f>+'HOJA D TRABAJO'!B40&amp; " "&amp;'HOJA D TRABAJO'!$D$155</f>
        <v xml:space="preserve"> PANDO</v>
      </c>
      <c r="C127" s="307">
        <f>+'HOJA D TRABAJO'!C168</f>
        <v>0</v>
      </c>
      <c r="D127" s="307">
        <f>+'HOJA D TRABAJO'!D168</f>
        <v>0</v>
      </c>
      <c r="E127" s="308">
        <f>IF('HOJA D TRABAJO'!$H$15="EXTERNO",'HOJA 9 AUX'!$O$115,IF('HOJA D TRABAJO'!$H$15="INTERNO",SUM('HOJA 9 AUX'!$O$105:$O$109)))</f>
        <v>0</v>
      </c>
      <c r="F127" s="308">
        <f t="shared" si="1"/>
        <v>0</v>
      </c>
      <c r="G127" s="19"/>
    </row>
    <row r="128" spans="1:7" ht="15.75" x14ac:dyDescent="0.25">
      <c r="A128" s="53"/>
      <c r="B128" s="304" t="s">
        <v>1368</v>
      </c>
      <c r="C128" s="309">
        <f>SUM(C20:C127)</f>
        <v>1</v>
      </c>
      <c r="D128" s="309">
        <f>SUM(D20:D127)</f>
        <v>4</v>
      </c>
      <c r="E128" s="310"/>
      <c r="F128" s="381">
        <f>SUM(F20:F127)</f>
        <v>672.92759347920037</v>
      </c>
      <c r="G128" s="53"/>
    </row>
    <row r="129" spans="1:7" ht="15.75" hidden="1" x14ac:dyDescent="0.25">
      <c r="A129" s="463" t="s">
        <v>1429</v>
      </c>
      <c r="B129" s="463"/>
      <c r="C129" s="463"/>
      <c r="D129" s="463"/>
      <c r="E129" s="463"/>
      <c r="F129" s="463"/>
      <c r="G129" s="463"/>
    </row>
    <row r="130" spans="1:7" ht="15.75" x14ac:dyDescent="0.25">
      <c r="A130" s="53"/>
      <c r="B130" s="53"/>
      <c r="C130" s="53"/>
      <c r="D130" s="53"/>
      <c r="E130" s="21"/>
      <c r="F130" s="53"/>
      <c r="G130" s="53"/>
    </row>
    <row r="131" spans="1:7" ht="15.75" hidden="1" x14ac:dyDescent="0.25">
      <c r="A131" s="461" t="s">
        <v>1430</v>
      </c>
      <c r="B131" s="462"/>
      <c r="C131" s="462"/>
      <c r="D131" s="462"/>
      <c r="E131" s="462"/>
      <c r="F131" s="462"/>
      <c r="G131" s="53"/>
    </row>
    <row r="132" spans="1:7" ht="15.75" hidden="1" x14ac:dyDescent="0.25">
      <c r="A132" s="53"/>
      <c r="B132" s="53"/>
      <c r="C132" s="53"/>
      <c r="D132" s="53"/>
      <c r="E132" s="21"/>
      <c r="F132" s="53"/>
      <c r="G132" s="53"/>
    </row>
    <row r="133" spans="1:7" ht="15.75" hidden="1" x14ac:dyDescent="0.25">
      <c r="A133" s="53"/>
      <c r="B133" s="304" t="s">
        <v>3</v>
      </c>
      <c r="C133" s="304" t="s">
        <v>2</v>
      </c>
      <c r="D133" s="304" t="s">
        <v>1431</v>
      </c>
      <c r="E133" s="305" t="s">
        <v>1432</v>
      </c>
      <c r="F133" s="53"/>
      <c r="G133" s="53"/>
    </row>
    <row r="134" spans="1:7" ht="15.75" hidden="1" x14ac:dyDescent="0.25">
      <c r="A134" s="53"/>
      <c r="B134" s="311">
        <f>+'HOJA D TRABAJO'!B190:C190</f>
        <v>0</v>
      </c>
      <c r="C134" s="312">
        <f>+'HOJA D TRABAJO'!E190</f>
        <v>0</v>
      </c>
      <c r="D134" s="312">
        <f>IFERROR(('HOJA D TRABAJO'!I190/'HOJA D TRABAJO'!E190),0)</f>
        <v>0</v>
      </c>
      <c r="E134" s="313">
        <f>+D134*C134</f>
        <v>0</v>
      </c>
      <c r="F134" s="53"/>
      <c r="G134" s="53"/>
    </row>
    <row r="135" spans="1:7" s="63" customFormat="1" ht="15.75" hidden="1" x14ac:dyDescent="0.25">
      <c r="A135" s="53"/>
      <c r="B135" s="311">
        <f>+'HOJA D TRABAJO'!B191:C191</f>
        <v>0</v>
      </c>
      <c r="C135" s="312">
        <f>+'HOJA D TRABAJO'!E191</f>
        <v>0</v>
      </c>
      <c r="D135" s="312">
        <f>IFERROR(('HOJA D TRABAJO'!I191/'HOJA D TRABAJO'!E191),0)</f>
        <v>0</v>
      </c>
      <c r="E135" s="313">
        <f t="shared" ref="E135:E147" si="2">+D135*C135</f>
        <v>0</v>
      </c>
      <c r="F135" s="53"/>
      <c r="G135" s="53"/>
    </row>
    <row r="136" spans="1:7" s="63" customFormat="1" ht="15.75" hidden="1" x14ac:dyDescent="0.25">
      <c r="A136" s="53"/>
      <c r="B136" s="311">
        <f>+'HOJA D TRABAJO'!B192:C192</f>
        <v>0</v>
      </c>
      <c r="C136" s="312">
        <f>+'HOJA D TRABAJO'!E192</f>
        <v>0</v>
      </c>
      <c r="D136" s="312">
        <f>IFERROR(('HOJA D TRABAJO'!I192/'HOJA D TRABAJO'!E192),0)</f>
        <v>0</v>
      </c>
      <c r="E136" s="313">
        <f t="shared" si="2"/>
        <v>0</v>
      </c>
      <c r="F136" s="53"/>
      <c r="G136" s="53"/>
    </row>
    <row r="137" spans="1:7" s="63" customFormat="1" ht="15.75" hidden="1" x14ac:dyDescent="0.25">
      <c r="A137" s="53"/>
      <c r="B137" s="311">
        <f>+'HOJA D TRABAJO'!B193:C193</f>
        <v>0</v>
      </c>
      <c r="C137" s="312">
        <f>+'HOJA D TRABAJO'!E193</f>
        <v>0</v>
      </c>
      <c r="D137" s="312">
        <f>IFERROR(('HOJA D TRABAJO'!I193/'HOJA D TRABAJO'!E193),0)</f>
        <v>0</v>
      </c>
      <c r="E137" s="313">
        <f t="shared" si="2"/>
        <v>0</v>
      </c>
      <c r="F137" s="53"/>
      <c r="G137" s="53"/>
    </row>
    <row r="138" spans="1:7" s="63" customFormat="1" ht="15.75" hidden="1" x14ac:dyDescent="0.25">
      <c r="A138" s="53"/>
      <c r="B138" s="311">
        <f>+'HOJA D TRABAJO'!B194:C194</f>
        <v>0</v>
      </c>
      <c r="C138" s="312">
        <f>+'HOJA D TRABAJO'!E194</f>
        <v>0</v>
      </c>
      <c r="D138" s="312">
        <f>IFERROR(('HOJA D TRABAJO'!I194/'HOJA D TRABAJO'!E194),0)</f>
        <v>0</v>
      </c>
      <c r="E138" s="313">
        <f t="shared" si="2"/>
        <v>0</v>
      </c>
      <c r="F138" s="53"/>
      <c r="G138" s="53"/>
    </row>
    <row r="139" spans="1:7" s="63" customFormat="1" ht="15.75" hidden="1" x14ac:dyDescent="0.25">
      <c r="A139" s="53"/>
      <c r="B139" s="311">
        <f>+'HOJA D TRABAJO'!B195:C195</f>
        <v>0</v>
      </c>
      <c r="C139" s="312">
        <f>+'HOJA D TRABAJO'!E195</f>
        <v>0</v>
      </c>
      <c r="D139" s="312">
        <f>IFERROR(('HOJA D TRABAJO'!I195/'HOJA D TRABAJO'!E195),0)</f>
        <v>0</v>
      </c>
      <c r="E139" s="313">
        <f t="shared" si="2"/>
        <v>0</v>
      </c>
      <c r="F139" s="53"/>
      <c r="G139" s="53"/>
    </row>
    <row r="140" spans="1:7" s="63" customFormat="1" ht="15.75" hidden="1" x14ac:dyDescent="0.25">
      <c r="A140" s="53"/>
      <c r="B140" s="311">
        <f>+'HOJA D TRABAJO'!B196:C196</f>
        <v>0</v>
      </c>
      <c r="C140" s="312">
        <f>+'HOJA D TRABAJO'!E196</f>
        <v>0</v>
      </c>
      <c r="D140" s="312">
        <f>IFERROR(('HOJA D TRABAJO'!I196/'HOJA D TRABAJO'!E196),0)</f>
        <v>0</v>
      </c>
      <c r="E140" s="313">
        <f t="shared" si="2"/>
        <v>0</v>
      </c>
      <c r="F140" s="53"/>
      <c r="G140" s="53"/>
    </row>
    <row r="141" spans="1:7" s="63" customFormat="1" ht="15.75" hidden="1" x14ac:dyDescent="0.25">
      <c r="A141" s="53"/>
      <c r="B141" s="311">
        <f>+'HOJA D TRABAJO'!B197:C197</f>
        <v>0</v>
      </c>
      <c r="C141" s="312">
        <f>+'HOJA D TRABAJO'!E197</f>
        <v>0</v>
      </c>
      <c r="D141" s="312">
        <f>IFERROR(('HOJA D TRABAJO'!I197/'HOJA D TRABAJO'!E197),0)</f>
        <v>0</v>
      </c>
      <c r="E141" s="313">
        <f t="shared" si="2"/>
        <v>0</v>
      </c>
      <c r="F141" s="53"/>
      <c r="G141" s="53"/>
    </row>
    <row r="142" spans="1:7" s="63" customFormat="1" ht="15.75" hidden="1" x14ac:dyDescent="0.25">
      <c r="A142" s="53"/>
      <c r="B142" s="311">
        <f>+'HOJA D TRABAJO'!B198:C198</f>
        <v>0</v>
      </c>
      <c r="C142" s="312">
        <f>+'HOJA D TRABAJO'!E198</f>
        <v>0</v>
      </c>
      <c r="D142" s="312">
        <f>IFERROR(('HOJA D TRABAJO'!I198/'HOJA D TRABAJO'!E198),0)</f>
        <v>0</v>
      </c>
      <c r="E142" s="313">
        <f t="shared" si="2"/>
        <v>0</v>
      </c>
      <c r="F142" s="53"/>
      <c r="G142" s="53"/>
    </row>
    <row r="143" spans="1:7" s="63" customFormat="1" ht="15.75" hidden="1" x14ac:dyDescent="0.25">
      <c r="A143" s="53"/>
      <c r="B143" s="311">
        <f>+'HOJA D TRABAJO'!B199:C199</f>
        <v>0</v>
      </c>
      <c r="C143" s="312">
        <f>+'HOJA D TRABAJO'!E199</f>
        <v>0</v>
      </c>
      <c r="D143" s="312">
        <f>IFERROR(('HOJA D TRABAJO'!I199/'HOJA D TRABAJO'!E199),0)</f>
        <v>0</v>
      </c>
      <c r="E143" s="313">
        <f t="shared" si="2"/>
        <v>0</v>
      </c>
      <c r="F143" s="53"/>
      <c r="G143" s="53"/>
    </row>
    <row r="144" spans="1:7" s="63" customFormat="1" ht="15.75" hidden="1" x14ac:dyDescent="0.25">
      <c r="A144" s="53"/>
      <c r="B144" s="311">
        <f>+'HOJA D TRABAJO'!B200:C200</f>
        <v>0</v>
      </c>
      <c r="C144" s="312">
        <f>+'HOJA D TRABAJO'!E200</f>
        <v>0</v>
      </c>
      <c r="D144" s="312">
        <f>IFERROR(('HOJA D TRABAJO'!I200/'HOJA D TRABAJO'!E200),0)</f>
        <v>0</v>
      </c>
      <c r="E144" s="313">
        <f t="shared" si="2"/>
        <v>0</v>
      </c>
      <c r="F144" s="53"/>
      <c r="G144" s="53"/>
    </row>
    <row r="145" spans="1:7" s="63" customFormat="1" ht="15.75" hidden="1" x14ac:dyDescent="0.25">
      <c r="A145" s="53"/>
      <c r="B145" s="311">
        <f>+'HOJA D TRABAJO'!B201:C201</f>
        <v>0</v>
      </c>
      <c r="C145" s="312">
        <f>+'HOJA D TRABAJO'!E201</f>
        <v>0</v>
      </c>
      <c r="D145" s="312">
        <f>IFERROR(('HOJA D TRABAJO'!I201/'HOJA D TRABAJO'!E201),0)</f>
        <v>0</v>
      </c>
      <c r="E145" s="313">
        <f t="shared" si="2"/>
        <v>0</v>
      </c>
      <c r="F145" s="53"/>
      <c r="G145" s="53"/>
    </row>
    <row r="146" spans="1:7" s="63" customFormat="1" ht="15.75" hidden="1" x14ac:dyDescent="0.25">
      <c r="A146" s="53"/>
      <c r="B146" s="311">
        <f>+'HOJA D TRABAJO'!B202:C202</f>
        <v>0</v>
      </c>
      <c r="C146" s="312">
        <f>+'HOJA D TRABAJO'!E202</f>
        <v>0</v>
      </c>
      <c r="D146" s="312">
        <f>IFERROR(('HOJA D TRABAJO'!I202/'HOJA D TRABAJO'!E202),0)</f>
        <v>0</v>
      </c>
      <c r="E146" s="313">
        <f t="shared" si="2"/>
        <v>0</v>
      </c>
      <c r="F146" s="53"/>
      <c r="G146" s="53"/>
    </row>
    <row r="147" spans="1:7" s="63" customFormat="1" ht="15.75" hidden="1" x14ac:dyDescent="0.25">
      <c r="A147" s="53"/>
      <c r="B147" s="311">
        <f>+'HOJA D TRABAJO'!B203:C203</f>
        <v>0</v>
      </c>
      <c r="C147" s="312">
        <f>+'HOJA D TRABAJO'!E203</f>
        <v>0</v>
      </c>
      <c r="D147" s="312">
        <f>IFERROR(('HOJA D TRABAJO'!I203/'HOJA D TRABAJO'!E203),0)</f>
        <v>0</v>
      </c>
      <c r="E147" s="313">
        <f t="shared" si="2"/>
        <v>0</v>
      </c>
      <c r="F147" s="53"/>
      <c r="G147" s="53"/>
    </row>
    <row r="148" spans="1:7" s="63" customFormat="1" ht="15.75" hidden="1" x14ac:dyDescent="0.25">
      <c r="A148" s="53"/>
      <c r="B148" s="311">
        <f>+'HOJA D TRABAJO'!B212:C212</f>
        <v>0</v>
      </c>
      <c r="C148" s="312">
        <f>+'HOJA D TRABAJO'!E212</f>
        <v>0</v>
      </c>
      <c r="D148" s="312">
        <f>IFERROR(('HOJA D TRABAJO'!I212/'HOJA D TRABAJO'!E212),0)</f>
        <v>0</v>
      </c>
      <c r="E148" s="313">
        <f>+D148*C148</f>
        <v>0</v>
      </c>
      <c r="F148" s="53"/>
      <c r="G148" s="53"/>
    </row>
    <row r="149" spans="1:7" s="63" customFormat="1" ht="15.75" hidden="1" x14ac:dyDescent="0.25">
      <c r="A149" s="53"/>
      <c r="B149" s="311">
        <f>+'HOJA D TRABAJO'!B213:C213</f>
        <v>0</v>
      </c>
      <c r="C149" s="312">
        <f>+'HOJA D TRABAJO'!E213</f>
        <v>0</v>
      </c>
      <c r="D149" s="312">
        <f>IFERROR(('HOJA D TRABAJO'!I213/'HOJA D TRABAJO'!E213),0)</f>
        <v>0</v>
      </c>
      <c r="E149" s="313">
        <f t="shared" ref="E149:E162" si="3">+D149*C149</f>
        <v>0</v>
      </c>
      <c r="F149" s="53"/>
      <c r="G149" s="53"/>
    </row>
    <row r="150" spans="1:7" s="63" customFormat="1" ht="15.75" hidden="1" x14ac:dyDescent="0.25">
      <c r="A150" s="53"/>
      <c r="B150" s="311">
        <f>+'HOJA D TRABAJO'!B214:C214</f>
        <v>0</v>
      </c>
      <c r="C150" s="312">
        <f>+'HOJA D TRABAJO'!E214</f>
        <v>0</v>
      </c>
      <c r="D150" s="312">
        <f>IFERROR(('HOJA D TRABAJO'!I214/'HOJA D TRABAJO'!E214),0)</f>
        <v>0</v>
      </c>
      <c r="E150" s="313">
        <f t="shared" si="3"/>
        <v>0</v>
      </c>
      <c r="F150" s="53"/>
      <c r="G150" s="53"/>
    </row>
    <row r="151" spans="1:7" s="63" customFormat="1" ht="15.75" hidden="1" x14ac:dyDescent="0.25">
      <c r="A151" s="53"/>
      <c r="B151" s="311">
        <f>+'HOJA D TRABAJO'!B215:C215</f>
        <v>0</v>
      </c>
      <c r="C151" s="312">
        <f>+'HOJA D TRABAJO'!E215</f>
        <v>0</v>
      </c>
      <c r="D151" s="312">
        <f>IFERROR(('HOJA D TRABAJO'!I215/'HOJA D TRABAJO'!E215),0)</f>
        <v>0</v>
      </c>
      <c r="E151" s="313">
        <f t="shared" si="3"/>
        <v>0</v>
      </c>
      <c r="F151" s="53"/>
      <c r="G151" s="53"/>
    </row>
    <row r="152" spans="1:7" s="63" customFormat="1" ht="15.75" hidden="1" x14ac:dyDescent="0.25">
      <c r="A152" s="53"/>
      <c r="B152" s="311">
        <f>+'HOJA D TRABAJO'!B216:C216</f>
        <v>0</v>
      </c>
      <c r="C152" s="312">
        <f>+'HOJA D TRABAJO'!E216</f>
        <v>0</v>
      </c>
      <c r="D152" s="312">
        <f>IFERROR(('HOJA D TRABAJO'!I216/'HOJA D TRABAJO'!E216),0)</f>
        <v>0</v>
      </c>
      <c r="E152" s="313">
        <f t="shared" si="3"/>
        <v>0</v>
      </c>
      <c r="F152" s="53"/>
      <c r="G152" s="53"/>
    </row>
    <row r="153" spans="1:7" s="63" customFormat="1" ht="15.75" hidden="1" x14ac:dyDescent="0.25">
      <c r="A153" s="53"/>
      <c r="B153" s="311">
        <f>+'HOJA D TRABAJO'!B217:C217</f>
        <v>0</v>
      </c>
      <c r="C153" s="312">
        <f>+'HOJA D TRABAJO'!E217</f>
        <v>0</v>
      </c>
      <c r="D153" s="312">
        <f>IFERROR(('HOJA D TRABAJO'!I217/'HOJA D TRABAJO'!E217),0)</f>
        <v>0</v>
      </c>
      <c r="E153" s="313">
        <f t="shared" si="3"/>
        <v>0</v>
      </c>
      <c r="F153" s="53"/>
      <c r="G153" s="53"/>
    </row>
    <row r="154" spans="1:7" s="63" customFormat="1" ht="15.75" hidden="1" x14ac:dyDescent="0.25">
      <c r="A154" s="53"/>
      <c r="B154" s="311">
        <f>+'HOJA D TRABAJO'!B218:C218</f>
        <v>0</v>
      </c>
      <c r="C154" s="312">
        <f>+'HOJA D TRABAJO'!E218</f>
        <v>0</v>
      </c>
      <c r="D154" s="312">
        <f>IFERROR(('HOJA D TRABAJO'!I218/'HOJA D TRABAJO'!E218),0)</f>
        <v>0</v>
      </c>
      <c r="E154" s="313">
        <f t="shared" si="3"/>
        <v>0</v>
      </c>
      <c r="F154" s="53"/>
      <c r="G154" s="53"/>
    </row>
    <row r="155" spans="1:7" s="63" customFormat="1" ht="15.75" hidden="1" x14ac:dyDescent="0.25">
      <c r="A155" s="53"/>
      <c r="B155" s="311">
        <f>+'HOJA D TRABAJO'!B219:C219</f>
        <v>0</v>
      </c>
      <c r="C155" s="312">
        <f>+'HOJA D TRABAJO'!E219</f>
        <v>0</v>
      </c>
      <c r="D155" s="312">
        <f>IFERROR(('HOJA D TRABAJO'!I219/'HOJA D TRABAJO'!E219),0)</f>
        <v>0</v>
      </c>
      <c r="E155" s="313">
        <f t="shared" si="3"/>
        <v>0</v>
      </c>
      <c r="F155" s="53"/>
      <c r="G155" s="53"/>
    </row>
    <row r="156" spans="1:7" s="63" customFormat="1" ht="15.75" hidden="1" x14ac:dyDescent="0.25">
      <c r="A156" s="53"/>
      <c r="B156" s="311">
        <f>+'HOJA D TRABAJO'!B220:C220</f>
        <v>0</v>
      </c>
      <c r="C156" s="312">
        <f>+'HOJA D TRABAJO'!E220</f>
        <v>0</v>
      </c>
      <c r="D156" s="312">
        <f>IFERROR(('HOJA D TRABAJO'!I220/'HOJA D TRABAJO'!E220),0)</f>
        <v>0</v>
      </c>
      <c r="E156" s="313">
        <f t="shared" si="3"/>
        <v>0</v>
      </c>
      <c r="F156" s="53"/>
      <c r="G156" s="53"/>
    </row>
    <row r="157" spans="1:7" s="63" customFormat="1" ht="15.75" hidden="1" x14ac:dyDescent="0.25">
      <c r="A157" s="53"/>
      <c r="B157" s="311">
        <f>+'HOJA D TRABAJO'!B221:C221</f>
        <v>0</v>
      </c>
      <c r="C157" s="312">
        <f>+'HOJA D TRABAJO'!E221</f>
        <v>0</v>
      </c>
      <c r="D157" s="312">
        <f>IFERROR(('HOJA D TRABAJO'!I221/'HOJA D TRABAJO'!E221),0)</f>
        <v>0</v>
      </c>
      <c r="E157" s="313">
        <f t="shared" si="3"/>
        <v>0</v>
      </c>
      <c r="F157" s="53"/>
      <c r="G157" s="53"/>
    </row>
    <row r="158" spans="1:7" s="63" customFormat="1" ht="15.75" hidden="1" x14ac:dyDescent="0.25">
      <c r="A158" s="53"/>
      <c r="B158" s="311">
        <f>+'HOJA D TRABAJO'!B222:C222</f>
        <v>0</v>
      </c>
      <c r="C158" s="312">
        <f>+'HOJA D TRABAJO'!E222</f>
        <v>0</v>
      </c>
      <c r="D158" s="312">
        <f>IFERROR(('HOJA D TRABAJO'!I222/'HOJA D TRABAJO'!E222),0)</f>
        <v>0</v>
      </c>
      <c r="E158" s="313">
        <f t="shared" si="3"/>
        <v>0</v>
      </c>
      <c r="F158" s="53"/>
      <c r="G158" s="53"/>
    </row>
    <row r="159" spans="1:7" s="63" customFormat="1" ht="15.75" hidden="1" x14ac:dyDescent="0.25">
      <c r="A159" s="53"/>
      <c r="B159" s="311">
        <f>+'HOJA D TRABAJO'!B223:C223</f>
        <v>0</v>
      </c>
      <c r="C159" s="312">
        <f>+'HOJA D TRABAJO'!E223</f>
        <v>0</v>
      </c>
      <c r="D159" s="312">
        <f>IFERROR(('HOJA D TRABAJO'!I223/'HOJA D TRABAJO'!E223),0)</f>
        <v>0</v>
      </c>
      <c r="E159" s="313">
        <f t="shared" si="3"/>
        <v>0</v>
      </c>
      <c r="F159" s="53"/>
      <c r="G159" s="53"/>
    </row>
    <row r="160" spans="1:7" s="63" customFormat="1" ht="15.75" hidden="1" x14ac:dyDescent="0.25">
      <c r="A160" s="53"/>
      <c r="B160" s="311">
        <f>+'HOJA D TRABAJO'!B224:C224</f>
        <v>0</v>
      </c>
      <c r="C160" s="312">
        <f>+'HOJA D TRABAJO'!E224</f>
        <v>0</v>
      </c>
      <c r="D160" s="312">
        <f>IFERROR(('HOJA D TRABAJO'!I224/'HOJA D TRABAJO'!E224),0)</f>
        <v>0</v>
      </c>
      <c r="E160" s="313">
        <f t="shared" si="3"/>
        <v>0</v>
      </c>
      <c r="F160" s="53"/>
      <c r="G160" s="53"/>
    </row>
    <row r="161" spans="1:7" s="63" customFormat="1" ht="15.75" hidden="1" x14ac:dyDescent="0.25">
      <c r="A161" s="53"/>
      <c r="B161" s="311">
        <f>+'HOJA D TRABAJO'!B225:C225</f>
        <v>0</v>
      </c>
      <c r="C161" s="312">
        <f>+'HOJA D TRABAJO'!E225</f>
        <v>0</v>
      </c>
      <c r="D161" s="312">
        <f>IFERROR(('HOJA D TRABAJO'!I225/'HOJA D TRABAJO'!E225),0)</f>
        <v>0</v>
      </c>
      <c r="E161" s="313">
        <f t="shared" si="3"/>
        <v>0</v>
      </c>
      <c r="F161" s="53"/>
      <c r="G161" s="53"/>
    </row>
    <row r="162" spans="1:7" s="63" customFormat="1" ht="15.75" hidden="1" x14ac:dyDescent="0.25">
      <c r="A162" s="53"/>
      <c r="B162" s="311">
        <f>+'HOJA D TRABAJO'!B226:C226</f>
        <v>0</v>
      </c>
      <c r="C162" s="312">
        <f>+'HOJA D TRABAJO'!E226</f>
        <v>0</v>
      </c>
      <c r="D162" s="312">
        <f>IFERROR(('HOJA D TRABAJO'!I226/'HOJA D TRABAJO'!E226),0)</f>
        <v>0</v>
      </c>
      <c r="E162" s="313">
        <f t="shared" si="3"/>
        <v>0</v>
      </c>
      <c r="F162" s="53"/>
      <c r="G162" s="53"/>
    </row>
    <row r="163" spans="1:7" s="64" customFormat="1" ht="15.75" hidden="1" x14ac:dyDescent="0.25">
      <c r="A163" s="103"/>
      <c r="B163" s="314">
        <f>+'HOJA D TRABAJO'!B235</f>
        <v>0</v>
      </c>
      <c r="C163" s="312">
        <f>+'HOJA D TRABAJO'!G235</f>
        <v>0</v>
      </c>
      <c r="D163" s="312">
        <f>IFERROR((E163/C163),0)</f>
        <v>0</v>
      </c>
      <c r="E163" s="313">
        <f>+'HOJA D TRABAJO'!I235</f>
        <v>0</v>
      </c>
      <c r="F163" s="103"/>
      <c r="G163" s="103"/>
    </row>
    <row r="164" spans="1:7" s="64" customFormat="1" ht="15.75" hidden="1" x14ac:dyDescent="0.25">
      <c r="A164" s="103"/>
      <c r="B164" s="314">
        <f>+'HOJA D TRABAJO'!B236</f>
        <v>0</v>
      </c>
      <c r="C164" s="312">
        <f>+'HOJA D TRABAJO'!G236</f>
        <v>0</v>
      </c>
      <c r="D164" s="312">
        <f>IFERROR((E164/C164),0)</f>
        <v>0</v>
      </c>
      <c r="E164" s="313">
        <f>+'HOJA D TRABAJO'!I236</f>
        <v>0</v>
      </c>
      <c r="F164" s="103"/>
      <c r="G164" s="103"/>
    </row>
    <row r="165" spans="1:7" s="64" customFormat="1" ht="15.75" hidden="1" x14ac:dyDescent="0.25">
      <c r="A165" s="103"/>
      <c r="B165" s="314">
        <f>+'HOJA D TRABAJO'!B242</f>
        <v>0</v>
      </c>
      <c r="C165" s="312">
        <f>+'HOJA D TRABAJO'!G242</f>
        <v>0</v>
      </c>
      <c r="D165" s="312">
        <f>IFERROR((E165/C165),0)</f>
        <v>0</v>
      </c>
      <c r="E165" s="313">
        <f>+'HOJA D TRABAJO'!I242</f>
        <v>0</v>
      </c>
      <c r="F165" s="103"/>
      <c r="G165" s="103"/>
    </row>
    <row r="166" spans="1:7" s="64" customFormat="1" ht="15.75" hidden="1" x14ac:dyDescent="0.25">
      <c r="A166" s="158"/>
      <c r="B166" s="314">
        <f>+'HOJA D TRABAJO'!B243</f>
        <v>0</v>
      </c>
      <c r="C166" s="312">
        <f>+'HOJA D TRABAJO'!G243</f>
        <v>0</v>
      </c>
      <c r="D166" s="312">
        <f>IFERROR((E166/C166),0)</f>
        <v>0</v>
      </c>
      <c r="E166" s="313">
        <f>+'HOJA D TRABAJO'!I243</f>
        <v>0</v>
      </c>
      <c r="F166" s="158"/>
      <c r="G166" s="158"/>
    </row>
    <row r="167" spans="1:7" s="64" customFormat="1" ht="15.75" hidden="1" x14ac:dyDescent="0.25">
      <c r="A167" s="158"/>
      <c r="B167" s="314">
        <f>+'HOJA D TRABAJO'!$B$249</f>
        <v>0</v>
      </c>
      <c r="C167" s="312">
        <f>+'HOJA D TRABAJO'!G249</f>
        <v>0</v>
      </c>
      <c r="D167" s="312">
        <f t="shared" ref="D167:D168" si="4">IFERROR((E167/C167),0)</f>
        <v>0</v>
      </c>
      <c r="E167" s="313">
        <f>+'HOJA D TRABAJO'!I249</f>
        <v>0</v>
      </c>
      <c r="F167" s="158"/>
      <c r="G167" s="158"/>
    </row>
    <row r="168" spans="1:7" s="64" customFormat="1" ht="15.75" hidden="1" x14ac:dyDescent="0.25">
      <c r="A168" s="158"/>
      <c r="B168" s="314">
        <f>+'HOJA D TRABAJO'!$B$250</f>
        <v>0</v>
      </c>
      <c r="C168" s="312">
        <f>+'HOJA D TRABAJO'!G250</f>
        <v>0</v>
      </c>
      <c r="D168" s="315">
        <f t="shared" si="4"/>
        <v>0</v>
      </c>
      <c r="E168" s="316">
        <f>+'HOJA D TRABAJO'!I250</f>
        <v>0</v>
      </c>
      <c r="F168" s="158"/>
      <c r="G168" s="158"/>
    </row>
    <row r="169" spans="1:7" ht="15.75" hidden="1" x14ac:dyDescent="0.25">
      <c r="A169" s="53"/>
      <c r="B169" s="53"/>
      <c r="C169" s="53"/>
      <c r="D169" s="317" t="s">
        <v>1433</v>
      </c>
      <c r="E169" s="318">
        <f>SUM(E134:E168)</f>
        <v>0</v>
      </c>
      <c r="F169" s="21"/>
      <c r="G169" s="53"/>
    </row>
    <row r="170" spans="1:7" ht="15.75" hidden="1" x14ac:dyDescent="0.25">
      <c r="A170" s="53"/>
      <c r="B170" s="53"/>
      <c r="C170" s="53"/>
      <c r="D170" s="317" t="s">
        <v>1434</v>
      </c>
      <c r="E170" s="318">
        <f>+E169*'HOJA D TRABAJO'!C262</f>
        <v>0</v>
      </c>
      <c r="F170" s="53"/>
      <c r="G170" s="53"/>
    </row>
    <row r="171" spans="1:7" ht="15.75" hidden="1" x14ac:dyDescent="0.25">
      <c r="A171" s="53"/>
      <c r="B171" s="53"/>
      <c r="C171" s="53"/>
      <c r="D171" s="319" t="s">
        <v>1446</v>
      </c>
      <c r="E171" s="318">
        <f>+E172-E169-E170</f>
        <v>0</v>
      </c>
      <c r="F171" s="53"/>
      <c r="G171" s="53"/>
    </row>
    <row r="172" spans="1:7" ht="15.75" hidden="1" x14ac:dyDescent="0.25">
      <c r="A172" s="53"/>
      <c r="B172" s="53"/>
      <c r="C172" s="53"/>
      <c r="D172" s="317" t="s">
        <v>1435</v>
      </c>
      <c r="E172" s="318">
        <f>(E169+E170)/0.84</f>
        <v>0</v>
      </c>
      <c r="F172" s="66"/>
      <c r="G172" s="53"/>
    </row>
    <row r="173" spans="1:7" s="64" customFormat="1" ht="15.75" hidden="1" customHeight="1" x14ac:dyDescent="0.25">
      <c r="A173" s="468" t="str">
        <f>IF('HOJA D TRABAJO'!H15="EXTERNO","",IF('HOJA D TRABAJO'!H15="INTERNO","ESTE PRECIO COTIZADO ES SOLO PARA UNIDADES INTERNAS DE GRUPO REGIONAL SRL"))</f>
        <v/>
      </c>
      <c r="B173" s="468"/>
      <c r="C173" s="468"/>
      <c r="D173" s="468"/>
      <c r="E173" s="468"/>
      <c r="F173" s="468"/>
      <c r="G173" s="468"/>
    </row>
    <row r="174" spans="1:7" s="64" customFormat="1" ht="15.75" hidden="1" customHeight="1" x14ac:dyDescent="0.25">
      <c r="A174" s="468"/>
      <c r="B174" s="468"/>
      <c r="C174" s="468"/>
      <c r="D174" s="468"/>
      <c r="E174" s="468"/>
      <c r="F174" s="468"/>
      <c r="G174" s="468"/>
    </row>
    <row r="175" spans="1:7" s="64" customFormat="1" ht="15.75" customHeight="1" x14ac:dyDescent="0.25">
      <c r="A175" s="468"/>
      <c r="B175" s="468"/>
      <c r="C175" s="468"/>
      <c r="D175" s="468"/>
      <c r="E175" s="468"/>
      <c r="F175" s="468"/>
      <c r="G175" s="468"/>
    </row>
    <row r="176" spans="1:7" ht="15.75" hidden="1" x14ac:dyDescent="0.25">
      <c r="A176" s="463" t="s">
        <v>1436</v>
      </c>
      <c r="B176" s="463"/>
      <c r="C176" s="463"/>
      <c r="D176" s="463"/>
      <c r="E176" s="463"/>
      <c r="F176" s="463"/>
      <c r="G176" s="463"/>
    </row>
    <row r="177" spans="1:7" ht="15.75" x14ac:dyDescent="0.25">
      <c r="A177" s="464" t="s">
        <v>1580</v>
      </c>
      <c r="B177" s="464"/>
      <c r="C177" s="464"/>
      <c r="D177" s="464"/>
      <c r="E177" s="464"/>
      <c r="F177" s="464"/>
      <c r="G177" s="464"/>
    </row>
    <row r="178" spans="1:7" ht="15.75" x14ac:dyDescent="0.25">
      <c r="A178" s="463" t="s">
        <v>1437</v>
      </c>
      <c r="B178" s="463"/>
      <c r="C178" s="463"/>
      <c r="D178" s="463"/>
      <c r="E178" s="463"/>
      <c r="F178" s="463"/>
      <c r="G178" s="463"/>
    </row>
    <row r="179" spans="1:7" ht="15.75" x14ac:dyDescent="0.25">
      <c r="A179" s="53"/>
      <c r="B179" s="463" t="s">
        <v>1569</v>
      </c>
      <c r="C179" s="463"/>
      <c r="D179" s="463"/>
      <c r="E179" s="463"/>
      <c r="F179" s="463"/>
      <c r="G179" s="463"/>
    </row>
    <row r="180" spans="1:7" ht="14.25" hidden="1" customHeight="1" x14ac:dyDescent="0.25">
      <c r="A180" s="53"/>
      <c r="B180" s="465" t="s">
        <v>1438</v>
      </c>
      <c r="C180" s="465"/>
      <c r="D180" s="465"/>
      <c r="E180" s="465"/>
      <c r="F180" s="465"/>
      <c r="G180" s="465"/>
    </row>
    <row r="181" spans="1:7" ht="15.75" x14ac:dyDescent="0.25">
      <c r="A181" s="53"/>
      <c r="B181" s="463" t="s">
        <v>1581</v>
      </c>
      <c r="C181" s="463"/>
      <c r="D181" s="463"/>
      <c r="E181" s="463"/>
      <c r="F181" s="463"/>
      <c r="G181" s="463"/>
    </row>
    <row r="182" spans="1:7" ht="15.75" x14ac:dyDescent="0.25">
      <c r="A182" s="53"/>
      <c r="B182" s="459" t="s">
        <v>1570</v>
      </c>
      <c r="C182" s="459"/>
      <c r="D182" s="459"/>
      <c r="E182" s="459"/>
      <c r="F182" s="459"/>
      <c r="G182" s="459"/>
    </row>
    <row r="183" spans="1:7" ht="15.75" hidden="1" x14ac:dyDescent="0.25">
      <c r="A183" s="53"/>
      <c r="B183" s="459" t="s">
        <v>1439</v>
      </c>
      <c r="C183" s="459"/>
      <c r="D183" s="459"/>
      <c r="E183" s="459"/>
      <c r="F183" s="459"/>
      <c r="G183" s="459"/>
    </row>
    <row r="184" spans="1:7" ht="15.75" hidden="1" x14ac:dyDescent="0.25">
      <c r="A184" s="53"/>
      <c r="B184" s="459" t="s">
        <v>1440</v>
      </c>
      <c r="C184" s="459"/>
      <c r="D184" s="459"/>
      <c r="E184" s="459"/>
      <c r="F184" s="459"/>
      <c r="G184" s="459"/>
    </row>
    <row r="185" spans="1:7" ht="15.75" hidden="1" x14ac:dyDescent="0.25">
      <c r="A185" s="53"/>
      <c r="B185" s="463" t="s">
        <v>1441</v>
      </c>
      <c r="C185" s="463"/>
      <c r="D185" s="463"/>
      <c r="E185" s="463"/>
      <c r="F185" s="463"/>
      <c r="G185" s="53"/>
    </row>
    <row r="186" spans="1:7" ht="15.75" x14ac:dyDescent="0.25">
      <c r="A186" s="53"/>
      <c r="B186" s="459" t="s">
        <v>1571</v>
      </c>
      <c r="C186" s="459"/>
      <c r="D186" s="459"/>
      <c r="E186" s="459"/>
      <c r="F186" s="459"/>
      <c r="G186" s="459"/>
    </row>
    <row r="187" spans="1:7" ht="15.75" x14ac:dyDescent="0.25">
      <c r="A187" s="53"/>
      <c r="B187" s="470" t="s">
        <v>1442</v>
      </c>
      <c r="C187" s="470"/>
      <c r="D187" s="470"/>
      <c r="E187" s="470"/>
      <c r="F187" s="470"/>
      <c r="G187" s="470"/>
    </row>
    <row r="188" spans="1:7" ht="15" hidden="1" customHeight="1" x14ac:dyDescent="0.25">
      <c r="A188" s="53"/>
      <c r="B188" s="470" t="s">
        <v>1443</v>
      </c>
      <c r="C188" s="470"/>
      <c r="D188" s="470"/>
      <c r="E188" s="470"/>
      <c r="F188" s="470"/>
      <c r="G188" s="470"/>
    </row>
    <row r="189" spans="1:7" ht="15.75" hidden="1" x14ac:dyDescent="0.25">
      <c r="A189" s="53"/>
      <c r="B189" s="470" t="s">
        <v>1444</v>
      </c>
      <c r="C189" s="470"/>
      <c r="D189" s="470"/>
      <c r="E189" s="470"/>
      <c r="F189" s="470"/>
      <c r="G189" s="470"/>
    </row>
    <row r="190" spans="1:7" ht="15.75" x14ac:dyDescent="0.25">
      <c r="A190" s="53"/>
      <c r="B190" s="463" t="s">
        <v>1445</v>
      </c>
      <c r="C190" s="463"/>
      <c r="D190" s="463"/>
      <c r="E190" s="463"/>
      <c r="F190" s="463"/>
      <c r="G190" s="463"/>
    </row>
    <row r="191" spans="1:7" ht="15.75" x14ac:dyDescent="0.25">
      <c r="A191" s="53"/>
      <c r="B191" s="53"/>
      <c r="C191" s="53"/>
      <c r="D191" s="53"/>
      <c r="E191" s="21"/>
      <c r="F191" s="53"/>
      <c r="G191" s="53"/>
    </row>
    <row r="192" spans="1:7" ht="15.75" x14ac:dyDescent="0.25">
      <c r="A192" s="53"/>
      <c r="B192" s="53"/>
      <c r="C192" s="53"/>
      <c r="D192" s="53"/>
      <c r="E192" s="21"/>
      <c r="F192" s="53"/>
      <c r="G192" s="53"/>
    </row>
    <row r="193" spans="1:7" ht="15" customHeight="1" x14ac:dyDescent="0.25">
      <c r="A193" s="469" t="s">
        <v>1416</v>
      </c>
      <c r="B193" s="469"/>
      <c r="C193" s="469"/>
      <c r="D193" s="469"/>
      <c r="E193" s="469"/>
      <c r="F193" s="469"/>
      <c r="G193" s="469"/>
    </row>
    <row r="194" spans="1:7" x14ac:dyDescent="0.25">
      <c r="A194" s="469"/>
      <c r="B194" s="469"/>
      <c r="C194" s="469"/>
      <c r="D194" s="469"/>
      <c r="E194" s="469"/>
      <c r="F194" s="469"/>
      <c r="G194" s="469"/>
    </row>
    <row r="195" spans="1:7" ht="15.75" x14ac:dyDescent="0.25">
      <c r="A195" s="53"/>
      <c r="B195" s="53"/>
      <c r="C195" s="53"/>
      <c r="D195" s="53"/>
      <c r="E195" s="21"/>
      <c r="F195" s="53"/>
      <c r="G195" s="53"/>
    </row>
    <row r="196" spans="1:7" ht="15.75" x14ac:dyDescent="0.25">
      <c r="A196" s="53"/>
      <c r="B196" s="53"/>
      <c r="C196" s="53"/>
      <c r="D196" s="53"/>
      <c r="E196" s="21"/>
      <c r="F196" s="53"/>
      <c r="G196" s="53"/>
    </row>
    <row r="197" spans="1:7" ht="15.75" x14ac:dyDescent="0.25">
      <c r="A197" s="53"/>
      <c r="B197" s="53"/>
      <c r="C197" s="53"/>
      <c r="D197" s="53"/>
      <c r="E197" s="21"/>
      <c r="F197" s="53"/>
      <c r="G197" s="53"/>
    </row>
    <row r="198" spans="1:7" ht="15.75" x14ac:dyDescent="0.25">
      <c r="A198" s="53"/>
      <c r="B198" s="53"/>
      <c r="C198" s="53"/>
      <c r="D198" s="53"/>
      <c r="E198" s="21"/>
      <c r="F198" s="53"/>
      <c r="G198" s="53"/>
    </row>
    <row r="199" spans="1:7" ht="15.75" x14ac:dyDescent="0.25">
      <c r="A199" s="53"/>
      <c r="B199" s="53"/>
      <c r="C199" s="53"/>
      <c r="D199" s="53"/>
      <c r="E199" s="21"/>
      <c r="F199" s="53"/>
      <c r="G199" s="53"/>
    </row>
    <row r="200" spans="1:7" ht="15.75" x14ac:dyDescent="0.25">
      <c r="A200" s="53"/>
      <c r="B200" s="53"/>
      <c r="C200" s="53"/>
      <c r="D200" s="53"/>
      <c r="E200" s="21"/>
      <c r="F200" s="53"/>
      <c r="G200" s="53"/>
    </row>
    <row r="201" spans="1:7" ht="15.75" x14ac:dyDescent="0.25">
      <c r="A201" s="53"/>
      <c r="B201" s="53"/>
      <c r="C201" s="53"/>
      <c r="D201" s="53"/>
      <c r="E201" s="21"/>
      <c r="F201" s="53"/>
      <c r="G201" s="53"/>
    </row>
    <row r="202" spans="1:7" ht="15.75" x14ac:dyDescent="0.25">
      <c r="A202" s="53"/>
      <c r="B202" s="53"/>
      <c r="C202" s="53"/>
      <c r="D202" s="53"/>
      <c r="E202" s="21"/>
      <c r="F202" s="53"/>
      <c r="G202" s="53"/>
    </row>
    <row r="203" spans="1:7" ht="15" customHeight="1" x14ac:dyDescent="0.25">
      <c r="B203" s="377"/>
      <c r="C203" s="377"/>
      <c r="D203" s="378" t="s">
        <v>1568</v>
      </c>
      <c r="E203" s="377"/>
      <c r="F203" s="377"/>
      <c r="G203" s="377"/>
    </row>
    <row r="204" spans="1:7" ht="15" customHeight="1" x14ac:dyDescent="0.25">
      <c r="A204" s="377"/>
      <c r="B204" s="377"/>
      <c r="C204" s="457" t="str">
        <f>+'HOJA D TRABAJO'!C17</f>
        <v>ALVARO VEGA</v>
      </c>
      <c r="D204" s="457"/>
      <c r="E204" s="457"/>
      <c r="F204" s="377"/>
      <c r="G204" s="377"/>
    </row>
    <row r="205" spans="1:7" ht="15" customHeight="1" x14ac:dyDescent="0.25">
      <c r="A205" s="377"/>
      <c r="B205" s="377"/>
      <c r="C205" s="456" t="str">
        <f>+IF(C204="ALVARO Vega","Jefe Nacional de Activaciones Btl",IF(C204="XIMENA CASSAB","Ejecutiva de Cuentas Activaciones Btl"))</f>
        <v>Jefe Nacional de Activaciones Btl</v>
      </c>
      <c r="D205" s="456"/>
      <c r="E205" s="456"/>
      <c r="F205" s="377"/>
      <c r="G205" s="377"/>
    </row>
    <row r="206" spans="1:7" ht="15" customHeight="1" x14ac:dyDescent="0.25">
      <c r="A206" s="377"/>
      <c r="B206" s="377"/>
      <c r="C206" s="455" t="str">
        <f>+IF(C204="alvaro vega","alvarovega@gruporegional.com",IF(C204="ximena cassab","ximenacassab@gruporegional.com",))</f>
        <v>alvarovega@gruporegional.com</v>
      </c>
      <c r="D206" s="455"/>
      <c r="E206" s="455"/>
      <c r="F206" s="377"/>
      <c r="G206" s="377"/>
    </row>
    <row r="207" spans="1:7" ht="15" customHeight="1" x14ac:dyDescent="0.35">
      <c r="A207" s="377"/>
      <c r="B207" s="377"/>
      <c r="C207" s="454" t="s">
        <v>1567</v>
      </c>
      <c r="D207" s="454"/>
      <c r="E207" s="454"/>
      <c r="F207" s="377"/>
      <c r="G207" s="377"/>
    </row>
    <row r="210" ht="15" customHeight="1" x14ac:dyDescent="0.25"/>
  </sheetData>
  <mergeCells count="31">
    <mergeCell ref="B182:G182"/>
    <mergeCell ref="A173:G175"/>
    <mergeCell ref="B190:G190"/>
    <mergeCell ref="A193:G194"/>
    <mergeCell ref="B184:G184"/>
    <mergeCell ref="B185:F185"/>
    <mergeCell ref="B186:G186"/>
    <mergeCell ref="B187:G187"/>
    <mergeCell ref="B188:G188"/>
    <mergeCell ref="B189:G189"/>
    <mergeCell ref="A5:G5"/>
    <mergeCell ref="A7:G7"/>
    <mergeCell ref="A8:G8"/>
    <mergeCell ref="A9:G9"/>
    <mergeCell ref="B11:G11"/>
    <mergeCell ref="C207:E207"/>
    <mergeCell ref="C206:E206"/>
    <mergeCell ref="C205:E205"/>
    <mergeCell ref="C204:E204"/>
    <mergeCell ref="A13:G13"/>
    <mergeCell ref="B183:G183"/>
    <mergeCell ref="A15:G15"/>
    <mergeCell ref="A17:G17"/>
    <mergeCell ref="A129:G129"/>
    <mergeCell ref="A131:F131"/>
    <mergeCell ref="A176:G176"/>
    <mergeCell ref="A177:G177"/>
    <mergeCell ref="A178:G178"/>
    <mergeCell ref="B179:G179"/>
    <mergeCell ref="B180:G180"/>
    <mergeCell ref="B181:G181"/>
  </mergeCells>
  <hyperlinks>
    <hyperlink ref="C207" r:id="rId1" xr:uid="{00000000-0004-0000-0200-000000000000}"/>
  </hyperlinks>
  <pageMargins left="1.3779527559055118" right="0.70866141732283461" top="0.74803149606299213" bottom="0.74803149606299213" header="0.31496062992125984" footer="0.31496062992125984"/>
  <pageSetup scale="57" orientation="portrait" horizontalDpi="4294967292" verticalDpi="200" r:id="rId2"/>
  <headerFooter>
    <oddHeader>&amp;L&amp;G&amp;R&amp;G</oddHeader>
    <oddFooter>&amp;L&amp;G&amp;R&amp;G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6" name="Button 1">
              <controlPr defaultSize="0" print="0" autoFill="0" autoPict="0" macro="[0]!exportar">
                <anchor moveWithCells="1">
                  <from>
                    <xdr:col>4</xdr:col>
                    <xdr:colOff>962025</xdr:colOff>
                    <xdr:row>1</xdr:row>
                    <xdr:rowOff>152400</xdr:rowOff>
                  </from>
                  <to>
                    <xdr:col>5</xdr:col>
                    <xdr:colOff>371475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I200"/>
  <sheetViews>
    <sheetView workbookViewId="0">
      <selection activeCell="D106" sqref="D106"/>
    </sheetView>
  </sheetViews>
  <sheetFormatPr baseColWidth="10" defaultRowHeight="15" x14ac:dyDescent="0.25"/>
  <cols>
    <col min="2" max="2" width="30" customWidth="1"/>
    <col min="5" max="5" width="11.42578125" style="64"/>
    <col min="6" max="6" width="18.28515625" customWidth="1"/>
    <col min="7" max="7" width="13.42578125" style="55" bestFit="1" customWidth="1"/>
    <col min="9" max="9" width="0" hidden="1" customWidth="1"/>
  </cols>
  <sheetData>
    <row r="1" spans="1:9" x14ac:dyDescent="0.25">
      <c r="G1"/>
    </row>
    <row r="2" spans="1:9" x14ac:dyDescent="0.25">
      <c r="G2"/>
      <c r="I2" t="s">
        <v>14</v>
      </c>
    </row>
    <row r="3" spans="1:9" x14ac:dyDescent="0.25">
      <c r="G3"/>
      <c r="I3" t="s">
        <v>1492</v>
      </c>
    </row>
    <row r="4" spans="1:9" ht="28.5" x14ac:dyDescent="0.45">
      <c r="B4" s="474" t="s">
        <v>1494</v>
      </c>
      <c r="C4" s="474"/>
      <c r="D4" s="474"/>
      <c r="E4" s="474"/>
      <c r="F4" s="474"/>
      <c r="G4"/>
    </row>
    <row r="5" spans="1:9" x14ac:dyDescent="0.25">
      <c r="G5"/>
    </row>
    <row r="6" spans="1:9" ht="15.75" thickBot="1" x14ac:dyDescent="0.3">
      <c r="G6"/>
    </row>
    <row r="7" spans="1:9" ht="39" thickBot="1" x14ac:dyDescent="0.3">
      <c r="A7" s="339" t="s">
        <v>1447</v>
      </c>
      <c r="B7" s="340" t="s">
        <v>1448</v>
      </c>
      <c r="C7" s="340" t="s">
        <v>4</v>
      </c>
      <c r="D7" s="341" t="s">
        <v>7</v>
      </c>
      <c r="E7" s="341" t="s">
        <v>5</v>
      </c>
      <c r="F7" s="341" t="s">
        <v>1491</v>
      </c>
      <c r="G7" s="341" t="s">
        <v>1449</v>
      </c>
    </row>
    <row r="8" spans="1:9" ht="15.75" thickBot="1" x14ac:dyDescent="0.3">
      <c r="A8" s="348">
        <v>1</v>
      </c>
      <c r="B8" s="471" t="s">
        <v>1450</v>
      </c>
      <c r="C8" s="472"/>
      <c r="D8" s="472"/>
      <c r="E8" s="472"/>
      <c r="F8" s="473"/>
      <c r="G8" s="342">
        <f>G9</f>
        <v>0</v>
      </c>
    </row>
    <row r="9" spans="1:9" ht="15.75" thickBot="1" x14ac:dyDescent="0.3">
      <c r="A9" s="349">
        <v>1.2</v>
      </c>
      <c r="B9" s="475" t="s">
        <v>1451</v>
      </c>
      <c r="C9" s="476"/>
      <c r="D9" s="476"/>
      <c r="E9" s="476"/>
      <c r="F9" s="477"/>
      <c r="G9" s="343">
        <f>SUM(G10:G14)</f>
        <v>0</v>
      </c>
    </row>
    <row r="10" spans="1:9" x14ac:dyDescent="0.25">
      <c r="A10" s="351"/>
      <c r="B10" s="352" t="s">
        <v>1343</v>
      </c>
      <c r="C10" s="353"/>
      <c r="D10" s="354"/>
      <c r="E10" s="355">
        <f t="shared" ref="E10:E74" si="0">+D10*C10</f>
        <v>0</v>
      </c>
      <c r="F10" s="356" t="s">
        <v>14</v>
      </c>
      <c r="G10" s="344">
        <f>IF(F10="FACTURA",E10*1,IF(F10=$I$3,E10/0.845,))</f>
        <v>0</v>
      </c>
    </row>
    <row r="11" spans="1:9" x14ac:dyDescent="0.25">
      <c r="A11" s="351"/>
      <c r="B11" s="352"/>
      <c r="C11" s="353"/>
      <c r="D11" s="354"/>
      <c r="E11" s="355">
        <f t="shared" si="0"/>
        <v>0</v>
      </c>
      <c r="F11" s="357" t="s">
        <v>1492</v>
      </c>
      <c r="G11" s="344">
        <f>IF(F11="FACTURA",E11*1,IF(F11=$I$3,E11/0.845,))</f>
        <v>0</v>
      </c>
    </row>
    <row r="12" spans="1:9" x14ac:dyDescent="0.25">
      <c r="A12" s="351"/>
      <c r="B12" s="352"/>
      <c r="C12" s="353"/>
      <c r="D12" s="354"/>
      <c r="E12" s="355">
        <f t="shared" si="0"/>
        <v>0</v>
      </c>
      <c r="F12" s="357" t="s">
        <v>1492</v>
      </c>
      <c r="G12" s="344">
        <f>IF(F12="FACTURA",E12*1,IF(F12=$I$3,E12/0.845,))</f>
        <v>0</v>
      </c>
    </row>
    <row r="13" spans="1:9" x14ac:dyDescent="0.25">
      <c r="A13" s="351"/>
      <c r="B13" s="352"/>
      <c r="C13" s="353"/>
      <c r="D13" s="354"/>
      <c r="E13" s="355">
        <f t="shared" si="0"/>
        <v>0</v>
      </c>
      <c r="F13" s="357" t="s">
        <v>1492</v>
      </c>
      <c r="G13" s="344">
        <f>IF(F13="FACTURA",E13*1,IF(F13=$I$3,E13/0.845,))</f>
        <v>0</v>
      </c>
    </row>
    <row r="14" spans="1:9" ht="15.75" thickBot="1" x14ac:dyDescent="0.3">
      <c r="A14" s="358"/>
      <c r="B14" s="359"/>
      <c r="C14" s="353"/>
      <c r="D14" s="354"/>
      <c r="E14" s="360">
        <f t="shared" si="0"/>
        <v>0</v>
      </c>
      <c r="F14" s="361" t="s">
        <v>1492</v>
      </c>
      <c r="G14" s="344">
        <f>IF(F14="FACTURA",E14*1,IF(F14=$I$3,E14/0.845,))</f>
        <v>0</v>
      </c>
    </row>
    <row r="15" spans="1:9" ht="15.75" thickBot="1" x14ac:dyDescent="0.3">
      <c r="A15" s="348">
        <v>2</v>
      </c>
      <c r="B15" s="471" t="s">
        <v>1343</v>
      </c>
      <c r="C15" s="472"/>
      <c r="D15" s="472"/>
      <c r="E15" s="472"/>
      <c r="F15" s="473"/>
      <c r="G15" s="342">
        <f>G16+G22+G28</f>
        <v>0</v>
      </c>
    </row>
    <row r="16" spans="1:9" ht="15.75" thickBot="1" x14ac:dyDescent="0.3">
      <c r="A16" s="350">
        <v>2.1</v>
      </c>
      <c r="B16" s="475" t="s">
        <v>1452</v>
      </c>
      <c r="C16" s="476"/>
      <c r="D16" s="476"/>
      <c r="E16" s="476"/>
      <c r="F16" s="477"/>
      <c r="G16" s="342">
        <f>SUM(G17:G21)</f>
        <v>0</v>
      </c>
    </row>
    <row r="17" spans="1:7" x14ac:dyDescent="0.25">
      <c r="A17" s="351"/>
      <c r="B17" s="352" t="s">
        <v>1453</v>
      </c>
      <c r="C17" s="353"/>
      <c r="D17" s="354"/>
      <c r="E17" s="354">
        <f t="shared" si="0"/>
        <v>0</v>
      </c>
      <c r="F17" s="356" t="s">
        <v>1492</v>
      </c>
      <c r="G17" s="344">
        <f>IF(F17="FACTURA",E17*1,IF(F17=$I$3,E17/0.845,))</f>
        <v>0</v>
      </c>
    </row>
    <row r="18" spans="1:7" x14ac:dyDescent="0.25">
      <c r="A18" s="362"/>
      <c r="B18" s="352"/>
      <c r="C18" s="353"/>
      <c r="D18" s="354"/>
      <c r="E18" s="355">
        <f t="shared" si="0"/>
        <v>0</v>
      </c>
      <c r="F18" s="357" t="s">
        <v>1492</v>
      </c>
      <c r="G18" s="344">
        <f>IF(F18="FACTURA",E18*1,IF(F18=$I$3,E18/0.845,))</f>
        <v>0</v>
      </c>
    </row>
    <row r="19" spans="1:7" x14ac:dyDescent="0.25">
      <c r="A19" s="362"/>
      <c r="B19" s="352"/>
      <c r="C19" s="353"/>
      <c r="D19" s="354"/>
      <c r="E19" s="355">
        <f t="shared" si="0"/>
        <v>0</v>
      </c>
      <c r="F19" s="357" t="s">
        <v>1492</v>
      </c>
      <c r="G19" s="344">
        <f>IF(F19="FACTURA",E19*1,IF(F19=$I$3,E19/0.845,))</f>
        <v>0</v>
      </c>
    </row>
    <row r="20" spans="1:7" x14ac:dyDescent="0.25">
      <c r="A20" s="362"/>
      <c r="B20" s="352"/>
      <c r="C20" s="353"/>
      <c r="D20" s="354"/>
      <c r="E20" s="355">
        <f t="shared" si="0"/>
        <v>0</v>
      </c>
      <c r="F20" s="357" t="s">
        <v>1492</v>
      </c>
      <c r="G20" s="344">
        <f>IF(F20="FACTURA",E20*1,IF(F20=$I$3,E20/0.845,))</f>
        <v>0</v>
      </c>
    </row>
    <row r="21" spans="1:7" ht="15.75" thickBot="1" x14ac:dyDescent="0.3">
      <c r="A21" s="363"/>
      <c r="B21" s="359"/>
      <c r="C21" s="353"/>
      <c r="D21" s="354"/>
      <c r="E21" s="360">
        <f t="shared" si="0"/>
        <v>0</v>
      </c>
      <c r="F21" s="361" t="s">
        <v>1492</v>
      </c>
      <c r="G21" s="344">
        <f>IF(F21="FACTURA",E21*1,IF(F21=$I$3,E21/0.845,))</f>
        <v>0</v>
      </c>
    </row>
    <row r="22" spans="1:7" ht="15.75" thickBot="1" x14ac:dyDescent="0.3">
      <c r="A22" s="350">
        <v>2.2000000000000002</v>
      </c>
      <c r="B22" s="475" t="s">
        <v>1454</v>
      </c>
      <c r="C22" s="476"/>
      <c r="D22" s="476"/>
      <c r="E22" s="476"/>
      <c r="F22" s="477"/>
      <c r="G22" s="345">
        <f>SUM(G23:G27)</f>
        <v>0</v>
      </c>
    </row>
    <row r="23" spans="1:7" x14ac:dyDescent="0.25">
      <c r="A23" s="351"/>
      <c r="B23" s="352" t="s">
        <v>1455</v>
      </c>
      <c r="C23" s="353"/>
      <c r="D23" s="354"/>
      <c r="E23" s="354">
        <f t="shared" si="0"/>
        <v>0</v>
      </c>
      <c r="F23" s="356" t="s">
        <v>1492</v>
      </c>
      <c r="G23" s="346">
        <f>IF(F23="FACTURA",E23*0.1,IF(F23=$I$3,E23/0.845,))</f>
        <v>0</v>
      </c>
    </row>
    <row r="24" spans="1:7" x14ac:dyDescent="0.25">
      <c r="A24" s="362"/>
      <c r="B24" s="352"/>
      <c r="C24" s="353"/>
      <c r="D24" s="354"/>
      <c r="E24" s="355">
        <f t="shared" si="0"/>
        <v>0</v>
      </c>
      <c r="F24" s="357" t="s">
        <v>1492</v>
      </c>
      <c r="G24" s="346">
        <f>IF(F24="FACTURA",E24*0.1,IF(F24=$I$3,E24/0.845,))</f>
        <v>0</v>
      </c>
    </row>
    <row r="25" spans="1:7" x14ac:dyDescent="0.25">
      <c r="A25" s="362"/>
      <c r="B25" s="352"/>
      <c r="C25" s="353"/>
      <c r="D25" s="354"/>
      <c r="E25" s="355">
        <f t="shared" si="0"/>
        <v>0</v>
      </c>
      <c r="F25" s="357" t="s">
        <v>1492</v>
      </c>
      <c r="G25" s="346">
        <f>IF(F25="FACTURA",E25*0.1,IF(F25=$I$3,E25/0.845,))</f>
        <v>0</v>
      </c>
    </row>
    <row r="26" spans="1:7" x14ac:dyDescent="0.25">
      <c r="A26" s="362"/>
      <c r="B26" s="352"/>
      <c r="C26" s="353"/>
      <c r="D26" s="354"/>
      <c r="E26" s="355">
        <f t="shared" si="0"/>
        <v>0</v>
      </c>
      <c r="F26" s="357" t="s">
        <v>1492</v>
      </c>
      <c r="G26" s="346">
        <f>IF(F26="FACTURA",E26*0.1,IF(F26=$I$3,E26/0.845,))</f>
        <v>0</v>
      </c>
    </row>
    <row r="27" spans="1:7" ht="15.75" thickBot="1" x14ac:dyDescent="0.3">
      <c r="A27" s="363"/>
      <c r="B27" s="359"/>
      <c r="C27" s="353"/>
      <c r="D27" s="354"/>
      <c r="E27" s="360">
        <f t="shared" si="0"/>
        <v>0</v>
      </c>
      <c r="F27" s="361" t="s">
        <v>1492</v>
      </c>
      <c r="G27" s="346">
        <f>IF(F27="FACTURA",E27*0.1,IF(F27=$I$3,E27/0.845,))</f>
        <v>0</v>
      </c>
    </row>
    <row r="28" spans="1:7" ht="15.75" thickBot="1" x14ac:dyDescent="0.3">
      <c r="A28" s="350">
        <v>2.2999999999999998</v>
      </c>
      <c r="B28" s="475" t="s">
        <v>1493</v>
      </c>
      <c r="C28" s="476"/>
      <c r="D28" s="476"/>
      <c r="E28" s="476"/>
      <c r="F28" s="477"/>
      <c r="G28" s="343">
        <f>SUM(G29:G33)</f>
        <v>0</v>
      </c>
    </row>
    <row r="29" spans="1:7" x14ac:dyDescent="0.25">
      <c r="A29" s="364"/>
      <c r="B29" s="352"/>
      <c r="C29" s="353"/>
      <c r="D29" s="354"/>
      <c r="E29" s="354">
        <f t="shared" si="0"/>
        <v>0</v>
      </c>
      <c r="F29" s="356" t="s">
        <v>1492</v>
      </c>
      <c r="G29" s="344">
        <f>IF(F29="FACTURA",E29*1,IF(F29=$I$3,E29/0.845,))</f>
        <v>0</v>
      </c>
    </row>
    <row r="30" spans="1:7" x14ac:dyDescent="0.25">
      <c r="A30" s="365"/>
      <c r="B30" s="352"/>
      <c r="C30" s="353"/>
      <c r="D30" s="354"/>
      <c r="E30" s="355">
        <f t="shared" si="0"/>
        <v>0</v>
      </c>
      <c r="F30" s="357" t="s">
        <v>1492</v>
      </c>
      <c r="G30" s="344">
        <f>IF(F30="FACTURA",E30*1,IF(F30=$I$3,E30/0.845,))</f>
        <v>0</v>
      </c>
    </row>
    <row r="31" spans="1:7" x14ac:dyDescent="0.25">
      <c r="A31" s="365"/>
      <c r="B31" s="352"/>
      <c r="C31" s="353"/>
      <c r="D31" s="354"/>
      <c r="E31" s="355">
        <f t="shared" si="0"/>
        <v>0</v>
      </c>
      <c r="F31" s="357" t="s">
        <v>1492</v>
      </c>
      <c r="G31" s="344">
        <f>IF(F31="FACTURA",E31*1,IF(F31=$I$3,E31/0.845,))</f>
        <v>0</v>
      </c>
    </row>
    <row r="32" spans="1:7" x14ac:dyDescent="0.25">
      <c r="A32" s="365"/>
      <c r="B32" s="352"/>
      <c r="C32" s="353"/>
      <c r="D32" s="354"/>
      <c r="E32" s="355">
        <f t="shared" si="0"/>
        <v>0</v>
      </c>
      <c r="F32" s="357" t="s">
        <v>1492</v>
      </c>
      <c r="G32" s="344">
        <f>IF(F32="FACTURA",E32*1,IF(F32=$I$3,E32/0.845,))</f>
        <v>0</v>
      </c>
    </row>
    <row r="33" spans="1:8" ht="15.75" thickBot="1" x14ac:dyDescent="0.3">
      <c r="A33" s="366"/>
      <c r="B33" s="359"/>
      <c r="C33" s="353"/>
      <c r="D33" s="354"/>
      <c r="E33" s="360">
        <f t="shared" si="0"/>
        <v>0</v>
      </c>
      <c r="F33" s="361" t="s">
        <v>1492</v>
      </c>
      <c r="G33" s="344">
        <f>IF(F33="FACTURA",E33*1,IF(F33=$I$3,E33/0.845,))</f>
        <v>0</v>
      </c>
    </row>
    <row r="34" spans="1:8" ht="15.75" thickBot="1" x14ac:dyDescent="0.3">
      <c r="A34" s="348">
        <v>3</v>
      </c>
      <c r="B34" s="471" t="s">
        <v>1357</v>
      </c>
      <c r="C34" s="472"/>
      <c r="D34" s="472"/>
      <c r="E34" s="472"/>
      <c r="F34" s="473"/>
      <c r="G34" s="342">
        <f>G35+G41+G47+G53</f>
        <v>47.337278106508876</v>
      </c>
    </row>
    <row r="35" spans="1:8" ht="15.75" thickBot="1" x14ac:dyDescent="0.3">
      <c r="A35" s="350">
        <v>3.1</v>
      </c>
      <c r="B35" s="475" t="s">
        <v>1456</v>
      </c>
      <c r="C35" s="476"/>
      <c r="D35" s="476"/>
      <c r="E35" s="476"/>
      <c r="F35" s="477"/>
      <c r="G35" s="342">
        <f>SUM(G36:G40)</f>
        <v>47.337278106508876</v>
      </c>
    </row>
    <row r="36" spans="1:8" x14ac:dyDescent="0.25">
      <c r="A36" s="351"/>
      <c r="B36" s="352" t="s">
        <v>1578</v>
      </c>
      <c r="C36" s="353">
        <v>4</v>
      </c>
      <c r="D36" s="354">
        <v>10</v>
      </c>
      <c r="E36" s="354">
        <f t="shared" si="0"/>
        <v>40</v>
      </c>
      <c r="F36" s="356" t="s">
        <v>1492</v>
      </c>
      <c r="G36" s="344">
        <f>IF(F36="FACTURA",E36*1,IF(F36=$I$3,E36/0.845,))</f>
        <v>47.337278106508876</v>
      </c>
      <c r="H36" s="10">
        <f>+H85</f>
        <v>0</v>
      </c>
    </row>
    <row r="37" spans="1:8" x14ac:dyDescent="0.25">
      <c r="A37" s="362"/>
      <c r="B37" s="352"/>
      <c r="C37" s="353"/>
      <c r="D37" s="354"/>
      <c r="E37" s="355">
        <f t="shared" si="0"/>
        <v>0</v>
      </c>
      <c r="F37" s="357" t="s">
        <v>14</v>
      </c>
      <c r="G37" s="344">
        <f>IF(F37="FACTURA",E37*1,IF(F37=$I$3,E37/0.845,))</f>
        <v>0</v>
      </c>
    </row>
    <row r="38" spans="1:8" x14ac:dyDescent="0.25">
      <c r="A38" s="362"/>
      <c r="B38" s="352"/>
      <c r="C38" s="353"/>
      <c r="D38" s="354"/>
      <c r="E38" s="355">
        <f t="shared" si="0"/>
        <v>0</v>
      </c>
      <c r="F38" s="357" t="s">
        <v>14</v>
      </c>
      <c r="G38" s="344">
        <f>IF(F38="FACTURA",E38*1,IF(F38=$I$3,E38/0.845,))</f>
        <v>0</v>
      </c>
    </row>
    <row r="39" spans="1:8" x14ac:dyDescent="0.25">
      <c r="A39" s="362"/>
      <c r="B39" s="352"/>
      <c r="C39" s="353"/>
      <c r="D39" s="354"/>
      <c r="E39" s="355">
        <f t="shared" si="0"/>
        <v>0</v>
      </c>
      <c r="F39" s="357" t="s">
        <v>1492</v>
      </c>
      <c r="G39" s="344">
        <f>IF(F39="FACTURA",E39*1,IF(F39=$I$3,E39/0.845,))</f>
        <v>0</v>
      </c>
    </row>
    <row r="40" spans="1:8" ht="15.75" thickBot="1" x14ac:dyDescent="0.3">
      <c r="A40" s="363"/>
      <c r="B40" s="359"/>
      <c r="C40" s="353"/>
      <c r="D40" s="354"/>
      <c r="E40" s="360">
        <f t="shared" si="0"/>
        <v>0</v>
      </c>
      <c r="F40" s="361" t="s">
        <v>14</v>
      </c>
      <c r="G40" s="344">
        <f>IF(F40="FACTURA",E40*1,IF(F40=$I$3,E40/0.845,))</f>
        <v>0</v>
      </c>
    </row>
    <row r="41" spans="1:8" ht="15.75" thickBot="1" x14ac:dyDescent="0.3">
      <c r="A41" s="350">
        <v>3.2</v>
      </c>
      <c r="B41" s="475" t="s">
        <v>1457</v>
      </c>
      <c r="C41" s="476"/>
      <c r="D41" s="476"/>
      <c r="E41" s="476"/>
      <c r="F41" s="477"/>
      <c r="G41" s="342">
        <f>SUM(G42:G46)</f>
        <v>0</v>
      </c>
    </row>
    <row r="42" spans="1:8" x14ac:dyDescent="0.25">
      <c r="A42" s="351"/>
      <c r="B42" s="352"/>
      <c r="C42" s="353"/>
      <c r="D42" s="354"/>
      <c r="E42" s="354">
        <f t="shared" si="0"/>
        <v>0</v>
      </c>
      <c r="F42" s="356" t="s">
        <v>14</v>
      </c>
      <c r="G42" s="344">
        <f>IF(F42="FACTURA",E42*1,IF(F42=$I$3,E42/0.845,))</f>
        <v>0</v>
      </c>
    </row>
    <row r="43" spans="1:8" x14ac:dyDescent="0.25">
      <c r="A43" s="362"/>
      <c r="B43" s="352"/>
      <c r="C43" s="353"/>
      <c r="D43" s="354"/>
      <c r="E43" s="355">
        <f t="shared" si="0"/>
        <v>0</v>
      </c>
      <c r="F43" s="357" t="s">
        <v>14</v>
      </c>
      <c r="G43" s="344">
        <f>IF(F43="FACTURA",E43*1,IF(F43=$I$3,E43/0.845,))</f>
        <v>0</v>
      </c>
    </row>
    <row r="44" spans="1:8" x14ac:dyDescent="0.25">
      <c r="A44" s="362"/>
      <c r="B44" s="352"/>
      <c r="C44" s="353"/>
      <c r="D44" s="354"/>
      <c r="E44" s="355">
        <f t="shared" si="0"/>
        <v>0</v>
      </c>
      <c r="F44" s="357" t="s">
        <v>1492</v>
      </c>
      <c r="G44" s="344">
        <f>IF(F44="FACTURA",E44*1,IF(F44=$I$3,E44/0.845,))</f>
        <v>0</v>
      </c>
    </row>
    <row r="45" spans="1:8" x14ac:dyDescent="0.25">
      <c r="A45" s="362"/>
      <c r="B45" s="352"/>
      <c r="C45" s="353"/>
      <c r="D45" s="354"/>
      <c r="E45" s="355">
        <f t="shared" si="0"/>
        <v>0</v>
      </c>
      <c r="F45" s="357" t="s">
        <v>14</v>
      </c>
      <c r="G45" s="344">
        <f>IF(F45="FACTURA",E45*1,IF(F45=$I$3,E45/0.845,))</f>
        <v>0</v>
      </c>
    </row>
    <row r="46" spans="1:8" ht="15.75" thickBot="1" x14ac:dyDescent="0.3">
      <c r="A46" s="363"/>
      <c r="B46" s="359"/>
      <c r="C46" s="353"/>
      <c r="D46" s="354"/>
      <c r="E46" s="360">
        <f t="shared" si="0"/>
        <v>0</v>
      </c>
      <c r="F46" s="361" t="s">
        <v>14</v>
      </c>
      <c r="G46" s="344">
        <f>IF(F46="FACTURA",E46*1,IF(F46=$I$3,E46/0.845,))</f>
        <v>0</v>
      </c>
    </row>
    <row r="47" spans="1:8" ht="15.75" thickBot="1" x14ac:dyDescent="0.3">
      <c r="A47" s="350">
        <v>3.3</v>
      </c>
      <c r="B47" s="475" t="s">
        <v>1458</v>
      </c>
      <c r="C47" s="476"/>
      <c r="D47" s="476"/>
      <c r="E47" s="476"/>
      <c r="F47" s="477"/>
      <c r="G47" s="342">
        <f>SUM(G48:G52)</f>
        <v>0</v>
      </c>
    </row>
    <row r="48" spans="1:8" x14ac:dyDescent="0.25">
      <c r="A48" s="351"/>
      <c r="B48" s="352"/>
      <c r="C48" s="353"/>
      <c r="D48" s="354"/>
      <c r="E48" s="354">
        <f t="shared" si="0"/>
        <v>0</v>
      </c>
      <c r="F48" s="356" t="s">
        <v>14</v>
      </c>
      <c r="G48" s="344">
        <f>IF(F48="FACTURA",E48*1,IF(F48=$I$3,E48/0.845,))</f>
        <v>0</v>
      </c>
    </row>
    <row r="49" spans="1:7" x14ac:dyDescent="0.25">
      <c r="A49" s="362"/>
      <c r="B49" s="352"/>
      <c r="C49" s="353"/>
      <c r="D49" s="354"/>
      <c r="E49" s="355">
        <f t="shared" si="0"/>
        <v>0</v>
      </c>
      <c r="F49" s="357" t="s">
        <v>14</v>
      </c>
      <c r="G49" s="344">
        <f>IF(F49="FACTURA",E49*1,IF(F49=$I$3,E49/0.845,))</f>
        <v>0</v>
      </c>
    </row>
    <row r="50" spans="1:7" x14ac:dyDescent="0.25">
      <c r="A50" s="362"/>
      <c r="B50" s="352"/>
      <c r="C50" s="353"/>
      <c r="D50" s="354"/>
      <c r="E50" s="355">
        <f t="shared" si="0"/>
        <v>0</v>
      </c>
      <c r="F50" s="357" t="s">
        <v>1492</v>
      </c>
      <c r="G50" s="344">
        <f>IF(F50="FACTURA",E50*1,IF(F50=$I$3,E50/0.845,))</f>
        <v>0</v>
      </c>
    </row>
    <row r="51" spans="1:7" x14ac:dyDescent="0.25">
      <c r="A51" s="362"/>
      <c r="B51" s="352"/>
      <c r="C51" s="353"/>
      <c r="D51" s="354"/>
      <c r="E51" s="355">
        <f t="shared" si="0"/>
        <v>0</v>
      </c>
      <c r="F51" s="357" t="s">
        <v>14</v>
      </c>
      <c r="G51" s="344">
        <f>IF(F51="FACTURA",E51*1,IF(F51=$I$3,E51/0.845,))</f>
        <v>0</v>
      </c>
    </row>
    <row r="52" spans="1:7" ht="15.75" thickBot="1" x14ac:dyDescent="0.3">
      <c r="A52" s="363"/>
      <c r="B52" s="359"/>
      <c r="C52" s="353"/>
      <c r="D52" s="354"/>
      <c r="E52" s="360">
        <f t="shared" si="0"/>
        <v>0</v>
      </c>
      <c r="F52" s="361" t="s">
        <v>14</v>
      </c>
      <c r="G52" s="344">
        <f>IF(F52="FACTURA",E52*1,IF(F52=$I$3,E52/0.845,))</f>
        <v>0</v>
      </c>
    </row>
    <row r="53" spans="1:7" ht="15.75" thickBot="1" x14ac:dyDescent="0.3">
      <c r="A53" s="350">
        <v>3.4</v>
      </c>
      <c r="B53" s="475" t="s">
        <v>1459</v>
      </c>
      <c r="C53" s="476"/>
      <c r="D53" s="476"/>
      <c r="E53" s="476"/>
      <c r="F53" s="477"/>
      <c r="G53" s="342">
        <f>SUM(G54:G58)</f>
        <v>0</v>
      </c>
    </row>
    <row r="54" spans="1:7" x14ac:dyDescent="0.25">
      <c r="A54" s="364"/>
      <c r="B54" s="367" t="s">
        <v>1460</v>
      </c>
      <c r="C54" s="368"/>
      <c r="D54" s="369"/>
      <c r="E54" s="354">
        <f t="shared" si="0"/>
        <v>0</v>
      </c>
      <c r="F54" s="356" t="s">
        <v>14</v>
      </c>
      <c r="G54" s="344">
        <f>IF(F54="FACTURA",E54*1,IF(F54=$I$3,E54/0.845,))</f>
        <v>0</v>
      </c>
    </row>
    <row r="55" spans="1:7" x14ac:dyDescent="0.25">
      <c r="A55" s="365"/>
      <c r="B55" s="370" t="s">
        <v>1461</v>
      </c>
      <c r="C55" s="368"/>
      <c r="D55" s="369"/>
      <c r="E55" s="355">
        <f t="shared" si="0"/>
        <v>0</v>
      </c>
      <c r="F55" s="357" t="s">
        <v>1492</v>
      </c>
      <c r="G55" s="344">
        <f>IF(F55="FACTURA",E55*1,IF(F55=$I$3,E55/0.845,))</f>
        <v>0</v>
      </c>
    </row>
    <row r="56" spans="1:7" x14ac:dyDescent="0.25">
      <c r="A56" s="365"/>
      <c r="B56" s="370"/>
      <c r="C56" s="368"/>
      <c r="D56" s="369"/>
      <c r="E56" s="355">
        <f t="shared" si="0"/>
        <v>0</v>
      </c>
      <c r="F56" s="357" t="s">
        <v>14</v>
      </c>
      <c r="G56" s="344">
        <f>IF(F56="FACTURA",E56*1,IF(F56=$I$3,E56/0.845,))</f>
        <v>0</v>
      </c>
    </row>
    <row r="57" spans="1:7" x14ac:dyDescent="0.25">
      <c r="A57" s="365"/>
      <c r="B57" s="370"/>
      <c r="C57" s="368"/>
      <c r="D57" s="369"/>
      <c r="E57" s="355">
        <f t="shared" si="0"/>
        <v>0</v>
      </c>
      <c r="F57" s="357" t="s">
        <v>1492</v>
      </c>
      <c r="G57" s="344">
        <f>IF(F57="FACTURA",E57*1,IF(F57=$I$3,E57/0.845,))</f>
        <v>0</v>
      </c>
    </row>
    <row r="58" spans="1:7" ht="15.75" thickBot="1" x14ac:dyDescent="0.3">
      <c r="A58" s="366"/>
      <c r="B58" s="371"/>
      <c r="C58" s="368"/>
      <c r="D58" s="369"/>
      <c r="E58" s="360">
        <f t="shared" si="0"/>
        <v>0</v>
      </c>
      <c r="F58" s="361" t="s">
        <v>14</v>
      </c>
      <c r="G58" s="344">
        <f>IF(F58="FACTURA",E58*1,IF(F58=$I$3,E58/0.845,))</f>
        <v>0</v>
      </c>
    </row>
    <row r="59" spans="1:7" ht="15.75" thickBot="1" x14ac:dyDescent="0.3">
      <c r="A59" s="348">
        <v>4</v>
      </c>
      <c r="B59" s="471" t="s">
        <v>1462</v>
      </c>
      <c r="C59" s="472"/>
      <c r="D59" s="472"/>
      <c r="E59" s="472"/>
      <c r="F59" s="473"/>
      <c r="G59" s="342">
        <f>G60+G66+G72+G78+G84</f>
        <v>30</v>
      </c>
    </row>
    <row r="60" spans="1:7" ht="15.75" thickBot="1" x14ac:dyDescent="0.3">
      <c r="A60" s="350">
        <v>4.0999999999999996</v>
      </c>
      <c r="B60" s="475" t="s">
        <v>1463</v>
      </c>
      <c r="C60" s="476"/>
      <c r="D60" s="476"/>
      <c r="E60" s="476"/>
      <c r="F60" s="477"/>
      <c r="G60" s="342">
        <f>SUM(G61:G65)</f>
        <v>0</v>
      </c>
    </row>
    <row r="61" spans="1:7" x14ac:dyDescent="0.25">
      <c r="A61" s="351"/>
      <c r="B61" s="352"/>
      <c r="C61" s="353"/>
      <c r="D61" s="354"/>
      <c r="E61" s="354">
        <f t="shared" si="0"/>
        <v>0</v>
      </c>
      <c r="F61" s="356" t="s">
        <v>14</v>
      </c>
      <c r="G61" s="344">
        <f>IF(F61="FACTURA",E61*1,IF(F61=$I$3,E61/0.845,))</f>
        <v>0</v>
      </c>
    </row>
    <row r="62" spans="1:7" x14ac:dyDescent="0.25">
      <c r="A62" s="362"/>
      <c r="B62" s="352"/>
      <c r="C62" s="353"/>
      <c r="D62" s="354"/>
      <c r="E62" s="355">
        <f t="shared" si="0"/>
        <v>0</v>
      </c>
      <c r="F62" s="357" t="s">
        <v>14</v>
      </c>
      <c r="G62" s="344">
        <f>IF(F62="FACTURA",E62*1,IF(F62=$I$3,E62/0.845,))</f>
        <v>0</v>
      </c>
    </row>
    <row r="63" spans="1:7" x14ac:dyDescent="0.25">
      <c r="A63" s="362"/>
      <c r="B63" s="352"/>
      <c r="C63" s="353"/>
      <c r="D63" s="354"/>
      <c r="E63" s="355">
        <f t="shared" si="0"/>
        <v>0</v>
      </c>
      <c r="F63" s="357" t="s">
        <v>1492</v>
      </c>
      <c r="G63" s="344">
        <f>IF(F63="FACTURA",E63*1,IF(F63=$I$3,E63/0.845,))</f>
        <v>0</v>
      </c>
    </row>
    <row r="64" spans="1:7" x14ac:dyDescent="0.25">
      <c r="A64" s="362"/>
      <c r="B64" s="352"/>
      <c r="C64" s="353"/>
      <c r="D64" s="354"/>
      <c r="E64" s="355">
        <f t="shared" si="0"/>
        <v>0</v>
      </c>
      <c r="F64" s="357" t="s">
        <v>14</v>
      </c>
      <c r="G64" s="344">
        <f>IF(F64="FACTURA",E64*1,IF(F64=$I$3,E64/0.845,))</f>
        <v>0</v>
      </c>
    </row>
    <row r="65" spans="1:7" ht="15.75" thickBot="1" x14ac:dyDescent="0.3">
      <c r="A65" s="363"/>
      <c r="B65" s="359"/>
      <c r="C65" s="353"/>
      <c r="D65" s="354"/>
      <c r="E65" s="360">
        <f t="shared" si="0"/>
        <v>0</v>
      </c>
      <c r="F65" s="361" t="s">
        <v>14</v>
      </c>
      <c r="G65" s="344">
        <f>IF(F65="FACTURA",E65*1,IF(F65=$I$3,E65/0.845,))</f>
        <v>0</v>
      </c>
    </row>
    <row r="66" spans="1:7" ht="15.75" thickBot="1" x14ac:dyDescent="0.3">
      <c r="A66" s="350">
        <v>4.2</v>
      </c>
      <c r="B66" s="475" t="s">
        <v>1464</v>
      </c>
      <c r="C66" s="476"/>
      <c r="D66" s="476"/>
      <c r="E66" s="476"/>
      <c r="F66" s="477"/>
      <c r="G66" s="342">
        <f>SUM(G67:G71)</f>
        <v>0</v>
      </c>
    </row>
    <row r="67" spans="1:7" x14ac:dyDescent="0.25">
      <c r="A67" s="351"/>
      <c r="B67" s="352"/>
      <c r="C67" s="353"/>
      <c r="D67" s="354"/>
      <c r="E67" s="354">
        <f t="shared" si="0"/>
        <v>0</v>
      </c>
      <c r="F67" s="356" t="s">
        <v>14</v>
      </c>
      <c r="G67" s="344">
        <f>IF(F67="FACTURA",E67*1,IF(F67=$I$3,E67/0.845,))</f>
        <v>0</v>
      </c>
    </row>
    <row r="68" spans="1:7" x14ac:dyDescent="0.25">
      <c r="A68" s="362"/>
      <c r="B68" s="352"/>
      <c r="C68" s="353"/>
      <c r="D68" s="354"/>
      <c r="E68" s="355">
        <f t="shared" si="0"/>
        <v>0</v>
      </c>
      <c r="F68" s="357" t="s">
        <v>14</v>
      </c>
      <c r="G68" s="344">
        <f>IF(F68="FACTURA",E68*1,IF(F68=$I$3,E68/0.845,))</f>
        <v>0</v>
      </c>
    </row>
    <row r="69" spans="1:7" x14ac:dyDescent="0.25">
      <c r="A69" s="362"/>
      <c r="B69" s="352"/>
      <c r="C69" s="353"/>
      <c r="D69" s="354"/>
      <c r="E69" s="355">
        <f t="shared" si="0"/>
        <v>0</v>
      </c>
      <c r="F69" s="357" t="s">
        <v>1492</v>
      </c>
      <c r="G69" s="344">
        <f>IF(F69="FACTURA",E69*1,IF(F69=$I$3,E69/0.845,))</f>
        <v>0</v>
      </c>
    </row>
    <row r="70" spans="1:7" x14ac:dyDescent="0.25">
      <c r="A70" s="362"/>
      <c r="B70" s="352"/>
      <c r="C70" s="353"/>
      <c r="D70" s="354"/>
      <c r="E70" s="355">
        <f t="shared" si="0"/>
        <v>0</v>
      </c>
      <c r="F70" s="357" t="s">
        <v>14</v>
      </c>
      <c r="G70" s="344">
        <f>IF(F70="FACTURA",E70*1,IF(F70=$I$3,E70/0.845,))</f>
        <v>0</v>
      </c>
    </row>
    <row r="71" spans="1:7" ht="15.75" thickBot="1" x14ac:dyDescent="0.3">
      <c r="A71" s="363"/>
      <c r="B71" s="359"/>
      <c r="C71" s="353"/>
      <c r="D71" s="354"/>
      <c r="E71" s="360">
        <f t="shared" si="0"/>
        <v>0</v>
      </c>
      <c r="F71" s="361" t="s">
        <v>14</v>
      </c>
      <c r="G71" s="344">
        <f>IF(F71="FACTURA",E71*1,IF(F71=$I$3,E71/0.845,))</f>
        <v>0</v>
      </c>
    </row>
    <row r="72" spans="1:7" ht="15.75" thickBot="1" x14ac:dyDescent="0.3">
      <c r="A72" s="350">
        <v>4.3</v>
      </c>
      <c r="B72" s="475" t="s">
        <v>1465</v>
      </c>
      <c r="C72" s="476"/>
      <c r="D72" s="476"/>
      <c r="E72" s="476"/>
      <c r="F72" s="477"/>
      <c r="G72" s="342">
        <f>SUM(G73:G77)</f>
        <v>0</v>
      </c>
    </row>
    <row r="73" spans="1:7" x14ac:dyDescent="0.25">
      <c r="A73" s="351"/>
      <c r="B73" s="352"/>
      <c r="C73" s="353"/>
      <c r="D73" s="354"/>
      <c r="E73" s="354">
        <f t="shared" si="0"/>
        <v>0</v>
      </c>
      <c r="F73" s="356" t="s">
        <v>14</v>
      </c>
      <c r="G73" s="344">
        <f>IF(F73="FACTURA",E73*1,IF(F73=$I$3,E73/0.845,))</f>
        <v>0</v>
      </c>
    </row>
    <row r="74" spans="1:7" x14ac:dyDescent="0.25">
      <c r="A74" s="362"/>
      <c r="B74" s="352"/>
      <c r="C74" s="353"/>
      <c r="D74" s="354"/>
      <c r="E74" s="355">
        <f t="shared" si="0"/>
        <v>0</v>
      </c>
      <c r="F74" s="357" t="s">
        <v>1492</v>
      </c>
      <c r="G74" s="344">
        <f>IF(F74="FACTURA",E74*1,IF(F74=$I$3,E74/0.845,))</f>
        <v>0</v>
      </c>
    </row>
    <row r="75" spans="1:7" x14ac:dyDescent="0.25">
      <c r="A75" s="362"/>
      <c r="B75" s="352"/>
      <c r="C75" s="353"/>
      <c r="D75" s="354"/>
      <c r="E75" s="355">
        <f t="shared" ref="E75:E138" si="1">+D75*C75</f>
        <v>0</v>
      </c>
      <c r="F75" s="357" t="s">
        <v>14</v>
      </c>
      <c r="G75" s="344">
        <f>IF(F75="FACTURA",E75*1,IF(F75=$I$3,E75/0.845,))</f>
        <v>0</v>
      </c>
    </row>
    <row r="76" spans="1:7" x14ac:dyDescent="0.25">
      <c r="A76" s="362"/>
      <c r="B76" s="352"/>
      <c r="C76" s="353"/>
      <c r="D76" s="354"/>
      <c r="E76" s="355">
        <f t="shared" si="1"/>
        <v>0</v>
      </c>
      <c r="F76" s="357" t="s">
        <v>1492</v>
      </c>
      <c r="G76" s="344">
        <f>IF(F76="FACTURA",E76*1,IF(F76=$I$3,E76/0.845,))</f>
        <v>0</v>
      </c>
    </row>
    <row r="77" spans="1:7" ht="15.75" thickBot="1" x14ac:dyDescent="0.3">
      <c r="A77" s="363"/>
      <c r="B77" s="359"/>
      <c r="C77" s="353"/>
      <c r="D77" s="354"/>
      <c r="E77" s="360">
        <f t="shared" si="1"/>
        <v>0</v>
      </c>
      <c r="F77" s="361" t="s">
        <v>14</v>
      </c>
      <c r="G77" s="344">
        <f>IF(F77="FACTURA",E77*1,IF(F77=$I$3,E77/0.845,))</f>
        <v>0</v>
      </c>
    </row>
    <row r="78" spans="1:7" ht="15.75" thickBot="1" x14ac:dyDescent="0.3">
      <c r="A78" s="350">
        <v>4.4000000000000004</v>
      </c>
      <c r="B78" s="475" t="s">
        <v>1466</v>
      </c>
      <c r="C78" s="476"/>
      <c r="D78" s="476"/>
      <c r="E78" s="476"/>
      <c r="F78" s="477"/>
      <c r="G78" s="342">
        <f>SUM(G79:G83)</f>
        <v>0</v>
      </c>
    </row>
    <row r="79" spans="1:7" x14ac:dyDescent="0.25">
      <c r="A79" s="351"/>
      <c r="B79" s="352"/>
      <c r="C79" s="353"/>
      <c r="D79" s="354"/>
      <c r="E79" s="354">
        <f t="shared" si="1"/>
        <v>0</v>
      </c>
      <c r="F79" s="356" t="s">
        <v>1492</v>
      </c>
      <c r="G79" s="344">
        <f>IF(F79="FACTURA",E79*1,IF(F79=$I$3,E79/0.845,))</f>
        <v>0</v>
      </c>
    </row>
    <row r="80" spans="1:7" x14ac:dyDescent="0.25">
      <c r="A80" s="362"/>
      <c r="B80" s="352"/>
      <c r="C80" s="353"/>
      <c r="D80" s="354"/>
      <c r="E80" s="355">
        <f t="shared" si="1"/>
        <v>0</v>
      </c>
      <c r="F80" s="357" t="s">
        <v>14</v>
      </c>
      <c r="G80" s="344">
        <f>IF(F80="FACTURA",E80*1,IF(F80=$I$3,E80/0.845,))</f>
        <v>0</v>
      </c>
    </row>
    <row r="81" spans="1:8" x14ac:dyDescent="0.25">
      <c r="A81" s="362"/>
      <c r="B81" s="352"/>
      <c r="C81" s="353"/>
      <c r="D81" s="354"/>
      <c r="E81" s="355">
        <f t="shared" si="1"/>
        <v>0</v>
      </c>
      <c r="F81" s="357" t="s">
        <v>14</v>
      </c>
      <c r="G81" s="344">
        <f>IF(F81="FACTURA",E81*1,IF(F81=$I$3,E81/0.845,))</f>
        <v>0</v>
      </c>
    </row>
    <row r="82" spans="1:8" x14ac:dyDescent="0.25">
      <c r="A82" s="362"/>
      <c r="B82" s="352"/>
      <c r="C82" s="353"/>
      <c r="D82" s="354"/>
      <c r="E82" s="355">
        <f t="shared" si="1"/>
        <v>0</v>
      </c>
      <c r="F82" s="357" t="s">
        <v>1492</v>
      </c>
      <c r="G82" s="344">
        <f>IF(F82="FACTURA",E82*1,IF(F82=$I$3,E82/0.845,))</f>
        <v>0</v>
      </c>
    </row>
    <row r="83" spans="1:8" ht="15.75" thickBot="1" x14ac:dyDescent="0.3">
      <c r="A83" s="363"/>
      <c r="B83" s="359"/>
      <c r="C83" s="353"/>
      <c r="D83" s="354"/>
      <c r="E83" s="360">
        <f t="shared" si="1"/>
        <v>0</v>
      </c>
      <c r="F83" s="361" t="s">
        <v>14</v>
      </c>
      <c r="G83" s="344">
        <f>IF(F83="FACTURA",E83*1,IF(F83=$I$3,E83/0.845,))</f>
        <v>0</v>
      </c>
    </row>
    <row r="84" spans="1:8" ht="15.75" thickBot="1" x14ac:dyDescent="0.3">
      <c r="A84" s="350">
        <v>4.5</v>
      </c>
      <c r="B84" s="475" t="s">
        <v>1467</v>
      </c>
      <c r="C84" s="476"/>
      <c r="D84" s="476"/>
      <c r="E84" s="476"/>
      <c r="F84" s="477"/>
      <c r="G84" s="342">
        <f>SUM(G85:G89)</f>
        <v>30</v>
      </c>
    </row>
    <row r="85" spans="1:8" x14ac:dyDescent="0.25">
      <c r="A85" s="364"/>
      <c r="B85" s="352" t="s">
        <v>1579</v>
      </c>
      <c r="C85" s="353">
        <v>1</v>
      </c>
      <c r="D85" s="354">
        <v>30</v>
      </c>
      <c r="E85" s="354">
        <f t="shared" si="1"/>
        <v>30</v>
      </c>
      <c r="F85" s="356" t="s">
        <v>14</v>
      </c>
      <c r="G85" s="344">
        <f>IF(F85="FACTURA",E85*1,IF(F85=$I$3,E85/0.845,))</f>
        <v>30</v>
      </c>
      <c r="H85" s="10">
        <f>+'Carta PDF'!E44</f>
        <v>0</v>
      </c>
    </row>
    <row r="86" spans="1:8" x14ac:dyDescent="0.25">
      <c r="A86" s="365"/>
      <c r="B86" s="352"/>
      <c r="C86" s="353"/>
      <c r="D86" s="354"/>
      <c r="E86" s="355">
        <f t="shared" si="1"/>
        <v>0</v>
      </c>
      <c r="F86" s="357" t="s">
        <v>1492</v>
      </c>
      <c r="G86" s="344">
        <f>IF(F86="FACTURA",E86*1,IF(F86=$I$3,E86/0.845,))</f>
        <v>0</v>
      </c>
    </row>
    <row r="87" spans="1:8" x14ac:dyDescent="0.25">
      <c r="A87" s="365"/>
      <c r="B87" s="352"/>
      <c r="C87" s="353"/>
      <c r="D87" s="354"/>
      <c r="E87" s="355">
        <f t="shared" si="1"/>
        <v>0</v>
      </c>
      <c r="F87" s="357" t="s">
        <v>14</v>
      </c>
      <c r="G87" s="344">
        <f>IF(F87="FACTURA",E87*1,IF(F87=$I$3,E87/0.845,))</f>
        <v>0</v>
      </c>
    </row>
    <row r="88" spans="1:8" x14ac:dyDescent="0.25">
      <c r="A88" s="365"/>
      <c r="B88" s="352"/>
      <c r="C88" s="353"/>
      <c r="D88" s="354"/>
      <c r="E88" s="355">
        <f t="shared" si="1"/>
        <v>0</v>
      </c>
      <c r="F88" s="357" t="s">
        <v>1492</v>
      </c>
      <c r="G88" s="344">
        <f>IF(F88="FACTURA",E88*1,IF(F88=$I$3,E88/0.845,))</f>
        <v>0</v>
      </c>
    </row>
    <row r="89" spans="1:8" ht="15.75" thickBot="1" x14ac:dyDescent="0.3">
      <c r="A89" s="366"/>
      <c r="B89" s="359"/>
      <c r="C89" s="353"/>
      <c r="D89" s="354"/>
      <c r="E89" s="360">
        <f t="shared" si="1"/>
        <v>0</v>
      </c>
      <c r="F89" s="361" t="s">
        <v>14</v>
      </c>
      <c r="G89" s="344">
        <f>IF(F89="FACTURA",E89*1,IF(F89=$I$3,E89/0.845,))</f>
        <v>0</v>
      </c>
    </row>
    <row r="90" spans="1:8" ht="15.75" thickBot="1" x14ac:dyDescent="0.3">
      <c r="A90" s="348">
        <v>5</v>
      </c>
      <c r="B90" s="471" t="s">
        <v>1468</v>
      </c>
      <c r="C90" s="472"/>
      <c r="D90" s="472"/>
      <c r="E90" s="472"/>
      <c r="F90" s="473"/>
      <c r="G90" s="342">
        <f>G91</f>
        <v>0</v>
      </c>
    </row>
    <row r="91" spans="1:8" ht="15.75" thickBot="1" x14ac:dyDescent="0.3">
      <c r="A91" s="350">
        <v>5.0999999999999996</v>
      </c>
      <c r="B91" s="475" t="s">
        <v>1469</v>
      </c>
      <c r="C91" s="476"/>
      <c r="D91" s="476"/>
      <c r="E91" s="476"/>
      <c r="F91" s="477"/>
      <c r="G91" s="342">
        <f>SUM(G92:G96)</f>
        <v>0</v>
      </c>
    </row>
    <row r="92" spans="1:8" x14ac:dyDescent="0.25">
      <c r="A92" s="364"/>
      <c r="B92" s="352"/>
      <c r="C92" s="353"/>
      <c r="D92" s="354"/>
      <c r="E92" s="354">
        <f t="shared" si="1"/>
        <v>0</v>
      </c>
      <c r="F92" s="356" t="s">
        <v>14</v>
      </c>
      <c r="G92" s="344">
        <f>IF(F92="FACTURA",E92*1,IF(F92=$I$3,E92/0.845,))</f>
        <v>0</v>
      </c>
    </row>
    <row r="93" spans="1:8" x14ac:dyDescent="0.25">
      <c r="A93" s="365"/>
      <c r="B93" s="352"/>
      <c r="C93" s="353"/>
      <c r="D93" s="354"/>
      <c r="E93" s="355">
        <f t="shared" si="1"/>
        <v>0</v>
      </c>
      <c r="F93" s="357" t="s">
        <v>14</v>
      </c>
      <c r="G93" s="344">
        <f>IF(F93="FACTURA",E93*1,IF(F93=$I$3,E93/0.845,))</f>
        <v>0</v>
      </c>
    </row>
    <row r="94" spans="1:8" x14ac:dyDescent="0.25">
      <c r="A94" s="365"/>
      <c r="B94" s="352"/>
      <c r="C94" s="353"/>
      <c r="D94" s="354"/>
      <c r="E94" s="355">
        <f t="shared" si="1"/>
        <v>0</v>
      </c>
      <c r="F94" s="357" t="s">
        <v>1492</v>
      </c>
      <c r="G94" s="344">
        <f>IF(F94="FACTURA",E94*1,IF(F94=$I$3,E94/0.845,))</f>
        <v>0</v>
      </c>
    </row>
    <row r="95" spans="1:8" x14ac:dyDescent="0.25">
      <c r="A95" s="365"/>
      <c r="B95" s="352"/>
      <c r="C95" s="353"/>
      <c r="D95" s="354"/>
      <c r="E95" s="355">
        <f t="shared" si="1"/>
        <v>0</v>
      </c>
      <c r="F95" s="357" t="s">
        <v>14</v>
      </c>
      <c r="G95" s="344">
        <f>IF(F95="FACTURA",E95*1,IF(F95=$I$3,E95/0.845,))</f>
        <v>0</v>
      </c>
    </row>
    <row r="96" spans="1:8" ht="15.75" thickBot="1" x14ac:dyDescent="0.3">
      <c r="A96" s="366"/>
      <c r="B96" s="359"/>
      <c r="C96" s="353"/>
      <c r="D96" s="354"/>
      <c r="E96" s="360">
        <f t="shared" si="1"/>
        <v>0</v>
      </c>
      <c r="F96" s="361" t="s">
        <v>14</v>
      </c>
      <c r="G96" s="344">
        <f>IF(F96="FACTURA",E96*1,IF(F96=$I$3,E96/0.845,))</f>
        <v>0</v>
      </c>
    </row>
    <row r="97" spans="1:7" ht="15.75" thickBot="1" x14ac:dyDescent="0.3">
      <c r="A97" s="348">
        <v>6</v>
      </c>
      <c r="B97" s="471" t="s">
        <v>1</v>
      </c>
      <c r="C97" s="472"/>
      <c r="D97" s="472"/>
      <c r="E97" s="472"/>
      <c r="F97" s="473"/>
      <c r="G97" s="342">
        <f>G98+G104+G110+G116+G122+G128+G134</f>
        <v>10.760869565217391</v>
      </c>
    </row>
    <row r="98" spans="1:7" ht="15.75" thickBot="1" x14ac:dyDescent="0.3">
      <c r="A98" s="350">
        <v>6.1</v>
      </c>
      <c r="B98" s="475" t="s">
        <v>1470</v>
      </c>
      <c r="C98" s="476"/>
      <c r="D98" s="476"/>
      <c r="E98" s="476"/>
      <c r="F98" s="477"/>
      <c r="G98" s="342">
        <f>SUM(G99:G103)</f>
        <v>0</v>
      </c>
    </row>
    <row r="99" spans="1:7" x14ac:dyDescent="0.25">
      <c r="A99" s="351"/>
      <c r="B99" s="352"/>
      <c r="C99" s="353"/>
      <c r="D99" s="354"/>
      <c r="E99" s="354">
        <f t="shared" si="1"/>
        <v>0</v>
      </c>
      <c r="F99" s="356" t="s">
        <v>14</v>
      </c>
      <c r="G99" s="344">
        <f>IF(F99="FACTURA",E99*1,IF(F99=$I$3,E99/0.92,))</f>
        <v>0</v>
      </c>
    </row>
    <row r="100" spans="1:7" x14ac:dyDescent="0.25">
      <c r="A100" s="362"/>
      <c r="B100" s="352"/>
      <c r="C100" s="353"/>
      <c r="D100" s="354"/>
      <c r="E100" s="355">
        <f t="shared" si="1"/>
        <v>0</v>
      </c>
      <c r="F100" s="357" t="s">
        <v>14</v>
      </c>
      <c r="G100" s="344">
        <f>IF(F100="FACTURA",E100*1,IF(F100=$I$3,E100/0.92,))</f>
        <v>0</v>
      </c>
    </row>
    <row r="101" spans="1:7" x14ac:dyDescent="0.25">
      <c r="A101" s="362"/>
      <c r="B101" s="352"/>
      <c r="C101" s="353"/>
      <c r="D101" s="354"/>
      <c r="E101" s="355">
        <f t="shared" si="1"/>
        <v>0</v>
      </c>
      <c r="F101" s="357" t="s">
        <v>1492</v>
      </c>
      <c r="G101" s="344">
        <f>IF(F101="FACTURA",E101*1,IF(F101=$I$3,E101/0.92,))</f>
        <v>0</v>
      </c>
    </row>
    <row r="102" spans="1:7" x14ac:dyDescent="0.25">
      <c r="A102" s="362"/>
      <c r="B102" s="352"/>
      <c r="C102" s="353"/>
      <c r="D102" s="354"/>
      <c r="E102" s="355">
        <f t="shared" si="1"/>
        <v>0</v>
      </c>
      <c r="F102" s="357" t="s">
        <v>14</v>
      </c>
      <c r="G102" s="344">
        <f>IF(F102="FACTURA",E102*1,IF(F102=$I$3,E102/0.92,))</f>
        <v>0</v>
      </c>
    </row>
    <row r="103" spans="1:7" ht="15.75" thickBot="1" x14ac:dyDescent="0.3">
      <c r="A103" s="363"/>
      <c r="B103" s="359"/>
      <c r="C103" s="353"/>
      <c r="D103" s="354"/>
      <c r="E103" s="360">
        <f t="shared" si="1"/>
        <v>0</v>
      </c>
      <c r="F103" s="361" t="s">
        <v>14</v>
      </c>
      <c r="G103" s="344">
        <f>IF(F103="FACTURA",E103*1,IF(F103=$I$3,E103/0.92,))</f>
        <v>0</v>
      </c>
    </row>
    <row r="104" spans="1:7" ht="15.75" thickBot="1" x14ac:dyDescent="0.3">
      <c r="A104" s="350">
        <v>6.2</v>
      </c>
      <c r="B104" s="475" t="s">
        <v>1471</v>
      </c>
      <c r="C104" s="476"/>
      <c r="D104" s="476"/>
      <c r="E104" s="476"/>
      <c r="F104" s="477"/>
      <c r="G104" s="342">
        <f>SUM(G105:G109)</f>
        <v>10.760869565217391</v>
      </c>
    </row>
    <row r="105" spans="1:7" x14ac:dyDescent="0.25">
      <c r="A105" s="351"/>
      <c r="B105" s="352" t="s">
        <v>1574</v>
      </c>
      <c r="C105" s="353">
        <v>1</v>
      </c>
      <c r="D105" s="354">
        <v>9.9</v>
      </c>
      <c r="E105" s="354">
        <f t="shared" si="1"/>
        <v>9.9</v>
      </c>
      <c r="F105" s="356" t="s">
        <v>1492</v>
      </c>
      <c r="G105" s="344">
        <f>IF(F105="FACTURA",E105*1,IF(F105=$I$3,E105/0.92,))</f>
        <v>10.760869565217391</v>
      </c>
    </row>
    <row r="106" spans="1:7" x14ac:dyDescent="0.25">
      <c r="A106" s="362"/>
      <c r="B106" s="352"/>
      <c r="C106" s="353"/>
      <c r="D106" s="354"/>
      <c r="E106" s="355">
        <f t="shared" si="1"/>
        <v>0</v>
      </c>
      <c r="F106" s="357" t="s">
        <v>14</v>
      </c>
      <c r="G106" s="344">
        <f>IF(F106="FACTURA",E106*1,IF(F106=$I$3,E106/0.92,))</f>
        <v>0</v>
      </c>
    </row>
    <row r="107" spans="1:7" x14ac:dyDescent="0.25">
      <c r="A107" s="362"/>
      <c r="B107" s="352"/>
      <c r="C107" s="353"/>
      <c r="D107" s="354"/>
      <c r="E107" s="355">
        <f t="shared" si="1"/>
        <v>0</v>
      </c>
      <c r="F107" s="357" t="s">
        <v>14</v>
      </c>
      <c r="G107" s="344">
        <f>IF(F107="FACTURA",E107*1,IF(F107=$I$3,E107/0.92,))</f>
        <v>0</v>
      </c>
    </row>
    <row r="108" spans="1:7" x14ac:dyDescent="0.25">
      <c r="A108" s="362"/>
      <c r="B108" s="352"/>
      <c r="C108" s="353"/>
      <c r="D108" s="354"/>
      <c r="E108" s="355">
        <f t="shared" si="1"/>
        <v>0</v>
      </c>
      <c r="F108" s="357" t="s">
        <v>1492</v>
      </c>
      <c r="G108" s="344">
        <f>IF(F108="FACTURA",E108*1,IF(F108=$I$3,E108/0.92,))</f>
        <v>0</v>
      </c>
    </row>
    <row r="109" spans="1:7" ht="15.75" thickBot="1" x14ac:dyDescent="0.3">
      <c r="A109" s="363"/>
      <c r="B109" s="359"/>
      <c r="C109" s="353"/>
      <c r="D109" s="354"/>
      <c r="E109" s="360">
        <f t="shared" si="1"/>
        <v>0</v>
      </c>
      <c r="F109" s="361" t="s">
        <v>14</v>
      </c>
      <c r="G109" s="344">
        <f>IF(F109="FACTURA",E109*1,IF(F109=$I$3,E109/0.92,))</f>
        <v>0</v>
      </c>
    </row>
    <row r="110" spans="1:7" ht="15.75" thickBot="1" x14ac:dyDescent="0.3">
      <c r="A110" s="350">
        <v>6.3</v>
      </c>
      <c r="B110" s="475" t="s">
        <v>1402</v>
      </c>
      <c r="C110" s="476"/>
      <c r="D110" s="476"/>
      <c r="E110" s="476"/>
      <c r="F110" s="477"/>
      <c r="G110" s="342">
        <f>SUM(G111:G115)</f>
        <v>0</v>
      </c>
    </row>
    <row r="111" spans="1:7" x14ac:dyDescent="0.25">
      <c r="A111" s="351"/>
      <c r="B111" s="352"/>
      <c r="C111" s="353"/>
      <c r="D111" s="354"/>
      <c r="E111" s="354">
        <f t="shared" si="1"/>
        <v>0</v>
      </c>
      <c r="F111" s="356" t="s">
        <v>14</v>
      </c>
      <c r="G111" s="344">
        <f>IF(F111="FACTURA",E111*1,IF(F111=$I$3,E111/0.92,))</f>
        <v>0</v>
      </c>
    </row>
    <row r="112" spans="1:7" x14ac:dyDescent="0.25">
      <c r="A112" s="362"/>
      <c r="B112" s="352"/>
      <c r="C112" s="353"/>
      <c r="D112" s="354"/>
      <c r="E112" s="355">
        <f t="shared" si="1"/>
        <v>0</v>
      </c>
      <c r="F112" s="357" t="s">
        <v>14</v>
      </c>
      <c r="G112" s="344">
        <f>IF(F112="FACTURA",E112*1,IF(F112=$I$3,E112/0.92,))</f>
        <v>0</v>
      </c>
    </row>
    <row r="113" spans="1:7" x14ac:dyDescent="0.25">
      <c r="A113" s="362"/>
      <c r="B113" s="352"/>
      <c r="C113" s="353"/>
      <c r="D113" s="354"/>
      <c r="E113" s="355">
        <f t="shared" si="1"/>
        <v>0</v>
      </c>
      <c r="F113" s="357" t="s">
        <v>1492</v>
      </c>
      <c r="G113" s="344">
        <f>IF(F113="FACTURA",E113*1,IF(F113=$I$3,E113/0.92,))</f>
        <v>0</v>
      </c>
    </row>
    <row r="114" spans="1:7" x14ac:dyDescent="0.25">
      <c r="A114" s="362"/>
      <c r="B114" s="352"/>
      <c r="C114" s="353"/>
      <c r="D114" s="354"/>
      <c r="E114" s="355">
        <f t="shared" si="1"/>
        <v>0</v>
      </c>
      <c r="F114" s="357" t="s">
        <v>14</v>
      </c>
      <c r="G114" s="344">
        <f>IF(F114="FACTURA",E114*1,IF(F114=$I$3,E114/0.92,))</f>
        <v>0</v>
      </c>
    </row>
    <row r="115" spans="1:7" ht="15.75" thickBot="1" x14ac:dyDescent="0.3">
      <c r="A115" s="363"/>
      <c r="B115" s="359"/>
      <c r="C115" s="353"/>
      <c r="D115" s="354"/>
      <c r="E115" s="360">
        <f t="shared" si="1"/>
        <v>0</v>
      </c>
      <c r="F115" s="361" t="s">
        <v>14</v>
      </c>
      <c r="G115" s="344">
        <f>IF(F115="FACTURA",E115*1,IF(F115=$I$3,E115/0.92,))</f>
        <v>0</v>
      </c>
    </row>
    <row r="116" spans="1:7" ht="15.75" thickBot="1" x14ac:dyDescent="0.3">
      <c r="A116" s="350">
        <v>6.4</v>
      </c>
      <c r="B116" s="475" t="s">
        <v>1472</v>
      </c>
      <c r="C116" s="476"/>
      <c r="D116" s="476"/>
      <c r="E116" s="476"/>
      <c r="F116" s="477"/>
      <c r="G116" s="342">
        <f>SUM(G117:G121)</f>
        <v>0</v>
      </c>
    </row>
    <row r="117" spans="1:7" x14ac:dyDescent="0.25">
      <c r="A117" s="351"/>
      <c r="B117" s="352"/>
      <c r="C117" s="353"/>
      <c r="D117" s="354"/>
      <c r="E117" s="354">
        <f t="shared" si="1"/>
        <v>0</v>
      </c>
      <c r="F117" s="356" t="s">
        <v>14</v>
      </c>
      <c r="G117" s="344">
        <f>IF(F117="FACTURA",E117*1,IF(F117=$I$3,E117/0.92,))</f>
        <v>0</v>
      </c>
    </row>
    <row r="118" spans="1:7" x14ac:dyDescent="0.25">
      <c r="A118" s="362"/>
      <c r="B118" s="352"/>
      <c r="C118" s="353"/>
      <c r="D118" s="354"/>
      <c r="E118" s="355">
        <f t="shared" si="1"/>
        <v>0</v>
      </c>
      <c r="F118" s="357" t="s">
        <v>14</v>
      </c>
      <c r="G118" s="344">
        <f>IF(F118="FACTURA",E118*1,IF(F118=$I$3,E118/0.92,))</f>
        <v>0</v>
      </c>
    </row>
    <row r="119" spans="1:7" x14ac:dyDescent="0.25">
      <c r="A119" s="362"/>
      <c r="B119" s="352"/>
      <c r="C119" s="353"/>
      <c r="D119" s="354"/>
      <c r="E119" s="355">
        <f t="shared" si="1"/>
        <v>0</v>
      </c>
      <c r="F119" s="357" t="s">
        <v>1492</v>
      </c>
      <c r="G119" s="344">
        <f>IF(F119="FACTURA",E119*1,IF(F119=$I$3,E119/0.92,))</f>
        <v>0</v>
      </c>
    </row>
    <row r="120" spans="1:7" x14ac:dyDescent="0.25">
      <c r="A120" s="362"/>
      <c r="B120" s="352"/>
      <c r="C120" s="353"/>
      <c r="D120" s="354"/>
      <c r="E120" s="355">
        <f t="shared" si="1"/>
        <v>0</v>
      </c>
      <c r="F120" s="357" t="s">
        <v>14</v>
      </c>
      <c r="G120" s="344">
        <f>IF(F120="FACTURA",E120*1,IF(F120=$I$3,E120/0.92,))</f>
        <v>0</v>
      </c>
    </row>
    <row r="121" spans="1:7" ht="15.75" thickBot="1" x14ac:dyDescent="0.3">
      <c r="A121" s="363"/>
      <c r="B121" s="359"/>
      <c r="C121" s="372"/>
      <c r="D121" s="354"/>
      <c r="E121" s="360">
        <f t="shared" si="1"/>
        <v>0</v>
      </c>
      <c r="F121" s="361" t="s">
        <v>14</v>
      </c>
      <c r="G121" s="344">
        <f>IF(F121="FACTURA",E121*1,IF(F121=$I$3,E121/0.92,))</f>
        <v>0</v>
      </c>
    </row>
    <row r="122" spans="1:7" ht="15.75" thickBot="1" x14ac:dyDescent="0.3">
      <c r="A122" s="350">
        <v>6.5</v>
      </c>
      <c r="B122" s="475" t="s">
        <v>1473</v>
      </c>
      <c r="C122" s="476"/>
      <c r="D122" s="476"/>
      <c r="E122" s="476"/>
      <c r="F122" s="477"/>
      <c r="G122" s="342">
        <f>SUM(G123:G127)</f>
        <v>0</v>
      </c>
    </row>
    <row r="123" spans="1:7" x14ac:dyDescent="0.25">
      <c r="A123" s="351"/>
      <c r="B123" s="352" t="s">
        <v>1474</v>
      </c>
      <c r="C123" s="353"/>
      <c r="D123" s="354"/>
      <c r="E123" s="354">
        <f t="shared" si="1"/>
        <v>0</v>
      </c>
      <c r="F123" s="356" t="s">
        <v>14</v>
      </c>
      <c r="G123" s="344">
        <f>IF(F123="FACTURA",E123*1,IF(F123=$I$3,E123/0.92,))</f>
        <v>0</v>
      </c>
    </row>
    <row r="124" spans="1:7" x14ac:dyDescent="0.25">
      <c r="A124" s="362"/>
      <c r="B124" s="352"/>
      <c r="C124" s="353"/>
      <c r="D124" s="354"/>
      <c r="E124" s="355">
        <f t="shared" si="1"/>
        <v>0</v>
      </c>
      <c r="F124" s="357" t="s">
        <v>14</v>
      </c>
      <c r="G124" s="344">
        <f>IF(F124="FACTURA",E124*1,IF(F124=$I$3,E124/0.92,))</f>
        <v>0</v>
      </c>
    </row>
    <row r="125" spans="1:7" x14ac:dyDescent="0.25">
      <c r="A125" s="362"/>
      <c r="B125" s="352"/>
      <c r="C125" s="353"/>
      <c r="D125" s="354"/>
      <c r="E125" s="355">
        <f t="shared" si="1"/>
        <v>0</v>
      </c>
      <c r="F125" s="357" t="s">
        <v>1492</v>
      </c>
      <c r="G125" s="344">
        <f>IF(F125="FACTURA",E125*1,IF(F125=$I$3,E125/0.92,))</f>
        <v>0</v>
      </c>
    </row>
    <row r="126" spans="1:7" x14ac:dyDescent="0.25">
      <c r="A126" s="362"/>
      <c r="B126" s="352"/>
      <c r="C126" s="353"/>
      <c r="D126" s="354"/>
      <c r="E126" s="355">
        <f t="shared" si="1"/>
        <v>0</v>
      </c>
      <c r="F126" s="357" t="s">
        <v>14</v>
      </c>
      <c r="G126" s="344">
        <f>IF(F126="FACTURA",E126*1,IF(F126=$I$3,E126/0.92,))</f>
        <v>0</v>
      </c>
    </row>
    <row r="127" spans="1:7" ht="15.75" thickBot="1" x14ac:dyDescent="0.3">
      <c r="A127" s="363"/>
      <c r="B127" s="359"/>
      <c r="C127" s="353"/>
      <c r="D127" s="354"/>
      <c r="E127" s="360">
        <f t="shared" si="1"/>
        <v>0</v>
      </c>
      <c r="F127" s="361" t="s">
        <v>14</v>
      </c>
      <c r="G127" s="344">
        <f>IF(F127="FACTURA",E127*1,IF(F127=$I$3,E127/0.92,))</f>
        <v>0</v>
      </c>
    </row>
    <row r="128" spans="1:7" ht="15.75" thickBot="1" x14ac:dyDescent="0.3">
      <c r="A128" s="350">
        <v>6.6</v>
      </c>
      <c r="B128" s="475" t="s">
        <v>1475</v>
      </c>
      <c r="C128" s="476"/>
      <c r="D128" s="476"/>
      <c r="E128" s="476"/>
      <c r="F128" s="477"/>
      <c r="G128" s="342">
        <f>SUM(G129:G133)</f>
        <v>0</v>
      </c>
    </row>
    <row r="129" spans="1:7" x14ac:dyDescent="0.25">
      <c r="A129" s="351"/>
      <c r="B129" s="352"/>
      <c r="C129" s="353"/>
      <c r="D129" s="354"/>
      <c r="E129" s="354">
        <f t="shared" si="1"/>
        <v>0</v>
      </c>
      <c r="F129" s="356" t="s">
        <v>14</v>
      </c>
      <c r="G129" s="344">
        <f>IF(F129="FACTURA",E129*1,IF(F129=$I$3,E129/0.92,))</f>
        <v>0</v>
      </c>
    </row>
    <row r="130" spans="1:7" x14ac:dyDescent="0.25">
      <c r="A130" s="362"/>
      <c r="B130" s="352"/>
      <c r="C130" s="353"/>
      <c r="D130" s="354"/>
      <c r="E130" s="355">
        <f t="shared" si="1"/>
        <v>0</v>
      </c>
      <c r="F130" s="357" t="s">
        <v>14</v>
      </c>
      <c r="G130" s="344">
        <f>IF(F130="FACTURA",E130*1,IF(F130=$I$3,E130/0.92,))</f>
        <v>0</v>
      </c>
    </row>
    <row r="131" spans="1:7" x14ac:dyDescent="0.25">
      <c r="A131" s="362"/>
      <c r="B131" s="352"/>
      <c r="C131" s="353"/>
      <c r="D131" s="354"/>
      <c r="E131" s="355">
        <f t="shared" si="1"/>
        <v>0</v>
      </c>
      <c r="F131" s="357" t="s">
        <v>1492</v>
      </c>
      <c r="G131" s="344">
        <f>IF(F131="FACTURA",E131*1,IF(F131=$I$3,E131/0.92,))</f>
        <v>0</v>
      </c>
    </row>
    <row r="132" spans="1:7" x14ac:dyDescent="0.25">
      <c r="A132" s="362"/>
      <c r="B132" s="352"/>
      <c r="C132" s="353"/>
      <c r="D132" s="354"/>
      <c r="E132" s="355">
        <f t="shared" si="1"/>
        <v>0</v>
      </c>
      <c r="F132" s="357" t="s">
        <v>14</v>
      </c>
      <c r="G132" s="344">
        <f>IF(F132="FACTURA",E132*1,IF(F132=$I$3,E132/0.92,))</f>
        <v>0</v>
      </c>
    </row>
    <row r="133" spans="1:7" ht="15.75" thickBot="1" x14ac:dyDescent="0.3">
      <c r="A133" s="363"/>
      <c r="B133" s="359"/>
      <c r="C133" s="353"/>
      <c r="D133" s="354"/>
      <c r="E133" s="360">
        <f t="shared" si="1"/>
        <v>0</v>
      </c>
      <c r="F133" s="361" t="s">
        <v>14</v>
      </c>
      <c r="G133" s="344">
        <f>IF(F133="FACTURA",E133*1,IF(F133=$I$3,E133/0.92,))</f>
        <v>0</v>
      </c>
    </row>
    <row r="134" spans="1:7" ht="15.75" thickBot="1" x14ac:dyDescent="0.3">
      <c r="A134" s="350">
        <v>6.7</v>
      </c>
      <c r="B134" s="475" t="s">
        <v>1476</v>
      </c>
      <c r="C134" s="476"/>
      <c r="D134" s="476"/>
      <c r="E134" s="476"/>
      <c r="F134" s="477"/>
      <c r="G134" s="342">
        <f>SUM(G135:G139)</f>
        <v>0</v>
      </c>
    </row>
    <row r="135" spans="1:7" x14ac:dyDescent="0.25">
      <c r="A135" s="364"/>
      <c r="B135" s="352"/>
      <c r="C135" s="353"/>
      <c r="D135" s="354"/>
      <c r="E135" s="354">
        <f t="shared" si="1"/>
        <v>0</v>
      </c>
      <c r="F135" s="356" t="s">
        <v>14</v>
      </c>
      <c r="G135" s="344">
        <f>IF(F135="FACTURA",E135*1,IF(F135=$I$3,E135/0.92,))</f>
        <v>0</v>
      </c>
    </row>
    <row r="136" spans="1:7" x14ac:dyDescent="0.25">
      <c r="A136" s="365"/>
      <c r="B136" s="352"/>
      <c r="C136" s="353"/>
      <c r="D136" s="354"/>
      <c r="E136" s="355">
        <f t="shared" si="1"/>
        <v>0</v>
      </c>
      <c r="F136" s="357" t="s">
        <v>1492</v>
      </c>
      <c r="G136" s="344">
        <f>IF(F136="FACTURA",E136*1,IF(F136=$I$3,E136/0.92,))</f>
        <v>0</v>
      </c>
    </row>
    <row r="137" spans="1:7" x14ac:dyDescent="0.25">
      <c r="A137" s="365"/>
      <c r="B137" s="352"/>
      <c r="C137" s="353"/>
      <c r="D137" s="354"/>
      <c r="E137" s="355">
        <f t="shared" si="1"/>
        <v>0</v>
      </c>
      <c r="F137" s="357" t="s">
        <v>14</v>
      </c>
      <c r="G137" s="344">
        <f>IF(F137="FACTURA",E137*1,IF(F137=$I$3,E137/0.92,))</f>
        <v>0</v>
      </c>
    </row>
    <row r="138" spans="1:7" x14ac:dyDescent="0.25">
      <c r="A138" s="365"/>
      <c r="B138" s="352"/>
      <c r="C138" s="353"/>
      <c r="D138" s="354"/>
      <c r="E138" s="355">
        <f t="shared" si="1"/>
        <v>0</v>
      </c>
      <c r="F138" s="357" t="s">
        <v>14</v>
      </c>
      <c r="G138" s="344">
        <f>IF(F138="FACTURA",E138*1,IF(F138=$I$3,E138/0.92,))</f>
        <v>0</v>
      </c>
    </row>
    <row r="139" spans="1:7" ht="15.75" thickBot="1" x14ac:dyDescent="0.3">
      <c r="A139" s="366"/>
      <c r="B139" s="359"/>
      <c r="C139" s="353"/>
      <c r="D139" s="354"/>
      <c r="E139" s="360">
        <f t="shared" ref="E139:E194" si="2">+D139*C139</f>
        <v>0</v>
      </c>
      <c r="F139" s="361" t="s">
        <v>14</v>
      </c>
      <c r="G139" s="344">
        <f>IF(F139="FACTURA",E139*1,IF(F139=$I$3,E139/0.92,))</f>
        <v>0</v>
      </c>
    </row>
    <row r="140" spans="1:7" ht="15.75" thickBot="1" x14ac:dyDescent="0.3">
      <c r="A140" s="348">
        <v>7</v>
      </c>
      <c r="B140" s="471" t="s">
        <v>1477</v>
      </c>
      <c r="C140" s="472"/>
      <c r="D140" s="472"/>
      <c r="E140" s="472"/>
      <c r="F140" s="473"/>
      <c r="G140" s="342">
        <f>G141+G147+G153+G159+G165+G171+G177+G183+G189</f>
        <v>0</v>
      </c>
    </row>
    <row r="141" spans="1:7" ht="15.75" thickBot="1" x14ac:dyDescent="0.3">
      <c r="A141" s="350">
        <v>7.1</v>
      </c>
      <c r="B141" s="475" t="s">
        <v>1478</v>
      </c>
      <c r="C141" s="476"/>
      <c r="D141" s="476"/>
      <c r="E141" s="476"/>
      <c r="F141" s="477"/>
      <c r="G141" s="342">
        <f>SUM(G142:G146)</f>
        <v>0</v>
      </c>
    </row>
    <row r="142" spans="1:7" x14ac:dyDescent="0.25">
      <c r="A142" s="351"/>
      <c r="B142" s="352"/>
      <c r="C142" s="353"/>
      <c r="D142" s="354"/>
      <c r="E142" s="354">
        <f t="shared" si="2"/>
        <v>0</v>
      </c>
      <c r="F142" s="356" t="s">
        <v>14</v>
      </c>
      <c r="G142" s="344">
        <f>IF(F142="FACTURA",E142*1,IF(F142=$I$3,E142/0.845,))</f>
        <v>0</v>
      </c>
    </row>
    <row r="143" spans="1:7" x14ac:dyDescent="0.25">
      <c r="A143" s="362"/>
      <c r="B143" s="352"/>
      <c r="C143" s="353"/>
      <c r="D143" s="354"/>
      <c r="E143" s="355">
        <f t="shared" si="2"/>
        <v>0</v>
      </c>
      <c r="F143" s="357" t="s">
        <v>14</v>
      </c>
      <c r="G143" s="344">
        <f>IF(F143="FACTURA",E143*1,IF(F143=$I$3,E143/0.845,))</f>
        <v>0</v>
      </c>
    </row>
    <row r="144" spans="1:7" x14ac:dyDescent="0.25">
      <c r="A144" s="362"/>
      <c r="B144" s="352"/>
      <c r="C144" s="353"/>
      <c r="D144" s="354"/>
      <c r="E144" s="355">
        <f t="shared" si="2"/>
        <v>0</v>
      </c>
      <c r="F144" s="357" t="s">
        <v>1492</v>
      </c>
      <c r="G144" s="344">
        <f>IF(F144="FACTURA",E144*1,IF(F144=$I$3,E144/0.845,))</f>
        <v>0</v>
      </c>
    </row>
    <row r="145" spans="1:7" x14ac:dyDescent="0.25">
      <c r="A145" s="362"/>
      <c r="B145" s="352"/>
      <c r="C145" s="353"/>
      <c r="D145" s="354"/>
      <c r="E145" s="355">
        <f t="shared" si="2"/>
        <v>0</v>
      </c>
      <c r="F145" s="357" t="s">
        <v>14</v>
      </c>
      <c r="G145" s="344">
        <f>IF(F145="FACTURA",E145*1,IF(F145=$I$3,E145/0.845,))</f>
        <v>0</v>
      </c>
    </row>
    <row r="146" spans="1:7" ht="15.75" thickBot="1" x14ac:dyDescent="0.3">
      <c r="A146" s="363"/>
      <c r="B146" s="359"/>
      <c r="C146" s="353"/>
      <c r="D146" s="354"/>
      <c r="E146" s="360">
        <f t="shared" si="2"/>
        <v>0</v>
      </c>
      <c r="F146" s="361" t="s">
        <v>14</v>
      </c>
      <c r="G146" s="344">
        <f>IF(F146="FACTURA",E146*1,IF(F146=$I$3,E146/0.845,))</f>
        <v>0</v>
      </c>
    </row>
    <row r="147" spans="1:7" ht="15.75" thickBot="1" x14ac:dyDescent="0.3">
      <c r="A147" s="350">
        <v>7.2</v>
      </c>
      <c r="B147" s="475" t="s">
        <v>1479</v>
      </c>
      <c r="C147" s="476"/>
      <c r="D147" s="476"/>
      <c r="E147" s="476"/>
      <c r="F147" s="477"/>
      <c r="G147" s="342">
        <f>SUM(G148:G152)</f>
        <v>0</v>
      </c>
    </row>
    <row r="148" spans="1:7" x14ac:dyDescent="0.25">
      <c r="A148" s="351"/>
      <c r="B148" s="352"/>
      <c r="C148" s="353"/>
      <c r="D148" s="354"/>
      <c r="E148" s="354">
        <f t="shared" si="2"/>
        <v>0</v>
      </c>
      <c r="F148" s="356" t="s">
        <v>14</v>
      </c>
      <c r="G148" s="344">
        <f>IF(F148="FACTURA",E148*1,IF(F148=$I$3,E148/0.845,))</f>
        <v>0</v>
      </c>
    </row>
    <row r="149" spans="1:7" x14ac:dyDescent="0.25">
      <c r="A149" s="362"/>
      <c r="B149" s="352"/>
      <c r="C149" s="353"/>
      <c r="D149" s="354"/>
      <c r="E149" s="355">
        <f t="shared" si="2"/>
        <v>0</v>
      </c>
      <c r="F149" s="357" t="s">
        <v>14</v>
      </c>
      <c r="G149" s="344">
        <f>IF(F149="FACTURA",E149*1,IF(F149=$I$3,E149/0.845,))</f>
        <v>0</v>
      </c>
    </row>
    <row r="150" spans="1:7" x14ac:dyDescent="0.25">
      <c r="A150" s="362"/>
      <c r="B150" s="352"/>
      <c r="C150" s="353"/>
      <c r="D150" s="354"/>
      <c r="E150" s="355">
        <f t="shared" si="2"/>
        <v>0</v>
      </c>
      <c r="F150" s="357" t="s">
        <v>14</v>
      </c>
      <c r="G150" s="344">
        <f>IF(F150="FACTURA",E150*1,IF(F150=$I$3,E150/0.845,))</f>
        <v>0</v>
      </c>
    </row>
    <row r="151" spans="1:7" x14ac:dyDescent="0.25">
      <c r="A151" s="362"/>
      <c r="B151" s="352"/>
      <c r="C151" s="353"/>
      <c r="D151" s="354"/>
      <c r="E151" s="355">
        <f t="shared" si="2"/>
        <v>0</v>
      </c>
      <c r="F151" s="357" t="s">
        <v>1492</v>
      </c>
      <c r="G151" s="344">
        <f>IF(F151="FACTURA",E151*1,IF(F151=$I$3,E151/0.845,))</f>
        <v>0</v>
      </c>
    </row>
    <row r="152" spans="1:7" ht="15.75" thickBot="1" x14ac:dyDescent="0.3">
      <c r="A152" s="363"/>
      <c r="B152" s="359"/>
      <c r="C152" s="353"/>
      <c r="D152" s="354"/>
      <c r="E152" s="360">
        <f t="shared" si="2"/>
        <v>0</v>
      </c>
      <c r="F152" s="361" t="s">
        <v>14</v>
      </c>
      <c r="G152" s="344">
        <f>IF(F152="FACTURA",E152*1,IF(F152=$I$3,E152/0.845,))</f>
        <v>0</v>
      </c>
    </row>
    <row r="153" spans="1:7" ht="15.75" thickBot="1" x14ac:dyDescent="0.3">
      <c r="A153" s="350">
        <v>7.3</v>
      </c>
      <c r="B153" s="475" t="s">
        <v>1480</v>
      </c>
      <c r="C153" s="476"/>
      <c r="D153" s="476"/>
      <c r="E153" s="476"/>
      <c r="F153" s="477"/>
      <c r="G153" s="342">
        <f>SUM(G154:G158)</f>
        <v>0</v>
      </c>
    </row>
    <row r="154" spans="1:7" x14ac:dyDescent="0.25">
      <c r="A154" s="351"/>
      <c r="B154" s="352"/>
      <c r="C154" s="353"/>
      <c r="D154" s="354"/>
      <c r="E154" s="354">
        <f t="shared" si="2"/>
        <v>0</v>
      </c>
      <c r="F154" s="356" t="s">
        <v>14</v>
      </c>
      <c r="G154" s="344">
        <f>IF(F154="FACTURA",E154*1,IF(F154=$I$3,E154/0.845,))</f>
        <v>0</v>
      </c>
    </row>
    <row r="155" spans="1:7" x14ac:dyDescent="0.25">
      <c r="A155" s="362"/>
      <c r="B155" s="352"/>
      <c r="C155" s="353"/>
      <c r="D155" s="354"/>
      <c r="E155" s="355">
        <f t="shared" si="2"/>
        <v>0</v>
      </c>
      <c r="F155" s="357" t="s">
        <v>14</v>
      </c>
      <c r="G155" s="344">
        <f>IF(F155="FACTURA",E155*1,IF(F155=$I$3,E155/0.845,))</f>
        <v>0</v>
      </c>
    </row>
    <row r="156" spans="1:7" x14ac:dyDescent="0.25">
      <c r="A156" s="362"/>
      <c r="B156" s="352"/>
      <c r="C156" s="353"/>
      <c r="D156" s="354"/>
      <c r="E156" s="355">
        <f t="shared" si="2"/>
        <v>0</v>
      </c>
      <c r="F156" s="357" t="s">
        <v>1492</v>
      </c>
      <c r="G156" s="344">
        <f>IF(F156="FACTURA",E156*1,IF(F156=$I$3,E156/0.845,))</f>
        <v>0</v>
      </c>
    </row>
    <row r="157" spans="1:7" x14ac:dyDescent="0.25">
      <c r="A157" s="362"/>
      <c r="B157" s="352"/>
      <c r="C157" s="353"/>
      <c r="D157" s="354"/>
      <c r="E157" s="355">
        <f t="shared" si="2"/>
        <v>0</v>
      </c>
      <c r="F157" s="357" t="s">
        <v>14</v>
      </c>
      <c r="G157" s="344">
        <f>IF(F157="FACTURA",E157*1,IF(F157=$I$3,E157/0.845,))</f>
        <v>0</v>
      </c>
    </row>
    <row r="158" spans="1:7" ht="15.75" thickBot="1" x14ac:dyDescent="0.3">
      <c r="A158" s="363"/>
      <c r="B158" s="359"/>
      <c r="C158" s="353"/>
      <c r="D158" s="354"/>
      <c r="E158" s="360">
        <f t="shared" si="2"/>
        <v>0</v>
      </c>
      <c r="F158" s="361" t="s">
        <v>14</v>
      </c>
      <c r="G158" s="344">
        <f>IF(F158="FACTURA",E158*1,IF(F158=$I$3,E158/0.845,))</f>
        <v>0</v>
      </c>
    </row>
    <row r="159" spans="1:7" ht="15.75" thickBot="1" x14ac:dyDescent="0.3">
      <c r="A159" s="350">
        <v>7.4</v>
      </c>
      <c r="B159" s="475" t="s">
        <v>1481</v>
      </c>
      <c r="C159" s="476"/>
      <c r="D159" s="476"/>
      <c r="E159" s="476"/>
      <c r="F159" s="477"/>
      <c r="G159" s="342">
        <f>SUM(G160:G164)</f>
        <v>0</v>
      </c>
    </row>
    <row r="160" spans="1:7" x14ac:dyDescent="0.25">
      <c r="A160" s="351"/>
      <c r="B160" s="352"/>
      <c r="C160" s="353"/>
      <c r="D160" s="354"/>
      <c r="E160" s="354">
        <f t="shared" si="2"/>
        <v>0</v>
      </c>
      <c r="F160" s="356" t="s">
        <v>14</v>
      </c>
      <c r="G160" s="344">
        <f>IF(F160="FACTURA",E160*1,IF(F160=$I$3,E160/0.845,))</f>
        <v>0</v>
      </c>
    </row>
    <row r="161" spans="1:7" x14ac:dyDescent="0.25">
      <c r="A161" s="362"/>
      <c r="B161" s="352"/>
      <c r="C161" s="353"/>
      <c r="D161" s="354"/>
      <c r="E161" s="355">
        <f t="shared" si="2"/>
        <v>0</v>
      </c>
      <c r="F161" s="357" t="s">
        <v>14</v>
      </c>
      <c r="G161" s="344">
        <f>IF(F161="FACTURA",E161*1,IF(F161=$I$3,E161/0.845,))</f>
        <v>0</v>
      </c>
    </row>
    <row r="162" spans="1:7" x14ac:dyDescent="0.25">
      <c r="A162" s="362"/>
      <c r="B162" s="352"/>
      <c r="C162" s="353"/>
      <c r="D162" s="354"/>
      <c r="E162" s="355">
        <f t="shared" si="2"/>
        <v>0</v>
      </c>
      <c r="F162" s="357" t="s">
        <v>14</v>
      </c>
      <c r="G162" s="344">
        <f>IF(F162="FACTURA",E162*1,IF(F162=$I$3,E162/0.845,))</f>
        <v>0</v>
      </c>
    </row>
    <row r="163" spans="1:7" x14ac:dyDescent="0.25">
      <c r="A163" s="362"/>
      <c r="B163" s="352"/>
      <c r="C163" s="353"/>
      <c r="D163" s="354"/>
      <c r="E163" s="355">
        <f t="shared" si="2"/>
        <v>0</v>
      </c>
      <c r="F163" s="357" t="s">
        <v>14</v>
      </c>
      <c r="G163" s="344">
        <f>IF(F163="FACTURA",E163*1,IF(F163=$I$3,E163/0.845,))</f>
        <v>0</v>
      </c>
    </row>
    <row r="164" spans="1:7" ht="15.75" thickBot="1" x14ac:dyDescent="0.3">
      <c r="A164" s="363"/>
      <c r="B164" s="359"/>
      <c r="C164" s="353"/>
      <c r="D164" s="354"/>
      <c r="E164" s="360">
        <f t="shared" si="2"/>
        <v>0</v>
      </c>
      <c r="F164" s="361" t="s">
        <v>1492</v>
      </c>
      <c r="G164" s="344">
        <f>IF(F164="FACTURA",E164*1,IF(F164=$I$3,E164/0.845,))</f>
        <v>0</v>
      </c>
    </row>
    <row r="165" spans="1:7" ht="15.75" thickBot="1" x14ac:dyDescent="0.3">
      <c r="A165" s="350">
        <v>7.5</v>
      </c>
      <c r="B165" s="475" t="s">
        <v>1482</v>
      </c>
      <c r="C165" s="476"/>
      <c r="D165" s="476"/>
      <c r="E165" s="476"/>
      <c r="F165" s="477"/>
      <c r="G165" s="342">
        <f>SUM(G166:G170)</f>
        <v>0</v>
      </c>
    </row>
    <row r="166" spans="1:7" x14ac:dyDescent="0.25">
      <c r="A166" s="351"/>
      <c r="B166" s="352"/>
      <c r="C166" s="353"/>
      <c r="D166" s="354"/>
      <c r="E166" s="354">
        <f t="shared" si="2"/>
        <v>0</v>
      </c>
      <c r="F166" s="356" t="s">
        <v>14</v>
      </c>
      <c r="G166" s="344">
        <f>IF(F166="FACTURA",E166*1,IF(F166=$I$3,E166/0.845,))</f>
        <v>0</v>
      </c>
    </row>
    <row r="167" spans="1:7" x14ac:dyDescent="0.25">
      <c r="A167" s="362"/>
      <c r="B167" s="352"/>
      <c r="C167" s="353"/>
      <c r="D167" s="354"/>
      <c r="E167" s="355">
        <f t="shared" si="2"/>
        <v>0</v>
      </c>
      <c r="F167" s="357" t="s">
        <v>14</v>
      </c>
      <c r="G167" s="344">
        <f>IF(F167="FACTURA",E167*1,IF(F167=$I$3,E167/0.845,))</f>
        <v>0</v>
      </c>
    </row>
    <row r="168" spans="1:7" x14ac:dyDescent="0.25">
      <c r="A168" s="362"/>
      <c r="B168" s="352"/>
      <c r="C168" s="353"/>
      <c r="D168" s="354"/>
      <c r="E168" s="355">
        <f t="shared" si="2"/>
        <v>0</v>
      </c>
      <c r="F168" s="357" t="s">
        <v>1492</v>
      </c>
      <c r="G168" s="344">
        <f>IF(F168="FACTURA",E168*1,IF(F168=$I$3,E168/0.845,))</f>
        <v>0</v>
      </c>
    </row>
    <row r="169" spans="1:7" x14ac:dyDescent="0.25">
      <c r="A169" s="362"/>
      <c r="B169" s="352"/>
      <c r="C169" s="353"/>
      <c r="D169" s="354"/>
      <c r="E169" s="355">
        <f t="shared" si="2"/>
        <v>0</v>
      </c>
      <c r="F169" s="357" t="s">
        <v>14</v>
      </c>
      <c r="G169" s="344">
        <f>IF(F169="FACTURA",E169*1,IF(F169=$I$3,E169/0.845,))</f>
        <v>0</v>
      </c>
    </row>
    <row r="170" spans="1:7" ht="15.75" thickBot="1" x14ac:dyDescent="0.3">
      <c r="A170" s="363"/>
      <c r="B170" s="359"/>
      <c r="C170" s="353"/>
      <c r="D170" s="354"/>
      <c r="E170" s="360">
        <f t="shared" si="2"/>
        <v>0</v>
      </c>
      <c r="F170" s="361" t="s">
        <v>14</v>
      </c>
      <c r="G170" s="344">
        <f>IF(F170="FACTURA",E170*1,IF(F170=$I$3,E170/0.845,))</f>
        <v>0</v>
      </c>
    </row>
    <row r="171" spans="1:7" ht="15.75" thickBot="1" x14ac:dyDescent="0.3">
      <c r="A171" s="350">
        <v>7.6</v>
      </c>
      <c r="B171" s="475" t="s">
        <v>1483</v>
      </c>
      <c r="C171" s="476"/>
      <c r="D171" s="476"/>
      <c r="E171" s="476"/>
      <c r="F171" s="477"/>
      <c r="G171" s="342">
        <f>SUM(G172:G176)</f>
        <v>0</v>
      </c>
    </row>
    <row r="172" spans="1:7" x14ac:dyDescent="0.25">
      <c r="A172" s="351"/>
      <c r="B172" s="352"/>
      <c r="C172" s="353"/>
      <c r="D172" s="354"/>
      <c r="E172" s="354">
        <f t="shared" si="2"/>
        <v>0</v>
      </c>
      <c r="F172" s="356" t="s">
        <v>14</v>
      </c>
      <c r="G172" s="344">
        <f>IF(F172="FACTURA",E172*1,IF(F172=$I$3,E172/0.845,))</f>
        <v>0</v>
      </c>
    </row>
    <row r="173" spans="1:7" x14ac:dyDescent="0.25">
      <c r="A173" s="362"/>
      <c r="B173" s="352"/>
      <c r="C173" s="353"/>
      <c r="D173" s="354"/>
      <c r="E173" s="355">
        <f t="shared" si="2"/>
        <v>0</v>
      </c>
      <c r="F173" s="357" t="s">
        <v>14</v>
      </c>
      <c r="G173" s="344">
        <f>IF(F173="FACTURA",E173*1,IF(F173=$I$3,E173/0.845,))</f>
        <v>0</v>
      </c>
    </row>
    <row r="174" spans="1:7" x14ac:dyDescent="0.25">
      <c r="A174" s="362"/>
      <c r="B174" s="352"/>
      <c r="C174" s="353"/>
      <c r="D174" s="354"/>
      <c r="E174" s="355">
        <f t="shared" si="2"/>
        <v>0</v>
      </c>
      <c r="F174" s="357" t="s">
        <v>1492</v>
      </c>
      <c r="G174" s="344">
        <f>IF(F174="FACTURA",E174*1,IF(F174=$I$3,E174/0.845,))</f>
        <v>0</v>
      </c>
    </row>
    <row r="175" spans="1:7" x14ac:dyDescent="0.25">
      <c r="A175" s="362"/>
      <c r="B175" s="352"/>
      <c r="C175" s="353"/>
      <c r="D175" s="354"/>
      <c r="E175" s="355">
        <f t="shared" si="2"/>
        <v>0</v>
      </c>
      <c r="F175" s="357" t="s">
        <v>14</v>
      </c>
      <c r="G175" s="344">
        <f>IF(F175="FACTURA",E175*1,IF(F175=$I$3,E175/0.845,))</f>
        <v>0</v>
      </c>
    </row>
    <row r="176" spans="1:7" ht="15.75" thickBot="1" x14ac:dyDescent="0.3">
      <c r="A176" s="363"/>
      <c r="B176" s="359"/>
      <c r="C176" s="353"/>
      <c r="D176" s="354"/>
      <c r="E176" s="360">
        <f t="shared" si="2"/>
        <v>0</v>
      </c>
      <c r="F176" s="361" t="s">
        <v>14</v>
      </c>
      <c r="G176" s="344">
        <f>IF(F176="FACTURA",E176*1,IF(F176=$I$3,E176/0.845,))</f>
        <v>0</v>
      </c>
    </row>
    <row r="177" spans="1:7" ht="15.75" thickBot="1" x14ac:dyDescent="0.3">
      <c r="A177" s="350">
        <v>7.7</v>
      </c>
      <c r="B177" s="475" t="s">
        <v>1484</v>
      </c>
      <c r="C177" s="476"/>
      <c r="D177" s="476"/>
      <c r="E177" s="476"/>
      <c r="F177" s="477"/>
      <c r="G177" s="342">
        <f>SUM(G178:G182)</f>
        <v>0</v>
      </c>
    </row>
    <row r="178" spans="1:7" x14ac:dyDescent="0.25">
      <c r="A178" s="351"/>
      <c r="B178" s="352"/>
      <c r="C178" s="353"/>
      <c r="D178" s="354"/>
      <c r="E178" s="354">
        <f t="shared" si="2"/>
        <v>0</v>
      </c>
      <c r="F178" s="356" t="s">
        <v>14</v>
      </c>
      <c r="G178" s="344">
        <f>IF(F178="FACTURA",E178*1,IF(F178=$I$3,E178/0.845,))</f>
        <v>0</v>
      </c>
    </row>
    <row r="179" spans="1:7" x14ac:dyDescent="0.25">
      <c r="A179" s="362"/>
      <c r="B179" s="352"/>
      <c r="C179" s="353"/>
      <c r="D179" s="354"/>
      <c r="E179" s="355">
        <f t="shared" si="2"/>
        <v>0</v>
      </c>
      <c r="F179" s="357" t="s">
        <v>14</v>
      </c>
      <c r="G179" s="344">
        <f>IF(F179="FACTURA",E179*1,IF(F179=$I$3,E179/0.845,))</f>
        <v>0</v>
      </c>
    </row>
    <row r="180" spans="1:7" x14ac:dyDescent="0.25">
      <c r="A180" s="362"/>
      <c r="B180" s="352"/>
      <c r="C180" s="353"/>
      <c r="D180" s="354"/>
      <c r="E180" s="355">
        <f t="shared" si="2"/>
        <v>0</v>
      </c>
      <c r="F180" s="357" t="s">
        <v>1492</v>
      </c>
      <c r="G180" s="344">
        <f>IF(F180="FACTURA",E180*1,IF(F180=$I$3,E180/0.845,))</f>
        <v>0</v>
      </c>
    </row>
    <row r="181" spans="1:7" x14ac:dyDescent="0.25">
      <c r="A181" s="362"/>
      <c r="B181" s="352"/>
      <c r="C181" s="353"/>
      <c r="D181" s="354"/>
      <c r="E181" s="355">
        <f t="shared" si="2"/>
        <v>0</v>
      </c>
      <c r="F181" s="357" t="s">
        <v>14</v>
      </c>
      <c r="G181" s="344">
        <f>IF(F181="FACTURA",E181*1,IF(F181=$I$3,E181/0.845,))</f>
        <v>0</v>
      </c>
    </row>
    <row r="182" spans="1:7" ht="15.75" thickBot="1" x14ac:dyDescent="0.3">
      <c r="A182" s="363"/>
      <c r="B182" s="359"/>
      <c r="C182" s="353"/>
      <c r="D182" s="354"/>
      <c r="E182" s="360">
        <f t="shared" si="2"/>
        <v>0</v>
      </c>
      <c r="F182" s="361" t="s">
        <v>14</v>
      </c>
      <c r="G182" s="344">
        <f>IF(F182="FACTURA",E182*1,IF(F182=$I$3,E182/0.845,))</f>
        <v>0</v>
      </c>
    </row>
    <row r="183" spans="1:7" ht="15.75" thickBot="1" x14ac:dyDescent="0.3">
      <c r="A183" s="350">
        <v>7.8</v>
      </c>
      <c r="B183" s="475" t="s">
        <v>1485</v>
      </c>
      <c r="C183" s="476"/>
      <c r="D183" s="476"/>
      <c r="E183" s="476"/>
      <c r="F183" s="477"/>
      <c r="G183" s="342">
        <f>SUM(G184:G188)</f>
        <v>0</v>
      </c>
    </row>
    <row r="184" spans="1:7" x14ac:dyDescent="0.25">
      <c r="A184" s="351"/>
      <c r="B184" s="352"/>
      <c r="C184" s="353"/>
      <c r="D184" s="354"/>
      <c r="E184" s="354">
        <f t="shared" si="2"/>
        <v>0</v>
      </c>
      <c r="F184" s="356" t="s">
        <v>14</v>
      </c>
      <c r="G184" s="344">
        <f>IF(F184="FACTURA",E184*1,IF(F184=$I$3,E184/0.845,))</f>
        <v>0</v>
      </c>
    </row>
    <row r="185" spans="1:7" x14ac:dyDescent="0.25">
      <c r="A185" s="362"/>
      <c r="B185" s="352"/>
      <c r="C185" s="353"/>
      <c r="D185" s="354"/>
      <c r="E185" s="355">
        <f t="shared" si="2"/>
        <v>0</v>
      </c>
      <c r="F185" s="357" t="s">
        <v>14</v>
      </c>
      <c r="G185" s="344">
        <f>IF(F185="FACTURA",E185*1,IF(F185=$I$3,E185/0.845,))</f>
        <v>0</v>
      </c>
    </row>
    <row r="186" spans="1:7" x14ac:dyDescent="0.25">
      <c r="A186" s="362"/>
      <c r="B186" s="352"/>
      <c r="C186" s="353"/>
      <c r="D186" s="354"/>
      <c r="E186" s="355">
        <f t="shared" si="2"/>
        <v>0</v>
      </c>
      <c r="F186" s="357" t="s">
        <v>1492</v>
      </c>
      <c r="G186" s="344">
        <f>IF(F186="FACTURA",E186*1,IF(F186=$I$3,E186/0.845,))</f>
        <v>0</v>
      </c>
    </row>
    <row r="187" spans="1:7" x14ac:dyDescent="0.25">
      <c r="A187" s="362"/>
      <c r="B187" s="352"/>
      <c r="C187" s="353"/>
      <c r="D187" s="354"/>
      <c r="E187" s="355">
        <f t="shared" si="2"/>
        <v>0</v>
      </c>
      <c r="F187" s="357" t="s">
        <v>14</v>
      </c>
      <c r="G187" s="344">
        <f>IF(F187="FACTURA",E187*1,IF(F187=$I$3,E187/0.845,))</f>
        <v>0</v>
      </c>
    </row>
    <row r="188" spans="1:7" ht="15.75" thickBot="1" x14ac:dyDescent="0.3">
      <c r="A188" s="363"/>
      <c r="B188" s="359"/>
      <c r="C188" s="353"/>
      <c r="D188" s="354"/>
      <c r="E188" s="360">
        <f t="shared" si="2"/>
        <v>0</v>
      </c>
      <c r="F188" s="361" t="s">
        <v>14</v>
      </c>
      <c r="G188" s="344">
        <f>IF(F188="FACTURA",E188*1,IF(F188=$I$3,E188/0.845,))</f>
        <v>0</v>
      </c>
    </row>
    <row r="189" spans="1:7" ht="15.75" thickBot="1" x14ac:dyDescent="0.3">
      <c r="A189" s="350">
        <v>1</v>
      </c>
      <c r="B189" s="475" t="s">
        <v>1486</v>
      </c>
      <c r="C189" s="476"/>
      <c r="D189" s="476"/>
      <c r="E189" s="476"/>
      <c r="F189" s="477"/>
      <c r="G189" s="342">
        <f>SUM(G190:G194)</f>
        <v>0</v>
      </c>
    </row>
    <row r="190" spans="1:7" x14ac:dyDescent="0.25">
      <c r="A190" s="351"/>
      <c r="B190" s="352"/>
      <c r="C190" s="353"/>
      <c r="D190" s="354"/>
      <c r="E190" s="354">
        <f t="shared" si="2"/>
        <v>0</v>
      </c>
      <c r="F190" s="356" t="s">
        <v>14</v>
      </c>
      <c r="G190" s="344">
        <f>IF(F190="FACTURA",E190*1,IF(F190=$I$3,E190/0.845,))</f>
        <v>0</v>
      </c>
    </row>
    <row r="191" spans="1:7" x14ac:dyDescent="0.25">
      <c r="A191" s="362"/>
      <c r="B191" s="352"/>
      <c r="C191" s="353"/>
      <c r="D191" s="354"/>
      <c r="E191" s="355">
        <f t="shared" si="2"/>
        <v>0</v>
      </c>
      <c r="F191" s="357" t="s">
        <v>14</v>
      </c>
      <c r="G191" s="344">
        <f>IF(F191="FACTURA",E191*1,IF(F191=$I$3,E191/0.845,))</f>
        <v>0</v>
      </c>
    </row>
    <row r="192" spans="1:7" x14ac:dyDescent="0.25">
      <c r="A192" s="362"/>
      <c r="B192" s="352"/>
      <c r="C192" s="353"/>
      <c r="D192" s="354"/>
      <c r="E192" s="355">
        <f t="shared" si="2"/>
        <v>0</v>
      </c>
      <c r="F192" s="357" t="s">
        <v>1492</v>
      </c>
      <c r="G192" s="344">
        <f>IF(F192="FACTURA",E192*1,IF(F192=$I$3,E192/0.845,))</f>
        <v>0</v>
      </c>
    </row>
    <row r="193" spans="1:7" x14ac:dyDescent="0.25">
      <c r="A193" s="362"/>
      <c r="B193" s="352"/>
      <c r="C193" s="353"/>
      <c r="D193" s="354"/>
      <c r="E193" s="355">
        <f t="shared" si="2"/>
        <v>0</v>
      </c>
      <c r="F193" s="357" t="s">
        <v>14</v>
      </c>
      <c r="G193" s="344">
        <f>IF(F193="FACTURA",E193*1,IF(F193=$I$3,E193/0.845,))</f>
        <v>0</v>
      </c>
    </row>
    <row r="194" spans="1:7" ht="15.75" thickBot="1" x14ac:dyDescent="0.3">
      <c r="A194" s="374"/>
      <c r="B194" s="375"/>
      <c r="C194" s="376"/>
      <c r="D194" s="354"/>
      <c r="E194" s="355">
        <f t="shared" si="2"/>
        <v>0</v>
      </c>
      <c r="F194" s="357" t="s">
        <v>14</v>
      </c>
      <c r="G194" s="344">
        <f>IF(F194="FACTURA",E194*1,IF(F194=$I$3,E194/0.845,))</f>
        <v>0</v>
      </c>
    </row>
    <row r="195" spans="1:7" ht="15.75" thickBot="1" x14ac:dyDescent="0.3">
      <c r="G195" s="347">
        <f>G8+G15+G34+G59+G90+G97+G140</f>
        <v>88.098147671726267</v>
      </c>
    </row>
    <row r="197" spans="1:7" hidden="1" x14ac:dyDescent="0.25">
      <c r="G197" s="55">
        <f>+'HOJA D TRABAJO'!D256</f>
        <v>0.17</v>
      </c>
    </row>
    <row r="198" spans="1:7" hidden="1" x14ac:dyDescent="0.25">
      <c r="G198" s="55">
        <f>+G195*G197</f>
        <v>14.976685104193466</v>
      </c>
    </row>
    <row r="199" spans="1:7" hidden="1" x14ac:dyDescent="0.25">
      <c r="G199" s="100">
        <f>+G195+G198</f>
        <v>103.07483277591973</v>
      </c>
    </row>
    <row r="200" spans="1:7" x14ac:dyDescent="0.25">
      <c r="A200" s="373"/>
    </row>
  </sheetData>
  <mergeCells count="38">
    <mergeCell ref="B128:F128"/>
    <mergeCell ref="B189:F189"/>
    <mergeCell ref="B183:F183"/>
    <mergeCell ref="B177:F177"/>
    <mergeCell ref="B171:F171"/>
    <mergeCell ref="B165:F165"/>
    <mergeCell ref="B159:F159"/>
    <mergeCell ref="B153:F153"/>
    <mergeCell ref="B147:F147"/>
    <mergeCell ref="B141:F141"/>
    <mergeCell ref="B140:F140"/>
    <mergeCell ref="B134:F134"/>
    <mergeCell ref="B122:F122"/>
    <mergeCell ref="B116:F116"/>
    <mergeCell ref="B110:F110"/>
    <mergeCell ref="B104:F104"/>
    <mergeCell ref="B97:F97"/>
    <mergeCell ref="B98:F98"/>
    <mergeCell ref="B35:F35"/>
    <mergeCell ref="B90:F90"/>
    <mergeCell ref="B91:F91"/>
    <mergeCell ref="B84:F84"/>
    <mergeCell ref="B78:F78"/>
    <mergeCell ref="B72:F72"/>
    <mergeCell ref="B66:F66"/>
    <mergeCell ref="B60:F60"/>
    <mergeCell ref="B59:F59"/>
    <mergeCell ref="B53:F53"/>
    <mergeCell ref="B47:F47"/>
    <mergeCell ref="B41:F41"/>
    <mergeCell ref="B8:F8"/>
    <mergeCell ref="B4:F4"/>
    <mergeCell ref="B34:F34"/>
    <mergeCell ref="B28:F28"/>
    <mergeCell ref="B22:F22"/>
    <mergeCell ref="B16:F16"/>
    <mergeCell ref="B15:F15"/>
    <mergeCell ref="B9:F9"/>
  </mergeCells>
  <dataValidations count="1">
    <dataValidation type="list" allowBlank="1" showInputMessage="1" showErrorMessage="1" sqref="I2 F10:F14 F17:F21 F23:F27 F29:F33 F36:F40 F42:F46 F48:F52 F54:F58 F61:F65 F67:F71 F73:F77 F79:F83 F85:F89 F92:F96 F99:F103 F105:F109 F111:F115 F117:F121 F123:F127 F129:F133 F135:F139 F142:F146 F148:F152 F154:F158 F160:F164 F166:F170 F172:F176 F178:F182 F184:F188 F190:F194" xr:uid="{00000000-0002-0000-0300-000000000000}">
      <formula1>$I$2:$I$3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/>
  <dimension ref="A2:R116"/>
  <sheetViews>
    <sheetView zoomScaleNormal="100" workbookViewId="0">
      <selection activeCell="G20" sqref="G20"/>
    </sheetView>
  </sheetViews>
  <sheetFormatPr baseColWidth="10" defaultRowHeight="14.25" outlineLevelRow="2" x14ac:dyDescent="0.2"/>
  <cols>
    <col min="1" max="7" width="12.7109375" style="22" customWidth="1"/>
    <col min="8" max="8" width="3.140625" style="27" customWidth="1"/>
    <col min="9" max="15" width="12.7109375" style="22" customWidth="1"/>
    <col min="16" max="16384" width="11.42578125" style="22"/>
  </cols>
  <sheetData>
    <row r="2" spans="1:18" ht="27" x14ac:dyDescent="0.35">
      <c r="E2" s="478" t="str">
        <f>+'HOJA D TRABAJO'!D27</f>
        <v xml:space="preserve">COCHABAMBA </v>
      </c>
      <c r="F2" s="478"/>
      <c r="G2" s="478"/>
      <c r="H2" s="478"/>
      <c r="I2" s="478"/>
      <c r="J2" s="478"/>
      <c r="K2" s="478"/>
    </row>
    <row r="4" spans="1:18" ht="15" x14ac:dyDescent="0.25">
      <c r="A4" s="480" t="s">
        <v>1421</v>
      </c>
      <c r="B4" s="480"/>
      <c r="C4" s="480"/>
      <c r="D4" s="480"/>
      <c r="E4" s="480"/>
      <c r="F4" s="480"/>
      <c r="G4" s="480"/>
      <c r="H4" s="56"/>
      <c r="I4" s="480" t="s">
        <v>1421</v>
      </c>
      <c r="J4" s="480"/>
      <c r="K4" s="480"/>
      <c r="L4" s="480"/>
      <c r="M4" s="480"/>
      <c r="N4" s="480"/>
      <c r="O4" s="480"/>
    </row>
    <row r="5" spans="1:18" ht="15" x14ac:dyDescent="0.25">
      <c r="A5" s="58"/>
      <c r="B5" s="58" t="s">
        <v>1377</v>
      </c>
      <c r="C5" s="480" t="str">
        <f>+'HOJA D TRABAJO'!B29</f>
        <v xml:space="preserve">IMPULSADORAS SUPERMERCADO IC NORTE </v>
      </c>
      <c r="D5" s="480"/>
      <c r="E5" s="480"/>
      <c r="F5" s="57" t="s">
        <v>2</v>
      </c>
      <c r="G5" s="57">
        <f>+'HOJA D TRABAJO'!D29</f>
        <v>4</v>
      </c>
      <c r="H5" s="56"/>
      <c r="I5" s="58"/>
      <c r="J5" s="58" t="s">
        <v>1377</v>
      </c>
      <c r="K5" s="480">
        <f>+'HOJA D TRABAJO'!B30</f>
        <v>0</v>
      </c>
      <c r="L5" s="480"/>
      <c r="M5" s="480"/>
      <c r="N5" s="57" t="s">
        <v>2</v>
      </c>
      <c r="O5" s="57">
        <f>+'HOJA D TRABAJO'!D30</f>
        <v>0</v>
      </c>
    </row>
    <row r="6" spans="1:18" x14ac:dyDescent="0.2">
      <c r="A6" s="479" t="s">
        <v>1378</v>
      </c>
      <c r="B6" s="479"/>
      <c r="C6" s="479"/>
      <c r="D6" s="479"/>
      <c r="E6" s="479"/>
      <c r="F6" s="479"/>
      <c r="G6" s="479"/>
      <c r="H6" s="23"/>
      <c r="I6" s="479" t="s">
        <v>1378</v>
      </c>
      <c r="J6" s="479"/>
      <c r="K6" s="479"/>
      <c r="L6" s="479"/>
      <c r="M6" s="479"/>
      <c r="N6" s="479"/>
      <c r="O6" s="479"/>
    </row>
    <row r="7" spans="1:18" x14ac:dyDescent="0.2">
      <c r="A7" s="28"/>
      <c r="B7" s="28"/>
      <c r="C7" s="28"/>
      <c r="D7" s="28"/>
      <c r="E7" s="28"/>
      <c r="F7" s="28"/>
      <c r="G7" s="28"/>
      <c r="H7" s="24"/>
      <c r="I7" s="28"/>
      <c r="J7" s="28"/>
      <c r="K7" s="28"/>
      <c r="L7" s="28"/>
      <c r="M7" s="28"/>
      <c r="N7" s="28"/>
      <c r="O7" s="28"/>
    </row>
    <row r="8" spans="1:18" x14ac:dyDescent="0.2">
      <c r="A8" s="481" t="str">
        <f>+"Costo líquido por " &amp; C5 &amp;  "(líquido pagable Bs.)"</f>
        <v>Costo líquido por IMPULSADORAS SUPERMERCADO IC NORTE (líquido pagable Bs.)</v>
      </c>
      <c r="B8" s="481"/>
      <c r="C8" s="481"/>
      <c r="D8" s="481"/>
      <c r="E8" s="481"/>
      <c r="F8" s="481"/>
      <c r="G8" s="30">
        <f>+'HOJA D TRABAJO'!E29</f>
        <v>70</v>
      </c>
      <c r="H8" s="25"/>
      <c r="I8" s="481" t="str">
        <f>+"Costo líquido por " &amp; K5 &amp;  "(líquido pagable Bs.)"</f>
        <v>Costo líquido por 0(líquido pagable Bs.)</v>
      </c>
      <c r="J8" s="481"/>
      <c r="K8" s="481"/>
      <c r="L8" s="481"/>
      <c r="M8" s="481"/>
      <c r="N8" s="481"/>
      <c r="O8" s="30">
        <f>+'HOJA D TRABAJO'!E30</f>
        <v>0</v>
      </c>
      <c r="Q8" s="19"/>
    </row>
    <row r="9" spans="1:18" x14ac:dyDescent="0.2">
      <c r="A9" s="32" t="s">
        <v>1405</v>
      </c>
      <c r="B9" s="28"/>
      <c r="C9" s="28"/>
      <c r="D9" s="28"/>
      <c r="E9" s="28"/>
      <c r="F9" s="28"/>
      <c r="G9" s="30"/>
      <c r="H9" s="25"/>
      <c r="I9" s="32" t="s">
        <v>1376</v>
      </c>
      <c r="J9" s="28"/>
      <c r="K9" s="28"/>
      <c r="L9" s="28"/>
      <c r="M9" s="28"/>
      <c r="N9" s="28"/>
      <c r="O9" s="30"/>
      <c r="P9" s="19"/>
      <c r="Q9" s="20"/>
    </row>
    <row r="10" spans="1:18" ht="15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82.84023668639054</v>
      </c>
      <c r="H10" s="25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  <c r="Q10" s="20"/>
    </row>
    <row r="11" spans="1:18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25"/>
      <c r="I11" s="35" t="s">
        <v>1397</v>
      </c>
      <c r="J11" s="28"/>
      <c r="K11" s="28"/>
      <c r="L11" s="28"/>
      <c r="M11" s="36">
        <v>0.125</v>
      </c>
      <c r="N11" s="28"/>
      <c r="O11" s="30"/>
      <c r="Q11" s="20"/>
    </row>
    <row r="12" spans="1:18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25"/>
      <c r="I12" s="35" t="s">
        <v>1398</v>
      </c>
      <c r="J12" s="28"/>
      <c r="K12" s="28"/>
      <c r="L12" s="28"/>
      <c r="M12" s="36">
        <v>0.03</v>
      </c>
      <c r="N12" s="28"/>
      <c r="O12" s="30"/>
      <c r="Q12" s="20"/>
    </row>
    <row r="13" spans="1:18" x14ac:dyDescent="0.2">
      <c r="A13" s="37" t="s">
        <v>1406</v>
      </c>
      <c r="B13" s="28"/>
      <c r="C13" s="28"/>
      <c r="D13" s="28"/>
      <c r="E13" s="36"/>
      <c r="F13" s="28"/>
      <c r="G13" s="30">
        <f>+(('HOJA D TRABAJO'!$H$23+'HOJA D TRABAJO'!$E$256)*'HOJA D TRABAJO'!F29)</f>
        <v>39.851548430666327</v>
      </c>
      <c r="H13" s="25"/>
      <c r="I13" s="37" t="s">
        <v>1375</v>
      </c>
      <c r="J13" s="28"/>
      <c r="K13" s="28"/>
      <c r="L13" s="28"/>
      <c r="M13" s="36"/>
      <c r="N13" s="28"/>
      <c r="O13" s="30">
        <f>+(('HOJA D TRABAJO'!$H$23+'HOJA D TRABAJO'!$E$256)*'HOJA D TRABAJO'!F30)</f>
        <v>0</v>
      </c>
      <c r="Q13" s="19"/>
    </row>
    <row r="14" spans="1:18" x14ac:dyDescent="0.2">
      <c r="A14" s="37" t="s">
        <v>1388</v>
      </c>
      <c r="B14" s="28"/>
      <c r="C14" s="28"/>
      <c r="D14" s="28"/>
      <c r="E14" s="102">
        <f>('HOJA D TRABAJO'!D259)</f>
        <v>5.4487179487179495E-4</v>
      </c>
      <c r="F14" s="28"/>
      <c r="G14" s="30">
        <f>+'HOJA D TRABAJO'!$E$259*'HOJA D TRABAJO'!$F$29</f>
        <v>2.3655552640334649</v>
      </c>
      <c r="H14" s="25"/>
      <c r="I14" s="37" t="s">
        <v>1387</v>
      </c>
      <c r="J14" s="28"/>
      <c r="K14" s="28"/>
      <c r="L14" s="28"/>
      <c r="M14" s="34">
        <f>$E$14</f>
        <v>5.4487179487179495E-4</v>
      </c>
      <c r="N14" s="28"/>
      <c r="O14" s="30">
        <f>+'HOJA D TRABAJO'!$E$259*'HOJA D TRABAJO'!$F$30</f>
        <v>0</v>
      </c>
      <c r="Q14" s="19"/>
    </row>
    <row r="15" spans="1:18" x14ac:dyDescent="0.2">
      <c r="A15" s="38" t="s">
        <v>1407</v>
      </c>
      <c r="B15" s="39"/>
      <c r="C15" s="39"/>
      <c r="D15" s="39"/>
      <c r="E15" s="40">
        <f>IF(OR('HOJA D TRABAJO'!H262="",'HOJA D TRABAJO'!H262=0),'HOJA D TRABAJO'!C262,'HOJA D TRABAJO'!H262)</f>
        <v>0.13</v>
      </c>
      <c r="F15" s="39"/>
      <c r="G15" s="41">
        <f>+(G10+G13+G14)*E15</f>
        <v>16.257454249541745</v>
      </c>
      <c r="H15" s="25"/>
      <c r="I15" s="38" t="s">
        <v>1374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  <c r="Q15" s="19"/>
      <c r="R15" s="19"/>
    </row>
    <row r="16" spans="1:18" ht="15" x14ac:dyDescent="0.25">
      <c r="A16" s="43" t="s">
        <v>1408</v>
      </c>
      <c r="B16" s="44"/>
      <c r="C16" s="44"/>
      <c r="D16" s="44"/>
      <c r="E16" s="44"/>
      <c r="F16" s="44"/>
      <c r="G16" s="45">
        <f>+SUM(G10:G15)</f>
        <v>141.31479463063206</v>
      </c>
      <c r="H16" s="26"/>
      <c r="I16" s="43" t="s">
        <v>1373</v>
      </c>
      <c r="J16" s="44"/>
      <c r="K16" s="44"/>
      <c r="L16" s="44"/>
      <c r="M16" s="44"/>
      <c r="N16" s="44"/>
      <c r="O16" s="45">
        <f>+SUM(O10:O15)</f>
        <v>0</v>
      </c>
    </row>
    <row r="17" spans="1:1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26.917103739168027</v>
      </c>
      <c r="H17" s="25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25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25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ht="15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168.23189836980009</v>
      </c>
      <c r="H20" s="2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2" spans="1:15" outlineLevel="1" x14ac:dyDescent="0.2">
      <c r="E22" s="19"/>
    </row>
    <row r="23" spans="1:15" ht="15" outlineLevel="1" x14ac:dyDescent="0.25">
      <c r="A23" s="480" t="s">
        <v>1421</v>
      </c>
      <c r="B23" s="480"/>
      <c r="C23" s="480"/>
      <c r="D23" s="480"/>
      <c r="E23" s="480"/>
      <c r="F23" s="480"/>
      <c r="G23" s="480"/>
      <c r="H23" s="54"/>
      <c r="I23" s="480" t="s">
        <v>1421</v>
      </c>
      <c r="J23" s="480"/>
      <c r="K23" s="480"/>
      <c r="L23" s="480"/>
      <c r="M23" s="480"/>
      <c r="N23" s="480"/>
      <c r="O23" s="480"/>
    </row>
    <row r="24" spans="1:15" ht="15" outlineLevel="1" x14ac:dyDescent="0.25">
      <c r="A24" s="58"/>
      <c r="B24" s="58" t="s">
        <v>1377</v>
      </c>
      <c r="C24" s="480">
        <f>+'HOJA D TRABAJO'!B31</f>
        <v>0</v>
      </c>
      <c r="D24" s="480"/>
      <c r="E24" s="480"/>
      <c r="F24" s="57" t="s">
        <v>2</v>
      </c>
      <c r="G24" s="57">
        <f>+'HOJA D TRABAJO'!D31</f>
        <v>0</v>
      </c>
      <c r="H24" s="29"/>
      <c r="I24" s="58"/>
      <c r="J24" s="58" t="s">
        <v>1377</v>
      </c>
      <c r="K24" s="480">
        <f>+'HOJA D TRABAJO'!B32</f>
        <v>0</v>
      </c>
      <c r="L24" s="480"/>
      <c r="M24" s="480"/>
      <c r="N24" s="57" t="s">
        <v>2</v>
      </c>
      <c r="O24" s="57">
        <f>+'HOJA D TRABAJO'!D32</f>
        <v>0</v>
      </c>
    </row>
    <row r="25" spans="1:1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I25" s="479" t="s">
        <v>1378</v>
      </c>
      <c r="J25" s="479"/>
      <c r="K25" s="479"/>
      <c r="L25" s="479"/>
      <c r="M25" s="479"/>
      <c r="N25" s="479"/>
      <c r="O25" s="479"/>
    </row>
    <row r="26" spans="1:1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TRABAJO'!E31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TRABAJO'!E32</f>
        <v>0</v>
      </c>
    </row>
    <row r="27" spans="1:1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ht="15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ht="15" customHeight="1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TRABAJO'!$E$256)*'HOJA D TRABAJO'!F31)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TRABAJO'!$E$256)*'HOJA D TRABAJO'!F32)</f>
        <v>0</v>
      </c>
    </row>
    <row r="32" spans="1:15" outlineLevel="1" x14ac:dyDescent="0.2">
      <c r="A32" s="37" t="s">
        <v>1387</v>
      </c>
      <c r="B32" s="28"/>
      <c r="C32" s="28"/>
      <c r="D32" s="28"/>
      <c r="E32" s="34">
        <f>$E$14</f>
        <v>5.4487179487179495E-4</v>
      </c>
      <c r="F32" s="28"/>
      <c r="G32" s="30">
        <f>+'HOJA D TRABAJO'!$E$259*'HOJA D TRABAJO'!$F$31</f>
        <v>0</v>
      </c>
      <c r="H32" s="31"/>
      <c r="I32" s="37" t="s">
        <v>1387</v>
      </c>
      <c r="J32" s="28"/>
      <c r="K32" s="28"/>
      <c r="L32" s="28"/>
      <c r="M32" s="34">
        <f>$E$14</f>
        <v>5.4487179487179495E-4</v>
      </c>
      <c r="N32" s="28"/>
      <c r="O32" s="30">
        <f>+'HOJA D TRABAJO'!$E$259*'HOJA D TRABAJO'!$F$32</f>
        <v>0</v>
      </c>
    </row>
    <row r="33" spans="1:1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ht="15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ht="15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outlineLevel="1" x14ac:dyDescent="0.2"/>
    <row r="40" spans="1:15" outlineLevel="1" x14ac:dyDescent="0.2"/>
    <row r="41" spans="1:15" outlineLevel="1" x14ac:dyDescent="0.2"/>
    <row r="42" spans="1:15" ht="15" outlineLevel="2" x14ac:dyDescent="0.25">
      <c r="A42" s="480" t="s">
        <v>1421</v>
      </c>
      <c r="B42" s="480"/>
      <c r="C42" s="480"/>
      <c r="D42" s="480"/>
      <c r="E42" s="480"/>
      <c r="F42" s="480"/>
      <c r="G42" s="480"/>
      <c r="I42" s="480" t="s">
        <v>1421</v>
      </c>
      <c r="J42" s="480"/>
      <c r="K42" s="480"/>
      <c r="L42" s="480"/>
      <c r="M42" s="480"/>
      <c r="N42" s="480"/>
      <c r="O42" s="480"/>
    </row>
    <row r="43" spans="1:15" ht="15" outlineLevel="2" x14ac:dyDescent="0.25">
      <c r="A43" s="58"/>
      <c r="B43" s="58" t="s">
        <v>1377</v>
      </c>
      <c r="C43" s="480">
        <f>+'HOJA D TRABAJO'!B33</f>
        <v>0</v>
      </c>
      <c r="D43" s="480"/>
      <c r="E43" s="480"/>
      <c r="F43" s="57" t="s">
        <v>2</v>
      </c>
      <c r="G43" s="57">
        <f>+'HOJA D TRABAJO'!D33</f>
        <v>0</v>
      </c>
      <c r="I43" s="58"/>
      <c r="J43" s="58" t="s">
        <v>1377</v>
      </c>
      <c r="K43" s="480">
        <f>+'HOJA D TRABAJO'!B34</f>
        <v>0</v>
      </c>
      <c r="L43" s="480"/>
      <c r="M43" s="480"/>
      <c r="N43" s="57" t="s">
        <v>2</v>
      </c>
      <c r="O43" s="104">
        <f>+'HOJA D TRABAJO'!D34</f>
        <v>0</v>
      </c>
    </row>
    <row r="44" spans="1:1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I44" s="479" t="s">
        <v>1378</v>
      </c>
      <c r="J44" s="479"/>
      <c r="K44" s="479"/>
      <c r="L44" s="479"/>
      <c r="M44" s="479"/>
      <c r="N44" s="479"/>
      <c r="O44" s="479"/>
    </row>
    <row r="45" spans="1:15" outlineLevel="2" x14ac:dyDescent="0.2">
      <c r="A45" s="28"/>
      <c r="B45" s="28"/>
      <c r="C45" s="28"/>
      <c r="D45" s="28"/>
      <c r="E45" s="28"/>
      <c r="F45" s="28"/>
      <c r="G45" s="28"/>
      <c r="I45" s="28"/>
      <c r="J45" s="28"/>
      <c r="K45" s="28"/>
      <c r="L45" s="28"/>
      <c r="M45" s="28"/>
      <c r="N45" s="28"/>
      <c r="O45" s="28"/>
    </row>
    <row r="46" spans="1:1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TRABAJO'!E33</f>
        <v>0</v>
      </c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TRABAJO'!E34</f>
        <v>0</v>
      </c>
    </row>
    <row r="47" spans="1:15" outlineLevel="2" x14ac:dyDescent="0.2">
      <c r="A47" s="32" t="s">
        <v>1405</v>
      </c>
      <c r="B47" s="28"/>
      <c r="C47" s="28"/>
      <c r="D47" s="28"/>
      <c r="E47" s="28"/>
      <c r="F47" s="28"/>
      <c r="G47" s="30"/>
      <c r="I47" s="32" t="s">
        <v>1405</v>
      </c>
      <c r="J47" s="28"/>
      <c r="K47" s="28"/>
      <c r="L47" s="28"/>
      <c r="M47" s="28"/>
      <c r="N47" s="28"/>
      <c r="O47" s="30"/>
    </row>
    <row r="48" spans="1:15" ht="15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ht="18" customHeight="1" outlineLevel="2" x14ac:dyDescent="0.2">
      <c r="A50" s="35" t="s">
        <v>1410</v>
      </c>
      <c r="B50" s="28"/>
      <c r="C50" s="28"/>
      <c r="D50" s="28"/>
      <c r="E50" s="36">
        <v>0.03</v>
      </c>
      <c r="F50" s="28"/>
      <c r="G50" s="30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ht="18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TRABAJO'!$E$256)*'HOJA D TRABAJO'!F33)</f>
        <v>0</v>
      </c>
      <c r="H51" s="31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TRABAJO'!$E$256)*'HOJA D TRABAJO'!F34)</f>
        <v>0</v>
      </c>
    </row>
    <row r="52" spans="1:15" ht="18" customHeight="1" outlineLevel="2" x14ac:dyDescent="0.2">
      <c r="A52" s="37" t="s">
        <v>1387</v>
      </c>
      <c r="B52" s="28"/>
      <c r="C52" s="28"/>
      <c r="D52" s="28"/>
      <c r="E52" s="34">
        <f>$E$14</f>
        <v>5.4487179487179495E-4</v>
      </c>
      <c r="F52" s="28"/>
      <c r="G52" s="30">
        <f>+'HOJA D TRABAJO'!$E$259*'HOJA D TRABAJO'!$F$33</f>
        <v>0</v>
      </c>
      <c r="I52" s="37" t="s">
        <v>1387</v>
      </c>
      <c r="J52" s="28"/>
      <c r="K52" s="28"/>
      <c r="L52" s="28"/>
      <c r="M52" s="34">
        <f>$E$14</f>
        <v>5.4487179487179495E-4</v>
      </c>
      <c r="N52" s="28"/>
      <c r="O52" s="30">
        <f>+'HOJA D TRABAJO'!$E$259*'HOJA D TRABAJO'!$F$34</f>
        <v>0</v>
      </c>
    </row>
    <row r="53" spans="1:1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ht="15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ht="15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2" x14ac:dyDescent="0.2"/>
    <row r="60" spans="1:15" outlineLevel="1" x14ac:dyDescent="0.2">
      <c r="H60" s="31"/>
      <c r="I60" s="19"/>
    </row>
    <row r="61" spans="1:15" ht="15" x14ac:dyDescent="0.25">
      <c r="A61" s="480" t="s">
        <v>1421</v>
      </c>
      <c r="B61" s="480"/>
      <c r="C61" s="480"/>
      <c r="D61" s="480"/>
      <c r="E61" s="480"/>
      <c r="F61" s="480"/>
      <c r="G61" s="480"/>
      <c r="H61" s="56"/>
      <c r="I61" s="480" t="s">
        <v>1421</v>
      </c>
      <c r="J61" s="480"/>
      <c r="K61" s="480"/>
      <c r="L61" s="480"/>
      <c r="M61" s="480"/>
      <c r="N61" s="480"/>
      <c r="O61" s="480"/>
    </row>
    <row r="62" spans="1:15" ht="15" x14ac:dyDescent="0.25">
      <c r="A62" s="101"/>
      <c r="B62" s="101" t="s">
        <v>1377</v>
      </c>
      <c r="C62" s="480">
        <f>+'HOJA D TRABAJO'!B35:B35</f>
        <v>0</v>
      </c>
      <c r="D62" s="480"/>
      <c r="E62" s="480"/>
      <c r="F62" s="57" t="s">
        <v>2</v>
      </c>
      <c r="G62" s="104">
        <f>+'HOJA D TRABAJO'!D35</f>
        <v>0</v>
      </c>
      <c r="H62" s="56"/>
      <c r="I62" s="101"/>
      <c r="J62" s="101" t="s">
        <v>1377</v>
      </c>
      <c r="K62" s="480">
        <f>+'HOJA D TRABAJO'!B36</f>
        <v>0</v>
      </c>
      <c r="L62" s="480"/>
      <c r="M62" s="480"/>
      <c r="N62" s="57" t="s">
        <v>2</v>
      </c>
      <c r="O62" s="104">
        <f>+'HOJA D TRABAJO'!D36</f>
        <v>0</v>
      </c>
    </row>
    <row r="63" spans="1:15" x14ac:dyDescent="0.2">
      <c r="A63" s="479" t="s">
        <v>1378</v>
      </c>
      <c r="B63" s="479"/>
      <c r="C63" s="479"/>
      <c r="D63" s="479"/>
      <c r="E63" s="479"/>
      <c r="F63" s="479"/>
      <c r="G63" s="479"/>
      <c r="H63" s="23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">
      <c r="A64" s="28"/>
      <c r="B64" s="28"/>
      <c r="C64" s="28"/>
      <c r="D64" s="28"/>
      <c r="E64" s="28"/>
      <c r="F64" s="28"/>
      <c r="G64" s="28"/>
      <c r="H64" s="24"/>
      <c r="I64" s="28"/>
      <c r="J64" s="28"/>
      <c r="K64" s="28"/>
      <c r="L64" s="28"/>
      <c r="M64" s="28"/>
      <c r="N64" s="28"/>
      <c r="O64" s="28"/>
    </row>
    <row r="65" spans="1:16" x14ac:dyDescent="0.2">
      <c r="A65" s="481" t="str">
        <f>+"Costo líquido por " &amp; C62 &amp;  "(líquido pagable Bs.)"</f>
        <v>Costo líquido por 0(líquido pagable Bs.)</v>
      </c>
      <c r="B65" s="481"/>
      <c r="C65" s="481"/>
      <c r="D65" s="481"/>
      <c r="E65" s="481"/>
      <c r="F65" s="481"/>
      <c r="G65" s="30">
        <f>+'HOJA D TRABAJO'!E35</f>
        <v>0</v>
      </c>
      <c r="H65" s="25"/>
      <c r="I65" s="481" t="str">
        <f>+"Costo líquido por " &amp; K62 &amp;  "(líquido pagable Bs.)"</f>
        <v>Costo líquido por 0(líquido pagable Bs.)</v>
      </c>
      <c r="J65" s="481"/>
      <c r="K65" s="481"/>
      <c r="L65" s="481"/>
      <c r="M65" s="481"/>
      <c r="N65" s="481"/>
      <c r="O65" s="30">
        <f>+'HOJA D TRABAJO'!E36</f>
        <v>0</v>
      </c>
    </row>
    <row r="66" spans="1:16" x14ac:dyDescent="0.2">
      <c r="A66" s="32" t="s">
        <v>1405</v>
      </c>
      <c r="B66" s="28"/>
      <c r="C66" s="28"/>
      <c r="D66" s="28"/>
      <c r="E66" s="28"/>
      <c r="F66" s="28"/>
      <c r="G66" s="30"/>
      <c r="H66" s="25"/>
      <c r="I66" s="32" t="s">
        <v>1376</v>
      </c>
      <c r="J66" s="28"/>
      <c r="K66" s="28"/>
      <c r="L66" s="28"/>
      <c r="M66" s="28"/>
      <c r="N66" s="28"/>
      <c r="O66" s="30"/>
      <c r="P66" s="52"/>
    </row>
    <row r="67" spans="1:16" ht="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25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6" x14ac:dyDescent="0.2">
      <c r="A68" s="35" t="s">
        <v>1397</v>
      </c>
      <c r="B68" s="28"/>
      <c r="C68" s="28"/>
      <c r="D68" s="28"/>
      <c r="E68" s="36">
        <v>0.125</v>
      </c>
      <c r="F68" s="28"/>
      <c r="G68" s="30"/>
      <c r="H68" s="25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6" x14ac:dyDescent="0.2">
      <c r="A69" s="35" t="s">
        <v>1398</v>
      </c>
      <c r="B69" s="28"/>
      <c r="C69" s="28"/>
      <c r="D69" s="28"/>
      <c r="E69" s="36">
        <v>0.03</v>
      </c>
      <c r="F69" s="28"/>
      <c r="G69" s="30"/>
      <c r="H69" s="25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6" x14ac:dyDescent="0.2">
      <c r="A70" s="37" t="s">
        <v>1406</v>
      </c>
      <c r="B70" s="28"/>
      <c r="C70" s="28"/>
      <c r="D70" s="28"/>
      <c r="E70" s="36"/>
      <c r="F70" s="28"/>
      <c r="G70" s="30">
        <f>+(('HOJA D TRABAJO'!$H$23+'HOJA D TRABAJO'!$E$256)*'HOJA D TRABAJO'!F35)</f>
        <v>0</v>
      </c>
      <c r="H70" s="25"/>
      <c r="I70" s="37" t="s">
        <v>1375</v>
      </c>
      <c r="J70" s="28"/>
      <c r="K70" s="28"/>
      <c r="L70" s="28"/>
      <c r="M70" s="36"/>
      <c r="N70" s="28"/>
      <c r="O70" s="30">
        <f>+(('HOJA D TRABAJO'!$H$23+'HOJA D TRABAJO'!$E$256)*'HOJA D TRABAJO'!F36)</f>
        <v>0</v>
      </c>
    </row>
    <row r="71" spans="1:16" x14ac:dyDescent="0.2">
      <c r="A71" s="37" t="s">
        <v>1388</v>
      </c>
      <c r="B71" s="28"/>
      <c r="C71" s="28"/>
      <c r="D71" s="28"/>
      <c r="E71" s="34">
        <f>$E$14</f>
        <v>5.4487179487179495E-4</v>
      </c>
      <c r="F71" s="28"/>
      <c r="G71" s="30">
        <f>+'HOJA D TRABAJO'!$E$259*'HOJA D TRABAJO'!$F$35</f>
        <v>0</v>
      </c>
      <c r="H71" s="25"/>
      <c r="I71" s="37" t="s">
        <v>1387</v>
      </c>
      <c r="J71" s="28"/>
      <c r="K71" s="28"/>
      <c r="L71" s="28"/>
      <c r="M71" s="34">
        <f>$E$14</f>
        <v>5.4487179487179495E-4</v>
      </c>
      <c r="N71" s="28"/>
      <c r="O71" s="30">
        <f>+'HOJA D TRABAJO'!$E$259*'HOJA D TRABAJO'!$F$36</f>
        <v>0</v>
      </c>
    </row>
    <row r="72" spans="1:16" x14ac:dyDescent="0.2">
      <c r="A72" s="38" t="s">
        <v>1407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25"/>
      <c r="I72" s="38" t="s">
        <v>1374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6" ht="15" x14ac:dyDescent="0.25">
      <c r="A73" s="43" t="s">
        <v>1408</v>
      </c>
      <c r="B73" s="44"/>
      <c r="C73" s="44"/>
      <c r="D73" s="44"/>
      <c r="E73" s="44"/>
      <c r="F73" s="44"/>
      <c r="G73" s="45">
        <f>+SUM(G67:G72)</f>
        <v>0</v>
      </c>
      <c r="H73" s="26"/>
      <c r="I73" s="43" t="s">
        <v>1373</v>
      </c>
      <c r="J73" s="44"/>
      <c r="K73" s="44"/>
      <c r="L73" s="44"/>
      <c r="M73" s="44"/>
      <c r="N73" s="44"/>
      <c r="O73" s="45">
        <f>+SUM(O67:O72)</f>
        <v>0</v>
      </c>
    </row>
    <row r="74" spans="1:16" x14ac:dyDescent="0.2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25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6" x14ac:dyDescent="0.2">
      <c r="A75" s="47" t="s">
        <v>1371</v>
      </c>
      <c r="B75" s="48">
        <v>0.13</v>
      </c>
      <c r="C75" s="28"/>
      <c r="D75" s="28"/>
      <c r="E75" s="36"/>
      <c r="F75" s="28"/>
      <c r="G75" s="30"/>
      <c r="H75" s="25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6" x14ac:dyDescent="0.2">
      <c r="A76" s="49" t="s">
        <v>1370</v>
      </c>
      <c r="B76" s="50">
        <v>0.03</v>
      </c>
      <c r="C76" s="39"/>
      <c r="D76" s="39"/>
      <c r="E76" s="51"/>
      <c r="F76" s="39"/>
      <c r="G76" s="41"/>
      <c r="H76" s="25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6" ht="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2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81" spans="1:15" ht="15" x14ac:dyDescent="0.25">
      <c r="A81" s="480" t="s">
        <v>1421</v>
      </c>
      <c r="B81" s="480"/>
      <c r="C81" s="480"/>
      <c r="D81" s="480"/>
      <c r="E81" s="480"/>
      <c r="F81" s="480"/>
      <c r="G81" s="480"/>
      <c r="H81" s="56"/>
      <c r="I81" s="480" t="s">
        <v>1421</v>
      </c>
      <c r="J81" s="480"/>
      <c r="K81" s="480"/>
      <c r="L81" s="480"/>
      <c r="M81" s="480"/>
      <c r="N81" s="480"/>
      <c r="O81" s="480"/>
    </row>
    <row r="82" spans="1:15" ht="15" x14ac:dyDescent="0.25">
      <c r="A82" s="101"/>
      <c r="B82" s="101" t="s">
        <v>1377</v>
      </c>
      <c r="C82" s="480">
        <f>+'HOJA D TRABAJO'!B37</f>
        <v>0</v>
      </c>
      <c r="D82" s="480"/>
      <c r="E82" s="480"/>
      <c r="F82" s="57" t="s">
        <v>2</v>
      </c>
      <c r="G82" s="104">
        <f>+'HOJA D TRABAJO'!D37</f>
        <v>0</v>
      </c>
      <c r="H82" s="56"/>
      <c r="I82" s="101"/>
      <c r="J82" s="101" t="s">
        <v>1377</v>
      </c>
      <c r="K82" s="480">
        <f>+'HOJA D TRABAJO'!B38</f>
        <v>0</v>
      </c>
      <c r="L82" s="480"/>
      <c r="M82" s="480"/>
      <c r="N82" s="57" t="s">
        <v>2</v>
      </c>
      <c r="O82" s="104">
        <f>+'HOJA D TRABAJO'!D38</f>
        <v>0</v>
      </c>
    </row>
    <row r="83" spans="1:15" x14ac:dyDescent="0.2">
      <c r="A83" s="479" t="s">
        <v>1378</v>
      </c>
      <c r="B83" s="479"/>
      <c r="C83" s="479"/>
      <c r="D83" s="479"/>
      <c r="E83" s="479"/>
      <c r="F83" s="479"/>
      <c r="G83" s="479"/>
      <c r="H83" s="23"/>
      <c r="I83" s="479" t="s">
        <v>1378</v>
      </c>
      <c r="J83" s="479"/>
      <c r="K83" s="479"/>
      <c r="L83" s="479"/>
      <c r="M83" s="479"/>
      <c r="N83" s="479"/>
      <c r="O83" s="479"/>
    </row>
    <row r="84" spans="1:15" x14ac:dyDescent="0.2">
      <c r="A84" s="28"/>
      <c r="B84" s="28"/>
      <c r="C84" s="28"/>
      <c r="D84" s="28"/>
      <c r="E84" s="28"/>
      <c r="F84" s="28"/>
      <c r="G84" s="28"/>
      <c r="H84" s="24"/>
      <c r="I84" s="28"/>
      <c r="J84" s="28"/>
      <c r="K84" s="28"/>
      <c r="L84" s="28"/>
      <c r="M84" s="28"/>
      <c r="N84" s="28"/>
      <c r="O84" s="28"/>
    </row>
    <row r="85" spans="1:15" x14ac:dyDescent="0.2">
      <c r="A85" s="481" t="str">
        <f>+"Costo líquido por " &amp; C82 &amp;  "(líquido pagable Bs.)"</f>
        <v>Costo líquido por 0(líquido pagable Bs.)</v>
      </c>
      <c r="B85" s="481"/>
      <c r="C85" s="481"/>
      <c r="D85" s="481"/>
      <c r="E85" s="481"/>
      <c r="F85" s="481"/>
      <c r="G85" s="30">
        <f>+'HOJA D TRABAJO'!E37</f>
        <v>0</v>
      </c>
      <c r="H85" s="25"/>
      <c r="I85" s="481" t="str">
        <f>+"Costo líquido por " &amp; K82 &amp;  "(líquido pagable Bs.)"</f>
        <v>Costo líquido por 0(líquido pagable Bs.)</v>
      </c>
      <c r="J85" s="481"/>
      <c r="K85" s="481"/>
      <c r="L85" s="481"/>
      <c r="M85" s="481"/>
      <c r="N85" s="481"/>
      <c r="O85" s="30">
        <f>+'HOJA D TRABAJO'!E38</f>
        <v>0</v>
      </c>
    </row>
    <row r="86" spans="1:15" x14ac:dyDescent="0.2">
      <c r="A86" s="32" t="s">
        <v>1405</v>
      </c>
      <c r="B86" s="28"/>
      <c r="C86" s="28"/>
      <c r="D86" s="28"/>
      <c r="E86" s="28"/>
      <c r="F86" s="28"/>
      <c r="G86" s="30"/>
      <c r="H86" s="25"/>
      <c r="I86" s="32" t="s">
        <v>1376</v>
      </c>
      <c r="J86" s="28"/>
      <c r="K86" s="28"/>
      <c r="L86" s="28"/>
      <c r="M86" s="28"/>
      <c r="N86" s="28"/>
      <c r="O86" s="30"/>
    </row>
    <row r="87" spans="1:15" ht="15" x14ac:dyDescent="0.25">
      <c r="A87" s="33" t="s">
        <v>1396</v>
      </c>
      <c r="B87" s="28"/>
      <c r="C87" s="28"/>
      <c r="D87" s="28"/>
      <c r="E87" s="28"/>
      <c r="F87" s="34">
        <f>+SUM(E88:E89)</f>
        <v>0.155</v>
      </c>
      <c r="G87" s="30">
        <f>+G85/0.845</f>
        <v>0</v>
      </c>
      <c r="H87" s="25"/>
      <c r="I87" s="33" t="s">
        <v>1396</v>
      </c>
      <c r="J87" s="28"/>
      <c r="K87" s="28"/>
      <c r="L87" s="28"/>
      <c r="M87" s="28"/>
      <c r="N87" s="34">
        <f>+SUM(M88:M89)</f>
        <v>0.155</v>
      </c>
      <c r="O87" s="30">
        <f>+O85/0.845</f>
        <v>0</v>
      </c>
    </row>
    <row r="88" spans="1:15" x14ac:dyDescent="0.2">
      <c r="A88" s="35" t="s">
        <v>1397</v>
      </c>
      <c r="B88" s="28"/>
      <c r="C88" s="28"/>
      <c r="D88" s="28"/>
      <c r="E88" s="36">
        <v>0.125</v>
      </c>
      <c r="F88" s="28"/>
      <c r="G88" s="30"/>
      <c r="H88" s="25"/>
      <c r="I88" s="35" t="s">
        <v>1397</v>
      </c>
      <c r="J88" s="28"/>
      <c r="K88" s="28"/>
      <c r="L88" s="28"/>
      <c r="M88" s="36">
        <v>0.125</v>
      </c>
      <c r="N88" s="28"/>
      <c r="O88" s="30"/>
    </row>
    <row r="89" spans="1:15" x14ac:dyDescent="0.2">
      <c r="A89" s="35" t="s">
        <v>1398</v>
      </c>
      <c r="B89" s="28"/>
      <c r="C89" s="28"/>
      <c r="D89" s="28"/>
      <c r="E89" s="36">
        <v>0.03</v>
      </c>
      <c r="F89" s="28"/>
      <c r="G89" s="30"/>
      <c r="H89" s="25"/>
      <c r="I89" s="35" t="s">
        <v>1398</v>
      </c>
      <c r="J89" s="28"/>
      <c r="K89" s="28"/>
      <c r="L89" s="28"/>
      <c r="M89" s="36">
        <v>0.03</v>
      </c>
      <c r="N89" s="28"/>
      <c r="O89" s="30"/>
    </row>
    <row r="90" spans="1:15" x14ac:dyDescent="0.2">
      <c r="A90" s="37" t="s">
        <v>1406</v>
      </c>
      <c r="B90" s="28"/>
      <c r="C90" s="28"/>
      <c r="D90" s="28"/>
      <c r="E90" s="36"/>
      <c r="F90" s="28"/>
      <c r="G90" s="30">
        <f>+(('HOJA D TRABAJO'!$H$23+'HOJA D TRABAJO'!$E$256)*'HOJA D TRABAJO'!F37)</f>
        <v>0</v>
      </c>
      <c r="H90" s="25"/>
      <c r="I90" s="37" t="s">
        <v>1375</v>
      </c>
      <c r="J90" s="28"/>
      <c r="K90" s="28"/>
      <c r="L90" s="28"/>
      <c r="M90" s="36"/>
      <c r="N90" s="28"/>
      <c r="O90" s="30">
        <f>+(('HOJA D TRABAJO'!$H$23+'HOJA D TRABAJO'!$E$256)*'HOJA D TRABAJO'!F38)</f>
        <v>0</v>
      </c>
    </row>
    <row r="91" spans="1:15" x14ac:dyDescent="0.2">
      <c r="A91" s="37" t="s">
        <v>1388</v>
      </c>
      <c r="B91" s="28"/>
      <c r="C91" s="28"/>
      <c r="D91" s="28"/>
      <c r="E91" s="34">
        <f>$E$14</f>
        <v>5.4487179487179495E-4</v>
      </c>
      <c r="F91" s="28"/>
      <c r="G91" s="30">
        <f>+'HOJA D TRABAJO'!$E$259*'HOJA D TRABAJO'!$F$37</f>
        <v>0</v>
      </c>
      <c r="H91" s="25"/>
      <c r="I91" s="37" t="s">
        <v>1387</v>
      </c>
      <c r="J91" s="28"/>
      <c r="K91" s="28"/>
      <c r="L91" s="28"/>
      <c r="M91" s="34">
        <f>$E$14</f>
        <v>5.4487179487179495E-4</v>
      </c>
      <c r="N91" s="28"/>
      <c r="O91" s="30">
        <f>+'HOJA D TRABAJO'!$E$259*'HOJA D TRABAJO'!$F$38</f>
        <v>0</v>
      </c>
    </row>
    <row r="92" spans="1:15" x14ac:dyDescent="0.2">
      <c r="A92" s="38" t="s">
        <v>1407</v>
      </c>
      <c r="B92" s="39"/>
      <c r="C92" s="39"/>
      <c r="D92" s="39"/>
      <c r="E92" s="40">
        <f>+$E$15</f>
        <v>0.13</v>
      </c>
      <c r="F92" s="39"/>
      <c r="G92" s="41">
        <f>+E92*(SUM(G87:G91))</f>
        <v>0</v>
      </c>
      <c r="H92" s="25"/>
      <c r="I92" s="38" t="s">
        <v>1374</v>
      </c>
      <c r="J92" s="39"/>
      <c r="K92" s="39"/>
      <c r="L92" s="39"/>
      <c r="M92" s="40">
        <f>+$E$15</f>
        <v>0.13</v>
      </c>
      <c r="N92" s="39"/>
      <c r="O92" s="41">
        <f>+M92*(SUM(O87:O91))</f>
        <v>0</v>
      </c>
    </row>
    <row r="93" spans="1:15" ht="15" x14ac:dyDescent="0.25">
      <c r="A93" s="43" t="s">
        <v>1408</v>
      </c>
      <c r="B93" s="44"/>
      <c r="C93" s="44"/>
      <c r="D93" s="44"/>
      <c r="E93" s="44"/>
      <c r="F93" s="44"/>
      <c r="G93" s="45">
        <f>+SUM(G87:G92)</f>
        <v>0</v>
      </c>
      <c r="H93" s="26"/>
      <c r="I93" s="43" t="s">
        <v>1373</v>
      </c>
      <c r="J93" s="44"/>
      <c r="K93" s="44"/>
      <c r="L93" s="44"/>
      <c r="M93" s="44"/>
      <c r="N93" s="44"/>
      <c r="O93" s="45">
        <f>+SUM(O87:O92)</f>
        <v>0</v>
      </c>
    </row>
    <row r="94" spans="1:15" x14ac:dyDescent="0.2">
      <c r="A94" s="37" t="s">
        <v>1372</v>
      </c>
      <c r="B94" s="28"/>
      <c r="C94" s="28"/>
      <c r="D94" s="28"/>
      <c r="E94" s="34">
        <f>+B95+B96</f>
        <v>0.16</v>
      </c>
      <c r="F94" s="28"/>
      <c r="G94" s="30">
        <f>+G97-G93</f>
        <v>0</v>
      </c>
      <c r="H94" s="25"/>
      <c r="I94" s="37" t="s">
        <v>1372</v>
      </c>
      <c r="J94" s="28"/>
      <c r="K94" s="28"/>
      <c r="L94" s="28"/>
      <c r="M94" s="34">
        <f>+J95+J96</f>
        <v>0.16</v>
      </c>
      <c r="N94" s="28"/>
      <c r="O94" s="30">
        <f>+O97-O93</f>
        <v>0</v>
      </c>
    </row>
    <row r="95" spans="1:15" x14ac:dyDescent="0.2">
      <c r="A95" s="47" t="s">
        <v>1371</v>
      </c>
      <c r="B95" s="48">
        <v>0.13</v>
      </c>
      <c r="C95" s="28"/>
      <c r="D95" s="28"/>
      <c r="E95" s="36"/>
      <c r="F95" s="28"/>
      <c r="G95" s="30"/>
      <c r="H95" s="25"/>
      <c r="I95" s="47" t="s">
        <v>1371</v>
      </c>
      <c r="J95" s="48">
        <v>0.13</v>
      </c>
      <c r="K95" s="28"/>
      <c r="L95" s="28"/>
      <c r="M95" s="36"/>
      <c r="N95" s="28"/>
      <c r="O95" s="30"/>
    </row>
    <row r="96" spans="1:15" x14ac:dyDescent="0.2">
      <c r="A96" s="49" t="s">
        <v>1370</v>
      </c>
      <c r="B96" s="50">
        <v>0.03</v>
      </c>
      <c r="C96" s="39"/>
      <c r="D96" s="39"/>
      <c r="E96" s="51"/>
      <c r="F96" s="39"/>
      <c r="G96" s="41"/>
      <c r="H96" s="25"/>
      <c r="I96" s="49" t="s">
        <v>1370</v>
      </c>
      <c r="J96" s="50">
        <v>0.03</v>
      </c>
      <c r="K96" s="39"/>
      <c r="L96" s="39"/>
      <c r="M96" s="51"/>
      <c r="N96" s="39"/>
      <c r="O96" s="41"/>
    </row>
    <row r="97" spans="1:15" ht="15" x14ac:dyDescent="0.25">
      <c r="A97" s="43" t="s">
        <v>1409</v>
      </c>
      <c r="B97" s="44"/>
      <c r="C97" s="44"/>
      <c r="D97" s="44"/>
      <c r="E97" s="44"/>
      <c r="F97" s="44"/>
      <c r="G97" s="45">
        <f>IFERROR((G93/0.84),0)</f>
        <v>0</v>
      </c>
      <c r="H97" s="26"/>
      <c r="I97" s="43" t="s">
        <v>1409</v>
      </c>
      <c r="J97" s="44"/>
      <c r="K97" s="44"/>
      <c r="L97" s="44"/>
      <c r="M97" s="44"/>
      <c r="N97" s="44"/>
      <c r="O97" s="45">
        <f>IFERROR((O93/0.84),0)</f>
        <v>0</v>
      </c>
    </row>
    <row r="100" spans="1:15" ht="15" x14ac:dyDescent="0.25">
      <c r="A100" s="480" t="s">
        <v>1421</v>
      </c>
      <c r="B100" s="480"/>
      <c r="C100" s="480"/>
      <c r="D100" s="480"/>
      <c r="E100" s="480"/>
      <c r="F100" s="480"/>
      <c r="G100" s="480"/>
      <c r="H100" s="56"/>
      <c r="I100" s="480" t="s">
        <v>1421</v>
      </c>
      <c r="J100" s="480"/>
      <c r="K100" s="480"/>
      <c r="L100" s="480"/>
      <c r="M100" s="480"/>
      <c r="N100" s="480"/>
      <c r="O100" s="480"/>
    </row>
    <row r="101" spans="1:15" ht="19.5" x14ac:dyDescent="0.25">
      <c r="A101" s="101"/>
      <c r="B101" s="101" t="s">
        <v>1377</v>
      </c>
      <c r="C101" s="480">
        <f>+'HOJA D TRABAJO'!B39</f>
        <v>0</v>
      </c>
      <c r="D101" s="480"/>
      <c r="E101" s="480"/>
      <c r="F101" s="57" t="s">
        <v>2</v>
      </c>
      <c r="G101" s="106">
        <f>+'HOJA D TRABAJO'!D39</f>
        <v>0</v>
      </c>
      <c r="H101" s="56"/>
      <c r="I101" s="101"/>
      <c r="J101" s="101" t="s">
        <v>1377</v>
      </c>
      <c r="K101" s="480">
        <f>+'HOJA D TRABAJO'!B40</f>
        <v>0</v>
      </c>
      <c r="L101" s="480"/>
      <c r="M101" s="480"/>
      <c r="N101" s="57" t="s">
        <v>2</v>
      </c>
      <c r="O101" s="104">
        <f>+'HOJA D TRABAJO'!D40</f>
        <v>0</v>
      </c>
    </row>
    <row r="102" spans="1:15" x14ac:dyDescent="0.2">
      <c r="A102" s="479" t="s">
        <v>1378</v>
      </c>
      <c r="B102" s="479"/>
      <c r="C102" s="479"/>
      <c r="D102" s="479"/>
      <c r="E102" s="479"/>
      <c r="F102" s="479"/>
      <c r="G102" s="479"/>
      <c r="H102" s="23"/>
      <c r="I102" s="479" t="s">
        <v>1378</v>
      </c>
      <c r="J102" s="479"/>
      <c r="K102" s="479"/>
      <c r="L102" s="479"/>
      <c r="M102" s="479"/>
      <c r="N102" s="479"/>
      <c r="O102" s="479"/>
    </row>
    <row r="103" spans="1:15" x14ac:dyDescent="0.2">
      <c r="A103" s="28"/>
      <c r="B103" s="28"/>
      <c r="C103" s="28"/>
      <c r="D103" s="28"/>
      <c r="E103" s="28"/>
      <c r="F103" s="28"/>
      <c r="G103" s="28"/>
      <c r="H103" s="24"/>
      <c r="I103" s="28"/>
      <c r="J103" s="28"/>
      <c r="K103" s="28"/>
      <c r="L103" s="28"/>
      <c r="M103" s="28"/>
      <c r="N103" s="28"/>
      <c r="O103" s="28"/>
    </row>
    <row r="104" spans="1:15" x14ac:dyDescent="0.2">
      <c r="A104" s="481" t="str">
        <f>+"Costo líquido por " &amp; C101 &amp;  "(líquido pagable Bs.)"</f>
        <v>Costo líquido por 0(líquido pagable Bs.)</v>
      </c>
      <c r="B104" s="481"/>
      <c r="C104" s="481"/>
      <c r="D104" s="481"/>
      <c r="E104" s="481"/>
      <c r="F104" s="481"/>
      <c r="G104" s="30">
        <f>+'HOJA D TRABAJO'!E39</f>
        <v>0</v>
      </c>
      <c r="H104" s="25"/>
      <c r="I104" s="481" t="str">
        <f>+"Costo líquido por " &amp; K101 &amp;  "(líquido pagable Bs.)"</f>
        <v>Costo líquido por 0(líquido pagable Bs.)</v>
      </c>
      <c r="J104" s="481"/>
      <c r="K104" s="481"/>
      <c r="L104" s="481"/>
      <c r="M104" s="481"/>
      <c r="N104" s="481"/>
      <c r="O104" s="30">
        <f>+'HOJA D TRABAJO'!E40</f>
        <v>0</v>
      </c>
    </row>
    <row r="105" spans="1:15" x14ac:dyDescent="0.2">
      <c r="A105" s="32" t="s">
        <v>1405</v>
      </c>
      <c r="B105" s="28"/>
      <c r="C105" s="28"/>
      <c r="D105" s="28"/>
      <c r="E105" s="105"/>
      <c r="F105" s="28"/>
      <c r="G105" s="30"/>
      <c r="H105" s="25"/>
      <c r="I105" s="32" t="s">
        <v>1376</v>
      </c>
      <c r="J105" s="28"/>
      <c r="K105" s="28"/>
      <c r="L105" s="28"/>
      <c r="M105" s="28"/>
      <c r="N105" s="28"/>
      <c r="O105" s="30"/>
    </row>
    <row r="106" spans="1:15" ht="15" x14ac:dyDescent="0.25">
      <c r="A106" s="33" t="s">
        <v>1396</v>
      </c>
      <c r="B106" s="28"/>
      <c r="C106" s="28"/>
      <c r="D106" s="28"/>
      <c r="E106" s="28"/>
      <c r="F106" s="34">
        <f>+SUM(E107:E108)</f>
        <v>0.155</v>
      </c>
      <c r="G106" s="30">
        <f>+G104/0.845</f>
        <v>0</v>
      </c>
      <c r="H106" s="25"/>
      <c r="I106" s="33" t="s">
        <v>1396</v>
      </c>
      <c r="J106" s="28"/>
      <c r="K106" s="28"/>
      <c r="L106" s="28"/>
      <c r="M106" s="28"/>
      <c r="N106" s="34">
        <f>+SUM(M107:M108)</f>
        <v>0.155</v>
      </c>
      <c r="O106" s="30">
        <f>+O104/0.845</f>
        <v>0</v>
      </c>
    </row>
    <row r="107" spans="1:15" x14ac:dyDescent="0.2">
      <c r="A107" s="35" t="s">
        <v>1397</v>
      </c>
      <c r="B107" s="28"/>
      <c r="C107" s="28"/>
      <c r="D107" s="28"/>
      <c r="E107" s="36">
        <v>0.125</v>
      </c>
      <c r="F107" s="28"/>
      <c r="G107" s="30"/>
      <c r="H107" s="25"/>
      <c r="I107" s="35" t="s">
        <v>1397</v>
      </c>
      <c r="J107" s="28"/>
      <c r="K107" s="28"/>
      <c r="L107" s="28"/>
      <c r="M107" s="36">
        <v>0.125</v>
      </c>
      <c r="N107" s="28"/>
      <c r="O107" s="30"/>
    </row>
    <row r="108" spans="1:15" x14ac:dyDescent="0.2">
      <c r="A108" s="35" t="s">
        <v>1398</v>
      </c>
      <c r="B108" s="28"/>
      <c r="C108" s="28"/>
      <c r="D108" s="28"/>
      <c r="E108" s="36">
        <v>0.03</v>
      </c>
      <c r="F108" s="28"/>
      <c r="G108" s="30"/>
      <c r="H108" s="25"/>
      <c r="I108" s="35" t="s">
        <v>1398</v>
      </c>
      <c r="J108" s="28"/>
      <c r="K108" s="28"/>
      <c r="L108" s="28"/>
      <c r="M108" s="36">
        <v>0.03</v>
      </c>
      <c r="N108" s="28"/>
      <c r="O108" s="30"/>
    </row>
    <row r="109" spans="1:15" x14ac:dyDescent="0.2">
      <c r="A109" s="37" t="s">
        <v>1406</v>
      </c>
      <c r="B109" s="28"/>
      <c r="C109" s="28"/>
      <c r="D109" s="28"/>
      <c r="E109" s="36"/>
      <c r="F109" s="28"/>
      <c r="G109" s="30">
        <f>+(('HOJA D TRABAJO'!$H$23+'HOJA D TRABAJO'!$E$256)*'HOJA D TRABAJO'!F39)</f>
        <v>0</v>
      </c>
      <c r="H109" s="25"/>
      <c r="I109" s="37" t="s">
        <v>1375</v>
      </c>
      <c r="J109" s="28"/>
      <c r="K109" s="28"/>
      <c r="L109" s="28"/>
      <c r="M109" s="36"/>
      <c r="N109" s="28"/>
      <c r="O109" s="30">
        <f>+(('HOJA D TRABAJO'!$H$23+'HOJA D TRABAJO'!$E$256)*'HOJA D TRABAJO'!F40)</f>
        <v>0</v>
      </c>
    </row>
    <row r="110" spans="1:15" x14ac:dyDescent="0.2">
      <c r="A110" s="37" t="s">
        <v>1388</v>
      </c>
      <c r="B110" s="28"/>
      <c r="C110" s="28"/>
      <c r="D110" s="28"/>
      <c r="E110" s="34">
        <f>$E$14</f>
        <v>5.4487179487179495E-4</v>
      </c>
      <c r="F110" s="28"/>
      <c r="G110" s="30">
        <f>+'HOJA D TRABAJO'!$E$259*'HOJA D TRABAJO'!$F$39</f>
        <v>0</v>
      </c>
      <c r="H110" s="25"/>
      <c r="I110" s="37" t="s">
        <v>1387</v>
      </c>
      <c r="J110" s="28"/>
      <c r="K110" s="28"/>
      <c r="L110" s="28"/>
      <c r="M110" s="34">
        <f>$E$14</f>
        <v>5.4487179487179495E-4</v>
      </c>
      <c r="N110" s="28"/>
      <c r="O110" s="30">
        <f>+'HOJA D TRABAJO'!$E$259*'HOJA D TRABAJO'!$F$40</f>
        <v>0</v>
      </c>
    </row>
    <row r="111" spans="1:15" x14ac:dyDescent="0.2">
      <c r="A111" s="38" t="s">
        <v>1407</v>
      </c>
      <c r="B111" s="39"/>
      <c r="C111" s="39"/>
      <c r="D111" s="39"/>
      <c r="E111" s="40">
        <f>+$E$15</f>
        <v>0.13</v>
      </c>
      <c r="F111" s="39"/>
      <c r="G111" s="41">
        <f>+E111*(SUM(G106:G110))</f>
        <v>0</v>
      </c>
      <c r="H111" s="25"/>
      <c r="I111" s="38" t="s">
        <v>1374</v>
      </c>
      <c r="J111" s="39"/>
      <c r="K111" s="39"/>
      <c r="L111" s="39"/>
      <c r="M111" s="40">
        <f>+$E$15</f>
        <v>0.13</v>
      </c>
      <c r="N111" s="39"/>
      <c r="O111" s="41">
        <f>+M111*(SUM(O106:O110))</f>
        <v>0</v>
      </c>
    </row>
    <row r="112" spans="1:15" ht="15" x14ac:dyDescent="0.25">
      <c r="A112" s="43" t="s">
        <v>1408</v>
      </c>
      <c r="B112" s="44"/>
      <c r="C112" s="44"/>
      <c r="D112" s="44"/>
      <c r="E112" s="44"/>
      <c r="F112" s="44"/>
      <c r="G112" s="45">
        <f>+SUM(G106:G111)</f>
        <v>0</v>
      </c>
      <c r="H112" s="26"/>
      <c r="I112" s="43" t="s">
        <v>1373</v>
      </c>
      <c r="J112" s="44"/>
      <c r="K112" s="44"/>
      <c r="L112" s="44"/>
      <c r="M112" s="44"/>
      <c r="N112" s="44"/>
      <c r="O112" s="45">
        <f>+SUM(O106:O111)</f>
        <v>0</v>
      </c>
    </row>
    <row r="113" spans="1:15" x14ac:dyDescent="0.2">
      <c r="A113" s="37" t="s">
        <v>1372</v>
      </c>
      <c r="B113" s="28"/>
      <c r="C113" s="28"/>
      <c r="D113" s="28"/>
      <c r="E113" s="34">
        <f>+B114+B115</f>
        <v>0.16</v>
      </c>
      <c r="F113" s="28"/>
      <c r="G113" s="30">
        <f>+G116-G112</f>
        <v>0</v>
      </c>
      <c r="H113" s="25"/>
      <c r="I113" s="37" t="s">
        <v>1372</v>
      </c>
      <c r="J113" s="28"/>
      <c r="K113" s="28"/>
      <c r="L113" s="28"/>
      <c r="M113" s="34">
        <f>+J114+J115</f>
        <v>0.16</v>
      </c>
      <c r="N113" s="28"/>
      <c r="O113" s="30">
        <f>+O116-O112</f>
        <v>0</v>
      </c>
    </row>
    <row r="114" spans="1:15" x14ac:dyDescent="0.2">
      <c r="A114" s="47" t="s">
        <v>1371</v>
      </c>
      <c r="B114" s="48">
        <v>0.13</v>
      </c>
      <c r="C114" s="28"/>
      <c r="D114" s="28"/>
      <c r="E114" s="36"/>
      <c r="F114" s="28"/>
      <c r="G114" s="30"/>
      <c r="H114" s="25"/>
      <c r="I114" s="47" t="s">
        <v>1371</v>
      </c>
      <c r="J114" s="48">
        <v>0.13</v>
      </c>
      <c r="K114" s="28"/>
      <c r="L114" s="28"/>
      <c r="M114" s="36"/>
      <c r="N114" s="28"/>
      <c r="O114" s="30"/>
    </row>
    <row r="115" spans="1:15" x14ac:dyDescent="0.2">
      <c r="A115" s="49" t="s">
        <v>1370</v>
      </c>
      <c r="B115" s="50">
        <v>0.03</v>
      </c>
      <c r="C115" s="39"/>
      <c r="D115" s="39"/>
      <c r="E115" s="51"/>
      <c r="F115" s="39"/>
      <c r="G115" s="41"/>
      <c r="H115" s="25"/>
      <c r="I115" s="49" t="s">
        <v>1370</v>
      </c>
      <c r="J115" s="50">
        <v>0.03</v>
      </c>
      <c r="K115" s="39"/>
      <c r="L115" s="39"/>
      <c r="M115" s="51"/>
      <c r="N115" s="39"/>
      <c r="O115" s="41"/>
    </row>
    <row r="116" spans="1:15" ht="15" x14ac:dyDescent="0.25">
      <c r="A116" s="43" t="s">
        <v>1409</v>
      </c>
      <c r="B116" s="44"/>
      <c r="C116" s="44"/>
      <c r="D116" s="44"/>
      <c r="E116" s="44"/>
      <c r="F116" s="44"/>
      <c r="G116" s="45">
        <f>IFERROR((G112/0.84),0)</f>
        <v>0</v>
      </c>
      <c r="H116" s="26"/>
      <c r="I116" s="43" t="s">
        <v>1409</v>
      </c>
      <c r="J116" s="44"/>
      <c r="K116" s="44"/>
      <c r="L116" s="44"/>
      <c r="M116" s="44"/>
      <c r="N116" s="44"/>
      <c r="O116" s="45">
        <f>IFERROR((O112/0.84),0)</f>
        <v>0</v>
      </c>
    </row>
  </sheetData>
  <mergeCells count="45">
    <mergeCell ref="I100:O100"/>
    <mergeCell ref="A100:G100"/>
    <mergeCell ref="A81:G81"/>
    <mergeCell ref="I81:O81"/>
    <mergeCell ref="I61:O61"/>
    <mergeCell ref="A61:G61"/>
    <mergeCell ref="C82:E82"/>
    <mergeCell ref="K82:M82"/>
    <mergeCell ref="A83:G83"/>
    <mergeCell ref="I83:O83"/>
    <mergeCell ref="A85:F85"/>
    <mergeCell ref="I85:N85"/>
    <mergeCell ref="C62:E62"/>
    <mergeCell ref="K62:M62"/>
    <mergeCell ref="A63:G63"/>
    <mergeCell ref="I63:O63"/>
    <mergeCell ref="C101:E101"/>
    <mergeCell ref="K101:M101"/>
    <mergeCell ref="A102:G102"/>
    <mergeCell ref="I102:O102"/>
    <mergeCell ref="A104:F104"/>
    <mergeCell ref="I104:N104"/>
    <mergeCell ref="A65:F65"/>
    <mergeCell ref="I65:N65"/>
    <mergeCell ref="A8:F8"/>
    <mergeCell ref="I8:N8"/>
    <mergeCell ref="A25:G25"/>
    <mergeCell ref="I25:O25"/>
    <mergeCell ref="C43:E43"/>
    <mergeCell ref="I23:O23"/>
    <mergeCell ref="A23:G23"/>
    <mergeCell ref="A42:G42"/>
    <mergeCell ref="I42:O42"/>
    <mergeCell ref="A44:G44"/>
    <mergeCell ref="C24:E24"/>
    <mergeCell ref="K24:M24"/>
    <mergeCell ref="K43:M43"/>
    <mergeCell ref="I44:O44"/>
    <mergeCell ref="E2:K2"/>
    <mergeCell ref="A6:G6"/>
    <mergeCell ref="I6:O6"/>
    <mergeCell ref="C5:E5"/>
    <mergeCell ref="K5:M5"/>
    <mergeCell ref="A4:G4"/>
    <mergeCell ref="I4:O4"/>
  </mergeCells>
  <pageMargins left="0.7" right="0.7" top="0.75" bottom="0.75" header="0.3" footer="0.3"/>
  <pageSetup paperSize="9" scale="48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1"/>
  <dimension ref="A2:P115"/>
  <sheetViews>
    <sheetView topLeftCell="A80" workbookViewId="0">
      <selection activeCell="O95" sqref="O95"/>
    </sheetView>
  </sheetViews>
  <sheetFormatPr baseColWidth="10" defaultRowHeight="15" outlineLevelRow="2" x14ac:dyDescent="0.25"/>
  <cols>
    <col min="8" max="8" width="4" customWidth="1"/>
    <col min="13" max="13" width="11.85546875" bestFit="1" customWidth="1"/>
  </cols>
  <sheetData>
    <row r="2" spans="1:16" ht="28.5" x14ac:dyDescent="0.45">
      <c r="E2" s="482" t="str">
        <f>+'HOJA D TRABAJO'!D43</f>
        <v>CHAPARE</v>
      </c>
      <c r="F2" s="482"/>
      <c r="G2" s="482"/>
      <c r="H2" s="482"/>
      <c r="I2" s="482"/>
      <c r="J2" s="482"/>
    </row>
    <row r="3" spans="1:16" s="22" customFormat="1" ht="14.25" x14ac:dyDescent="0.2"/>
    <row r="4" spans="1:16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TRABAJO'!D45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TRABAJO'!D46</f>
        <v>0</v>
      </c>
    </row>
    <row r="5" spans="1:16" s="22" customFormat="1" x14ac:dyDescent="0.25">
      <c r="A5" s="58"/>
      <c r="B5" s="58" t="s">
        <v>1377</v>
      </c>
      <c r="C5" s="480">
        <f>+'HOJA D TRABAJO'!B45</f>
        <v>0</v>
      </c>
      <c r="D5" s="480"/>
      <c r="E5" s="480"/>
      <c r="F5" s="58"/>
      <c r="G5" s="58"/>
      <c r="H5" s="54"/>
      <c r="I5" s="58"/>
      <c r="J5" s="58" t="s">
        <v>1377</v>
      </c>
      <c r="K5" s="480">
        <f>+'HOJA D TRABAJO'!B46</f>
        <v>0</v>
      </c>
      <c r="L5" s="480"/>
      <c r="M5" s="480"/>
      <c r="N5" s="58"/>
      <c r="O5" s="58"/>
    </row>
    <row r="6" spans="1:16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6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6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TRABAJO'!E45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TRABAJO'!E46</f>
        <v>0</v>
      </c>
    </row>
    <row r="9" spans="1:16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6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6" s="22" customFormat="1" ht="14.2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6" s="22" customFormat="1" ht="14.2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6" s="22" customFormat="1" ht="14.2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TRABAJO'!$E$256)*'HOJA D TRABAJO'!$F$45)</f>
        <v>0</v>
      </c>
      <c r="H13" s="31"/>
      <c r="I13" s="37" t="s">
        <v>1411</v>
      </c>
      <c r="J13" s="28"/>
      <c r="K13" s="28"/>
      <c r="L13" s="28"/>
      <c r="M13" s="36">
        <f>IFERROR((O13/(#REF!+O10+O8)),0)</f>
        <v>0</v>
      </c>
      <c r="N13" s="28"/>
      <c r="O13" s="30">
        <f>+(('HOJA D TRABAJO'!$H$23+'HOJA D TRABAJO'!$E$256)*'HOJA D TRABAJO'!$F$46)</f>
        <v>0</v>
      </c>
      <c r="P13" s="19"/>
    </row>
    <row r="14" spans="1:16" s="22" customFormat="1" ht="14.2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TRABAJO'!$F$45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TRABAJO'!$F$46</f>
        <v>0</v>
      </c>
    </row>
    <row r="15" spans="1:16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6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59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TRABAJO'!D47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TRABAJO'!D48</f>
        <v>0</v>
      </c>
    </row>
    <row r="24" spans="1:15" s="22" customFormat="1" outlineLevel="1" x14ac:dyDescent="0.25">
      <c r="A24" s="58"/>
      <c r="B24" s="58" t="s">
        <v>1377</v>
      </c>
      <c r="C24" s="480">
        <f>+'HOJA D TRABAJO'!B47</f>
        <v>0</v>
      </c>
      <c r="D24" s="480"/>
      <c r="E24" s="480"/>
      <c r="F24" s="58"/>
      <c r="G24" s="58"/>
      <c r="H24" s="29"/>
      <c r="I24" s="58"/>
      <c r="J24" s="58" t="s">
        <v>1377</v>
      </c>
      <c r="K24" s="480">
        <f>+'HOJA D TRABAJO'!B48</f>
        <v>0</v>
      </c>
      <c r="L24" s="480"/>
      <c r="M24" s="480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TRABAJO'!E47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TRABAJO'!E48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TRABAJO'!$E$256)*'HOJA D TRABAJO'!$F$47)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TRABAJO'!$E$256)*'HOJA D TRABAJO'!$F$48)</f>
        <v>0</v>
      </c>
    </row>
    <row r="32" spans="1:15" s="22" customFormat="1" ht="15" customHeight="1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TRABAJO'!$F$47</f>
        <v>0</v>
      </c>
      <c r="H32" s="31"/>
      <c r="I32" s="37" t="s">
        <v>1387</v>
      </c>
      <c r="J32" s="28"/>
      <c r="K32" s="28"/>
      <c r="L32" s="28"/>
      <c r="M32" s="34">
        <f>+M14</f>
        <v>5.4487179487179495E-4</v>
      </c>
      <c r="N32" s="28"/>
      <c r="O32" s="30">
        <f>+'HOJA D TRABAJO'!$E$259*'HOJA D TRABAJO'!$F$48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57">
        <f>+'HOJA D TRABAJO'!D49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TRABAJO'!D50</f>
        <v>0</v>
      </c>
    </row>
    <row r="43" spans="1:15" s="22" customFormat="1" outlineLevel="2" x14ac:dyDescent="0.25">
      <c r="A43" s="58"/>
      <c r="B43" s="58" t="s">
        <v>1377</v>
      </c>
      <c r="C43" s="480">
        <f>+'HOJA D TRABAJO'!$B$49</f>
        <v>0</v>
      </c>
      <c r="D43" s="480"/>
      <c r="E43" s="480"/>
      <c r="F43" s="58"/>
      <c r="G43" s="58"/>
      <c r="H43" s="27"/>
      <c r="I43" s="58"/>
      <c r="J43" s="58" t="s">
        <v>1377</v>
      </c>
      <c r="K43" s="480">
        <f>+'HOJA D TRABAJO'!$B$50</f>
        <v>0</v>
      </c>
      <c r="L43" s="480"/>
      <c r="M43" s="480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TRABAJO'!E49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TRABAJO'!E50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6.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6.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TRABAJO'!$E$256)*'HOJA D TRABAJO'!$F$49)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TRABAJO'!$E$256)*'HOJA D TRABAJO'!$F$50)</f>
        <v>0</v>
      </c>
    </row>
    <row r="52" spans="1:15" s="22" customFormat="1" ht="16.5" customHeight="1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TRABAJO'!$F$49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TRABAJO'!$F$50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s="55" customFormat="1" outlineLevel="1" x14ac:dyDescent="0.25"/>
    <row r="60" spans="1:15" outlineLevel="1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TRABAJO'!D51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TRABAJO'!D52</f>
        <v>0</v>
      </c>
    </row>
    <row r="62" spans="1:15" x14ac:dyDescent="0.25">
      <c r="A62" s="101"/>
      <c r="B62" s="101" t="s">
        <v>1377</v>
      </c>
      <c r="C62" s="480">
        <f>+'HOJA D TRABAJO'!$B$51</f>
        <v>0</v>
      </c>
      <c r="D62" s="480"/>
      <c r="E62" s="480"/>
      <c r="F62" s="101"/>
      <c r="G62" s="101"/>
      <c r="H62" s="54"/>
      <c r="I62" s="101"/>
      <c r="J62" s="101" t="s">
        <v>1377</v>
      </c>
      <c r="K62" s="480">
        <f>+'HOJA D TRABAJO'!$B$52</f>
        <v>0</v>
      </c>
      <c r="L62" s="480"/>
      <c r="M62" s="480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TRABAJO'!E51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TRABAJO'!E52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TRABAJO'!$E$256)*'HOJA D TRABAJO'!$F$51)</f>
        <v>0</v>
      </c>
      <c r="H70" s="31"/>
      <c r="I70" s="37" t="s">
        <v>1411</v>
      </c>
      <c r="J70" s="28"/>
      <c r="K70" s="28"/>
      <c r="L70" s="28"/>
      <c r="M70" s="36">
        <f>IFERROR((O70/(#REF!+O67+O65)),0)</f>
        <v>0</v>
      </c>
      <c r="N70" s="28"/>
      <c r="O70" s="30">
        <f>+(('HOJA D TRABAJO'!$H$23+'HOJA D TRABAJO'!$E$256)*'HOJA D TRABAJO'!$F$52)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TRABAJO'!$F$51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TRABAJO'!$F$52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59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TRABAJO'!D53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TRABAJO'!D54</f>
        <v>0</v>
      </c>
    </row>
    <row r="81" spans="1:15" x14ac:dyDescent="0.25">
      <c r="A81" s="101"/>
      <c r="B81" s="101" t="s">
        <v>1377</v>
      </c>
      <c r="C81" s="480">
        <f>+'HOJA D TRABAJO'!$B$53</f>
        <v>0</v>
      </c>
      <c r="D81" s="480"/>
      <c r="E81" s="480"/>
      <c r="F81" s="101"/>
      <c r="G81" s="101"/>
      <c r="H81" s="29"/>
      <c r="I81" s="101"/>
      <c r="J81" s="101" t="s">
        <v>1377</v>
      </c>
      <c r="K81" s="480">
        <f>+'HOJA D TRABAJO'!$B$54</f>
        <v>0</v>
      </c>
      <c r="L81" s="480"/>
      <c r="M81" s="480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TRABAJO'!E53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TRABAJO'!E54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TRABAJO'!$E$256)*'HOJA D TRABAJO'!$F$53)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TRABAJO'!$E$256)*'HOJA D TRABAJO'!$F$54)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TRABAJO'!$F$53</f>
        <v>0</v>
      </c>
      <c r="H89" s="31"/>
      <c r="I89" s="37" t="s">
        <v>1387</v>
      </c>
      <c r="J89" s="28"/>
      <c r="K89" s="28"/>
      <c r="L89" s="28"/>
      <c r="M89" s="34">
        <f>+M71</f>
        <v>5.4487179487179495E-4</v>
      </c>
      <c r="N89" s="28"/>
      <c r="O89" s="30">
        <f>+'HOJA D TRABAJO'!$E$259*'HOJA D TRABAJO'!$F$54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TRABAJO'!D55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TRABAJO'!D56</f>
        <v>0</v>
      </c>
    </row>
    <row r="100" spans="1:15" x14ac:dyDescent="0.25">
      <c r="A100" s="101"/>
      <c r="B100" s="101" t="s">
        <v>1377</v>
      </c>
      <c r="C100" s="480">
        <f>+'HOJA D TRABAJO'!$B$55</f>
        <v>0</v>
      </c>
      <c r="D100" s="480"/>
      <c r="E100" s="480"/>
      <c r="F100" s="101"/>
      <c r="G100" s="101"/>
      <c r="H100" s="27"/>
      <c r="I100" s="101"/>
      <c r="J100" s="101" t="s">
        <v>1377</v>
      </c>
      <c r="K100" s="480">
        <f>+'HOJA D TRABAJO'!$B$56</f>
        <v>0</v>
      </c>
      <c r="L100" s="480"/>
      <c r="M100" s="480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TRABAJO'!E55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TRABAJO'!E56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TRABAJO'!$E$256)*'HOJA D TRABAJO'!$F$55)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TRABAJO'!$E$256)*'HOJA D TRABAJO'!$F$56)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TRABAJO'!$F$55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TRABAJO'!$F$56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J2"/>
    <mergeCell ref="A25:G25"/>
    <mergeCell ref="I25:O25"/>
    <mergeCell ref="C43:E43"/>
    <mergeCell ref="K43:M43"/>
  </mergeCells>
  <conditionalFormatting sqref="G20">
    <cfRule type="cellIs" priority="2" operator="equal">
      <formula>0</formula>
    </cfRule>
  </conditionalFormatting>
  <conditionalFormatting sqref="G77">
    <cfRule type="cellIs" priority="1" operator="equal">
      <formula>0</formula>
    </cfRule>
  </conditionalFormatting>
  <pageMargins left="0.7" right="0.7" top="0.75" bottom="0.75" header="0.3" footer="0.3"/>
  <pageSetup paperSize="9" scale="5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/>
  <dimension ref="A2:O115"/>
  <sheetViews>
    <sheetView topLeftCell="A22" zoomScaleNormal="100" workbookViewId="0">
      <selection activeCell="I101" sqref="I101:O101"/>
    </sheetView>
  </sheetViews>
  <sheetFormatPr baseColWidth="10" defaultRowHeight="15" outlineLevelRow="2" x14ac:dyDescent="0.25"/>
  <cols>
    <col min="8" max="8" width="5.7109375" customWidth="1"/>
  </cols>
  <sheetData>
    <row r="2" spans="1:15" ht="28.5" x14ac:dyDescent="0.45">
      <c r="E2" s="482" t="str">
        <f>+'HOJA D TRABAJO'!D59</f>
        <v>LA PAZ</v>
      </c>
      <c r="F2" s="482"/>
      <c r="G2" s="482"/>
      <c r="H2" s="482"/>
      <c r="I2" s="482"/>
      <c r="J2" s="482"/>
      <c r="K2" s="482"/>
    </row>
    <row r="3" spans="1:15" s="22" customFormat="1" ht="14.25" x14ac:dyDescent="0.2"/>
    <row r="4" spans="1:15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TRABAJO'!D61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TRABAJO'!D62</f>
        <v>0</v>
      </c>
    </row>
    <row r="5" spans="1:15" s="22" customFormat="1" x14ac:dyDescent="0.25">
      <c r="A5" s="58"/>
      <c r="B5" s="58" t="s">
        <v>1377</v>
      </c>
      <c r="C5" s="480">
        <f>+'HOJA D TRABAJO'!B61</f>
        <v>0</v>
      </c>
      <c r="D5" s="480"/>
      <c r="E5" s="480"/>
      <c r="F5" s="58"/>
      <c r="G5" s="58"/>
      <c r="H5" s="54"/>
      <c r="I5" s="58"/>
      <c r="J5" s="58" t="s">
        <v>1377</v>
      </c>
      <c r="K5" s="480">
        <f>+'HOJA D TRABAJO'!B62</f>
        <v>0</v>
      </c>
      <c r="L5" s="480"/>
      <c r="M5" s="480"/>
      <c r="N5" s="58"/>
      <c r="O5" s="58"/>
    </row>
    <row r="6" spans="1:15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TRABAJO'!E61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TRABAJO'!E62</f>
        <v>0</v>
      </c>
    </row>
    <row r="9" spans="1:15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s="22" customFormat="1" ht="15.75" customHeight="1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s="22" customFormat="1" ht="14.2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s="22" customFormat="1" ht="14.2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TRABAJO'!$F$61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TRABAJO'!$F$62</f>
        <v>0</v>
      </c>
    </row>
    <row r="14" spans="1:15" s="22" customFormat="1" ht="14.25" x14ac:dyDescent="0.2">
      <c r="A14" s="37" t="s">
        <v>1387</v>
      </c>
      <c r="B14" s="28"/>
      <c r="C14" s="28"/>
      <c r="D14" s="28"/>
      <c r="E14" s="34">
        <f>+M14</f>
        <v>5.4487179487179495E-4</v>
      </c>
      <c r="F14" s="28"/>
      <c r="G14" s="30">
        <f>+'HOJA D TRABAJO'!$E$259*'HOJA D TRABAJO'!$F$61</f>
        <v>0</v>
      </c>
      <c r="H14" s="31"/>
      <c r="I14" s="37" t="s">
        <v>1387</v>
      </c>
      <c r="J14" s="28"/>
      <c r="K14" s="28"/>
      <c r="L14" s="28"/>
      <c r="M14" s="34">
        <f>+E32</f>
        <v>5.4487179487179495E-4</v>
      </c>
      <c r="N14" s="28"/>
      <c r="O14" s="30">
        <f>+'HOJA D TRABAJO'!$E$259*'HOJA D TRABAJO'!$F$62</f>
        <v>0</v>
      </c>
    </row>
    <row r="15" spans="1:15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TRABAJO'!D63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TRABAJO'!D64</f>
        <v>0</v>
      </c>
    </row>
    <row r="24" spans="1:15" s="22" customFormat="1" outlineLevel="1" x14ac:dyDescent="0.25">
      <c r="A24" s="58"/>
      <c r="B24" s="58" t="s">
        <v>1377</v>
      </c>
      <c r="C24" s="480">
        <f>+'HOJA D TRABAJO'!B63</f>
        <v>0</v>
      </c>
      <c r="D24" s="480"/>
      <c r="E24" s="480"/>
      <c r="F24" s="58"/>
      <c r="G24" s="58"/>
      <c r="H24" s="29"/>
      <c r="I24" s="58"/>
      <c r="J24" s="58" t="s">
        <v>1377</v>
      </c>
      <c r="K24" s="480">
        <f>+'HOJA D TRABAJO'!B64</f>
        <v>0</v>
      </c>
      <c r="L24" s="480"/>
      <c r="M24" s="480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TRABAJO'!E63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TRABAJO'!E64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.7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.7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TRABAJO'!$F$63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TRABAJO'!$F$64</f>
        <v>0</v>
      </c>
    </row>
    <row r="32" spans="1:15" s="22" customFormat="1" ht="15.75" customHeight="1" outlineLevel="1" x14ac:dyDescent="0.2">
      <c r="A32" s="37" t="s">
        <v>1387</v>
      </c>
      <c r="B32" s="28"/>
      <c r="C32" s="28"/>
      <c r="D32" s="28"/>
      <c r="E32" s="34">
        <f>+'HOJA 1 AUX'!E14</f>
        <v>5.4487179487179495E-4</v>
      </c>
      <c r="F32" s="28"/>
      <c r="G32" s="30">
        <f>+'HOJA D TRABAJO'!$E$259*'HOJA D TRABAJO'!$F$63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TRABAJO'!$F$64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57">
        <f>+'HOJA D TRABAJO'!D65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TRABAJO'!D66</f>
        <v>0</v>
      </c>
    </row>
    <row r="43" spans="1:15" s="22" customFormat="1" outlineLevel="2" x14ac:dyDescent="0.25">
      <c r="A43" s="58"/>
      <c r="B43" s="58" t="s">
        <v>1377</v>
      </c>
      <c r="C43" s="480">
        <f>+'HOJA D TRABAJO'!$B65</f>
        <v>0</v>
      </c>
      <c r="D43" s="480"/>
      <c r="E43" s="480"/>
      <c r="F43" s="58"/>
      <c r="G43" s="58"/>
      <c r="H43" s="27"/>
      <c r="I43" s="58"/>
      <c r="J43" s="58" t="s">
        <v>1377</v>
      </c>
      <c r="K43" s="480">
        <f>+'HOJA D TRABAJO'!$B$66</f>
        <v>0</v>
      </c>
      <c r="L43" s="480"/>
      <c r="M43" s="480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TRABAJO'!$E$65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TRABAJO'!$E$66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6.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6.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TRABAJO'!$F$65</f>
        <v>0</v>
      </c>
      <c r="H51" s="31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TRABAJO'!$F$66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TRABAJO'!$F$65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TRABAJO'!$F$66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s="55" customFormat="1" outlineLevel="2" x14ac:dyDescent="0.25"/>
    <row r="60" spans="1:15" s="55" customFormat="1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TRABAJO'!D67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TRABAJO'!D68</f>
        <v>0</v>
      </c>
    </row>
    <row r="62" spans="1:15" x14ac:dyDescent="0.25">
      <c r="A62" s="101"/>
      <c r="B62" s="101" t="s">
        <v>1377</v>
      </c>
      <c r="C62" s="480">
        <f>+'HOJA D TRABAJO'!$B$67</f>
        <v>0</v>
      </c>
      <c r="D62" s="480"/>
      <c r="E62" s="480"/>
      <c r="F62" s="101"/>
      <c r="G62" s="101"/>
      <c r="H62" s="54"/>
      <c r="I62" s="101"/>
      <c r="J62" s="101" t="s">
        <v>1377</v>
      </c>
      <c r="K62" s="480">
        <f>+'HOJA D TRABAJO'!$B$68</f>
        <v>0</v>
      </c>
      <c r="L62" s="480"/>
      <c r="M62" s="480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TRABAJO'!$E$67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TRABAJO'!$E$68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TRABAJO'!$F$67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TRABAJO'!$F$68</f>
        <v>0</v>
      </c>
    </row>
    <row r="71" spans="1:15" x14ac:dyDescent="0.25">
      <c r="A71" s="37" t="s">
        <v>1387</v>
      </c>
      <c r="B71" s="28"/>
      <c r="C71" s="28"/>
      <c r="D71" s="28"/>
      <c r="E71" s="34">
        <f>+M71</f>
        <v>5.4487179487179495E-4</v>
      </c>
      <c r="F71" s="28"/>
      <c r="G71" s="30">
        <f>+'HOJA D TRABAJO'!$E$259*'HOJA D TRABAJO'!$F$67</f>
        <v>0</v>
      </c>
      <c r="H71" s="31"/>
      <c r="I71" s="37" t="s">
        <v>1387</v>
      </c>
      <c r="J71" s="28"/>
      <c r="K71" s="28"/>
      <c r="L71" s="28"/>
      <c r="M71" s="34">
        <f>+E89</f>
        <v>5.4487179487179495E-4</v>
      </c>
      <c r="N71" s="28"/>
      <c r="O71" s="30">
        <f>+'HOJA D TRABAJO'!$E$259*'HOJA D TRABAJO'!$F$68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TRABAJO'!D69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TRABAJO'!D70</f>
        <v>0</v>
      </c>
    </row>
    <row r="81" spans="1:15" x14ac:dyDescent="0.25">
      <c r="A81" s="101"/>
      <c r="B81" s="101" t="s">
        <v>1377</v>
      </c>
      <c r="C81" s="480">
        <f>+'HOJA D TRABAJO'!$B$69</f>
        <v>0</v>
      </c>
      <c r="D81" s="480"/>
      <c r="E81" s="480"/>
      <c r="F81" s="101"/>
      <c r="G81" s="101"/>
      <c r="H81" s="29"/>
      <c r="I81" s="101"/>
      <c r="J81" s="101" t="s">
        <v>1377</v>
      </c>
      <c r="K81" s="480">
        <f>+'HOJA D TRABAJO'!$B$70</f>
        <v>0</v>
      </c>
      <c r="L81" s="480"/>
      <c r="M81" s="480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TRABAJO'!$E$69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TRABAJO'!$E$70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TRABAJO'!$F$69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TRABAJO'!$F$70</f>
        <v>0</v>
      </c>
    </row>
    <row r="89" spans="1:15" x14ac:dyDescent="0.25">
      <c r="A89" s="37" t="s">
        <v>1387</v>
      </c>
      <c r="B89" s="28"/>
      <c r="C89" s="28"/>
      <c r="D89" s="28"/>
      <c r="E89" s="34">
        <f>+'HOJA 1 AUX'!E71</f>
        <v>5.4487179487179495E-4</v>
      </c>
      <c r="F89" s="28"/>
      <c r="G89" s="30">
        <f>+'HOJA D TRABAJO'!$E$259*'HOJA D TRABAJO'!$F$69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TRABAJO'!$F$70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TRABAJO'!D71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TRABAJO'!D72</f>
        <v>0</v>
      </c>
    </row>
    <row r="100" spans="1:15" x14ac:dyDescent="0.25">
      <c r="A100" s="101"/>
      <c r="B100" s="101" t="s">
        <v>1377</v>
      </c>
      <c r="C100" s="480">
        <f>+'HOJA D TRABAJO'!$B$71</f>
        <v>0</v>
      </c>
      <c r="D100" s="480"/>
      <c r="E100" s="480"/>
      <c r="F100" s="101"/>
      <c r="G100" s="101"/>
      <c r="H100" s="27"/>
      <c r="I100" s="101"/>
      <c r="J100" s="101" t="s">
        <v>1377</v>
      </c>
      <c r="K100" s="480">
        <f>+'HOJA D TRABAJO'!$B$72</f>
        <v>0</v>
      </c>
      <c r="L100" s="480"/>
      <c r="M100" s="480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TRABAJO'!$E$71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TRABAJO'!$E$72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TRABAJO'!$F$71</f>
        <v>0</v>
      </c>
      <c r="H108" s="31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TRABAJO'!$F$72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TRABAJO'!$F$71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TRABAJO'!$F$72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8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A2:P115"/>
  <sheetViews>
    <sheetView workbookViewId="0">
      <selection activeCell="M113" sqref="M113"/>
    </sheetView>
  </sheetViews>
  <sheetFormatPr baseColWidth="10" defaultRowHeight="15" outlineLevelRow="2" x14ac:dyDescent="0.25"/>
  <cols>
    <col min="1" max="7" width="11.42578125" style="55"/>
    <col min="8" max="8" width="6.140625" style="55" customWidth="1"/>
    <col min="9" max="16384" width="11.42578125" style="55"/>
  </cols>
  <sheetData>
    <row r="2" spans="1:16" ht="26.25" x14ac:dyDescent="0.4">
      <c r="E2" s="483" t="str">
        <f>+'HOJA D TRABAJO'!D75</f>
        <v>TARIJA</v>
      </c>
      <c r="F2" s="483"/>
      <c r="G2" s="483"/>
      <c r="H2" s="483"/>
      <c r="I2" s="483"/>
      <c r="J2" s="483"/>
      <c r="K2" s="483"/>
    </row>
    <row r="3" spans="1:16" s="22" customFormat="1" ht="14.25" x14ac:dyDescent="0.2"/>
    <row r="4" spans="1:16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TRABAJO'!D77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TRABAJO'!D78</f>
        <v>0</v>
      </c>
    </row>
    <row r="5" spans="1:16" s="22" customFormat="1" x14ac:dyDescent="0.25">
      <c r="A5" s="58"/>
      <c r="B5" s="58" t="s">
        <v>1377</v>
      </c>
      <c r="C5" s="480">
        <f>+'HOJA D TRABAJO'!B77</f>
        <v>0</v>
      </c>
      <c r="D5" s="480"/>
      <c r="E5" s="480"/>
      <c r="F5" s="58"/>
      <c r="G5" s="58"/>
      <c r="H5" s="54"/>
      <c r="I5" s="58"/>
      <c r="J5" s="58" t="s">
        <v>1377</v>
      </c>
      <c r="K5" s="480">
        <f>+'HOJA D TRABAJO'!B78</f>
        <v>0</v>
      </c>
      <c r="L5" s="480"/>
      <c r="M5" s="480"/>
      <c r="N5" s="58"/>
      <c r="O5" s="58"/>
    </row>
    <row r="6" spans="1:16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6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6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TRABAJO'!E77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TRABAJO'!E78</f>
        <v>0</v>
      </c>
    </row>
    <row r="9" spans="1:16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6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6" s="22" customFormat="1" ht="14.2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6" s="22" customFormat="1" ht="14.2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6" s="22" customFormat="1" ht="14.2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TRABAJO'!$F$77</f>
        <v>0</v>
      </c>
      <c r="H13" s="31"/>
      <c r="I13" s="37" t="s">
        <v>1411</v>
      </c>
      <c r="J13" s="28"/>
      <c r="K13" s="28" t="s">
        <v>1395</v>
      </c>
      <c r="L13" s="28"/>
      <c r="M13" s="36"/>
      <c r="N13" s="28"/>
      <c r="O13" s="30">
        <f>+(('HOJA D TRABAJO'!$H$23+'HOJA D TRABAJO'!$E$256))*'HOJA D TRABAJO'!$F$78</f>
        <v>0</v>
      </c>
      <c r="P13" s="19"/>
    </row>
    <row r="14" spans="1:16" s="22" customFormat="1" ht="14.2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TRABAJO'!$F$77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TRABAJO'!$F$78</f>
        <v>0</v>
      </c>
    </row>
    <row r="15" spans="1:16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6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TRABAJO'!D79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TRABAJO'!D80</f>
        <v>0</v>
      </c>
    </row>
    <row r="24" spans="1:15" s="22" customFormat="1" outlineLevel="1" x14ac:dyDescent="0.25">
      <c r="A24" s="58"/>
      <c r="B24" s="58" t="s">
        <v>1377</v>
      </c>
      <c r="C24" s="480">
        <f>+'HOJA D TRABAJO'!B79</f>
        <v>0</v>
      </c>
      <c r="D24" s="480"/>
      <c r="E24" s="480"/>
      <c r="F24" s="58"/>
      <c r="G24" s="58"/>
      <c r="H24" s="29"/>
      <c r="I24" s="58"/>
      <c r="J24" s="58" t="s">
        <v>1377</v>
      </c>
      <c r="K24" s="480">
        <f>+'HOJA D TRABAJO'!B80</f>
        <v>0</v>
      </c>
      <c r="L24" s="480"/>
      <c r="M24" s="480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TRABAJO'!E79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TRABAJO'!E80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.7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.7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TRABAJO'!$F$79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TRABAJO'!$F$80</f>
        <v>0</v>
      </c>
    </row>
    <row r="32" spans="1:15" s="22" customFormat="1" ht="14.2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TRABAJO'!$F$79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TRABAJO'!$F$80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TRABAJO'!$D$81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TRABAJO'!$D$82</f>
        <v>0</v>
      </c>
    </row>
    <row r="43" spans="1:15" s="22" customFormat="1" outlineLevel="2" x14ac:dyDescent="0.25">
      <c r="A43" s="58"/>
      <c r="B43" s="58" t="s">
        <v>1377</v>
      </c>
      <c r="C43" s="480">
        <f>+'HOJA D TRABAJO'!$B$81</f>
        <v>0</v>
      </c>
      <c r="D43" s="480"/>
      <c r="E43" s="480"/>
      <c r="F43" s="58"/>
      <c r="G43" s="58"/>
      <c r="H43" s="27"/>
      <c r="I43" s="58"/>
      <c r="J43" s="58" t="s">
        <v>1377</v>
      </c>
      <c r="K43" s="480">
        <f>+'HOJA D TRABAJO'!$B$82</f>
        <v>0</v>
      </c>
      <c r="L43" s="480"/>
      <c r="M43" s="480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TRABAJO'!$E$81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TRABAJO'!$E$82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TRABAJO'!$F$81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TRABAJO'!$F$82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TRABAJO'!$F$81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TRABAJO'!$F$82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s="22" customFormat="1" ht="14.25" outlineLevel="1" x14ac:dyDescent="0.2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TRABAJO'!$D$83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TRABAJO'!$D$84</f>
        <v>0</v>
      </c>
    </row>
    <row r="62" spans="1:15" x14ac:dyDescent="0.25">
      <c r="A62" s="101"/>
      <c r="B62" s="101" t="s">
        <v>1377</v>
      </c>
      <c r="C62" s="480">
        <f>+'HOJA D TRABAJO'!$B$83</f>
        <v>0</v>
      </c>
      <c r="D62" s="480"/>
      <c r="E62" s="480"/>
      <c r="F62" s="101"/>
      <c r="G62" s="101"/>
      <c r="H62" s="54"/>
      <c r="I62" s="101"/>
      <c r="J62" s="101" t="s">
        <v>1377</v>
      </c>
      <c r="K62" s="480">
        <f>+'HOJA D TRABAJO'!$B$84</f>
        <v>0</v>
      </c>
      <c r="L62" s="480"/>
      <c r="M62" s="480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TRABAJO'!$E$83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TRABAJO'!$E$84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TRABAJO'!$F$83</f>
        <v>0</v>
      </c>
      <c r="H70" s="31"/>
      <c r="I70" s="37" t="s">
        <v>1411</v>
      </c>
      <c r="J70" s="28"/>
      <c r="K70" s="28" t="s">
        <v>1395</v>
      </c>
      <c r="L70" s="28"/>
      <c r="M70" s="36"/>
      <c r="N70" s="28"/>
      <c r="O70" s="30">
        <f>+(('HOJA D TRABAJO'!$H$23+'HOJA D TRABAJO'!$E$256))*'HOJA D TRABAJO'!$F$84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TRABAJO'!$F$83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TRABAJO'!$F$84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TRABAJO'!$D$85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TRABAJO'!$D$86</f>
        <v>0</v>
      </c>
    </row>
    <row r="81" spans="1:15" x14ac:dyDescent="0.25">
      <c r="A81" s="101"/>
      <c r="B81" s="101" t="s">
        <v>1377</v>
      </c>
      <c r="C81" s="480">
        <f>+'HOJA D TRABAJO'!$B$85</f>
        <v>0</v>
      </c>
      <c r="D81" s="480"/>
      <c r="E81" s="480"/>
      <c r="F81" s="101"/>
      <c r="G81" s="101"/>
      <c r="H81" s="29"/>
      <c r="I81" s="101"/>
      <c r="J81" s="101" t="s">
        <v>1377</v>
      </c>
      <c r="K81" s="480">
        <f>+'HOJA D TRABAJO'!$B$86</f>
        <v>0</v>
      </c>
      <c r="L81" s="480"/>
      <c r="M81" s="480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TRABAJO'!$E$85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TRABAJO'!$E$86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TRABAJO'!$F$85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TRABAJO'!$F$86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TRABAJO'!$F$85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TRABAJO'!$F$86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TRABAJO'!$D$87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TRABAJO'!$D$88</f>
        <v>0</v>
      </c>
    </row>
    <row r="100" spans="1:15" x14ac:dyDescent="0.25">
      <c r="A100" s="101"/>
      <c r="B100" s="101" t="s">
        <v>1377</v>
      </c>
      <c r="C100" s="480">
        <f>+'HOJA D TRABAJO'!$B$87</f>
        <v>0</v>
      </c>
      <c r="D100" s="480"/>
      <c r="E100" s="480"/>
      <c r="F100" s="101"/>
      <c r="G100" s="101"/>
      <c r="H100" s="27"/>
      <c r="I100" s="101"/>
      <c r="J100" s="101" t="s">
        <v>1377</v>
      </c>
      <c r="K100" s="480">
        <f>+'HOJA D TRABAJO'!$B$87</f>
        <v>0</v>
      </c>
      <c r="L100" s="480"/>
      <c r="M100" s="480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TRABAJO'!$E$87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TRABAJO'!$E$88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TRABAJO'!$F$87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TRABAJO'!$F$88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TRABAJO'!$F$87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TRABAJO'!$F$88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8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4"/>
  <dimension ref="A2:P115"/>
  <sheetViews>
    <sheetView zoomScale="85" zoomScaleNormal="85" workbookViewId="0">
      <selection activeCell="G1" sqref="G1"/>
    </sheetView>
  </sheetViews>
  <sheetFormatPr baseColWidth="10" defaultRowHeight="15" outlineLevelRow="2" x14ac:dyDescent="0.25"/>
  <cols>
    <col min="8" max="8" width="4.5703125" customWidth="1"/>
  </cols>
  <sheetData>
    <row r="2" spans="1:16" ht="28.5" x14ac:dyDescent="0.45">
      <c r="E2" s="482" t="str">
        <f>+'HOJA D TRABAJO'!D91</f>
        <v>POTOSI</v>
      </c>
      <c r="F2" s="482"/>
      <c r="G2" s="482"/>
      <c r="H2" s="482"/>
      <c r="I2" s="482"/>
      <c r="J2" s="482"/>
      <c r="K2" s="482"/>
    </row>
    <row r="3" spans="1:16" s="22" customFormat="1" ht="14.25" x14ac:dyDescent="0.2"/>
    <row r="4" spans="1:16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TRABAJO'!D93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TRABAJO'!D94</f>
        <v>0</v>
      </c>
    </row>
    <row r="5" spans="1:16" s="22" customFormat="1" x14ac:dyDescent="0.25">
      <c r="A5" s="58"/>
      <c r="B5" s="58" t="s">
        <v>1377</v>
      </c>
      <c r="C5" s="480">
        <f>+'HOJA D TRABAJO'!B93</f>
        <v>0</v>
      </c>
      <c r="D5" s="480"/>
      <c r="E5" s="480"/>
      <c r="F5" s="58"/>
      <c r="G5" s="58"/>
      <c r="H5" s="54"/>
      <c r="I5" s="58"/>
      <c r="J5" s="58" t="s">
        <v>1377</v>
      </c>
      <c r="K5" s="480">
        <f>+'HOJA D TRABAJO'!B94</f>
        <v>0</v>
      </c>
      <c r="L5" s="480"/>
      <c r="M5" s="480"/>
      <c r="N5" s="58"/>
      <c r="O5" s="58"/>
    </row>
    <row r="6" spans="1:16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6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6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TRABAJO'!E93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TRABAJO'!E94</f>
        <v>0</v>
      </c>
    </row>
    <row r="9" spans="1:16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6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6" s="22" customFormat="1" ht="14.2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6" s="22" customFormat="1" ht="15" customHeight="1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6" s="22" customFormat="1" ht="15" customHeight="1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TRABAJO'!$F$93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TRABAJO'!$F$94</f>
        <v>0</v>
      </c>
      <c r="P13" s="19"/>
    </row>
    <row r="14" spans="1:16" s="22" customFormat="1" ht="14.2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TRABAJO'!$F$93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TRABAJO'!$F$94</f>
        <v>0</v>
      </c>
    </row>
    <row r="15" spans="1:16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6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6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6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6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6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6" s="22" customFormat="1" ht="14.25" x14ac:dyDescent="0.2">
      <c r="H21" s="27"/>
    </row>
    <row r="22" spans="1:16" s="22" customFormat="1" ht="14.25" x14ac:dyDescent="0.2">
      <c r="H22" s="27"/>
    </row>
    <row r="23" spans="1:16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104">
        <f>+'HOJA D TRABAJO'!D95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107">
        <f>+'HOJA D TRABAJO'!D$96</f>
        <v>0</v>
      </c>
    </row>
    <row r="24" spans="1:16" s="22" customFormat="1" outlineLevel="1" x14ac:dyDescent="0.25">
      <c r="A24" s="58"/>
      <c r="B24" s="58" t="s">
        <v>1377</v>
      </c>
      <c r="C24" s="480">
        <f>+'HOJA D TRABAJO'!B95</f>
        <v>0</v>
      </c>
      <c r="D24" s="480"/>
      <c r="E24" s="480"/>
      <c r="F24" s="58"/>
      <c r="G24" s="58"/>
      <c r="H24" s="29"/>
      <c r="I24" s="58"/>
      <c r="J24" s="58" t="s">
        <v>1377</v>
      </c>
      <c r="K24" s="480">
        <f>+'HOJA D TRABAJO'!B96</f>
        <v>0</v>
      </c>
      <c r="L24" s="480"/>
      <c r="M24" s="480"/>
      <c r="N24" s="58"/>
      <c r="O24" s="58"/>
    </row>
    <row r="25" spans="1:16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6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TRABAJO'!E95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TRABAJO'!E96</f>
        <v>0</v>
      </c>
    </row>
    <row r="27" spans="1:16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6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6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6" s="22" customFormat="1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6" s="22" customFormat="1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TRABAJO'!$F$95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TRABAJO'!$F$96</f>
        <v>0</v>
      </c>
      <c r="P31" s="19"/>
    </row>
    <row r="32" spans="1:16" s="22" customFormat="1" ht="14.2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TRABAJO'!$F$95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TRABAJO'!$F$96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TRABAJO'!$D$97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TRABAJO'!$D$98</f>
        <v>0</v>
      </c>
    </row>
    <row r="43" spans="1:15" s="22" customFormat="1" outlineLevel="2" x14ac:dyDescent="0.25">
      <c r="A43" s="58"/>
      <c r="B43" s="58" t="s">
        <v>1377</v>
      </c>
      <c r="C43" s="480">
        <f>+'HOJA D TRABAJO'!$B$97</f>
        <v>0</v>
      </c>
      <c r="D43" s="480"/>
      <c r="E43" s="480"/>
      <c r="F43" s="58"/>
      <c r="G43" s="58"/>
      <c r="H43" s="27"/>
      <c r="I43" s="58"/>
      <c r="J43" s="58" t="s">
        <v>1377</v>
      </c>
      <c r="K43" s="480">
        <f>+'HOJA D TRABAJO'!$B$98</f>
        <v>0</v>
      </c>
      <c r="L43" s="480"/>
      <c r="M43" s="480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TRABAJO'!$E$97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TRABAJO'!$E$98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8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8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TRABAJO'!$F$97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TRABAJO'!$F$98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+E14</f>
        <v>5.4487179487179495E-4</v>
      </c>
      <c r="F52" s="28"/>
      <c r="G52" s="30">
        <f>+'HOJA D TRABAJO'!$E$259*'HOJA D TRABAJO'!$F$97</f>
        <v>0</v>
      </c>
      <c r="H52" s="27"/>
      <c r="I52" s="37" t="s">
        <v>1387</v>
      </c>
      <c r="J52" s="28"/>
      <c r="K52" s="28"/>
      <c r="L52" s="28"/>
      <c r="M52" s="34">
        <f>+E14</f>
        <v>5.4487179487179495E-4</v>
      </c>
      <c r="N52" s="28"/>
      <c r="O52" s="30">
        <f>+'HOJA D TRABAJO'!$E$259*'HOJA D TRABAJO'!$F$98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1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TRABAJO'!$D$99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TRABAJO'!$D$100</f>
        <v>0</v>
      </c>
    </row>
    <row r="62" spans="1:15" x14ac:dyDescent="0.25">
      <c r="A62" s="101"/>
      <c r="B62" s="101" t="s">
        <v>1377</v>
      </c>
      <c r="C62" s="480">
        <f>+'HOJA D TRABAJO'!$B$99</f>
        <v>0</v>
      </c>
      <c r="D62" s="480"/>
      <c r="E62" s="480"/>
      <c r="F62" s="101"/>
      <c r="G62" s="101"/>
      <c r="H62" s="54"/>
      <c r="I62" s="101"/>
      <c r="J62" s="101" t="s">
        <v>1377</v>
      </c>
      <c r="K62" s="480">
        <f>+'HOJA D TRABAJO'!$B$100</f>
        <v>0</v>
      </c>
      <c r="L62" s="480"/>
      <c r="M62" s="480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TRABAJO'!$E$99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TRABAJO'!$E$100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TRABAJO'!$F$99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TRABAJO'!$F$100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TRABAJO'!$F$99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TRABAJO'!$F$100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TRABAJO'!$D$101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TRABAJO'!$D$102</f>
        <v>0</v>
      </c>
    </row>
    <row r="81" spans="1:15" x14ac:dyDescent="0.25">
      <c r="A81" s="101"/>
      <c r="B81" s="101" t="s">
        <v>1377</v>
      </c>
      <c r="C81" s="480">
        <f>+'HOJA D TRABAJO'!$B$101</f>
        <v>0</v>
      </c>
      <c r="D81" s="480"/>
      <c r="E81" s="480"/>
      <c r="F81" s="101"/>
      <c r="G81" s="101"/>
      <c r="H81" s="29"/>
      <c r="I81" s="101"/>
      <c r="J81" s="101" t="s">
        <v>1377</v>
      </c>
      <c r="K81" s="480">
        <f>+'HOJA D TRABAJO'!$B$102</f>
        <v>0</v>
      </c>
      <c r="L81" s="480"/>
      <c r="M81" s="480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TRABAJO'!$E$101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TRABAJO'!$E$102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TRABAJO'!$F$101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TRABAJO'!$F$102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TRABAJO'!$F$101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TRABAJO'!$F$102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TRABAJO'!$D$103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TRABAJO'!$D$104</f>
        <v>0</v>
      </c>
    </row>
    <row r="100" spans="1:15" x14ac:dyDescent="0.25">
      <c r="A100" s="101"/>
      <c r="B100" s="101" t="s">
        <v>1377</v>
      </c>
      <c r="C100" s="480">
        <f>+'HOJA D TRABAJO'!$B$103</f>
        <v>0</v>
      </c>
      <c r="D100" s="480"/>
      <c r="E100" s="480"/>
      <c r="F100" s="101"/>
      <c r="G100" s="101"/>
      <c r="H100" s="27"/>
      <c r="I100" s="101"/>
      <c r="J100" s="101" t="s">
        <v>1377</v>
      </c>
      <c r="K100" s="480">
        <f>+'HOJA D TRABAJO'!$B$104</f>
        <v>0</v>
      </c>
      <c r="L100" s="480"/>
      <c r="M100" s="480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TRABAJO'!$E$103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TRABAJO'!$E$104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TRABAJO'!$F$103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TRABAJO'!$F$104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+E71</f>
        <v>5.4487179487179495E-4</v>
      </c>
      <c r="F109" s="28"/>
      <c r="G109" s="30">
        <f>+'HOJA D TRABAJO'!$E$259*'HOJA D TRABAJO'!$F$103</f>
        <v>0</v>
      </c>
      <c r="H109" s="27"/>
      <c r="I109" s="37" t="s">
        <v>1387</v>
      </c>
      <c r="J109" s="28"/>
      <c r="K109" s="28"/>
      <c r="L109" s="28"/>
      <c r="M109" s="34">
        <f>+E71</f>
        <v>5.4487179487179495E-4</v>
      </c>
      <c r="N109" s="28"/>
      <c r="O109" s="30">
        <f>+'HOJA D TRABAJO'!$E$259*'HOJA D TRABAJO'!$F$104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8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5"/>
  <dimension ref="A2:O115"/>
  <sheetViews>
    <sheetView workbookViewId="0">
      <selection activeCell="H96" sqref="H96"/>
    </sheetView>
  </sheetViews>
  <sheetFormatPr baseColWidth="10" defaultRowHeight="15" outlineLevelRow="2" x14ac:dyDescent="0.25"/>
  <cols>
    <col min="8" max="8" width="5.42578125" customWidth="1"/>
  </cols>
  <sheetData>
    <row r="2" spans="1:15" ht="28.5" x14ac:dyDescent="0.45">
      <c r="E2" s="482" t="str">
        <f>+'HOJA D TRABAJO'!D107</f>
        <v>SUCRE</v>
      </c>
      <c r="F2" s="482"/>
      <c r="G2" s="482"/>
      <c r="H2" s="482"/>
      <c r="I2" s="482"/>
      <c r="J2" s="482"/>
      <c r="K2" s="482"/>
    </row>
    <row r="4" spans="1:15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TRABAJO'!D109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TRABAJO'!D110</f>
        <v>0</v>
      </c>
    </row>
    <row r="5" spans="1:15" s="22" customFormat="1" x14ac:dyDescent="0.25">
      <c r="A5" s="58"/>
      <c r="B5" s="58" t="s">
        <v>1377</v>
      </c>
      <c r="C5" s="480">
        <f>+'HOJA D TRABAJO'!B109</f>
        <v>0</v>
      </c>
      <c r="D5" s="480"/>
      <c r="E5" s="480"/>
      <c r="F5" s="58"/>
      <c r="G5" s="58"/>
      <c r="H5" s="54"/>
      <c r="I5" s="58"/>
      <c r="J5" s="58" t="s">
        <v>1377</v>
      </c>
      <c r="K5" s="480">
        <f>+'HOJA D TRABAJO'!B110</f>
        <v>0</v>
      </c>
      <c r="L5" s="480"/>
      <c r="M5" s="480"/>
      <c r="N5" s="58"/>
      <c r="O5" s="58"/>
    </row>
    <row r="6" spans="1:15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TRABAJO'!E109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TRABAJO'!E110</f>
        <v>0</v>
      </c>
    </row>
    <row r="9" spans="1:15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s="22" customFormat="1" ht="15.75" customHeight="1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s="22" customFormat="1" ht="15.75" customHeight="1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s="22" customFormat="1" ht="15.75" customHeight="1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TRABAJO'!$F$109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TRABAJO'!$F$110</f>
        <v>0</v>
      </c>
    </row>
    <row r="14" spans="1:15" s="22" customFormat="1" ht="15.75" customHeight="1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TRABAJO'!$F$109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TRABAJO'!$F$110</f>
        <v>0</v>
      </c>
    </row>
    <row r="15" spans="1:15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TRABAJO'!D111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TRABAJO'!D112</f>
        <v>0</v>
      </c>
    </row>
    <row r="24" spans="1:15" s="22" customFormat="1" outlineLevel="1" x14ac:dyDescent="0.25">
      <c r="A24" s="58"/>
      <c r="B24" s="58" t="s">
        <v>1377</v>
      </c>
      <c r="C24" s="480">
        <f>+'HOJA D TRABAJO'!B111</f>
        <v>0</v>
      </c>
      <c r="D24" s="480"/>
      <c r="E24" s="480"/>
      <c r="F24" s="58"/>
      <c r="G24" s="58"/>
      <c r="H24" s="29"/>
      <c r="I24" s="58"/>
      <c r="J24" s="58" t="s">
        <v>1377</v>
      </c>
      <c r="K24" s="480">
        <f>+'HOJA D TRABAJO'!B112</f>
        <v>0</v>
      </c>
      <c r="L24" s="480"/>
      <c r="M24" s="480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TRABAJO'!E111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TRABAJO'!E112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TRABAJO'!$F$111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TRABAJO'!$F$112</f>
        <v>0</v>
      </c>
    </row>
    <row r="32" spans="1:15" s="22" customFormat="1" ht="14.2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TRABAJO'!$F$111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TRABAJO'!$F$112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TRABAJO'!$D$113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TRABAJO'!$D$114</f>
        <v>0</v>
      </c>
    </row>
    <row r="43" spans="1:15" s="22" customFormat="1" outlineLevel="2" x14ac:dyDescent="0.25">
      <c r="A43" s="58"/>
      <c r="B43" s="58" t="s">
        <v>1377</v>
      </c>
      <c r="C43" s="480">
        <f>+'HOJA D TRABAJO'!$B$113</f>
        <v>0</v>
      </c>
      <c r="D43" s="480"/>
      <c r="E43" s="480"/>
      <c r="F43" s="58"/>
      <c r="G43" s="58"/>
      <c r="H43" s="27"/>
      <c r="I43" s="58"/>
      <c r="J43" s="58" t="s">
        <v>1377</v>
      </c>
      <c r="K43" s="480">
        <f>+'HOJA D TRABAJO'!$B$114</f>
        <v>0</v>
      </c>
      <c r="L43" s="480"/>
      <c r="M43" s="480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TRABAJO'!$E$113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TRABAJO'!$E$114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7.25" customHeight="1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7.2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7.2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TRABAJO'!$F$113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TRABAJO'!$F$114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TRABAJO'!$F$113</f>
        <v>0</v>
      </c>
      <c r="H52" s="27"/>
      <c r="I52" s="37" t="s">
        <v>1387</v>
      </c>
      <c r="J52" s="28"/>
      <c r="K52" s="28"/>
      <c r="L52" s="28"/>
      <c r="M52" s="34">
        <f>+E32</f>
        <v>5.4487179487179495E-4</v>
      </c>
      <c r="N52" s="28"/>
      <c r="O52" s="30">
        <f>+'HOJA D TRABAJO'!$E$259*'HOJA D TRABAJO'!$F$114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1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TRABAJO'!$D$115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TRABAJO'!$D$116</f>
        <v>0</v>
      </c>
    </row>
    <row r="62" spans="1:15" x14ac:dyDescent="0.25">
      <c r="A62" s="101"/>
      <c r="B62" s="101" t="s">
        <v>1377</v>
      </c>
      <c r="C62" s="480">
        <f>+'HOJA D TRABAJO'!$B$115</f>
        <v>0</v>
      </c>
      <c r="D62" s="480"/>
      <c r="E62" s="480"/>
      <c r="F62" s="101"/>
      <c r="G62" s="101"/>
      <c r="H62" s="54"/>
      <c r="I62" s="101"/>
      <c r="J62" s="101" t="s">
        <v>1377</v>
      </c>
      <c r="K62" s="480">
        <f>+'HOJA D TRABAJO'!$B$116</f>
        <v>0</v>
      </c>
      <c r="L62" s="480"/>
      <c r="M62" s="480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TRABAJO'!$E$115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TRABAJO'!$E$116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TRABAJO'!$F$115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TRABAJO'!$F$116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TRABAJO'!$F$115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TRABAJO'!$F$116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TRABAJO'!$D$117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TRABAJO'!$D$118</f>
        <v>0</v>
      </c>
    </row>
    <row r="81" spans="1:15" x14ac:dyDescent="0.25">
      <c r="A81" s="101"/>
      <c r="B81" s="101" t="s">
        <v>1377</v>
      </c>
      <c r="C81" s="480">
        <f>+'HOJA D TRABAJO'!$B$117</f>
        <v>0</v>
      </c>
      <c r="D81" s="480"/>
      <c r="E81" s="480"/>
      <c r="F81" s="101"/>
      <c r="G81" s="101"/>
      <c r="H81" s="29"/>
      <c r="I81" s="101"/>
      <c r="J81" s="101" t="s">
        <v>1377</v>
      </c>
      <c r="K81" s="480">
        <f>+'HOJA D TRABAJO'!$B$118</f>
        <v>0</v>
      </c>
      <c r="L81" s="480"/>
      <c r="M81" s="480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TRABAJO'!$E$117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TRABAJO'!$E$118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TRABAJO'!$F$117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TRABAJO'!$F$118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TRABAJO'!$F$117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TRABAJO'!$F$118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TRABAJO'!$D$119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TRABAJO'!$D$120</f>
        <v>0</v>
      </c>
    </row>
    <row r="100" spans="1:15" x14ac:dyDescent="0.25">
      <c r="A100" s="101"/>
      <c r="B100" s="101" t="s">
        <v>1377</v>
      </c>
      <c r="C100" s="480">
        <f>+'HOJA D TRABAJO'!$B119</f>
        <v>0</v>
      </c>
      <c r="D100" s="480"/>
      <c r="E100" s="480"/>
      <c r="F100" s="101"/>
      <c r="G100" s="101"/>
      <c r="H100" s="27"/>
      <c r="I100" s="101"/>
      <c r="J100" s="101" t="s">
        <v>1377</v>
      </c>
      <c r="K100" s="480">
        <f>+'HOJA D TRABAJO'!$B120</f>
        <v>0</v>
      </c>
      <c r="L100" s="480"/>
      <c r="M100" s="480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TRABAJO'!$E$119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TRABAJO'!$E$120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TRABAJO'!$F$119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TRABAJO'!$F$120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TRABAJO'!$F$119</f>
        <v>0</v>
      </c>
      <c r="H109" s="27"/>
      <c r="I109" s="37" t="s">
        <v>1387</v>
      </c>
      <c r="J109" s="28"/>
      <c r="K109" s="28"/>
      <c r="L109" s="28"/>
      <c r="M109" s="34">
        <f>+E89</f>
        <v>5.4487179487179495E-4</v>
      </c>
      <c r="N109" s="28"/>
      <c r="O109" s="30">
        <f>+'HOJA D TRABAJO'!$E$259*'HOJA D TRABAJO'!$F$120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8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6"/>
  <dimension ref="A2:O115"/>
  <sheetViews>
    <sheetView workbookViewId="0">
      <selection activeCell="I101" sqref="I101:O101"/>
    </sheetView>
  </sheetViews>
  <sheetFormatPr baseColWidth="10" defaultRowHeight="15" outlineLevelRow="2" x14ac:dyDescent="0.25"/>
  <cols>
    <col min="8" max="8" width="5.5703125" customWidth="1"/>
  </cols>
  <sheetData>
    <row r="2" spans="1:15" ht="28.5" x14ac:dyDescent="0.45">
      <c r="E2" s="482" t="str">
        <f>+'HOJA D TRABAJO'!D123</f>
        <v>ORURO</v>
      </c>
      <c r="F2" s="482"/>
      <c r="G2" s="482"/>
      <c r="H2" s="482"/>
      <c r="I2" s="482"/>
      <c r="J2" s="482"/>
      <c r="K2" s="482"/>
    </row>
    <row r="3" spans="1:15" s="22" customFormat="1" ht="14.25" x14ac:dyDescent="0.2"/>
    <row r="4" spans="1:15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TRABAJO'!D125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TRABAJO'!D126</f>
        <v>0</v>
      </c>
    </row>
    <row r="5" spans="1:15" s="22" customFormat="1" x14ac:dyDescent="0.25">
      <c r="A5" s="58"/>
      <c r="B5" s="58" t="s">
        <v>1377</v>
      </c>
      <c r="C5" s="480">
        <f>+'HOJA D TRABAJO'!B125</f>
        <v>0</v>
      </c>
      <c r="D5" s="480"/>
      <c r="E5" s="480"/>
      <c r="F5" s="58"/>
      <c r="G5" s="58"/>
      <c r="H5" s="54"/>
      <c r="I5" s="58"/>
      <c r="J5" s="58" t="s">
        <v>1377</v>
      </c>
      <c r="K5" s="480">
        <f>+'HOJA D TRABAJO'!B126</f>
        <v>0</v>
      </c>
      <c r="L5" s="480"/>
      <c r="M5" s="480"/>
      <c r="N5" s="58"/>
      <c r="O5" s="58"/>
    </row>
    <row r="6" spans="1:15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TRABAJO'!E125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TRABAJO'!E126</f>
        <v>0</v>
      </c>
    </row>
    <row r="9" spans="1:15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s="22" customFormat="1" ht="14.2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s="22" customFormat="1" ht="15" customHeight="1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s="22" customFormat="1" ht="15" customHeight="1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TRABAJO'!$F125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TRABAJO'!$F126</f>
        <v>0</v>
      </c>
    </row>
    <row r="14" spans="1:15" s="22" customFormat="1" ht="14.2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TRABAJO'!$F$125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TRABAJO'!$F$126</f>
        <v>0</v>
      </c>
    </row>
    <row r="15" spans="1:15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TRABAJO'!D127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TRABAJO'!D128</f>
        <v>0</v>
      </c>
    </row>
    <row r="24" spans="1:15" s="22" customFormat="1" outlineLevel="1" x14ac:dyDescent="0.25">
      <c r="A24" s="58"/>
      <c r="B24" s="58" t="s">
        <v>1377</v>
      </c>
      <c r="C24" s="480">
        <f>+'HOJA D TRABAJO'!B127</f>
        <v>0</v>
      </c>
      <c r="D24" s="480"/>
      <c r="E24" s="480"/>
      <c r="F24" s="58"/>
      <c r="G24" s="58"/>
      <c r="H24" s="29"/>
      <c r="I24" s="58"/>
      <c r="J24" s="58" t="s">
        <v>1377</v>
      </c>
      <c r="K24" s="480">
        <f>+'HOJA D TRABAJO'!B128</f>
        <v>0</v>
      </c>
      <c r="L24" s="480"/>
      <c r="M24" s="480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TRABAJO'!E127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TRABAJO'!E128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TRABAJO'!$F127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TRABAJO'!$F128</f>
        <v>0</v>
      </c>
    </row>
    <row r="32" spans="1:15" s="22" customFormat="1" ht="14.2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TRABAJO'!$F$127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TRABAJO'!$F$128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TRABAJO'!$D$129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TRABAJO'!$D$130</f>
        <v>0</v>
      </c>
    </row>
    <row r="43" spans="1:15" s="22" customFormat="1" outlineLevel="2" x14ac:dyDescent="0.25">
      <c r="A43" s="58"/>
      <c r="B43" s="58" t="s">
        <v>1377</v>
      </c>
      <c r="C43" s="480">
        <f>+'HOJA D TRABAJO'!$B$129</f>
        <v>0</v>
      </c>
      <c r="D43" s="480"/>
      <c r="E43" s="480"/>
      <c r="F43" s="58"/>
      <c r="G43" s="58"/>
      <c r="H43" s="27"/>
      <c r="I43" s="58"/>
      <c r="J43" s="58" t="s">
        <v>1377</v>
      </c>
      <c r="K43" s="480">
        <f>+'HOJA D TRABAJO'!$B$130</f>
        <v>0</v>
      </c>
      <c r="L43" s="480"/>
      <c r="M43" s="480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TRABAJO'!$E$129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TRABAJO'!$E$130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7.2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7.2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TRABAJO'!$F129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TRABAJO'!$F130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TRABAJO'!$F$129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TRABAJO'!$F$130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2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TRABAJO'!$D$131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TRABAJO'!$D$132</f>
        <v>0</v>
      </c>
    </row>
    <row r="62" spans="1:15" x14ac:dyDescent="0.25">
      <c r="A62" s="101"/>
      <c r="B62" s="101" t="s">
        <v>1377</v>
      </c>
      <c r="C62" s="480">
        <f>+'HOJA D TRABAJO'!$B$131</f>
        <v>0</v>
      </c>
      <c r="D62" s="480"/>
      <c r="E62" s="480"/>
      <c r="F62" s="101"/>
      <c r="G62" s="101"/>
      <c r="H62" s="54"/>
      <c r="I62" s="101"/>
      <c r="J62" s="101" t="s">
        <v>1377</v>
      </c>
      <c r="K62" s="480">
        <f>+'HOJA D TRABAJO'!$B$132</f>
        <v>0</v>
      </c>
      <c r="L62" s="480"/>
      <c r="M62" s="480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TRABAJO'!$E$131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TRABAJO'!$E$132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TRABAJO'!$F131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TRABAJO'!$F132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TRABAJO'!$F$131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TRABAJO'!$F$132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TRABAJO'!$D$133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TRABAJO'!$D$134</f>
        <v>0</v>
      </c>
    </row>
    <row r="81" spans="1:15" x14ac:dyDescent="0.25">
      <c r="A81" s="101"/>
      <c r="B81" s="101" t="s">
        <v>1377</v>
      </c>
      <c r="C81" s="480">
        <f>+'HOJA D TRABAJO'!$B$133</f>
        <v>0</v>
      </c>
      <c r="D81" s="480"/>
      <c r="E81" s="480"/>
      <c r="F81" s="101"/>
      <c r="G81" s="101"/>
      <c r="H81" s="29"/>
      <c r="I81" s="101"/>
      <c r="J81" s="101" t="s">
        <v>1377</v>
      </c>
      <c r="K81" s="480">
        <f>+'HOJA D TRABAJO'!$B$134</f>
        <v>0</v>
      </c>
      <c r="L81" s="480"/>
      <c r="M81" s="480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TRABAJO'!$E$133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TRABAJO'!$E$134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TRABAJO'!$F133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TRABAJO'!$F134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TRABAJO'!$F$133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TRABAJO'!$F$134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TRABAJO'!$D$135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TRABAJO'!$D$136</f>
        <v>0</v>
      </c>
    </row>
    <row r="100" spans="1:15" x14ac:dyDescent="0.25">
      <c r="A100" s="101"/>
      <c r="B100" s="101" t="s">
        <v>1377</v>
      </c>
      <c r="C100" s="480">
        <f>+'HOJA D TRABAJO'!$B$135</f>
        <v>0</v>
      </c>
      <c r="D100" s="480"/>
      <c r="E100" s="480"/>
      <c r="F100" s="101"/>
      <c r="G100" s="101"/>
      <c r="H100" s="27"/>
      <c r="I100" s="101"/>
      <c r="J100" s="101" t="s">
        <v>1377</v>
      </c>
      <c r="K100" s="480">
        <f>+'HOJA D TRABAJO'!$B$136</f>
        <v>0</v>
      </c>
      <c r="L100" s="480"/>
      <c r="M100" s="480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TRABAJO'!$E$135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TRABAJO'!$E$136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TRABAJO'!$F135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TRABAJO'!$F136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TRABAJO'!$F$135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TRABAJO'!$F$136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8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7"/>
  <dimension ref="A1:O115"/>
  <sheetViews>
    <sheetView workbookViewId="0">
      <selection activeCell="I101" sqref="I101:O101"/>
    </sheetView>
  </sheetViews>
  <sheetFormatPr baseColWidth="10" defaultRowHeight="14.25" outlineLevelRow="2" x14ac:dyDescent="0.2"/>
  <cols>
    <col min="1" max="7" width="11.42578125" style="22"/>
    <col min="8" max="8" width="4" style="22" customWidth="1"/>
    <col min="9" max="16384" width="11.42578125" style="22"/>
  </cols>
  <sheetData>
    <row r="1" spans="1:15" customFormat="1" ht="15" x14ac:dyDescent="0.25"/>
    <row r="2" spans="1:15" customFormat="1" ht="28.5" x14ac:dyDescent="0.45">
      <c r="E2" s="482" t="str">
        <f>+'HOJA D TRABAJO'!D139</f>
        <v>EL ALTO</v>
      </c>
      <c r="F2" s="482"/>
      <c r="G2" s="482"/>
      <c r="H2" s="482"/>
      <c r="I2" s="482"/>
      <c r="J2" s="482"/>
      <c r="K2" s="482"/>
    </row>
    <row r="4" spans="1:15" ht="15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TRABAJO'!D141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TRABAJO'!D142</f>
        <v>0</v>
      </c>
    </row>
    <row r="5" spans="1:15" ht="15" x14ac:dyDescent="0.25">
      <c r="A5" s="58"/>
      <c r="B5" s="58" t="s">
        <v>1377</v>
      </c>
      <c r="C5" s="480">
        <f>+'HOJA D TRABAJO'!B141</f>
        <v>0</v>
      </c>
      <c r="D5" s="480"/>
      <c r="E5" s="480"/>
      <c r="F5" s="58"/>
      <c r="G5" s="58"/>
      <c r="H5" s="54"/>
      <c r="I5" s="58"/>
      <c r="J5" s="58" t="s">
        <v>1377</v>
      </c>
      <c r="K5" s="480">
        <f>+'HOJA D TRABAJO'!B142</f>
        <v>0</v>
      </c>
      <c r="L5" s="480"/>
      <c r="M5" s="480"/>
      <c r="N5" s="58"/>
      <c r="O5" s="58"/>
    </row>
    <row r="6" spans="1:1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TRABAJO'!E141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TRABAJO'!E142</f>
        <v>0</v>
      </c>
    </row>
    <row r="9" spans="1:1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ht="15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TRABAJO'!$F$141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TRABAJO'!$F$142</f>
        <v>0</v>
      </c>
    </row>
    <row r="14" spans="1:1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TRABAJO'!$F$141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TRABAJO'!$F$142</f>
        <v>0</v>
      </c>
    </row>
    <row r="15" spans="1:1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ht="15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ht="15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x14ac:dyDescent="0.2">
      <c r="H21" s="27"/>
    </row>
    <row r="22" spans="1:15" x14ac:dyDescent="0.2">
      <c r="H22" s="27"/>
    </row>
    <row r="23" spans="1:15" ht="15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TRABAJO'!D143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TRABAJO'!D144</f>
        <v>0</v>
      </c>
    </row>
    <row r="24" spans="1:15" ht="15" outlineLevel="1" x14ac:dyDescent="0.25">
      <c r="A24" s="58"/>
      <c r="B24" s="58" t="s">
        <v>1377</v>
      </c>
      <c r="C24" s="480">
        <f>+'HOJA D TRABAJO'!B143</f>
        <v>0</v>
      </c>
      <c r="D24" s="480"/>
      <c r="E24" s="480"/>
      <c r="F24" s="58"/>
      <c r="G24" s="58"/>
      <c r="H24" s="29"/>
      <c r="I24" s="58"/>
      <c r="J24" s="58" t="s">
        <v>1377</v>
      </c>
      <c r="K24" s="480">
        <f>+'HOJA D TRABAJO'!B144</f>
        <v>0</v>
      </c>
      <c r="L24" s="480"/>
      <c r="M24" s="480"/>
      <c r="N24" s="58"/>
      <c r="O24" s="58"/>
    </row>
    <row r="25" spans="1:1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TRABAJO'!E143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TRABAJO'!E144</f>
        <v>0</v>
      </c>
    </row>
    <row r="27" spans="1:1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ht="15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ht="15.7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ht="15.7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TRABAJO'!$F$143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TRABAJO'!$F$144</f>
        <v>0</v>
      </c>
    </row>
    <row r="32" spans="1:1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TRABAJO'!$F$143</f>
        <v>0</v>
      </c>
      <c r="H32" s="31"/>
      <c r="I32" s="37" t="s">
        <v>1387</v>
      </c>
      <c r="J32" s="28"/>
      <c r="K32" s="28"/>
      <c r="L32" s="28"/>
      <c r="M32" s="34">
        <f>+E14</f>
        <v>5.4487179487179495E-4</v>
      </c>
      <c r="N32" s="28"/>
      <c r="O32" s="30">
        <f>+'HOJA D TRABAJO'!$E$259*'HOJA D TRABAJO'!$F$144</f>
        <v>0</v>
      </c>
    </row>
    <row r="33" spans="1:1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ht="15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ht="15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outlineLevel="1" x14ac:dyDescent="0.2">
      <c r="H39" s="27"/>
    </row>
    <row r="40" spans="1:15" outlineLevel="1" x14ac:dyDescent="0.2">
      <c r="H40" s="27"/>
    </row>
    <row r="41" spans="1:15" outlineLevel="1" x14ac:dyDescent="0.2">
      <c r="H41" s="27"/>
    </row>
    <row r="42" spans="1:15" ht="15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TRABAJO'!$D$145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TRABAJO'!$D$146</f>
        <v>0</v>
      </c>
    </row>
    <row r="43" spans="1:15" ht="15" outlineLevel="2" x14ac:dyDescent="0.25">
      <c r="A43" s="58"/>
      <c r="B43" s="58" t="s">
        <v>1377</v>
      </c>
      <c r="C43" s="480">
        <f>+'HOJA D TRABAJO'!$B$145</f>
        <v>0</v>
      </c>
      <c r="D43" s="480"/>
      <c r="E43" s="480"/>
      <c r="F43" s="58"/>
      <c r="G43" s="58"/>
      <c r="H43" s="27"/>
      <c r="I43" s="58"/>
      <c r="J43" s="58" t="s">
        <v>1377</v>
      </c>
      <c r="K43" s="480">
        <f>+'HOJA D TRABAJO'!$B$146</f>
        <v>0</v>
      </c>
      <c r="L43" s="480"/>
      <c r="M43" s="480"/>
      <c r="N43" s="58"/>
      <c r="O43" s="58"/>
    </row>
    <row r="44" spans="1:1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TRABAJO'!$E$145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TRABAJO'!$E$146</f>
        <v>0</v>
      </c>
    </row>
    <row r="47" spans="1:1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ht="13.5" customHeigh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ht="17.25" customHeight="1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ht="17.2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ht="17.2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TRABAJO'!$F$145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TRABAJO'!$F$146</f>
        <v>0</v>
      </c>
    </row>
    <row r="52" spans="1:15" ht="16.5" customHeight="1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TRABAJO'!$F$145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TRABAJO'!$F$146</f>
        <v>0</v>
      </c>
    </row>
    <row r="53" spans="1:15" ht="16.5" customHeight="1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ht="15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ht="15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1" x14ac:dyDescent="0.2"/>
    <row r="61" spans="1:15" ht="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TRABAJO'!$D$147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TRABAJO'!$D$148</f>
        <v>0</v>
      </c>
    </row>
    <row r="62" spans="1:15" ht="15" x14ac:dyDescent="0.25">
      <c r="A62" s="101"/>
      <c r="B62" s="101" t="s">
        <v>1377</v>
      </c>
      <c r="C62" s="480">
        <f>+'HOJA D TRABAJO'!$B$147</f>
        <v>0</v>
      </c>
      <c r="D62" s="480"/>
      <c r="E62" s="480"/>
      <c r="F62" s="101"/>
      <c r="G62" s="101"/>
      <c r="H62" s="54"/>
      <c r="I62" s="101"/>
      <c r="J62" s="101" t="s">
        <v>1377</v>
      </c>
      <c r="K62" s="480">
        <f>+'HOJA D TRABAJO'!$B$148</f>
        <v>0</v>
      </c>
      <c r="L62" s="480"/>
      <c r="M62" s="480"/>
      <c r="N62" s="101"/>
      <c r="O62" s="101"/>
    </row>
    <row r="63" spans="1:15" x14ac:dyDescent="0.2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TRABAJO'!$E$147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TRABAJO'!$E$148</f>
        <v>0</v>
      </c>
    </row>
    <row r="66" spans="1:15" x14ac:dyDescent="0.2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ht="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TRABAJO'!$F$147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TRABAJO'!$F$148</f>
        <v>0</v>
      </c>
    </row>
    <row r="71" spans="1:15" x14ac:dyDescent="0.2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TRABAJO'!$F$147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TRABAJO'!$F$148</f>
        <v>0</v>
      </c>
    </row>
    <row r="72" spans="1:15" x14ac:dyDescent="0.2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ht="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ht="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">
      <c r="H78" s="27"/>
    </row>
    <row r="79" spans="1:15" x14ac:dyDescent="0.2">
      <c r="H79" s="27"/>
    </row>
    <row r="80" spans="1:15" ht="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TRABAJO'!$D$149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TRABAJO'!$D$150</f>
        <v>0</v>
      </c>
    </row>
    <row r="81" spans="1:15" ht="15" x14ac:dyDescent="0.25">
      <c r="A81" s="101"/>
      <c r="B81" s="101" t="s">
        <v>1377</v>
      </c>
      <c r="C81" s="480">
        <f>+'HOJA D TRABAJO'!$B$149</f>
        <v>0</v>
      </c>
      <c r="D81" s="480"/>
      <c r="E81" s="480"/>
      <c r="F81" s="101"/>
      <c r="G81" s="101"/>
      <c r="H81" s="29"/>
      <c r="I81" s="101"/>
      <c r="J81" s="101" t="s">
        <v>1377</v>
      </c>
      <c r="K81" s="480">
        <f>+'HOJA D TRABAJO'!$B$150</f>
        <v>0</v>
      </c>
      <c r="L81" s="480"/>
      <c r="M81" s="480"/>
      <c r="N81" s="101"/>
      <c r="O81" s="101"/>
    </row>
    <row r="82" spans="1:15" x14ac:dyDescent="0.2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TRABAJO'!$E$149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TRABAJO'!$E$150</f>
        <v>0</v>
      </c>
    </row>
    <row r="84" spans="1:15" x14ac:dyDescent="0.2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ht="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TRABAJO'!$F$149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TRABAJO'!$F$150</f>
        <v>0</v>
      </c>
    </row>
    <row r="89" spans="1:15" x14ac:dyDescent="0.2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TRABAJO'!$F$149</f>
        <v>0</v>
      </c>
      <c r="H89" s="31"/>
      <c r="I89" s="37" t="s">
        <v>1387</v>
      </c>
      <c r="J89" s="28"/>
      <c r="K89" s="28"/>
      <c r="L89" s="28"/>
      <c r="M89" s="34">
        <f>+E71</f>
        <v>5.4487179487179495E-4</v>
      </c>
      <c r="N89" s="28"/>
      <c r="O89" s="30">
        <f>+'HOJA D TRABAJO'!$E$259*'HOJA D TRABAJO'!$F$150</f>
        <v>0</v>
      </c>
    </row>
    <row r="90" spans="1:15" x14ac:dyDescent="0.2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ht="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ht="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">
      <c r="H96" s="27"/>
    </row>
    <row r="97" spans="1:15" x14ac:dyDescent="0.2">
      <c r="H97" s="27"/>
    </row>
    <row r="98" spans="1:15" x14ac:dyDescent="0.2">
      <c r="H98" s="27"/>
    </row>
    <row r="99" spans="1:15" ht="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TRABAJO'!$D$151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TRABAJO'!$D$152</f>
        <v>0</v>
      </c>
    </row>
    <row r="100" spans="1:15" ht="15" x14ac:dyDescent="0.25">
      <c r="A100" s="101"/>
      <c r="B100" s="101" t="s">
        <v>1377</v>
      </c>
      <c r="C100" s="480">
        <f>+'HOJA D TRABAJO'!$B$151</f>
        <v>0</v>
      </c>
      <c r="D100" s="480"/>
      <c r="E100" s="480"/>
      <c r="F100" s="101"/>
      <c r="G100" s="101"/>
      <c r="H100" s="27"/>
      <c r="I100" s="101"/>
      <c r="J100" s="101" t="s">
        <v>1377</v>
      </c>
      <c r="K100" s="480">
        <f>+'HOJA D TRABAJO'!$B$152</f>
        <v>0</v>
      </c>
      <c r="L100" s="480"/>
      <c r="M100" s="480"/>
      <c r="N100" s="101"/>
      <c r="O100" s="101"/>
    </row>
    <row r="101" spans="1:15" x14ac:dyDescent="0.2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TRABAJO'!$E$151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TRABAJO'!$E$152</f>
        <v>0</v>
      </c>
    </row>
    <row r="104" spans="1:15" x14ac:dyDescent="0.2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ht="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TRABAJO'!$F$151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TRABAJO'!$F$152</f>
        <v>0</v>
      </c>
    </row>
    <row r="109" spans="1:15" x14ac:dyDescent="0.2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TRABAJO'!$F$151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TRABAJO'!$F$152</f>
        <v>0</v>
      </c>
    </row>
    <row r="110" spans="1:15" x14ac:dyDescent="0.2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ht="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ht="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C43:E43"/>
    <mergeCell ref="K43:M43"/>
    <mergeCell ref="A44:G44"/>
    <mergeCell ref="I44:O44"/>
    <mergeCell ref="E2:K2"/>
    <mergeCell ref="C24:E24"/>
    <mergeCell ref="K24:M24"/>
    <mergeCell ref="A25:G25"/>
    <mergeCell ref="I25:O25"/>
    <mergeCell ref="C5:E5"/>
    <mergeCell ref="K5:M5"/>
    <mergeCell ref="A6:G6"/>
    <mergeCell ref="I6:O6"/>
  </mergeCells>
  <pageMargins left="0.7" right="0.7" top="0.75" bottom="0.75" header="0.3" footer="0.3"/>
  <pageSetup paperSize="9" scale="48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8"/>
  <dimension ref="A2:O115"/>
  <sheetViews>
    <sheetView topLeftCell="A109" workbookViewId="0">
      <selection activeCell="I101" sqref="I101:O101"/>
    </sheetView>
  </sheetViews>
  <sheetFormatPr baseColWidth="10" defaultRowHeight="14.25" outlineLevelRow="2" x14ac:dyDescent="0.2"/>
  <cols>
    <col min="1" max="7" width="11.42578125" style="22"/>
    <col min="8" max="8" width="5.28515625" style="22" customWidth="1"/>
    <col min="9" max="16384" width="11.42578125" style="22"/>
  </cols>
  <sheetData>
    <row r="2" spans="1:15" ht="25.5" x14ac:dyDescent="0.35">
      <c r="E2" s="484" t="str">
        <f>+'HOJA D TRABAJO'!D155</f>
        <v>PANDO</v>
      </c>
      <c r="F2" s="484"/>
      <c r="G2" s="484"/>
      <c r="H2" s="484"/>
      <c r="I2" s="484"/>
      <c r="J2" s="484"/>
      <c r="K2" s="484"/>
    </row>
    <row r="4" spans="1:15" ht="15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TRABAJO'!D157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TRABAJO'!D158</f>
        <v>0</v>
      </c>
    </row>
    <row r="5" spans="1:15" ht="15" x14ac:dyDescent="0.25">
      <c r="A5" s="58"/>
      <c r="B5" s="58" t="s">
        <v>1377</v>
      </c>
      <c r="C5" s="480">
        <f>+'HOJA D TRABAJO'!B157</f>
        <v>0</v>
      </c>
      <c r="D5" s="480"/>
      <c r="E5" s="480"/>
      <c r="F5" s="58"/>
      <c r="G5" s="58"/>
      <c r="H5" s="54"/>
      <c r="I5" s="58"/>
      <c r="J5" s="58" t="s">
        <v>1377</v>
      </c>
      <c r="K5" s="480">
        <f>+'HOJA D TRABAJO'!B158</f>
        <v>0</v>
      </c>
      <c r="L5" s="480"/>
      <c r="M5" s="480"/>
      <c r="N5" s="58"/>
      <c r="O5" s="58"/>
    </row>
    <row r="6" spans="1:1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TRABAJO'!E157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TRABAJO'!E158</f>
        <v>0</v>
      </c>
    </row>
    <row r="9" spans="1:1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ht="15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TRABAJO'!$F$157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TRABAJO'!$F$158</f>
        <v>0</v>
      </c>
    </row>
    <row r="14" spans="1:15" x14ac:dyDescent="0.2">
      <c r="A14" s="37" t="s">
        <v>1387</v>
      </c>
      <c r="B14" s="28"/>
      <c r="C14" s="28"/>
      <c r="D14" s="28"/>
      <c r="E14" s="102">
        <f>+'HOJA 1 AUX'!E14</f>
        <v>5.4487179487179495E-4</v>
      </c>
      <c r="F14" s="28"/>
      <c r="G14" s="30">
        <f>+'HOJA D TRABAJO'!$E$259*'HOJA D TRABAJO'!$F$157</f>
        <v>0</v>
      </c>
      <c r="H14" s="31"/>
      <c r="I14" s="37" t="s">
        <v>1387</v>
      </c>
      <c r="J14" s="28"/>
      <c r="K14" s="28"/>
      <c r="L14" s="28"/>
      <c r="M14" s="34">
        <f>+'HOJA 1 AUX'!M14</f>
        <v>5.4487179487179495E-4</v>
      </c>
      <c r="N14" s="28"/>
      <c r="O14" s="30">
        <f>+'HOJA D TRABAJO'!$E$259*'HOJA D TRABAJO'!$F$158</f>
        <v>0</v>
      </c>
    </row>
    <row r="15" spans="1:1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ht="15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ht="15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x14ac:dyDescent="0.2">
      <c r="H21" s="27"/>
    </row>
    <row r="22" spans="1:15" x14ac:dyDescent="0.2">
      <c r="H22" s="27"/>
    </row>
    <row r="23" spans="1:15" ht="15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TRABAJO'!D159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TRABAJO'!D160</f>
        <v>0</v>
      </c>
    </row>
    <row r="24" spans="1:15" ht="15" outlineLevel="1" x14ac:dyDescent="0.25">
      <c r="A24" s="58"/>
      <c r="B24" s="58" t="s">
        <v>1377</v>
      </c>
      <c r="C24" s="480">
        <f>+'HOJA D TRABAJO'!B159</f>
        <v>0</v>
      </c>
      <c r="D24" s="480"/>
      <c r="E24" s="480"/>
      <c r="F24" s="58"/>
      <c r="G24" s="58"/>
      <c r="H24" s="29"/>
      <c r="I24" s="58"/>
      <c r="J24" s="58" t="s">
        <v>1377</v>
      </c>
      <c r="K24" s="480">
        <f>+'HOJA D TRABAJO'!B160</f>
        <v>0</v>
      </c>
      <c r="L24" s="480"/>
      <c r="M24" s="480"/>
      <c r="N24" s="58"/>
      <c r="O24" s="58"/>
    </row>
    <row r="25" spans="1:1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TRABAJO'!E159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TRABAJO'!E160</f>
        <v>0</v>
      </c>
    </row>
    <row r="27" spans="1:1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ht="15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TRABAJO'!$F$159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TRABAJO'!$F$160</f>
        <v>0</v>
      </c>
    </row>
    <row r="32" spans="1:15" outlineLevel="1" x14ac:dyDescent="0.2">
      <c r="A32" s="37" t="s">
        <v>1387</v>
      </c>
      <c r="B32" s="28"/>
      <c r="C32" s="28"/>
      <c r="D32" s="28"/>
      <c r="E32" s="34">
        <f>+'HOJA 1 AUX'!E32</f>
        <v>5.4487179487179495E-4</v>
      </c>
      <c r="F32" s="28"/>
      <c r="G32" s="30">
        <f>+'HOJA D TRABAJO'!$E$259*'HOJA D TRABAJO'!$F$159</f>
        <v>0</v>
      </c>
      <c r="H32" s="31"/>
      <c r="I32" s="37" t="s">
        <v>1387</v>
      </c>
      <c r="J32" s="28"/>
      <c r="K32" s="28"/>
      <c r="L32" s="28"/>
      <c r="M32" s="34">
        <f>+'HOJA 1 AUX'!M32</f>
        <v>5.4487179487179495E-4</v>
      </c>
      <c r="N32" s="28"/>
      <c r="O32" s="30">
        <f>+'HOJA D TRABAJO'!$E$259*'HOJA D TRABAJO'!$F$160</f>
        <v>0</v>
      </c>
    </row>
    <row r="33" spans="1:1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ht="15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ht="15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outlineLevel="1" x14ac:dyDescent="0.2">
      <c r="H39" s="31"/>
    </row>
    <row r="40" spans="1:15" outlineLevel="1" x14ac:dyDescent="0.2">
      <c r="H40" s="27"/>
    </row>
    <row r="41" spans="1:15" outlineLevel="1" x14ac:dyDescent="0.2">
      <c r="H41" s="27"/>
    </row>
    <row r="42" spans="1:15" ht="15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TRABAJO'!$D$161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TRABAJO'!$D$162</f>
        <v>0</v>
      </c>
    </row>
    <row r="43" spans="1:15" ht="15" outlineLevel="2" x14ac:dyDescent="0.25">
      <c r="A43" s="58"/>
      <c r="B43" s="58" t="s">
        <v>1377</v>
      </c>
      <c r="C43" s="480">
        <f>+'HOJA D TRABAJO'!$B$161</f>
        <v>0</v>
      </c>
      <c r="D43" s="480"/>
      <c r="E43" s="480"/>
      <c r="F43" s="58"/>
      <c r="G43" s="58"/>
      <c r="H43" s="27"/>
      <c r="I43" s="58"/>
      <c r="J43" s="58" t="s">
        <v>1377</v>
      </c>
      <c r="K43" s="480">
        <f>+'HOJA D TRABAJO'!$B$162</f>
        <v>0</v>
      </c>
      <c r="L43" s="480"/>
      <c r="M43" s="480"/>
      <c r="N43" s="58"/>
      <c r="O43" s="58"/>
    </row>
    <row r="44" spans="1:1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TRABAJO'!$E$161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TRABAJO'!$E$162</f>
        <v>0</v>
      </c>
    </row>
    <row r="47" spans="1:1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ht="15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ht="1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ht="1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TRABAJO'!$F$161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TRABAJO'!$F$162</f>
        <v>0</v>
      </c>
    </row>
    <row r="52" spans="1:15" outlineLevel="2" x14ac:dyDescent="0.2">
      <c r="A52" s="37" t="s">
        <v>1387</v>
      </c>
      <c r="B52" s="28"/>
      <c r="C52" s="28"/>
      <c r="D52" s="28"/>
      <c r="E52" s="34">
        <f>+'HOJA 1 AUX'!E52</f>
        <v>5.4487179487179495E-4</v>
      </c>
      <c r="F52" s="28"/>
      <c r="G52" s="30">
        <f>+'HOJA D TRABAJO'!$E$259*'HOJA D TRABAJO'!$F$161</f>
        <v>0</v>
      </c>
      <c r="H52" s="27"/>
      <c r="I52" s="37" t="s">
        <v>1387</v>
      </c>
      <c r="J52" s="28"/>
      <c r="K52" s="28"/>
      <c r="L52" s="28"/>
      <c r="M52" s="34">
        <f>+'HOJA 1 AUX'!M52</f>
        <v>5.4487179487179495E-4</v>
      </c>
      <c r="N52" s="28"/>
      <c r="O52" s="30">
        <f>+'HOJA D TRABAJO'!$E$259*'HOJA D TRABAJO'!$F$162</f>
        <v>0</v>
      </c>
    </row>
    <row r="53" spans="1:1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ht="15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ht="15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1" x14ac:dyDescent="0.2"/>
    <row r="61" spans="1:15" ht="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TRABAJO'!$D$163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TRABAJO'!$D$164</f>
        <v>0</v>
      </c>
    </row>
    <row r="62" spans="1:15" ht="15" x14ac:dyDescent="0.25">
      <c r="A62" s="101"/>
      <c r="B62" s="101" t="s">
        <v>1377</v>
      </c>
      <c r="C62" s="480">
        <f>+'HOJA D TRABAJO'!$B$163</f>
        <v>0</v>
      </c>
      <c r="D62" s="480"/>
      <c r="E62" s="480"/>
      <c r="F62" s="101"/>
      <c r="G62" s="101"/>
      <c r="H62" s="54"/>
      <c r="I62" s="101"/>
      <c r="J62" s="101" t="s">
        <v>1377</v>
      </c>
      <c r="K62" s="480">
        <f>+'HOJA D TRABAJO'!$B$164</f>
        <v>0</v>
      </c>
      <c r="L62" s="480"/>
      <c r="M62" s="480"/>
      <c r="N62" s="101"/>
      <c r="O62" s="101"/>
    </row>
    <row r="63" spans="1:15" x14ac:dyDescent="0.2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TRABAJO'!$E$163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TRABAJO'!$E$164</f>
        <v>0</v>
      </c>
    </row>
    <row r="66" spans="1:15" x14ac:dyDescent="0.2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ht="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TRABAJO'!$F$163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TRABAJO'!$F$164</f>
        <v>0</v>
      </c>
    </row>
    <row r="71" spans="1:15" x14ac:dyDescent="0.2">
      <c r="A71" s="37" t="s">
        <v>1387</v>
      </c>
      <c r="B71" s="28"/>
      <c r="C71" s="28"/>
      <c r="D71" s="28"/>
      <c r="E71" s="102">
        <f>+'HOJA 1 AUX'!E71</f>
        <v>5.4487179487179495E-4</v>
      </c>
      <c r="F71" s="28"/>
      <c r="G71" s="30">
        <f>+'HOJA D TRABAJO'!$E$259*'HOJA D TRABAJO'!$F$163</f>
        <v>0</v>
      </c>
      <c r="H71" s="31"/>
      <c r="I71" s="37" t="s">
        <v>1387</v>
      </c>
      <c r="J71" s="28"/>
      <c r="K71" s="28"/>
      <c r="L71" s="28"/>
      <c r="M71" s="34">
        <f>+'HOJA 1 AUX'!M71</f>
        <v>5.4487179487179495E-4</v>
      </c>
      <c r="N71" s="28"/>
      <c r="O71" s="30">
        <f>+'HOJA D TRABAJO'!$E$259*'HOJA D TRABAJO'!$F$164</f>
        <v>0</v>
      </c>
    </row>
    <row r="72" spans="1:15" x14ac:dyDescent="0.2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ht="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ht="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">
      <c r="H78" s="27"/>
    </row>
    <row r="79" spans="1:15" x14ac:dyDescent="0.2">
      <c r="H79" s="27"/>
    </row>
    <row r="80" spans="1:15" ht="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TRABAJO'!$D$165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TRABAJO'!$D$166</f>
        <v>0</v>
      </c>
    </row>
    <row r="81" spans="1:15" ht="15" x14ac:dyDescent="0.25">
      <c r="A81" s="101"/>
      <c r="B81" s="101" t="s">
        <v>1377</v>
      </c>
      <c r="C81" s="480">
        <f>+'HOJA D TRABAJO'!$B$165</f>
        <v>0</v>
      </c>
      <c r="D81" s="480"/>
      <c r="E81" s="480"/>
      <c r="F81" s="101"/>
      <c r="G81" s="101"/>
      <c r="H81" s="29"/>
      <c r="I81" s="101"/>
      <c r="J81" s="101" t="s">
        <v>1377</v>
      </c>
      <c r="K81" s="480">
        <f>+'HOJA D TRABAJO'!$B$166</f>
        <v>0</v>
      </c>
      <c r="L81" s="480"/>
      <c r="M81" s="480"/>
      <c r="N81" s="101"/>
      <c r="O81" s="101"/>
    </row>
    <row r="82" spans="1:15" x14ac:dyDescent="0.2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TRABAJO'!$E$165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TRABAJO'!$E$166</f>
        <v>0</v>
      </c>
    </row>
    <row r="84" spans="1:15" x14ac:dyDescent="0.2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ht="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TRABAJO'!$F$165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TRABAJO'!$F$166</f>
        <v>0</v>
      </c>
    </row>
    <row r="89" spans="1:15" x14ac:dyDescent="0.2">
      <c r="A89" s="37" t="s">
        <v>1387</v>
      </c>
      <c r="B89" s="28"/>
      <c r="C89" s="28"/>
      <c r="D89" s="28"/>
      <c r="E89" s="34">
        <f>+M71</f>
        <v>5.4487179487179495E-4</v>
      </c>
      <c r="F89" s="28"/>
      <c r="G89" s="30">
        <f>+'HOJA D TRABAJO'!$E$259*'HOJA D TRABAJO'!$F$165</f>
        <v>0</v>
      </c>
      <c r="H89" s="31"/>
      <c r="I89" s="37" t="s">
        <v>1387</v>
      </c>
      <c r="J89" s="28"/>
      <c r="K89" s="28"/>
      <c r="L89" s="28"/>
      <c r="M89" s="34">
        <f>+M71</f>
        <v>5.4487179487179495E-4</v>
      </c>
      <c r="N89" s="28"/>
      <c r="O89" s="30">
        <f>+'HOJA D TRABAJO'!$E$259*'HOJA D TRABAJO'!$F$166</f>
        <v>0</v>
      </c>
    </row>
    <row r="90" spans="1:15" x14ac:dyDescent="0.2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ht="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ht="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">
      <c r="H96" s="31"/>
    </row>
    <row r="97" spans="1:15" x14ac:dyDescent="0.2">
      <c r="H97" s="27"/>
    </row>
    <row r="98" spans="1:15" x14ac:dyDescent="0.2">
      <c r="H98" s="27"/>
    </row>
    <row r="99" spans="1:15" ht="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TRABAJO'!$D$167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TRABAJO'!$D$168</f>
        <v>0</v>
      </c>
    </row>
    <row r="100" spans="1:15" ht="15" x14ac:dyDescent="0.25">
      <c r="A100" s="101"/>
      <c r="B100" s="101" t="s">
        <v>1377</v>
      </c>
      <c r="C100" s="480">
        <f>+'HOJA D TRABAJO'!$B$167</f>
        <v>0</v>
      </c>
      <c r="D100" s="480"/>
      <c r="E100" s="480"/>
      <c r="F100" s="101"/>
      <c r="G100" s="101"/>
      <c r="H100" s="27"/>
      <c r="I100" s="101"/>
      <c r="J100" s="101" t="s">
        <v>1377</v>
      </c>
      <c r="K100" s="480">
        <f>+'HOJA D TRABAJO'!$B$168</f>
        <v>0</v>
      </c>
      <c r="L100" s="480"/>
      <c r="M100" s="480"/>
      <c r="N100" s="101"/>
      <c r="O100" s="101"/>
    </row>
    <row r="101" spans="1:15" x14ac:dyDescent="0.2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TRABAJO'!$E$167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TRABAJO'!$E$168</f>
        <v>0</v>
      </c>
    </row>
    <row r="104" spans="1:15" x14ac:dyDescent="0.2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ht="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TRABAJO'!$F$167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TRABAJO'!$F$168</f>
        <v>0</v>
      </c>
    </row>
    <row r="109" spans="1:15" x14ac:dyDescent="0.2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TRABAJO'!$F$167</f>
        <v>0</v>
      </c>
      <c r="H109" s="27"/>
      <c r="I109" s="37" t="s">
        <v>1387</v>
      </c>
      <c r="J109" s="28"/>
      <c r="K109" s="28"/>
      <c r="L109" s="28"/>
      <c r="M109" s="34">
        <f>+M89</f>
        <v>5.4487179487179495E-4</v>
      </c>
      <c r="N109" s="28"/>
      <c r="O109" s="30">
        <f>+'HOJA D TRABAJO'!$E$259*'HOJA D TRABAJO'!$F$168</f>
        <v>0</v>
      </c>
    </row>
    <row r="110" spans="1:15" x14ac:dyDescent="0.2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ht="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ht="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HOJA D TRABAJO</vt:lpstr>
      <vt:lpstr>Hoja2</vt:lpstr>
      <vt:lpstr>Carta PDF</vt:lpstr>
      <vt:lpstr>GASTO AUX </vt:lpstr>
      <vt:lpstr>HOJA 1 AUX</vt:lpstr>
      <vt:lpstr>HOJA 2 AUX</vt:lpstr>
      <vt:lpstr>HOJA 3 AUX</vt:lpstr>
      <vt:lpstr>HOJA 4 AUX</vt:lpstr>
      <vt:lpstr>HOJA 5 AUX</vt:lpstr>
      <vt:lpstr>HOJA 6 AUX</vt:lpstr>
      <vt:lpstr>HOJA 7 AUX</vt:lpstr>
      <vt:lpstr>HOJA 8 AUX</vt:lpstr>
      <vt:lpstr>HOJA 9 AUX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Ayde</cp:lastModifiedBy>
  <cp:lastPrinted>2019-02-07T18:38:39Z</cp:lastPrinted>
  <dcterms:created xsi:type="dcterms:W3CDTF">2016-10-17T20:34:40Z</dcterms:created>
  <dcterms:modified xsi:type="dcterms:W3CDTF">2019-02-07T18:38:40Z</dcterms:modified>
</cp:coreProperties>
</file>