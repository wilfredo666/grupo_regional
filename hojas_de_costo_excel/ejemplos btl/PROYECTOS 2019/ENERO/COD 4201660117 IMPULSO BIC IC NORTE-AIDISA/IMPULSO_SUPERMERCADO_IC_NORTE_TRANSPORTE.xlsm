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\\DESKTOP-88viqu3\carpetas compartidas\Cobranzas\btl\PROYECTOS 2019\ENERO\COD 4201660117 IMPULSO BIC IC NORTE-AIDISA\"/>
    </mc:Choice>
  </mc:AlternateContent>
  <xr:revisionPtr revIDLastSave="0" documentId="13_ncr:1_{E7B7BF3B-9452-4C02-9C48-018166504BBB}" xr6:coauthVersionLast="40" xr6:coauthVersionMax="40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L4" i="32"/>
  <c r="N4" i="32"/>
  <c r="M4" i="32" s="1"/>
  <c r="O4" i="32"/>
  <c r="P4" i="32"/>
  <c r="J5" i="32"/>
  <c r="K5" i="32"/>
  <c r="L5" i="32"/>
  <c r="N5" i="32"/>
  <c r="O5" i="32"/>
  <c r="P5" i="32"/>
  <c r="J6" i="32"/>
  <c r="K6" i="32"/>
  <c r="L6" i="32"/>
  <c r="N6" i="32"/>
  <c r="M6" i="32" s="1"/>
  <c r="O6" i="32"/>
  <c r="P6" i="32"/>
  <c r="J7" i="32"/>
  <c r="K7" i="32"/>
  <c r="L7" i="32"/>
  <c r="M7" i="32"/>
  <c r="N7" i="32"/>
  <c r="O7" i="32"/>
  <c r="P7" i="32"/>
  <c r="J8" i="32"/>
  <c r="K8" i="32"/>
  <c r="L8" i="32"/>
  <c r="N8" i="32"/>
  <c r="P8" i="32" s="1"/>
  <c r="O8" i="32"/>
  <c r="J9" i="32"/>
  <c r="K9" i="32"/>
  <c r="L9" i="32"/>
  <c r="N9" i="32"/>
  <c r="M9" i="32" s="1"/>
  <c r="O9" i="32"/>
  <c r="P9" i="32"/>
  <c r="J10" i="32"/>
  <c r="K10" i="32"/>
  <c r="L10" i="32"/>
  <c r="N10" i="32"/>
  <c r="P10" i="32" s="1"/>
  <c r="J11" i="32"/>
  <c r="K11" i="32"/>
  <c r="L11" i="32"/>
  <c r="M11" i="32"/>
  <c r="N11" i="32"/>
  <c r="P11" i="32"/>
  <c r="J12" i="32"/>
  <c r="K12" i="32"/>
  <c r="L12" i="32"/>
  <c r="N12" i="32"/>
  <c r="P12" i="32" s="1"/>
  <c r="J13" i="32"/>
  <c r="K13" i="32"/>
  <c r="L13" i="32"/>
  <c r="N13" i="32"/>
  <c r="M13" i="32" s="1"/>
  <c r="P13" i="32"/>
  <c r="J14" i="32"/>
  <c r="K14" i="32"/>
  <c r="L14" i="32"/>
  <c r="O14" i="32"/>
  <c r="J15" i="32"/>
  <c r="K15" i="32"/>
  <c r="L15" i="32"/>
  <c r="M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O17" i="32"/>
  <c r="P17" i="32"/>
  <c r="J18" i="32"/>
  <c r="K18" i="32"/>
  <c r="L18" i="32"/>
  <c r="M18" i="32" s="1"/>
  <c r="N18" i="32"/>
  <c r="O18" i="32"/>
  <c r="P18" i="32"/>
  <c r="J19" i="32"/>
  <c r="K19" i="32"/>
  <c r="L19" i="32"/>
  <c r="N19" i="32"/>
  <c r="O19" i="32"/>
  <c r="P19" i="32"/>
  <c r="J20" i="32"/>
  <c r="K20" i="32"/>
  <c r="L20" i="32"/>
  <c r="N20" i="32"/>
  <c r="P20" i="32" s="1"/>
  <c r="J21" i="32"/>
  <c r="K21" i="32"/>
  <c r="L21" i="32"/>
  <c r="O21" i="32"/>
  <c r="J22" i="32"/>
  <c r="K22" i="32"/>
  <c r="L22" i="32"/>
  <c r="M22" i="32" s="1"/>
  <c r="N22" i="32"/>
  <c r="O22" i="32"/>
  <c r="P22" i="32"/>
  <c r="J23" i="32"/>
  <c r="K23" i="32"/>
  <c r="L23" i="32"/>
  <c r="N23" i="32"/>
  <c r="O23" i="32"/>
  <c r="P23" i="32"/>
  <c r="J24" i="32"/>
  <c r="K24" i="32"/>
  <c r="L24" i="32"/>
  <c r="N24" i="32"/>
  <c r="P24" i="32" s="1"/>
  <c r="O24" i="32"/>
  <c r="J25" i="32"/>
  <c r="K25" i="32"/>
  <c r="L25" i="32"/>
  <c r="N25" i="32"/>
  <c r="P25" i="32" s="1"/>
  <c r="J26" i="32"/>
  <c r="K26" i="32"/>
  <c r="O26" i="32"/>
  <c r="J27" i="32"/>
  <c r="K27" i="32"/>
  <c r="L27" i="32"/>
  <c r="M27" i="32"/>
  <c r="N27" i="32"/>
  <c r="O27" i="32"/>
  <c r="P27" i="32"/>
  <c r="J28" i="32"/>
  <c r="K28" i="32"/>
  <c r="L28" i="32"/>
  <c r="N28" i="32"/>
  <c r="P28" i="32" s="1"/>
  <c r="O28" i="32"/>
  <c r="J29" i="32"/>
  <c r="K29" i="32"/>
  <c r="L29" i="32"/>
  <c r="N29" i="32"/>
  <c r="P29" i="32" s="1"/>
  <c r="O29" i="32"/>
  <c r="J30" i="32"/>
  <c r="K30" i="32"/>
  <c r="L30" i="32"/>
  <c r="M30" i="32" s="1"/>
  <c r="N30" i="32"/>
  <c r="P30" i="32"/>
  <c r="J31" i="32"/>
  <c r="K31" i="32"/>
  <c r="O31" i="32"/>
  <c r="J32" i="32"/>
  <c r="K32" i="32"/>
  <c r="L32" i="32"/>
  <c r="N32" i="32"/>
  <c r="P32" i="32" s="1"/>
  <c r="O32" i="32"/>
  <c r="J33" i="32"/>
  <c r="K33" i="32"/>
  <c r="L33" i="32"/>
  <c r="N33" i="32"/>
  <c r="P33" i="32" s="1"/>
  <c r="O33" i="32"/>
  <c r="J34" i="32"/>
  <c r="K34" i="32"/>
  <c r="L34" i="32"/>
  <c r="M34" i="32" s="1"/>
  <c r="N34" i="32"/>
  <c r="O34" i="32"/>
  <c r="P34" i="32"/>
  <c r="J35" i="32"/>
  <c r="L35" i="32"/>
  <c r="N35" i="32"/>
  <c r="O35" i="32"/>
  <c r="P35" i="32"/>
  <c r="J36" i="32"/>
  <c r="K36" i="32"/>
  <c r="L36" i="32"/>
  <c r="N36" i="32"/>
  <c r="P36" i="32" s="1"/>
  <c r="O36" i="32"/>
  <c r="J37" i="32"/>
  <c r="K37" i="32"/>
  <c r="L37" i="32"/>
  <c r="N37" i="32"/>
  <c r="P37" i="32" s="1"/>
  <c r="O37" i="32"/>
  <c r="J38" i="32"/>
  <c r="K38" i="32"/>
  <c r="L38" i="32"/>
  <c r="N38" i="32"/>
  <c r="O38" i="32"/>
  <c r="P38" i="32"/>
  <c r="J39" i="32"/>
  <c r="N39" i="32"/>
  <c r="O39" i="32"/>
  <c r="P39" i="32"/>
  <c r="J40" i="32"/>
  <c r="K40" i="32"/>
  <c r="L40" i="32"/>
  <c r="N40" i="32"/>
  <c r="P40" i="32" s="1"/>
  <c r="O40" i="32"/>
  <c r="J41" i="32"/>
  <c r="K41" i="32"/>
  <c r="L41" i="32"/>
  <c r="N41" i="32"/>
  <c r="P41" i="32" s="1"/>
  <c r="O41" i="32"/>
  <c r="J42" i="32"/>
  <c r="K42" i="32"/>
  <c r="L42" i="32"/>
  <c r="M42" i="32" s="1"/>
  <c r="N42" i="32"/>
  <c r="O42" i="32"/>
  <c r="P42" i="32"/>
  <c r="J43" i="32"/>
  <c r="K43" i="32"/>
  <c r="L43" i="32"/>
  <c r="N43" i="32"/>
  <c r="M43" i="32" s="1"/>
  <c r="O43" i="32"/>
  <c r="P43" i="32"/>
  <c r="J44" i="32"/>
  <c r="K44" i="32"/>
  <c r="L44" i="32"/>
  <c r="O44" i="32"/>
  <c r="J45" i="32"/>
  <c r="K45" i="32"/>
  <c r="L45" i="32"/>
  <c r="O45" i="32"/>
  <c r="J46" i="32"/>
  <c r="K46" i="32"/>
  <c r="L46" i="32"/>
  <c r="N46" i="32"/>
  <c r="O46" i="32"/>
  <c r="P46" i="32"/>
  <c r="J47" i="32"/>
  <c r="K47" i="32"/>
  <c r="L47" i="32"/>
  <c r="O47" i="32"/>
  <c r="J48" i="32"/>
  <c r="K48" i="32"/>
  <c r="L48" i="32"/>
  <c r="N48" i="32"/>
  <c r="P48" i="32" s="1"/>
  <c r="O48" i="32"/>
  <c r="J49" i="32"/>
  <c r="K49" i="32"/>
  <c r="L49" i="32"/>
  <c r="N49" i="32"/>
  <c r="P49" i="32" s="1"/>
  <c r="O49" i="32"/>
  <c r="J50" i="32"/>
  <c r="K50" i="32"/>
  <c r="L50" i="32"/>
  <c r="N50" i="32"/>
  <c r="O50" i="32"/>
  <c r="P50" i="32"/>
  <c r="J51" i="32"/>
  <c r="K51" i="32"/>
  <c r="L51" i="32"/>
  <c r="M51" i="32"/>
  <c r="N51" i="32"/>
  <c r="O51" i="32"/>
  <c r="P51" i="32"/>
  <c r="J52" i="32"/>
  <c r="K52" i="32"/>
  <c r="L52" i="32"/>
  <c r="N52" i="32"/>
  <c r="P52" i="32" s="1"/>
  <c r="O52" i="32"/>
  <c r="J53" i="32"/>
  <c r="K53" i="32"/>
  <c r="L53" i="32"/>
  <c r="N53" i="32"/>
  <c r="P53" i="32" s="1"/>
  <c r="O53" i="32"/>
  <c r="J54" i="32"/>
  <c r="K54" i="32"/>
  <c r="L54" i="32"/>
  <c r="M54" i="32" s="1"/>
  <c r="N54" i="32"/>
  <c r="O54" i="32"/>
  <c r="P54" i="32"/>
  <c r="J55" i="32"/>
  <c r="K55" i="32"/>
  <c r="L55" i="32"/>
  <c r="N55" i="32"/>
  <c r="O55" i="32"/>
  <c r="P55" i="32"/>
  <c r="J56" i="32"/>
  <c r="K56" i="32"/>
  <c r="L56" i="32"/>
  <c r="N56" i="32"/>
  <c r="P56" i="32" s="1"/>
  <c r="O56" i="32"/>
  <c r="J57" i="32"/>
  <c r="K57" i="32"/>
  <c r="L57" i="32"/>
  <c r="N57" i="32"/>
  <c r="P57" i="32" s="1"/>
  <c r="O57" i="32"/>
  <c r="J58" i="32"/>
  <c r="K58" i="32"/>
  <c r="L58" i="32"/>
  <c r="N58" i="32"/>
  <c r="O58" i="32"/>
  <c r="P58" i="32"/>
  <c r="J59" i="32"/>
  <c r="K59" i="32"/>
  <c r="L59" i="32"/>
  <c r="M59" i="32"/>
  <c r="N59" i="32"/>
  <c r="O59" i="32"/>
  <c r="P59" i="32"/>
  <c r="J60" i="32"/>
  <c r="K60" i="32"/>
  <c r="L60" i="32"/>
  <c r="N60" i="32"/>
  <c r="P60" i="32" s="1"/>
  <c r="O60" i="32"/>
  <c r="J61" i="32"/>
  <c r="K61" i="32"/>
  <c r="L61" i="32"/>
  <c r="N61" i="32"/>
  <c r="P61" i="32" s="1"/>
  <c r="O61" i="32"/>
  <c r="J62" i="32"/>
  <c r="K62" i="32"/>
  <c r="L62" i="32"/>
  <c r="M62" i="32" s="1"/>
  <c r="N62" i="32"/>
  <c r="O62" i="32"/>
  <c r="P62" i="32"/>
  <c r="J63" i="32"/>
  <c r="K63" i="32"/>
  <c r="L63" i="32"/>
  <c r="N63" i="32"/>
  <c r="M63" i="32" s="1"/>
  <c r="O63" i="32"/>
  <c r="P63" i="32"/>
  <c r="J64" i="32"/>
  <c r="K64" i="32"/>
  <c r="L64" i="32"/>
  <c r="N64" i="32"/>
  <c r="P64" i="32" s="1"/>
  <c r="O64" i="32"/>
  <c r="J65" i="32"/>
  <c r="K65" i="32"/>
  <c r="L65" i="32"/>
  <c r="N65" i="32"/>
  <c r="P65" i="32" s="1"/>
  <c r="O65" i="32"/>
  <c r="J66" i="32"/>
  <c r="K66" i="32"/>
  <c r="L66" i="32"/>
  <c r="N66" i="32"/>
  <c r="O66" i="32"/>
  <c r="P66" i="32"/>
  <c r="J67" i="32"/>
  <c r="K67" i="32"/>
  <c r="L67" i="32"/>
  <c r="M67" i="32"/>
  <c r="N67" i="32"/>
  <c r="O67" i="32"/>
  <c r="P67" i="32"/>
  <c r="J68" i="32"/>
  <c r="K68" i="32"/>
  <c r="L68" i="32"/>
  <c r="N68" i="32"/>
  <c r="P68" i="32" s="1"/>
  <c r="O68" i="32"/>
  <c r="J69" i="32"/>
  <c r="K69" i="32"/>
  <c r="L69" i="32"/>
  <c r="N69" i="32"/>
  <c r="P69" i="32" s="1"/>
  <c r="O69" i="32"/>
  <c r="J70" i="32"/>
  <c r="K70" i="32"/>
  <c r="L70" i="32"/>
  <c r="M70" i="32" s="1"/>
  <c r="N70" i="32"/>
  <c r="O70" i="32"/>
  <c r="P70" i="32"/>
  <c r="J71" i="32"/>
  <c r="K71" i="32"/>
  <c r="L71" i="32"/>
  <c r="N71" i="32"/>
  <c r="O71" i="32"/>
  <c r="P71" i="32"/>
  <c r="J72" i="32"/>
  <c r="K72" i="32"/>
  <c r="L72" i="32"/>
  <c r="N72" i="32"/>
  <c r="P72" i="32" s="1"/>
  <c r="O72" i="32"/>
  <c r="J73" i="32"/>
  <c r="K73" i="32"/>
  <c r="L73" i="32"/>
  <c r="N73" i="32"/>
  <c r="P73" i="32" s="1"/>
  <c r="O73" i="32"/>
  <c r="J74" i="32"/>
  <c r="K74" i="32"/>
  <c r="L74" i="32"/>
  <c r="N74" i="32"/>
  <c r="O74" i="32"/>
  <c r="P74" i="32"/>
  <c r="J75" i="32"/>
  <c r="K75" i="32"/>
  <c r="L75" i="32"/>
  <c r="M75" i="32"/>
  <c r="N75" i="32"/>
  <c r="O75" i="32"/>
  <c r="P75" i="32"/>
  <c r="J76" i="32"/>
  <c r="K76" i="32"/>
  <c r="L76" i="32"/>
  <c r="N76" i="32"/>
  <c r="P76" i="32" s="1"/>
  <c r="O76" i="32"/>
  <c r="J77" i="32"/>
  <c r="K77" i="32"/>
  <c r="L77" i="32"/>
  <c r="N77" i="32"/>
  <c r="P77" i="32" s="1"/>
  <c r="O77" i="32"/>
  <c r="J78" i="32"/>
  <c r="K78" i="32"/>
  <c r="L78" i="32"/>
  <c r="M78" i="32" s="1"/>
  <c r="N78" i="32"/>
  <c r="O78" i="32"/>
  <c r="P78" i="32"/>
  <c r="J79" i="32"/>
  <c r="K79" i="32"/>
  <c r="L79" i="32"/>
  <c r="N79" i="32"/>
  <c r="M79" i="32" s="1"/>
  <c r="O79" i="32"/>
  <c r="P79" i="32"/>
  <c r="J80" i="32"/>
  <c r="K80" i="32"/>
  <c r="L80" i="32"/>
  <c r="N80" i="32"/>
  <c r="P80" i="32" s="1"/>
  <c r="O80" i="32"/>
  <c r="J81" i="32"/>
  <c r="K81" i="32"/>
  <c r="L81" i="32"/>
  <c r="N81" i="32"/>
  <c r="P81" i="32" s="1"/>
  <c r="O81" i="32"/>
  <c r="J82" i="32"/>
  <c r="K82" i="32"/>
  <c r="L82" i="32"/>
  <c r="N82" i="32"/>
  <c r="O82" i="32"/>
  <c r="P82" i="32"/>
  <c r="J83" i="32"/>
  <c r="K83" i="32"/>
  <c r="L83" i="32"/>
  <c r="M83" i="32"/>
  <c r="N83" i="32"/>
  <c r="O83" i="32"/>
  <c r="P83" i="32"/>
  <c r="J84" i="32"/>
  <c r="K84" i="32"/>
  <c r="L84" i="32"/>
  <c r="N84" i="32"/>
  <c r="P84" i="32" s="1"/>
  <c r="O84" i="32"/>
  <c r="J85" i="32"/>
  <c r="K85" i="32"/>
  <c r="L85" i="32"/>
  <c r="N85" i="32"/>
  <c r="P85" i="32" s="1"/>
  <c r="O85" i="32"/>
  <c r="J86" i="32"/>
  <c r="K86" i="32"/>
  <c r="L86" i="32"/>
  <c r="M86" i="32" s="1"/>
  <c r="N86" i="32"/>
  <c r="O86" i="32"/>
  <c r="P86" i="32"/>
  <c r="J87" i="32"/>
  <c r="K87" i="32"/>
  <c r="L87" i="32"/>
  <c r="N87" i="32"/>
  <c r="O87" i="32"/>
  <c r="P87" i="32"/>
  <c r="J88" i="32"/>
  <c r="K88" i="32"/>
  <c r="L88" i="32"/>
  <c r="N88" i="32"/>
  <c r="P88" i="32" s="1"/>
  <c r="O88" i="32"/>
  <c r="J89" i="32"/>
  <c r="K89" i="32"/>
  <c r="L89" i="32"/>
  <c r="N89" i="32"/>
  <c r="P89" i="32" s="1"/>
  <c r="O89" i="32"/>
  <c r="J90" i="32"/>
  <c r="K90" i="32"/>
  <c r="L90" i="32"/>
  <c r="N90" i="32"/>
  <c r="O90" i="32"/>
  <c r="P90" i="32"/>
  <c r="J91" i="32"/>
  <c r="K91" i="32"/>
  <c r="L91" i="32"/>
  <c r="M91" i="32"/>
  <c r="N91" i="32"/>
  <c r="O91" i="32"/>
  <c r="P91" i="32"/>
  <c r="J92" i="32"/>
  <c r="K92" i="32"/>
  <c r="L92" i="32"/>
  <c r="N92" i="32"/>
  <c r="P92" i="32" s="1"/>
  <c r="O92" i="32"/>
  <c r="J93" i="32"/>
  <c r="K93" i="32"/>
  <c r="L93" i="32"/>
  <c r="N93" i="32"/>
  <c r="P93" i="32" s="1"/>
  <c r="O93" i="32"/>
  <c r="J94" i="32"/>
  <c r="K94" i="32"/>
  <c r="L94" i="32"/>
  <c r="M94" i="32" s="1"/>
  <c r="N94" i="32"/>
  <c r="O94" i="32"/>
  <c r="P94" i="32"/>
  <c r="J95" i="32"/>
  <c r="K95" i="32"/>
  <c r="L95" i="32"/>
  <c r="N95" i="32"/>
  <c r="M95" i="32" s="1"/>
  <c r="O95" i="32"/>
  <c r="P95" i="32"/>
  <c r="J96" i="32"/>
  <c r="K96" i="32"/>
  <c r="L96" i="32"/>
  <c r="N96" i="32"/>
  <c r="P96" i="32" s="1"/>
  <c r="O96" i="32"/>
  <c r="J97" i="32"/>
  <c r="K97" i="32"/>
  <c r="L97" i="32"/>
  <c r="N97" i="32"/>
  <c r="P97" i="32" s="1"/>
  <c r="O97" i="32"/>
  <c r="J98" i="32"/>
  <c r="K98" i="32"/>
  <c r="L98" i="32"/>
  <c r="N98" i="32"/>
  <c r="O98" i="32"/>
  <c r="P98" i="32"/>
  <c r="J99" i="32"/>
  <c r="K99" i="32"/>
  <c r="L99" i="32"/>
  <c r="M99" i="32"/>
  <c r="N99" i="32"/>
  <c r="O99" i="32"/>
  <c r="P99" i="32"/>
  <c r="J100" i="32"/>
  <c r="K100" i="32"/>
  <c r="L100" i="32"/>
  <c r="N100" i="32"/>
  <c r="P100" i="32" s="1"/>
  <c r="O100" i="32"/>
  <c r="J101" i="32"/>
  <c r="K101" i="32"/>
  <c r="L101" i="32"/>
  <c r="N101" i="32"/>
  <c r="P101" i="32" s="1"/>
  <c r="O101" i="32"/>
  <c r="J102" i="32"/>
  <c r="K102" i="32"/>
  <c r="L102" i="32"/>
  <c r="M102" i="32" s="1"/>
  <c r="N102" i="32"/>
  <c r="O102" i="32"/>
  <c r="P102" i="32"/>
  <c r="J103" i="32"/>
  <c r="K103" i="32"/>
  <c r="L103" i="32"/>
  <c r="N103" i="32"/>
  <c r="O103" i="32"/>
  <c r="P103" i="32"/>
  <c r="J104" i="32"/>
  <c r="K104" i="32"/>
  <c r="L104" i="32"/>
  <c r="N104" i="32"/>
  <c r="O104" i="32"/>
  <c r="J105" i="32"/>
  <c r="K105" i="32"/>
  <c r="L105" i="32"/>
  <c r="N105" i="32"/>
  <c r="P105" i="32" s="1"/>
  <c r="O105" i="32"/>
  <c r="J106" i="32"/>
  <c r="K106" i="32"/>
  <c r="L106" i="32"/>
  <c r="N106" i="32"/>
  <c r="O106" i="32"/>
  <c r="P106" i="32"/>
  <c r="J107" i="32"/>
  <c r="K107" i="32"/>
  <c r="L107" i="32"/>
  <c r="M107" i="32"/>
  <c r="N107" i="32"/>
  <c r="O107" i="32"/>
  <c r="P107" i="32"/>
  <c r="J108" i="32"/>
  <c r="K108" i="32"/>
  <c r="L108" i="32"/>
  <c r="N108" i="32"/>
  <c r="O108" i="32"/>
  <c r="J109" i="32"/>
  <c r="K109" i="32"/>
  <c r="L109" i="32"/>
  <c r="N109" i="32"/>
  <c r="P109" i="32" s="1"/>
  <c r="O109" i="32"/>
  <c r="J110" i="32"/>
  <c r="K110" i="32"/>
  <c r="L110" i="32"/>
  <c r="M110" i="32" s="1"/>
  <c r="N110" i="32"/>
  <c r="O110" i="32"/>
  <c r="P110" i="32"/>
  <c r="J111" i="32"/>
  <c r="K111" i="32"/>
  <c r="L111" i="32"/>
  <c r="N111" i="32"/>
  <c r="M111" i="32" s="1"/>
  <c r="O111" i="32"/>
  <c r="P111" i="32"/>
  <c r="J112" i="32"/>
  <c r="K112" i="32"/>
  <c r="L112" i="32"/>
  <c r="N112" i="32"/>
  <c r="O112" i="32"/>
  <c r="J113" i="32"/>
  <c r="K113" i="32"/>
  <c r="L113" i="32"/>
  <c r="N113" i="32"/>
  <c r="P113" i="32" s="1"/>
  <c r="O113" i="32"/>
  <c r="J114" i="32"/>
  <c r="K114" i="32"/>
  <c r="L114" i="32"/>
  <c r="N114" i="32"/>
  <c r="O114" i="32"/>
  <c r="P114" i="32"/>
  <c r="J115" i="32"/>
  <c r="K115" i="32"/>
  <c r="L115" i="32"/>
  <c r="M115" i="32"/>
  <c r="N115" i="32"/>
  <c r="O115" i="32"/>
  <c r="P115" i="32"/>
  <c r="J116" i="32"/>
  <c r="K116" i="32"/>
  <c r="L116" i="32"/>
  <c r="N116" i="32"/>
  <c r="O116" i="32"/>
  <c r="J117" i="32"/>
  <c r="K117" i="32"/>
  <c r="L117" i="32"/>
  <c r="N117" i="32"/>
  <c r="P117" i="32" s="1"/>
  <c r="O117" i="32"/>
  <c r="J118" i="32"/>
  <c r="K118" i="32"/>
  <c r="L118" i="32"/>
  <c r="M118" i="32" s="1"/>
  <c r="N118" i="32"/>
  <c r="O118" i="32"/>
  <c r="P118" i="32"/>
  <c r="J119" i="32"/>
  <c r="K119" i="32"/>
  <c r="L119" i="32"/>
  <c r="N119" i="32"/>
  <c r="O119" i="32"/>
  <c r="P119" i="32"/>
  <c r="J120" i="32"/>
  <c r="K120" i="32"/>
  <c r="L120" i="32"/>
  <c r="N120" i="32"/>
  <c r="O120" i="32"/>
  <c r="J121" i="32"/>
  <c r="K121" i="32"/>
  <c r="L121" i="32"/>
  <c r="N121" i="32"/>
  <c r="P121" i="32" s="1"/>
  <c r="O121" i="32"/>
  <c r="J122" i="32"/>
  <c r="K122" i="32"/>
  <c r="L122" i="32"/>
  <c r="N122" i="32"/>
  <c r="O122" i="32"/>
  <c r="P122" i="32"/>
  <c r="J123" i="32"/>
  <c r="K123" i="32"/>
  <c r="L123" i="32"/>
  <c r="M123" i="32"/>
  <c r="N123" i="32"/>
  <c r="O123" i="32"/>
  <c r="P123" i="32"/>
  <c r="J124" i="32"/>
  <c r="K124" i="32"/>
  <c r="L124" i="32"/>
  <c r="N124" i="32"/>
  <c r="O124" i="32"/>
  <c r="J125" i="32"/>
  <c r="K125" i="32"/>
  <c r="L125" i="32"/>
  <c r="N125" i="32"/>
  <c r="P125" i="32" s="1"/>
  <c r="O125" i="32"/>
  <c r="J126" i="32"/>
  <c r="K126" i="32"/>
  <c r="L126" i="32"/>
  <c r="M126" i="32" s="1"/>
  <c r="N126" i="32"/>
  <c r="O126" i="32"/>
  <c r="P126" i="32"/>
  <c r="J127" i="32"/>
  <c r="K127" i="32"/>
  <c r="L127" i="32"/>
  <c r="N127" i="32"/>
  <c r="M127" i="32" s="1"/>
  <c r="O127" i="32"/>
  <c r="P127" i="32"/>
  <c r="J128" i="32"/>
  <c r="K128" i="32"/>
  <c r="L128" i="32"/>
  <c r="N128" i="32"/>
  <c r="O128" i="32"/>
  <c r="J129" i="32"/>
  <c r="K129" i="32"/>
  <c r="L129" i="32"/>
  <c r="N129" i="32"/>
  <c r="P129" i="32" s="1"/>
  <c r="O129" i="32"/>
  <c r="J130" i="32"/>
  <c r="K130" i="32"/>
  <c r="L130" i="32"/>
  <c r="N130" i="32"/>
  <c r="O130" i="32"/>
  <c r="P130" i="32"/>
  <c r="J131" i="32"/>
  <c r="K131" i="32"/>
  <c r="L131" i="32"/>
  <c r="M131" i="32"/>
  <c r="N131" i="32"/>
  <c r="O131" i="32"/>
  <c r="P131" i="32"/>
  <c r="J132" i="32"/>
  <c r="K132" i="32"/>
  <c r="L132" i="32"/>
  <c r="N132" i="32"/>
  <c r="O132" i="32"/>
  <c r="J133" i="32"/>
  <c r="K133" i="32"/>
  <c r="L133" i="32"/>
  <c r="N133" i="32"/>
  <c r="P133" i="32" s="1"/>
  <c r="O133" i="32"/>
  <c r="J134" i="32"/>
  <c r="K134" i="32"/>
  <c r="L134" i="32"/>
  <c r="M134" i="32" s="1"/>
  <c r="N134" i="32"/>
  <c r="O134" i="32"/>
  <c r="P134" i="32"/>
  <c r="J135" i="32"/>
  <c r="K135" i="32"/>
  <c r="L135" i="32"/>
  <c r="N135" i="32"/>
  <c r="O135" i="32"/>
  <c r="P135" i="32"/>
  <c r="J136" i="32"/>
  <c r="K136" i="32"/>
  <c r="L136" i="32"/>
  <c r="N136" i="32"/>
  <c r="O136" i="32"/>
  <c r="J137" i="32"/>
  <c r="K137" i="32"/>
  <c r="L137" i="32"/>
  <c r="N137" i="32"/>
  <c r="P137" i="32" s="1"/>
  <c r="O137" i="32"/>
  <c r="J138" i="32"/>
  <c r="K138" i="32"/>
  <c r="L138" i="32"/>
  <c r="N138" i="32"/>
  <c r="O138" i="32"/>
  <c r="P138" i="32"/>
  <c r="J139" i="32"/>
  <c r="K139" i="32"/>
  <c r="L139" i="32"/>
  <c r="N139" i="32"/>
  <c r="O139" i="32"/>
  <c r="P139" i="32"/>
  <c r="J140" i="32"/>
  <c r="K140" i="32"/>
  <c r="L140" i="32"/>
  <c r="M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O142" i="32"/>
  <c r="P142" i="32"/>
  <c r="J143" i="32"/>
  <c r="K143" i="32"/>
  <c r="L143" i="32"/>
  <c r="M143" i="32" s="1"/>
  <c r="N143" i="32"/>
  <c r="O143" i="32"/>
  <c r="P143" i="32"/>
  <c r="J144" i="32"/>
  <c r="K144" i="32"/>
  <c r="L144" i="32"/>
  <c r="N144" i="32"/>
  <c r="O144" i="32"/>
  <c r="J145" i="32"/>
  <c r="K145" i="32"/>
  <c r="L145" i="32"/>
  <c r="N145" i="32"/>
  <c r="O145" i="32"/>
  <c r="J146" i="32"/>
  <c r="K146" i="32"/>
  <c r="L146" i="32"/>
  <c r="N146" i="32"/>
  <c r="O146" i="32"/>
  <c r="P146" i="32"/>
  <c r="J147" i="32"/>
  <c r="K147" i="32"/>
  <c r="L147" i="32"/>
  <c r="N147" i="32"/>
  <c r="O147" i="32"/>
  <c r="P147" i="32"/>
  <c r="J148" i="32"/>
  <c r="K148" i="32"/>
  <c r="L148" i="32"/>
  <c r="M148" i="32"/>
  <c r="N148" i="32"/>
  <c r="P148" i="32" s="1"/>
  <c r="O148" i="32"/>
  <c r="J149" i="32"/>
  <c r="K149" i="32"/>
  <c r="L149" i="32"/>
  <c r="N149" i="32"/>
  <c r="O149" i="32"/>
  <c r="J150" i="32"/>
  <c r="K150" i="32"/>
  <c r="L150" i="32"/>
  <c r="N150" i="32"/>
  <c r="O150" i="32"/>
  <c r="P150" i="32"/>
  <c r="J151" i="32"/>
  <c r="K151" i="32"/>
  <c r="L151" i="32"/>
  <c r="M151" i="32" s="1"/>
  <c r="N151" i="32"/>
  <c r="O151" i="32"/>
  <c r="P151" i="32"/>
  <c r="J152" i="32"/>
  <c r="K152" i="32"/>
  <c r="L152" i="32"/>
  <c r="N152" i="32"/>
  <c r="O152" i="32"/>
  <c r="J153" i="32"/>
  <c r="K153" i="32"/>
  <c r="L153" i="32"/>
  <c r="N153" i="32"/>
  <c r="O153" i="32"/>
  <c r="J154" i="32"/>
  <c r="K154" i="32"/>
  <c r="L154" i="32"/>
  <c r="N154" i="32"/>
  <c r="O154" i="32"/>
  <c r="P154" i="32"/>
  <c r="J155" i="32"/>
  <c r="K155" i="32"/>
  <c r="L155" i="32"/>
  <c r="N155" i="32"/>
  <c r="O155" i="32"/>
  <c r="P155" i="32"/>
  <c r="J156" i="32"/>
  <c r="K156" i="32"/>
  <c r="L156" i="32"/>
  <c r="M156" i="32"/>
  <c r="N156" i="32"/>
  <c r="P156" i="32" s="1"/>
  <c r="O156" i="32"/>
  <c r="J157" i="32"/>
  <c r="K157" i="32"/>
  <c r="L157" i="32"/>
  <c r="N157" i="32"/>
  <c r="O157" i="32"/>
  <c r="J158" i="32"/>
  <c r="K158" i="32"/>
  <c r="L158" i="32"/>
  <c r="N158" i="32"/>
  <c r="O158" i="32"/>
  <c r="P158" i="32"/>
  <c r="J159" i="32"/>
  <c r="K159" i="32"/>
  <c r="L159" i="32"/>
  <c r="M159" i="32" s="1"/>
  <c r="N159" i="32"/>
  <c r="O159" i="32"/>
  <c r="P159" i="32"/>
  <c r="J160" i="32"/>
  <c r="K160" i="32"/>
  <c r="L160" i="32"/>
  <c r="N160" i="32"/>
  <c r="O160" i="32"/>
  <c r="J161" i="32"/>
  <c r="K161" i="32"/>
  <c r="L161" i="32"/>
  <c r="N161" i="32"/>
  <c r="O161" i="32"/>
  <c r="J162" i="32"/>
  <c r="K162" i="32"/>
  <c r="L162" i="32"/>
  <c r="N162" i="32"/>
  <c r="O162" i="32"/>
  <c r="P162" i="32"/>
  <c r="J163" i="32"/>
  <c r="K163" i="32"/>
  <c r="L163" i="32"/>
  <c r="N163" i="32"/>
  <c r="O163" i="32"/>
  <c r="P163" i="32"/>
  <c r="J164" i="32"/>
  <c r="K164" i="32"/>
  <c r="L164" i="32"/>
  <c r="M164" i="32"/>
  <c r="N164" i="32"/>
  <c r="P164" i="32" s="1"/>
  <c r="O164" i="32"/>
  <c r="J165" i="32"/>
  <c r="K165" i="32"/>
  <c r="L165" i="32"/>
  <c r="N165" i="32"/>
  <c r="O165" i="32"/>
  <c r="J166" i="32"/>
  <c r="K166" i="32"/>
  <c r="L166" i="32"/>
  <c r="N166" i="32"/>
  <c r="O166" i="32"/>
  <c r="P166" i="32"/>
  <c r="J167" i="32"/>
  <c r="K167" i="32"/>
  <c r="L167" i="32"/>
  <c r="N167" i="32"/>
  <c r="O167" i="32"/>
  <c r="P167" i="32"/>
  <c r="J168" i="32"/>
  <c r="K168" i="32"/>
  <c r="L168" i="32"/>
  <c r="N168" i="32"/>
  <c r="O168" i="32"/>
  <c r="J169" i="32"/>
  <c r="K169" i="32"/>
  <c r="L169" i="32"/>
  <c r="N169" i="32"/>
  <c r="P169" i="32" s="1"/>
  <c r="O169" i="32"/>
  <c r="J170" i="32"/>
  <c r="K170" i="32"/>
  <c r="L170" i="32"/>
  <c r="N170" i="32"/>
  <c r="M170" i="32" s="1"/>
  <c r="O170" i="32"/>
  <c r="P170" i="32"/>
  <c r="J171" i="32"/>
  <c r="K171" i="32"/>
  <c r="L171" i="32"/>
  <c r="N171" i="32"/>
  <c r="O171" i="32"/>
  <c r="P171" i="32"/>
  <c r="J172" i="32"/>
  <c r="K172" i="32"/>
  <c r="L172" i="32"/>
  <c r="M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O174" i="32"/>
  <c r="P174" i="32"/>
  <c r="J175" i="32"/>
  <c r="K175" i="32"/>
  <c r="L175" i="32"/>
  <c r="M175" i="32" s="1"/>
  <c r="N175" i="32"/>
  <c r="O175" i="32"/>
  <c r="P175" i="32"/>
  <c r="J176" i="32"/>
  <c r="K176" i="32"/>
  <c r="L176" i="32"/>
  <c r="N176" i="32"/>
  <c r="O176" i="32"/>
  <c r="J177" i="32"/>
  <c r="K177" i="32"/>
  <c r="L177" i="32"/>
  <c r="N177" i="32"/>
  <c r="P177" i="32" s="1"/>
  <c r="O177" i="32"/>
  <c r="J178" i="32"/>
  <c r="K178" i="32"/>
  <c r="L178" i="32"/>
  <c r="N178" i="32"/>
  <c r="M178" i="32" s="1"/>
  <c r="O178" i="32"/>
  <c r="P178" i="32"/>
  <c r="J179" i="32"/>
  <c r="K179" i="32"/>
  <c r="L179" i="32"/>
  <c r="N179" i="32"/>
  <c r="O179" i="32"/>
  <c r="P179" i="32"/>
  <c r="J180" i="32"/>
  <c r="K180" i="32"/>
  <c r="L180" i="32"/>
  <c r="M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O182" i="32"/>
  <c r="P182" i="32"/>
  <c r="J183" i="32"/>
  <c r="K183" i="32"/>
  <c r="L183" i="32"/>
  <c r="M183" i="32" s="1"/>
  <c r="N183" i="32"/>
  <c r="O183" i="32"/>
  <c r="P183" i="32"/>
  <c r="J184" i="32"/>
  <c r="K184" i="32"/>
  <c r="L184" i="32"/>
  <c r="N184" i="32"/>
  <c r="O184" i="32"/>
  <c r="J185" i="32"/>
  <c r="K185" i="32"/>
  <c r="L185" i="32"/>
  <c r="N185" i="32"/>
  <c r="P185" i="32" s="1"/>
  <c r="O185" i="32"/>
  <c r="J186" i="32"/>
  <c r="K186" i="32"/>
  <c r="L186" i="32"/>
  <c r="N186" i="32"/>
  <c r="M186" i="32" s="1"/>
  <c r="O186" i="32"/>
  <c r="P186" i="32"/>
  <c r="J187" i="32"/>
  <c r="K187" i="32"/>
  <c r="L187" i="32"/>
  <c r="N187" i="32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O190" i="32"/>
  <c r="P190" i="32"/>
  <c r="J191" i="32"/>
  <c r="K191" i="32"/>
  <c r="L191" i="32"/>
  <c r="M191" i="32" s="1"/>
  <c r="N191" i="32"/>
  <c r="O191" i="32"/>
  <c r="P191" i="32"/>
  <c r="J192" i="32"/>
  <c r="K192" i="32"/>
  <c r="L192" i="32"/>
  <c r="N192" i="32"/>
  <c r="O192" i="32"/>
  <c r="J193" i="32"/>
  <c r="K193" i="32"/>
  <c r="L193" i="32"/>
  <c r="N193" i="32"/>
  <c r="P193" i="32" s="1"/>
  <c r="O193" i="32"/>
  <c r="J194" i="32"/>
  <c r="K194" i="32"/>
  <c r="L194" i="32"/>
  <c r="N194" i="32"/>
  <c r="M194" i="32" s="1"/>
  <c r="O194" i="32"/>
  <c r="P194" i="32"/>
  <c r="J195" i="32"/>
  <c r="K195" i="32"/>
  <c r="L195" i="32"/>
  <c r="N195" i="32"/>
  <c r="O195" i="32"/>
  <c r="P195" i="32"/>
  <c r="J196" i="32"/>
  <c r="K196" i="32"/>
  <c r="L196" i="32"/>
  <c r="M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O198" i="32"/>
  <c r="P198" i="32"/>
  <c r="J199" i="32"/>
  <c r="K199" i="32"/>
  <c r="L199" i="32"/>
  <c r="M199" i="32" s="1"/>
  <c r="N199" i="32"/>
  <c r="O199" i="32"/>
  <c r="P199" i="32"/>
  <c r="J200" i="32"/>
  <c r="K200" i="32"/>
  <c r="L200" i="32"/>
  <c r="N200" i="32"/>
  <c r="O200" i="32"/>
  <c r="J201" i="32"/>
  <c r="K201" i="32"/>
  <c r="L201" i="32"/>
  <c r="N201" i="32"/>
  <c r="P201" i="32" s="1"/>
  <c r="O201" i="32"/>
  <c r="J202" i="32"/>
  <c r="K202" i="32"/>
  <c r="L202" i="32"/>
  <c r="N202" i="32"/>
  <c r="M202" i="32" s="1"/>
  <c r="O202" i="32"/>
  <c r="P202" i="32"/>
  <c r="J203" i="32"/>
  <c r="K203" i="32"/>
  <c r="L203" i="32"/>
  <c r="N203" i="32"/>
  <c r="O203" i="32"/>
  <c r="P203" i="32"/>
  <c r="J204" i="32"/>
  <c r="K204" i="32"/>
  <c r="L204" i="32"/>
  <c r="M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O206" i="32"/>
  <c r="P206" i="32"/>
  <c r="J207" i="32"/>
  <c r="K207" i="32"/>
  <c r="L207" i="32"/>
  <c r="M207" i="32" s="1"/>
  <c r="N207" i="32"/>
  <c r="O207" i="32"/>
  <c r="P207" i="32"/>
  <c r="J208" i="32"/>
  <c r="K208" i="32"/>
  <c r="L208" i="32"/>
  <c r="N208" i="32"/>
  <c r="O208" i="32"/>
  <c r="J209" i="32"/>
  <c r="K209" i="32"/>
  <c r="L209" i="32"/>
  <c r="N209" i="32"/>
  <c r="P209" i="32" s="1"/>
  <c r="O209" i="32"/>
  <c r="J210" i="32"/>
  <c r="K210" i="32"/>
  <c r="L210" i="32"/>
  <c r="N210" i="32"/>
  <c r="M210" i="32" s="1"/>
  <c r="O210" i="32"/>
  <c r="P210" i="32"/>
  <c r="J211" i="32"/>
  <c r="K211" i="32"/>
  <c r="L211" i="32"/>
  <c r="N211" i="32"/>
  <c r="O211" i="32"/>
  <c r="P211" i="32"/>
  <c r="J212" i="32"/>
  <c r="K212" i="32"/>
  <c r="L212" i="32"/>
  <c r="M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N214" i="32"/>
  <c r="O214" i="32"/>
  <c r="P214" i="32"/>
  <c r="J215" i="32"/>
  <c r="K215" i="32"/>
  <c r="L215" i="32"/>
  <c r="M215" i="32" s="1"/>
  <c r="N215" i="32"/>
  <c r="O215" i="32"/>
  <c r="P215" i="32"/>
  <c r="J216" i="32"/>
  <c r="K216" i="32"/>
  <c r="L216" i="32"/>
  <c r="N216" i="32"/>
  <c r="O216" i="32"/>
  <c r="J217" i="32"/>
  <c r="K217" i="32"/>
  <c r="L217" i="32"/>
  <c r="N217" i="32"/>
  <c r="P217" i="32" s="1"/>
  <c r="O217" i="32"/>
  <c r="J218" i="32"/>
  <c r="K218" i="32"/>
  <c r="L218" i="32"/>
  <c r="N218" i="32"/>
  <c r="M218" i="32" s="1"/>
  <c r="O218" i="32"/>
  <c r="P218" i="32"/>
  <c r="J219" i="32"/>
  <c r="K219" i="32"/>
  <c r="L219" i="32"/>
  <c r="N219" i="32"/>
  <c r="O219" i="32"/>
  <c r="P219" i="32"/>
  <c r="J220" i="32"/>
  <c r="K220" i="32"/>
  <c r="L220" i="32"/>
  <c r="M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O222" i="32"/>
  <c r="P222" i="32"/>
  <c r="J223" i="32"/>
  <c r="K223" i="32"/>
  <c r="L223" i="32"/>
  <c r="M223" i="32" s="1"/>
  <c r="N223" i="32"/>
  <c r="O223" i="32"/>
  <c r="P223" i="32"/>
  <c r="J224" i="32"/>
  <c r="K224" i="32"/>
  <c r="L224" i="32"/>
  <c r="N224" i="32"/>
  <c r="O224" i="32"/>
  <c r="J225" i="32"/>
  <c r="K225" i="32"/>
  <c r="L225" i="32"/>
  <c r="N225" i="32"/>
  <c r="P225" i="32" s="1"/>
  <c r="O225" i="32"/>
  <c r="J226" i="32"/>
  <c r="K226" i="32"/>
  <c r="L226" i="32"/>
  <c r="N226" i="32"/>
  <c r="M226" i="32" s="1"/>
  <c r="O226" i="32"/>
  <c r="P226" i="32"/>
  <c r="J227" i="32"/>
  <c r="K227" i="32"/>
  <c r="L227" i="32"/>
  <c r="N227" i="32"/>
  <c r="O227" i="32"/>
  <c r="P227" i="32"/>
  <c r="J228" i="32"/>
  <c r="K228" i="32"/>
  <c r="L228" i="32"/>
  <c r="M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N230" i="32"/>
  <c r="O230" i="32"/>
  <c r="P230" i="32"/>
  <c r="J231" i="32"/>
  <c r="K231" i="32"/>
  <c r="L231" i="32"/>
  <c r="M231" i="32" s="1"/>
  <c r="N231" i="32"/>
  <c r="O231" i="32"/>
  <c r="P231" i="32"/>
  <c r="J232" i="32"/>
  <c r="K232" i="32"/>
  <c r="L232" i="32"/>
  <c r="N232" i="32"/>
  <c r="O232" i="32"/>
  <c r="J233" i="32"/>
  <c r="K233" i="32"/>
  <c r="L233" i="32"/>
  <c r="N233" i="32"/>
  <c r="P233" i="32" s="1"/>
  <c r="O233" i="32"/>
  <c r="J234" i="32"/>
  <c r="K234" i="32"/>
  <c r="L234" i="32"/>
  <c r="N234" i="32"/>
  <c r="M234" i="32" s="1"/>
  <c r="O234" i="32"/>
  <c r="P234" i="32"/>
  <c r="J235" i="32"/>
  <c r="K235" i="32"/>
  <c r="L235" i="32"/>
  <c r="N235" i="32"/>
  <c r="O235" i="32"/>
  <c r="P235" i="32"/>
  <c r="J236" i="32"/>
  <c r="K236" i="32"/>
  <c r="L236" i="32"/>
  <c r="M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O238" i="32"/>
  <c r="P238" i="32"/>
  <c r="J239" i="32"/>
  <c r="K239" i="32"/>
  <c r="L239" i="32"/>
  <c r="M239" i="32" s="1"/>
  <c r="N239" i="32"/>
  <c r="O239" i="32"/>
  <c r="P239" i="32"/>
  <c r="J240" i="32"/>
  <c r="K240" i="32"/>
  <c r="L240" i="32"/>
  <c r="N240" i="32"/>
  <c r="O240" i="32"/>
  <c r="J241" i="32"/>
  <c r="K241" i="32"/>
  <c r="L241" i="32"/>
  <c r="N241" i="32"/>
  <c r="P241" i="32" s="1"/>
  <c r="O241" i="32"/>
  <c r="J242" i="32"/>
  <c r="K242" i="32"/>
  <c r="L242" i="32"/>
  <c r="N242" i="32"/>
  <c r="M242" i="32" s="1"/>
  <c r="O242" i="32"/>
  <c r="P242" i="32"/>
  <c r="J243" i="32"/>
  <c r="K243" i="32"/>
  <c r="L243" i="32"/>
  <c r="N243" i="32"/>
  <c r="O243" i="32"/>
  <c r="P243" i="32"/>
  <c r="J244" i="32"/>
  <c r="K244" i="32"/>
  <c r="L244" i="32"/>
  <c r="M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L246" i="32"/>
  <c r="N246" i="32"/>
  <c r="O246" i="32"/>
  <c r="P246" i="32"/>
  <c r="J247" i="32"/>
  <c r="K247" i="32"/>
  <c r="L247" i="32"/>
  <c r="M247" i="32" s="1"/>
  <c r="N247" i="32"/>
  <c r="O247" i="32"/>
  <c r="P247" i="32"/>
  <c r="J248" i="32"/>
  <c r="K248" i="32"/>
  <c r="L248" i="32"/>
  <c r="N248" i="32"/>
  <c r="O248" i="32"/>
  <c r="J249" i="32"/>
  <c r="K249" i="32"/>
  <c r="L249" i="32"/>
  <c r="N249" i="32"/>
  <c r="P249" i="32" s="1"/>
  <c r="O249" i="32"/>
  <c r="J250" i="32"/>
  <c r="K250" i="32"/>
  <c r="L250" i="32"/>
  <c r="N250" i="32"/>
  <c r="M250" i="32" s="1"/>
  <c r="O250" i="32"/>
  <c r="P250" i="32"/>
  <c r="J251" i="32"/>
  <c r="K251" i="32"/>
  <c r="L251" i="32"/>
  <c r="N251" i="32"/>
  <c r="O251" i="32"/>
  <c r="P251" i="32"/>
  <c r="J252" i="32"/>
  <c r="K252" i="32"/>
  <c r="L252" i="32"/>
  <c r="M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O254" i="32"/>
  <c r="P254" i="32"/>
  <c r="J255" i="32"/>
  <c r="K255" i="32"/>
  <c r="L255" i="32"/>
  <c r="M255" i="32" s="1"/>
  <c r="N255" i="32"/>
  <c r="O255" i="32"/>
  <c r="P255" i="32"/>
  <c r="J256" i="32"/>
  <c r="K256" i="32"/>
  <c r="L256" i="32"/>
  <c r="N256" i="32"/>
  <c r="O256" i="32"/>
  <c r="J257" i="32"/>
  <c r="K257" i="32"/>
  <c r="L257" i="32"/>
  <c r="N257" i="32"/>
  <c r="P257" i="32" s="1"/>
  <c r="O257" i="32"/>
  <c r="J258" i="32"/>
  <c r="K258" i="32"/>
  <c r="L258" i="32"/>
  <c r="N258" i="32"/>
  <c r="M258" i="32" s="1"/>
  <c r="O258" i="32"/>
  <c r="P258" i="32"/>
  <c r="J259" i="32"/>
  <c r="K259" i="32"/>
  <c r="L259" i="32"/>
  <c r="N259" i="32"/>
  <c r="O259" i="32"/>
  <c r="P259" i="32"/>
  <c r="J260" i="32"/>
  <c r="K260" i="32"/>
  <c r="L260" i="32"/>
  <c r="M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L262" i="32"/>
  <c r="N262" i="32"/>
  <c r="O262" i="32"/>
  <c r="P262" i="32"/>
  <c r="J263" i="32"/>
  <c r="K263" i="32"/>
  <c r="L263" i="32"/>
  <c r="M263" i="32" s="1"/>
  <c r="N263" i="32"/>
  <c r="O263" i="32"/>
  <c r="P263" i="32"/>
  <c r="J264" i="32"/>
  <c r="K264" i="32"/>
  <c r="L264" i="32"/>
  <c r="N264" i="32"/>
  <c r="O264" i="32"/>
  <c r="J265" i="32"/>
  <c r="K265" i="32"/>
  <c r="L265" i="32"/>
  <c r="N265" i="32"/>
  <c r="P265" i="32" s="1"/>
  <c r="O265" i="32"/>
  <c r="J266" i="32"/>
  <c r="K266" i="32"/>
  <c r="L266" i="32"/>
  <c r="N266" i="32"/>
  <c r="M266" i="32" s="1"/>
  <c r="O266" i="32"/>
  <c r="P266" i="32"/>
  <c r="J267" i="32"/>
  <c r="K267" i="32"/>
  <c r="L267" i="32"/>
  <c r="N267" i="32"/>
  <c r="O267" i="32"/>
  <c r="P267" i="32"/>
  <c r="J268" i="32"/>
  <c r="K268" i="32"/>
  <c r="L268" i="32"/>
  <c r="M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O270" i="32"/>
  <c r="P270" i="32"/>
  <c r="J271" i="32"/>
  <c r="K271" i="32"/>
  <c r="L271" i="32"/>
  <c r="M271" i="32" s="1"/>
  <c r="N271" i="32"/>
  <c r="O271" i="32"/>
  <c r="P271" i="32"/>
  <c r="J272" i="32"/>
  <c r="K272" i="32"/>
  <c r="L272" i="32"/>
  <c r="N272" i="32"/>
  <c r="O272" i="32"/>
  <c r="J273" i="32"/>
  <c r="K273" i="32"/>
  <c r="L273" i="32"/>
  <c r="N273" i="32"/>
  <c r="P273" i="32" s="1"/>
  <c r="O273" i="32"/>
  <c r="J274" i="32"/>
  <c r="K274" i="32"/>
  <c r="L274" i="32"/>
  <c r="N274" i="32"/>
  <c r="M274" i="32" s="1"/>
  <c r="O274" i="32"/>
  <c r="P274" i="32"/>
  <c r="J275" i="32"/>
  <c r="K275" i="32"/>
  <c r="L275" i="32"/>
  <c r="N275" i="32"/>
  <c r="O275" i="32"/>
  <c r="P275" i="32"/>
  <c r="J276" i="32"/>
  <c r="K276" i="32"/>
  <c r="L276" i="32"/>
  <c r="M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N278" i="32"/>
  <c r="O278" i="32"/>
  <c r="P278" i="32"/>
  <c r="J279" i="32"/>
  <c r="K279" i="32"/>
  <c r="L279" i="32"/>
  <c r="M279" i="32" s="1"/>
  <c r="N279" i="32"/>
  <c r="O279" i="32"/>
  <c r="P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M282" i="32" s="1"/>
  <c r="O282" i="32"/>
  <c r="P282" i="32"/>
  <c r="J283" i="32"/>
  <c r="K283" i="32"/>
  <c r="L283" i="32"/>
  <c r="N283" i="32"/>
  <c r="O283" i="32"/>
  <c r="P283" i="32"/>
  <c r="J284" i="32"/>
  <c r="K284" i="32"/>
  <c r="L284" i="32"/>
  <c r="M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O286" i="32"/>
  <c r="P286" i="32"/>
  <c r="J287" i="32"/>
  <c r="K287" i="32"/>
  <c r="L287" i="32"/>
  <c r="M287" i="32" s="1"/>
  <c r="N287" i="32"/>
  <c r="O287" i="32"/>
  <c r="P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M290" i="32" s="1"/>
  <c r="O290" i="32"/>
  <c r="P290" i="32"/>
  <c r="J291" i="32"/>
  <c r="K291" i="32"/>
  <c r="L291" i="32"/>
  <c r="N291" i="32"/>
  <c r="O291" i="32"/>
  <c r="P291" i="32"/>
  <c r="J292" i="32"/>
  <c r="K292" i="32"/>
  <c r="L292" i="32"/>
  <c r="M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L294" i="32"/>
  <c r="N294" i="32"/>
  <c r="O294" i="32"/>
  <c r="P294" i="32"/>
  <c r="J295" i="32"/>
  <c r="K295" i="32"/>
  <c r="L295" i="32"/>
  <c r="M295" i="32" s="1"/>
  <c r="N295" i="32"/>
  <c r="O295" i="32"/>
  <c r="P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M298" i="32" s="1"/>
  <c r="O298" i="32"/>
  <c r="P298" i="32"/>
  <c r="J299" i="32"/>
  <c r="K299" i="32"/>
  <c r="L299" i="32"/>
  <c r="N299" i="32"/>
  <c r="O299" i="32"/>
  <c r="P299" i="32"/>
  <c r="J300" i="32"/>
  <c r="K300" i="32"/>
  <c r="L300" i="32"/>
  <c r="M300" i="32"/>
  <c r="N300" i="32"/>
  <c r="P300" i="32" s="1"/>
  <c r="O300" i="32"/>
  <c r="P272" i="32" l="1"/>
  <c r="M272" i="32"/>
  <c r="P256" i="32"/>
  <c r="M256" i="32"/>
  <c r="P240" i="32"/>
  <c r="M240" i="32"/>
  <c r="P224" i="32"/>
  <c r="M224" i="32"/>
  <c r="P208" i="32"/>
  <c r="M208" i="32"/>
  <c r="P192" i="32"/>
  <c r="M192" i="32"/>
  <c r="P176" i="32"/>
  <c r="M176" i="32"/>
  <c r="P160" i="32"/>
  <c r="M160" i="32"/>
  <c r="P144" i="32"/>
  <c r="M144" i="32"/>
  <c r="M5" i="32"/>
  <c r="M299" i="32"/>
  <c r="M296" i="32"/>
  <c r="M294" i="32"/>
  <c r="M291" i="32"/>
  <c r="M288" i="32"/>
  <c r="M286" i="32"/>
  <c r="M283" i="32"/>
  <c r="M280" i="32"/>
  <c r="P264" i="32"/>
  <c r="M264" i="32"/>
  <c r="P248" i="32"/>
  <c r="M248" i="32"/>
  <c r="P232" i="32"/>
  <c r="M232" i="32"/>
  <c r="P216" i="32"/>
  <c r="M216" i="32"/>
  <c r="P200" i="32"/>
  <c r="M200" i="32"/>
  <c r="P184" i="32"/>
  <c r="M184" i="32"/>
  <c r="P168" i="32"/>
  <c r="M168" i="32"/>
  <c r="P152" i="32"/>
  <c r="M152" i="32"/>
  <c r="M135" i="32"/>
  <c r="M119" i="32"/>
  <c r="M103" i="32"/>
  <c r="M87" i="32"/>
  <c r="M71" i="32"/>
  <c r="M55" i="32"/>
  <c r="M23" i="32"/>
  <c r="M19" i="32"/>
  <c r="M278" i="32"/>
  <c r="M275" i="32"/>
  <c r="M270" i="32"/>
  <c r="M267" i="32"/>
  <c r="M262" i="32"/>
  <c r="M259" i="32"/>
  <c r="M254" i="32"/>
  <c r="M251" i="32"/>
  <c r="M246" i="32"/>
  <c r="M243" i="32"/>
  <c r="M238" i="32"/>
  <c r="M235" i="32"/>
  <c r="M230" i="32"/>
  <c r="M227" i="32"/>
  <c r="M222" i="32"/>
  <c r="M219" i="32"/>
  <c r="M214" i="32"/>
  <c r="M211" i="32"/>
  <c r="M206" i="32"/>
  <c r="M203" i="32"/>
  <c r="M198" i="32"/>
  <c r="M195" i="32"/>
  <c r="M190" i="32"/>
  <c r="M187" i="32"/>
  <c r="M182" i="32"/>
  <c r="M179" i="32"/>
  <c r="M174" i="32"/>
  <c r="M171" i="32"/>
  <c r="M167" i="32"/>
  <c r="M166" i="32"/>
  <c r="M163" i="32"/>
  <c r="M155" i="32"/>
  <c r="M147" i="32"/>
  <c r="M139" i="32"/>
  <c r="M130" i="32"/>
  <c r="M122" i="32"/>
  <c r="M114" i="32"/>
  <c r="M106" i="32"/>
  <c r="M98" i="32"/>
  <c r="M90" i="32"/>
  <c r="M82" i="32"/>
  <c r="M74" i="32"/>
  <c r="M66" i="32"/>
  <c r="M58" i="32"/>
  <c r="M50" i="32"/>
  <c r="M46" i="32"/>
  <c r="M38" i="32"/>
  <c r="M17" i="32"/>
  <c r="M10" i="32"/>
  <c r="P136" i="32"/>
  <c r="M136" i="32"/>
  <c r="P120" i="32"/>
  <c r="M120" i="32"/>
  <c r="P104" i="32"/>
  <c r="M104" i="32"/>
  <c r="P124" i="32"/>
  <c r="M124" i="32"/>
  <c r="P108" i="32"/>
  <c r="M108" i="32"/>
  <c r="M297" i="32"/>
  <c r="M293" i="32"/>
  <c r="M289" i="32"/>
  <c r="M285" i="32"/>
  <c r="M281" i="32"/>
  <c r="M277" i="32"/>
  <c r="M273" i="32"/>
  <c r="M269" i="32"/>
  <c r="M265" i="32"/>
  <c r="M261" i="32"/>
  <c r="M257" i="32"/>
  <c r="M253" i="32"/>
  <c r="M249" i="32"/>
  <c r="M245" i="32"/>
  <c r="M241" i="32"/>
  <c r="M237" i="32"/>
  <c r="M233" i="32"/>
  <c r="M229" i="32"/>
  <c r="M225" i="32"/>
  <c r="M221" i="32"/>
  <c r="M217" i="32"/>
  <c r="M213" i="32"/>
  <c r="M209" i="32"/>
  <c r="M205" i="32"/>
  <c r="M201" i="32"/>
  <c r="M197" i="32"/>
  <c r="M193" i="32"/>
  <c r="M189" i="32"/>
  <c r="M185" i="32"/>
  <c r="M181" i="32"/>
  <c r="M177" i="32"/>
  <c r="M173" i="32"/>
  <c r="M169" i="32"/>
  <c r="P128" i="32"/>
  <c r="M128" i="32"/>
  <c r="P112" i="32"/>
  <c r="M112" i="32"/>
  <c r="P165" i="32"/>
  <c r="M165" i="32"/>
  <c r="M162" i="32"/>
  <c r="P161" i="32"/>
  <c r="M161" i="32"/>
  <c r="M158" i="32"/>
  <c r="P157" i="32"/>
  <c r="M157" i="32"/>
  <c r="M154" i="32"/>
  <c r="P153" i="32"/>
  <c r="M153" i="32"/>
  <c r="M150" i="32"/>
  <c r="P149" i="32"/>
  <c r="M149" i="32"/>
  <c r="M146" i="32"/>
  <c r="P145" i="32"/>
  <c r="M145" i="32"/>
  <c r="M142" i="32"/>
  <c r="P141" i="32"/>
  <c r="M141" i="32"/>
  <c r="M138" i="32"/>
  <c r="P132" i="32"/>
  <c r="M132" i="32"/>
  <c r="P116" i="32"/>
  <c r="M116" i="32"/>
  <c r="M100" i="32"/>
  <c r="M96" i="32"/>
  <c r="M92" i="32"/>
  <c r="M88" i="32"/>
  <c r="M84" i="32"/>
  <c r="M80" i="32"/>
  <c r="M76" i="32"/>
  <c r="M72" i="32"/>
  <c r="M68" i="32"/>
  <c r="M64" i="32"/>
  <c r="M60" i="32"/>
  <c r="M56" i="32"/>
  <c r="M52" i="32"/>
  <c r="M48" i="32"/>
  <c r="M40" i="32"/>
  <c r="M36" i="32"/>
  <c r="M32" i="32"/>
  <c r="M28" i="32"/>
  <c r="M24" i="32"/>
  <c r="M20" i="32"/>
  <c r="M16" i="32"/>
  <c r="M12" i="32"/>
  <c r="M8" i="32"/>
  <c r="M137" i="32"/>
  <c r="M133" i="32"/>
  <c r="M129" i="32"/>
  <c r="M125" i="32"/>
  <c r="M121" i="32"/>
  <c r="M117" i="32"/>
  <c r="M113" i="32"/>
  <c r="M109" i="32"/>
  <c r="M105" i="32"/>
  <c r="M101" i="32"/>
  <c r="M97" i="32"/>
  <c r="M93" i="32"/>
  <c r="M89" i="32"/>
  <c r="M85" i="32"/>
  <c r="M81" i="32"/>
  <c r="M77" i="32"/>
  <c r="M73" i="32"/>
  <c r="M69" i="32"/>
  <c r="M65" i="32"/>
  <c r="M61" i="32"/>
  <c r="M57" i="32"/>
  <c r="M53" i="32"/>
  <c r="M49" i="32"/>
  <c r="M41" i="32"/>
  <c r="M37" i="32"/>
  <c r="M33" i="32"/>
  <c r="M29" i="32"/>
  <c r="M25" i="32"/>
  <c r="G39" i="8"/>
  <c r="I39" i="8" s="1"/>
  <c r="K39" i="8"/>
  <c r="O11" i="32" s="1"/>
  <c r="G40" i="8"/>
  <c r="I40" i="8"/>
  <c r="K40" i="8"/>
  <c r="O12" i="32" s="1"/>
  <c r="G41" i="8"/>
  <c r="I41" i="8"/>
  <c r="K41" i="8"/>
  <c r="O13" i="32" s="1"/>
  <c r="C73" i="34" l="1"/>
  <c r="C72" i="34"/>
  <c r="C22" i="34" l="1"/>
  <c r="D30" i="34" s="1"/>
  <c r="A26" i="34" l="1"/>
  <c r="A33" i="34" l="1"/>
  <c r="D67" i="8"/>
  <c r="K39" i="32" s="1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M14" i="32" l="1"/>
  <c r="P14" i="32"/>
  <c r="P21" i="32"/>
  <c r="M21" i="32"/>
  <c r="P26" i="32"/>
  <c r="P3" i="32"/>
  <c r="M3" i="32"/>
  <c r="P31" i="32"/>
  <c r="I48" i="8"/>
  <c r="I49" i="8" s="1"/>
  <c r="K2" i="32"/>
  <c r="F25" i="8"/>
  <c r="C26" i="34" s="1"/>
  <c r="B16" i="34" l="1"/>
  <c r="A13" i="34" l="1"/>
  <c r="K58" i="8" l="1"/>
  <c r="O30" i="32" s="1"/>
  <c r="K53" i="8"/>
  <c r="O25" i="32" s="1"/>
  <c r="K48" i="8"/>
  <c r="O20" i="32" s="1"/>
  <c r="K38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E49" i="30"/>
  <c r="E48" i="30"/>
  <c r="H23" i="8" s="1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L31" i="32" s="1"/>
  <c r="M31" i="32" s="1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L26" i="32" s="1"/>
  <c r="M26" i="32" s="1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s="1"/>
  <c r="F14" i="30" s="1"/>
  <c r="E67" i="8" s="1"/>
  <c r="L39" i="32" s="1"/>
  <c r="M39" i="32" s="1"/>
  <c r="M34" i="30" l="1"/>
  <c r="M33" i="30"/>
  <c r="M35" i="30" l="1"/>
  <c r="M39" i="30" s="1"/>
  <c r="M41" i="30" s="1"/>
  <c r="N46" i="30" s="1"/>
  <c r="N53" i="30" l="1"/>
  <c r="N48" i="30"/>
  <c r="N52" i="30"/>
  <c r="N47" i="30"/>
  <c r="N51" i="30"/>
  <c r="N50" i="30"/>
  <c r="N54" i="30"/>
  <c r="N49" i="30"/>
  <c r="M43" i="30"/>
  <c r="M42" i="30"/>
  <c r="O46" i="30" s="1"/>
  <c r="O54" i="30" l="1"/>
  <c r="O49" i="30"/>
  <c r="O53" i="30"/>
  <c r="O50" i="30"/>
  <c r="O47" i="30"/>
  <c r="O51" i="30"/>
  <c r="O48" i="30"/>
  <c r="O52" i="30"/>
  <c r="K29" i="3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29" i="34" s="1"/>
  <c r="C69" i="8"/>
  <c r="H73" i="8" s="1"/>
  <c r="H74" i="8" s="1"/>
  <c r="H75" i="8" s="1"/>
  <c r="J73" i="8"/>
  <c r="N45" i="32" s="1"/>
  <c r="P45" i="32" l="1"/>
  <c r="M45" i="32"/>
  <c r="K8" i="8"/>
  <c r="E30" i="34"/>
  <c r="J75" i="8"/>
  <c r="N47" i="32" s="1"/>
  <c r="D2" i="8"/>
  <c r="D22" i="34" s="1"/>
  <c r="C2" i="8"/>
  <c r="P47" i="32" l="1"/>
  <c r="M47" i="32"/>
  <c r="E31" i="34"/>
  <c r="E22" i="34"/>
  <c r="F22" i="34" s="1"/>
  <c r="F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</author>
    <author>GRUPOREGIONAL</author>
    <author>roberto apaza gutierrez</author>
  </authors>
  <commentList>
    <comment ref="I18" authorId="0" shapeId="0" xr:uid="{00000000-0006-0000-0100-000001000000}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 xr:uid="{00000000-0006-0000-0100-000007000000}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 xr:uid="{00000000-0006-0000-0100-000009000000}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 xr:uid="{00000000-0006-0000-0100-00000A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 xr:uid="{00000000-0006-0000-0100-00000F000000}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 xr:uid="{00000000-0006-0000-0100-000011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 xr:uid="{00000000-0006-0000-0100-000012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 xr:uid="{00000000-0006-0000-0100-000015000000}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 xr:uid="{00000000-0006-0000-01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 xr:uid="{00000000-0006-0000-01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<sst xmlns="http://schemas.openxmlformats.org/spreadsheetml/2006/main" count="303" uniqueCount="182">
  <si>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</si>
  <si>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</si>
  <si>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</si>
  <si>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</si>
  <si>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</si>
  <si>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</si>
  <si>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</si>
  <si>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</si>
  <si>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</si>
  <si>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</si>
  <si>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</si>
  <si>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</si>
  <si>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</si>
  <si>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</si>
  <si>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</si>
  <si>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</si>
  <si>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</si>
  <si>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</si>
  <si>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</si>
  <si>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</si>
  <si>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</si>
  <si>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</si>
  <si>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</si>
  <si>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</si>
  <si>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</si>
  <si>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</si>
  <si>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</si>
  <si>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</si>
  <si>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</si>
  <si>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</si>
  <si>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</si>
  <si>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</si>
  <si>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</si>
  <si>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</si>
  <si>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</si>
  <si>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</si>
  <si>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</si>
  <si>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</si>
  <si>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</si>
  <si>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</si>
  <si>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</si>
  <si>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</si>
  <si>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</si>
  <si>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</si>
  <si>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</si>
  <si>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</si>
  <si>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</si>
  <si>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</si>
  <si>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</si>
  <si>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</si>
  <si>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</si>
  <si>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</si>
  <si>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</si>
  <si>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</si>
  <si>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</si>
  <si>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</si>
  <si>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</si>
  <si>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</si>
  <si>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</si>
  <si>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</si>
  <si>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</si>
  <si>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</si>
  <si>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</si>
  <si>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</si>
  <si>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</si>
  <si>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</si>
  <si>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</si>
  <si>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</si>
  <si>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</si>
  <si>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</si>
  <si>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</si>
  <si>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</si>
  <si>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</si>
  <si>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</si>
  <si>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</si>
  <si>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</si>
  <si>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</si>
  <si>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</si>
  <si>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</si>
  <si>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</si>
  <si>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</si>
  <si>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</si>
  <si>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</si>
  <si>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</si>
  <si>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</si>
  <si>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</si>
  <si>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</si>
  <si>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</si>
  <si>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</si>
  <si>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</si>
  <si>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</si>
  <si>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</si>
  <si>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</si>
  <si>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</si>
  <si>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</si>
  <si>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</si>
  <si>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</si>
  <si>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</si>
  <si>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</si>
  <si>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</si>
  <si>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</si>
  <si>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</si>
  <si>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</si>
  <si>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</si>
  <si>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</si>
  <si>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</si>
  <si>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</si>
  <si>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</si>
  <si>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</si>
  <si>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</si>
  <si>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</si>
  <si>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</si>
  <si>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</si>
  <si>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</si>
  <si>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</si>
  <si>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</si>
  <si>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</si>
  <si>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</si>
  <si>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</si>
  <si>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</si>
  <si>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</si>
  <si>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</si>
  <si>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</si>
  <si>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</si>
  <si>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</si>
  <si>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</si>
  <si>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</si>
  <si>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</si>
  <si>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</si>
  <si>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</si>
  <si>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</si>
  <si>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</si>
  <si>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</si>
  <si>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</si>
  <si>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</si>
  <si>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</si>
  <si>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</si>
  <si>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</si>
  <si>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</si>
  <si>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</si>
  <si>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</si>
  <si>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</si>
  <si>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</si>
  <si>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</si>
  <si>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</si>
  <si>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</si>
  <si>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</si>
  <si>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</si>
  <si>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</si>
  <si>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</si>
  <si>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</si>
  <si>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</si>
  <si>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</si>
  <si>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</si>
  <si>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</si>
  <si>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</si>
  <si>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</si>
  <si>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</si>
  <si>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</si>
  <si>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</si>
  <si>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</si>
  <si>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</si>
  <si>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</si>
  <si>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</si>
  <si>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</si>
  <si>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</si>
  <si>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</si>
  <si>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</si>
  <si>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</si>
  <si>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</si>
  <si>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</si>
  <si>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</si>
  <si>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</si>
  <si>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</si>
  <si>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</si>
  <si>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</si>
  <si>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</si>
  <si>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AIDISA </t>
  </si>
  <si>
    <t>IMPULSO SUPERMERCADO IC NORTE TRANSPORTE</t>
  </si>
  <si>
    <t xml:space="preserve">TRANSPORTE DE MATERIAL A DISTINTAS SALAS DE SUPERMERCADO </t>
  </si>
  <si>
    <t>GASOLINA FOTON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</si>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</sst>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6" xfId="2" xr:uid="{00000000-0005-0000-0000-000006000000}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819150</xdr:colOff>
          <xdr:row>2</xdr:row>
          <xdr:rowOff>85725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3" t="s">
        <v>25</v>
      </c>
      <c r="C10" s="323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2">
        <v>18151.274999999998</v>
      </c>
      <c r="F30" s="322"/>
      <c r="G30" s="322"/>
      <c r="H30" s="322"/>
      <c r="L30" s="72" t="s">
        <v>98</v>
      </c>
      <c r="M30" s="324">
        <f>+AVERAGE(M29:P29)</f>
        <v>20066.59</v>
      </c>
      <c r="N30" s="324"/>
      <c r="O30" s="324"/>
      <c r="P30" s="324"/>
    </row>
    <row r="31" spans="2:16" x14ac:dyDescent="0.25">
      <c r="B31" s="1"/>
      <c r="C31" s="1"/>
      <c r="D31" s="1" t="s">
        <v>99</v>
      </c>
      <c r="E31" s="322">
        <v>3033.0780524999996</v>
      </c>
      <c r="F31" s="322"/>
      <c r="G31" s="322"/>
      <c r="H31" s="322"/>
      <c r="L31" s="67" t="s">
        <v>99</v>
      </c>
      <c r="M31" s="324">
        <f>+M30*0.1671</f>
        <v>3353.1271889999998</v>
      </c>
      <c r="N31" s="324"/>
      <c r="O31" s="324"/>
      <c r="P31" s="324"/>
    </row>
    <row r="32" spans="2:16" x14ac:dyDescent="0.25">
      <c r="B32" s="1"/>
      <c r="C32" s="1"/>
      <c r="D32" s="1" t="s">
        <v>100</v>
      </c>
      <c r="E32" s="322">
        <v>21184.353052499999</v>
      </c>
      <c r="F32" s="322"/>
      <c r="G32" s="322"/>
      <c r="H32" s="322"/>
      <c r="L32" s="67" t="s">
        <v>100</v>
      </c>
      <c r="M32" s="324">
        <f>+M31+M30</f>
        <v>23419.717188999999</v>
      </c>
      <c r="N32" s="324"/>
      <c r="O32" s="324"/>
      <c r="P32" s="324"/>
    </row>
    <row r="33" spans="2:16" x14ac:dyDescent="0.25">
      <c r="B33" s="1"/>
      <c r="C33" s="1"/>
      <c r="D33" s="1" t="s">
        <v>101</v>
      </c>
      <c r="E33" s="322">
        <v>1512.0012074999997</v>
      </c>
      <c r="F33" s="322"/>
      <c r="G33" s="322"/>
      <c r="H33" s="322"/>
      <c r="L33" s="67" t="s">
        <v>101</v>
      </c>
      <c r="M33" s="324">
        <f>+M30*0.0833</f>
        <v>1671.546947</v>
      </c>
      <c r="N33" s="324"/>
      <c r="O33" s="324"/>
      <c r="P33" s="324"/>
    </row>
    <row r="34" spans="2:16" x14ac:dyDescent="0.25">
      <c r="B34" s="1"/>
      <c r="C34" s="1"/>
      <c r="D34" s="1" t="s">
        <v>102</v>
      </c>
      <c r="E34" s="322">
        <v>1512.0012074999997</v>
      </c>
      <c r="F34" s="322"/>
      <c r="G34" s="322"/>
      <c r="H34" s="322"/>
      <c r="L34" s="1" t="s">
        <v>102</v>
      </c>
      <c r="M34" s="324">
        <f>+M30*0.0833</f>
        <v>1671.546947</v>
      </c>
      <c r="N34" s="324"/>
      <c r="O34" s="324"/>
      <c r="P34" s="324"/>
    </row>
    <row r="35" spans="2:16" x14ac:dyDescent="0.25">
      <c r="B35" s="1"/>
      <c r="C35" s="1"/>
      <c r="D35" s="75" t="s">
        <v>16</v>
      </c>
      <c r="E35" s="321">
        <v>24208.355467499998</v>
      </c>
      <c r="F35" s="321"/>
      <c r="G35" s="321"/>
      <c r="H35" s="321"/>
      <c r="L35" s="74" t="s">
        <v>16</v>
      </c>
      <c r="M35" s="325">
        <f>+M34+M33+M32</f>
        <v>26762.811083000001</v>
      </c>
      <c r="N35" s="325"/>
      <c r="O35" s="325"/>
      <c r="P35" s="325"/>
    </row>
    <row r="36" spans="2:16" x14ac:dyDescent="0.25">
      <c r="B36" s="1"/>
      <c r="C36" s="1"/>
      <c r="D36" s="1" t="s">
        <v>103</v>
      </c>
      <c r="E36" s="322">
        <v>2496</v>
      </c>
      <c r="F36" s="322"/>
      <c r="G36" s="322"/>
      <c r="H36" s="322"/>
      <c r="L36" s="1" t="s">
        <v>103</v>
      </c>
      <c r="M36" s="324">
        <v>2496</v>
      </c>
      <c r="N36" s="324"/>
      <c r="O36" s="324"/>
      <c r="P36" s="324"/>
    </row>
    <row r="37" spans="2:16" x14ac:dyDescent="0.25">
      <c r="B37" s="1"/>
      <c r="C37" s="1"/>
      <c r="D37" s="1" t="s">
        <v>104</v>
      </c>
      <c r="E37" s="322">
        <v>208</v>
      </c>
      <c r="F37" s="322"/>
      <c r="G37" s="322"/>
      <c r="H37" s="322"/>
      <c r="L37" s="1" t="s">
        <v>104</v>
      </c>
      <c r="M37" s="324">
        <v>208</v>
      </c>
      <c r="N37" s="324"/>
      <c r="O37" s="324"/>
      <c r="P37" s="324"/>
    </row>
    <row r="38" spans="2:16" x14ac:dyDescent="0.25">
      <c r="B38" s="1"/>
      <c r="C38" s="1"/>
      <c r="D38" s="1" t="s">
        <v>105</v>
      </c>
      <c r="E38" s="322">
        <v>8</v>
      </c>
      <c r="F38" s="322"/>
      <c r="G38" s="322"/>
      <c r="H38" s="322"/>
      <c r="L38" s="1" t="s">
        <v>105</v>
      </c>
      <c r="M38" s="324">
        <v>8</v>
      </c>
      <c r="N38" s="324"/>
      <c r="O38" s="324"/>
      <c r="P38" s="324"/>
    </row>
    <row r="39" spans="2:16" x14ac:dyDescent="0.25">
      <c r="B39" s="1"/>
      <c r="C39" s="1"/>
      <c r="D39" s="1" t="s">
        <v>106</v>
      </c>
      <c r="E39" s="322">
        <v>116.38632436298076</v>
      </c>
      <c r="F39" s="322"/>
      <c r="G39" s="322"/>
      <c r="H39" s="322"/>
      <c r="L39" s="1" t="s">
        <v>106</v>
      </c>
      <c r="M39" s="324">
        <f>+M35/M37</f>
        <v>128.66736097596154</v>
      </c>
      <c r="N39" s="324"/>
      <c r="O39" s="324"/>
      <c r="P39" s="324"/>
    </row>
    <row r="40" spans="2:16" x14ac:dyDescent="0.25">
      <c r="B40" s="1"/>
      <c r="C40" s="1"/>
      <c r="D40" s="1" t="s">
        <v>107</v>
      </c>
      <c r="E40" s="322">
        <v>11.638632436298076</v>
      </c>
      <c r="F40" s="322"/>
      <c r="G40" s="322"/>
      <c r="H40" s="322"/>
      <c r="L40" s="1" t="s">
        <v>107</v>
      </c>
      <c r="M40" s="324">
        <v>0</v>
      </c>
      <c r="N40" s="324"/>
      <c r="O40" s="324"/>
      <c r="P40" s="324"/>
    </row>
    <row r="41" spans="2:16" x14ac:dyDescent="0.25">
      <c r="B41" s="1"/>
      <c r="C41" s="1"/>
      <c r="D41" s="75" t="s">
        <v>108</v>
      </c>
      <c r="E41" s="321">
        <v>128.02495679927884</v>
      </c>
      <c r="F41" s="321"/>
      <c r="G41" s="321"/>
      <c r="H41" s="321"/>
      <c r="L41" s="75" t="s">
        <v>108</v>
      </c>
      <c r="M41" s="325">
        <f>+M40+M39</f>
        <v>128.66736097596154</v>
      </c>
      <c r="N41" s="325"/>
      <c r="O41" s="325"/>
      <c r="P41" s="325"/>
    </row>
    <row r="42" spans="2:16" x14ac:dyDescent="0.25">
      <c r="B42" s="1"/>
      <c r="C42" s="1"/>
      <c r="D42" s="75" t="s">
        <v>109</v>
      </c>
      <c r="E42" s="321">
        <v>1024.1996543942307</v>
      </c>
      <c r="F42" s="321"/>
      <c r="G42" s="321"/>
      <c r="H42" s="321"/>
      <c r="L42" s="76" t="s">
        <v>109</v>
      </c>
      <c r="M42" s="325">
        <f>+M41*M38</f>
        <v>1029.3388878076923</v>
      </c>
      <c r="N42" s="325"/>
      <c r="O42" s="325"/>
      <c r="P42" s="325"/>
    </row>
    <row r="43" spans="2:16" x14ac:dyDescent="0.25">
      <c r="B43" s="1"/>
      <c r="C43" s="1"/>
      <c r="D43" s="75" t="s">
        <v>110</v>
      </c>
      <c r="E43" s="321">
        <v>319550.29217099998</v>
      </c>
      <c r="F43" s="321"/>
      <c r="G43" s="321"/>
      <c r="H43" s="321"/>
      <c r="L43" s="76" t="s">
        <v>110</v>
      </c>
      <c r="M43" s="325">
        <f>+M41*M36</f>
        <v>321153.73299600004</v>
      </c>
      <c r="N43" s="325"/>
      <c r="O43" s="325"/>
      <c r="P43" s="325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FF0000"/>
  </sheetPr>
  <dimension ref="A1:V89"/>
  <sheetViews>
    <sheetView showGridLines="0" tabSelected="1" zoomScale="90" zoomScaleNormal="90" zoomScalePageLayoutView="85" workbookViewId="0">
      <pane ySplit="4" topLeftCell="A5" activePane="bottomLeft" state="frozen"/>
      <selection activeCell="A21" sqref="A21"/>
      <selection pane="bottomLeft" activeCell="H14" sqref="H14:J14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90"/>
      <c r="B1" s="390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91"/>
      <c r="B2" s="401" t="s">
        <v>166</v>
      </c>
      <c r="C2" s="276">
        <f ca="1">+H75</f>
        <v>242.04922500000001</v>
      </c>
      <c r="D2" s="331">
        <f ca="1">+J72+J73</f>
        <v>334.3218</v>
      </c>
      <c r="E2" s="332"/>
      <c r="F2" s="277">
        <f ca="1">+D2-C2</f>
        <v>92.272574999999989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91"/>
      <c r="B3" s="402"/>
      <c r="C3" s="296" t="s">
        <v>168</v>
      </c>
      <c r="D3" s="403" t="s">
        <v>169</v>
      </c>
      <c r="E3" s="404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91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95" t="s">
        <v>172</v>
      </c>
      <c r="C8" s="395"/>
      <c r="D8" s="395"/>
      <c r="E8" s="395"/>
      <c r="F8" s="395"/>
      <c r="G8" s="395"/>
      <c r="H8" s="395"/>
      <c r="I8" s="395"/>
      <c r="J8" s="395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95" t="s">
        <v>173</v>
      </c>
      <c r="C9" s="395"/>
      <c r="D9" s="395"/>
      <c r="E9" s="395"/>
      <c r="F9" s="395"/>
      <c r="G9" s="395"/>
      <c r="H9" s="395"/>
      <c r="I9" s="395"/>
      <c r="J9" s="395"/>
      <c r="K9" s="198">
        <f ca="1">H72</f>
        <v>175.27702500000001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97" t="s">
        <v>177</v>
      </c>
      <c r="D12" s="397"/>
      <c r="E12" s="168">
        <v>1.2</v>
      </c>
      <c r="F12" s="351" t="s">
        <v>52</v>
      </c>
      <c r="G12" s="351"/>
      <c r="H12" s="351"/>
      <c r="I12" s="396">
        <v>4201660117</v>
      </c>
      <c r="J12" s="39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98"/>
      <c r="D14" s="399"/>
      <c r="E14" s="165">
        <v>1.4</v>
      </c>
      <c r="F14" s="189" t="s">
        <v>125</v>
      </c>
      <c r="G14" s="128"/>
      <c r="H14" s="400" t="s">
        <v>178</v>
      </c>
      <c r="I14" s="400"/>
      <c r="J14" s="400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47">
        <v>43491</v>
      </c>
      <c r="D16" s="347"/>
      <c r="E16" s="165">
        <v>1.6</v>
      </c>
      <c r="F16" s="348" t="s">
        <v>127</v>
      </c>
      <c r="G16" s="349"/>
      <c r="H16" s="350"/>
      <c r="I16" s="347">
        <v>43500</v>
      </c>
      <c r="J16" s="347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99">
        <v>30</v>
      </c>
      <c r="D18" s="399"/>
      <c r="E18" s="166" t="s">
        <v>146</v>
      </c>
      <c r="F18" s="351" t="s">
        <v>150</v>
      </c>
      <c r="G18" s="351"/>
      <c r="H18" s="351"/>
      <c r="I18" s="347" t="s">
        <v>171</v>
      </c>
      <c r="J18" s="347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72"/>
      <c r="L22" s="372"/>
      <c r="M22" s="372"/>
      <c r="N22" s="372"/>
      <c r="O22" s="372"/>
      <c r="P22" s="372"/>
      <c r="Q22" s="372"/>
      <c r="R22" s="372"/>
      <c r="S22" s="372"/>
      <c r="T22" s="372"/>
      <c r="U22" s="372"/>
      <c r="V22" s="372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31</v>
      </c>
      <c r="E24" s="132">
        <v>2.5</v>
      </c>
      <c r="F24" s="133">
        <v>2</v>
      </c>
      <c r="G24" s="134"/>
      <c r="H24" s="207">
        <f>IF(D24="HRS",Hoja1!$D$49,IF('Estado de costos'!D24="DIAS",Hoja1!$E$49))</f>
        <v>26</v>
      </c>
      <c r="I24" s="207">
        <f>+H24*F24*E24</f>
        <v>130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41" t="s">
        <v>123</v>
      </c>
      <c r="C25" s="343"/>
      <c r="D25" s="208"/>
      <c r="E25" s="208">
        <f>SUM(E23:E24)</f>
        <v>2.5</v>
      </c>
      <c r="F25" s="208">
        <f>SUM(F23:F24)</f>
        <v>2</v>
      </c>
      <c r="G25" s="209"/>
      <c r="H25" s="210">
        <f>SUM(H23:H24)</f>
        <v>266</v>
      </c>
      <c r="I25" s="210">
        <f>SUM(I23:I24)</f>
        <v>130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77" t="s">
        <v>153</v>
      </c>
      <c r="C26" s="377"/>
      <c r="D26" s="377"/>
      <c r="E26" s="377"/>
      <c r="F26" s="377"/>
      <c r="G26" s="377"/>
      <c r="H26" s="377"/>
      <c r="I26" s="377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78" t="s">
        <v>1</v>
      </c>
      <c r="C28" s="379"/>
      <c r="D28" s="380"/>
      <c r="E28" s="378" t="s">
        <v>45</v>
      </c>
      <c r="F28" s="379"/>
      <c r="G28" s="379"/>
      <c r="H28" s="379"/>
      <c r="I28" s="380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92" t="s">
        <v>65</v>
      </c>
      <c r="D29" s="393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41" t="s">
        <v>50</v>
      </c>
      <c r="C31" s="342"/>
      <c r="D31" s="342"/>
      <c r="E31" s="342"/>
      <c r="F31" s="342"/>
      <c r="G31" s="342"/>
      <c r="H31" s="343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17.399999999999999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88" t="s">
        <v>154</v>
      </c>
      <c r="C36" s="394"/>
      <c r="D36" s="388" t="s">
        <v>46</v>
      </c>
      <c r="E36" s="389"/>
      <c r="F36" s="389"/>
      <c r="G36" s="389"/>
      <c r="H36" s="389"/>
      <c r="I36" s="389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295.86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1</v>
      </c>
      <c r="F39" s="149">
        <v>20</v>
      </c>
      <c r="G39" s="135">
        <f t="shared" ref="G39:G41" si="3">+F39*E39*D39</f>
        <v>20</v>
      </c>
      <c r="H39" s="150" t="s">
        <v>13</v>
      </c>
      <c r="I39" s="320">
        <f t="shared" ref="I39:I41" si="4">IF(H39="FACTURA",G39*0.87,IF(H39="RECIBO",G39/0.845,IF(H39="SIN IMPUESTO",G39*1,IF(H39="ALQUILER SIN RECIBO",G39/0.84,IF(H39="VIATICOS",G39/0.87,"")))))</f>
        <v>17.399999999999999</v>
      </c>
      <c r="J39" s="136"/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/>
      <c r="C40" s="146"/>
      <c r="D40" s="147"/>
      <c r="E40" s="148"/>
      <c r="F40" s="149"/>
      <c r="G40" s="135">
        <f t="shared" si="3"/>
        <v>0</v>
      </c>
      <c r="H40" s="150"/>
      <c r="I40" s="320" t="str">
        <f t="shared" si="4"/>
        <v/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/>
      <c r="C41" s="146"/>
      <c r="D41" s="147"/>
      <c r="E41" s="148"/>
      <c r="F41" s="149"/>
      <c r="G41" s="135">
        <f t="shared" si="3"/>
        <v>0</v>
      </c>
      <c r="H41" s="150"/>
      <c r="I41" s="320" t="str">
        <f t="shared" si="4"/>
        <v/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41" t="s">
        <v>48</v>
      </c>
      <c r="C42" s="342"/>
      <c r="D42" s="342"/>
      <c r="E42" s="342"/>
      <c r="F42" s="342"/>
      <c r="G42" s="342"/>
      <c r="H42" s="343"/>
      <c r="I42" s="210">
        <f ca="1">SUM(I38:OFFSET(I42,-1,0))</f>
        <v>17.399999999999999</v>
      </c>
      <c r="J42" s="210">
        <f ca="1">SUM(J38:OFFSET(J42,-1,0))</f>
        <v>295.86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81" t="s">
        <v>165</v>
      </c>
      <c r="C44" s="381"/>
      <c r="D44" s="381"/>
      <c r="E44" s="381"/>
      <c r="F44" s="381"/>
      <c r="G44" s="381"/>
      <c r="H44" s="381"/>
      <c r="I44" s="381"/>
      <c r="J44" s="381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44" t="s">
        <v>131</v>
      </c>
      <c r="D47" s="345"/>
      <c r="E47" s="238" t="s">
        <v>4</v>
      </c>
      <c r="F47" s="375" t="s">
        <v>6</v>
      </c>
      <c r="G47" s="375"/>
      <c r="H47" s="375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46"/>
      <c r="D48" s="346"/>
      <c r="E48" s="148"/>
      <c r="F48" s="376"/>
      <c r="G48" s="376"/>
      <c r="H48" s="376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35" t="s">
        <v>5</v>
      </c>
      <c r="C49" s="336"/>
      <c r="D49" s="336"/>
      <c r="E49" s="337"/>
      <c r="F49" s="382">
        <f>SUM(F48:H48)</f>
        <v>0</v>
      </c>
      <c r="G49" s="382"/>
      <c r="H49" s="382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44" t="s">
        <v>67</v>
      </c>
      <c r="D52" s="345"/>
      <c r="E52" s="238" t="s">
        <v>2</v>
      </c>
      <c r="F52" s="375" t="s">
        <v>6</v>
      </c>
      <c r="G52" s="375"/>
      <c r="H52" s="375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40"/>
      <c r="D53" s="340"/>
      <c r="E53" s="152"/>
      <c r="F53" s="373"/>
      <c r="G53" s="373"/>
      <c r="H53" s="373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35" t="s">
        <v>5</v>
      </c>
      <c r="C54" s="336"/>
      <c r="D54" s="337"/>
      <c r="E54" s="244">
        <f>SUM(E53:E53)</f>
        <v>0</v>
      </c>
      <c r="F54" s="374">
        <f>SUM(F53:H53)</f>
        <v>0</v>
      </c>
      <c r="G54" s="374"/>
      <c r="H54" s="374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44" t="s">
        <v>67</v>
      </c>
      <c r="D57" s="345"/>
      <c r="E57" s="238" t="s">
        <v>2</v>
      </c>
      <c r="F57" s="375" t="s">
        <v>6</v>
      </c>
      <c r="G57" s="375"/>
      <c r="H57" s="375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38"/>
      <c r="D58" s="339"/>
      <c r="E58" s="152"/>
      <c r="F58" s="373"/>
      <c r="G58" s="373"/>
      <c r="H58" s="373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35" t="s">
        <v>5</v>
      </c>
      <c r="C59" s="336"/>
      <c r="D59" s="337"/>
      <c r="E59" s="244">
        <f>SUM(E58:E58)</f>
        <v>0</v>
      </c>
      <c r="F59" s="374">
        <f>SUM(F58:H58)</f>
        <v>0</v>
      </c>
      <c r="G59" s="374"/>
      <c r="H59" s="374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352" t="s">
        <v>51</v>
      </c>
      <c r="C60" s="353"/>
      <c r="D60" s="353"/>
      <c r="E60" s="353"/>
      <c r="F60" s="353"/>
      <c r="G60" s="353"/>
      <c r="H60" s="353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86" t="s">
        <v>54</v>
      </c>
      <c r="C62" s="387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147.4</v>
      </c>
      <c r="E63" s="254">
        <v>0.17</v>
      </c>
      <c r="F63" s="253">
        <f ca="1">+E63*D63</f>
        <v>25.058000000000003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84" t="s">
        <v>18</v>
      </c>
      <c r="C66" s="385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83"/>
      <c r="C67" s="383"/>
      <c r="D67" s="259">
        <f>+C18</f>
        <v>30</v>
      </c>
      <c r="E67" s="260">
        <f>Hoja1!F14</f>
        <v>5.4487179487179495E-4</v>
      </c>
      <c r="F67" s="261">
        <f ca="1">+E67*D67*(D63+F63)</f>
        <v>2.8190250000000003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0.13</v>
      </c>
      <c r="I69" s="333" t="s">
        <v>155</v>
      </c>
      <c r="J69" s="334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26" t="s">
        <v>34</v>
      </c>
      <c r="I71" s="327"/>
      <c r="J71" s="326" t="s">
        <v>167</v>
      </c>
      <c r="K71" s="32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68" t="s">
        <v>15</v>
      </c>
      <c r="D72" s="369"/>
      <c r="E72" s="369"/>
      <c r="F72" s="369"/>
      <c r="G72" s="300"/>
      <c r="H72" s="356">
        <f ca="1">+F67+F63+I42+I31+I54+I49+I59+I25</f>
        <v>175.27702500000001</v>
      </c>
      <c r="I72" s="357"/>
      <c r="J72" s="328">
        <f ca="1">IF(I18="EXTERNO",J59+J54+J49+J42+J31+J25,IF(I18="INTERNO",H72))</f>
        <v>295.86</v>
      </c>
      <c r="K72" s="328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66" t="s">
        <v>162</v>
      </c>
      <c r="D73" s="367"/>
      <c r="E73" s="367"/>
      <c r="F73" s="367"/>
      <c r="G73" s="301"/>
      <c r="H73" s="356">
        <f ca="1">IF(I18="EXTERNO",IF(OR(C69="",C69=0),H72*C69,H72*C69),IF(I18="INTERNO",H72))</f>
        <v>28.044324000000003</v>
      </c>
      <c r="I73" s="357"/>
      <c r="J73" s="328">
        <f ca="1">IF(I18="EXTERNO",J72*H69,IF(I18="INTERNO",J72))</f>
        <v>38.461800000000004</v>
      </c>
      <c r="K73" s="328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66" t="s">
        <v>164</v>
      </c>
      <c r="D74" s="367"/>
      <c r="E74" s="367"/>
      <c r="F74" s="367"/>
      <c r="G74" s="301"/>
      <c r="H74" s="356">
        <f ca="1">IF(I18="EXTERNO",H73+H72,IF(I18="INTERNO",H72))</f>
        <v>203.321349</v>
      </c>
      <c r="I74" s="357"/>
      <c r="J74" s="329"/>
      <c r="K74" s="330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0" t="s">
        <v>163</v>
      </c>
      <c r="D75" s="371"/>
      <c r="E75" s="371"/>
      <c r="F75" s="371"/>
      <c r="G75" s="302"/>
      <c r="H75" s="356">
        <f ca="1">IF(I18="EXTERNO",H74/0.84,IF(I18="INTERNO",H72))</f>
        <v>242.04922500000001</v>
      </c>
      <c r="I75" s="357"/>
      <c r="J75" s="328">
        <f ca="1">IF(I18="EXTERNO",J72+J73,IF(I18="INTERNO",J72))</f>
        <v>334.3218</v>
      </c>
      <c r="K75" s="328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58" t="str">
        <f>IF(I18="EXTERNO","COSTO TOTAL PARA ENVIAR CLIENTE",IF(I18="INTERNO","COSTO SOLO PARA  AREAS DE PRODUCION INTERNA !!!!!"))</f>
        <v>COSTO TOTAL PARA ENVIAR CLIENTE</v>
      </c>
      <c r="I76" s="35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60"/>
      <c r="I77" s="36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62"/>
      <c r="I78" s="36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64"/>
      <c r="C79" s="365"/>
      <c r="D79" s="365"/>
      <c r="E79" s="365"/>
      <c r="F79" s="365"/>
      <c r="G79" s="365"/>
      <c r="H79" s="36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54"/>
      <c r="C80" s="355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7:C67"/>
    <mergeCell ref="B66:C66"/>
    <mergeCell ref="B62:C62"/>
    <mergeCell ref="D36:I36"/>
    <mergeCell ref="C52:D52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H71:I71"/>
    <mergeCell ref="H72:I72"/>
    <mergeCell ref="C72:F72"/>
    <mergeCell ref="C75:F75"/>
    <mergeCell ref="H73:I73"/>
    <mergeCell ref="C73:F73"/>
    <mergeCell ref="B80:C80"/>
    <mergeCell ref="H74:I74"/>
    <mergeCell ref="H75:I75"/>
    <mergeCell ref="H76:I78"/>
    <mergeCell ref="B79:H79"/>
    <mergeCell ref="C74:F74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J71:K71"/>
    <mergeCell ref="J72:K72"/>
    <mergeCell ref="J73:K73"/>
    <mergeCell ref="J74:K74"/>
    <mergeCell ref="J75:K75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 xr:uid="{00000000-0002-0000-0100-000000000000}">
      <formula1>#REF!</formula1>
    </dataValidation>
    <dataValidation type="list" allowBlank="1" showInputMessage="1" showErrorMessage="1" sqref="D23:D24" xr:uid="{00000000-0002-0000-0100-000001000000}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 xr:uid="{00000000-0002-0000-0100-000002000000}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 xr:uid="{00000000-0002-0000-0100-000003000000}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 xr:uid="{00000000-0002-0000-0100-000004000000}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 xr:uid="{00000000-0002-0000-0100-000005000000}"/>
    <dataValidation type="date" operator="greaterThanOrEqual" allowBlank="1" showInputMessage="1" showErrorMessage="1" error="INTRODUZCA UNA FECHA VALIDA EN EL FORMATO DD/MM/AAAA" prompt="GRUPOREGIONAL:_x000a_FECHA EN LA QUE SE PLANIFICA CONCLUIR EL PROYECTO" sqref="I16:J16" xr:uid="{00000000-0002-0000-0100-000006000000}">
      <formula1>42736</formula1>
    </dataValidation>
    <dataValidation allowBlank="1" showInputMessage="1" showErrorMessage="1" prompt="NOMBRE DEL PROYECTO, EVENTO O TRABAJO A SER COTIZADO" sqref="H14:J14" xr:uid="{00000000-0002-0000-0100-000007000000}"/>
    <dataValidation type="list" allowBlank="1" showInputMessage="1" showErrorMessage="1" sqref="I18:J18" xr:uid="{00000000-0002-0000-0100-000008000000}">
      <formula1>"EXTERNO,INTERNO"</formula1>
    </dataValidation>
  </dataValidations>
  <pageMargins left="0.23622047244094491" right="0.23622047244094491" top="0.74803149606299213" bottom="0.74803149606299213" header="0.31496062992125984" footer="0.31496062992125984"/>
  <pageSetup scale="47" orientation="portrait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'\\DESKTOP-88viqu3\carpetas compartidas\Users\Dell\Downloads\[RICHAR.xlsx]Hoja2'!#REF!</xm:f>
          </x14:formula1>
          <xm:sqref>C27</xm:sqref>
        </x14:dataValidation>
        <x14:dataValidation type="list" allowBlank="1" showInputMessage="1" showErrorMessage="1" xr:uid="{00000000-0002-0000-0100-00000A000000}">
          <x14:formula1>
            <xm:f>Hoja1!$Q$1:$Q$2</xm:f>
          </x14:formula1>
          <xm:sqref>H30</xm:sqref>
        </x14:dataValidation>
        <x14:dataValidation type="list" allowBlank="1" showInputMessage="1" showErrorMessage="1" xr:uid="{00000000-0002-0000-0100-00000B000000}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43503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AIDISA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IMPULSO SUPERMERCADO IC NORTE TRANSPORTE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13</v>
      </c>
      <c r="D22" s="309">
        <f ca="1">'Estado de costos'!D2</f>
        <v>334.3218</v>
      </c>
      <c r="E22" s="310">
        <f ca="1">IF('Estado de costos'!I18="EXTERNO",E29+E30,IF('Estado de costos'!I18="INTERNO",'Estado de costos'!K9,))</f>
        <v>334.3218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2.5</v>
      </c>
      <c r="C26" s="117">
        <f>'Estado de costos'!F25</f>
        <v>2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295.86</v>
      </c>
      <c r="E27" s="120">
        <v>295.86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295.86</v>
      </c>
    </row>
    <row r="30" spans="1:7" ht="15.75" thickBot="1" x14ac:dyDescent="0.3">
      <c r="D30" s="21" t="str">
        <f>"F E E  "&amp; C22&amp;"%"</f>
        <v>F E E  13%</v>
      </c>
      <c r="E30" s="114">
        <f ca="1">'Estado de costos'!J73</f>
        <v>38.461800000000004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334.3218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 xr:uid="{00000000-0002-0000-0200-000000000000}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209550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15" t="s">
        <v>143</v>
      </c>
      <c r="C8" s="416"/>
      <c r="D8" s="416"/>
      <c r="E8" s="416"/>
      <c r="F8" s="416"/>
      <c r="G8" s="416"/>
      <c r="H8" s="416"/>
      <c r="I8" s="416"/>
      <c r="J8" s="416"/>
      <c r="K8" s="416"/>
    </row>
    <row r="9" spans="1:11" s="8" customFormat="1" ht="27.75" x14ac:dyDescent="0.2">
      <c r="B9" s="416" t="s">
        <v>53</v>
      </c>
      <c r="C9" s="416"/>
      <c r="D9" s="416"/>
      <c r="E9" s="416"/>
      <c r="F9" s="416"/>
      <c r="G9" s="416"/>
      <c r="H9" s="416"/>
      <c r="I9" s="416"/>
      <c r="J9" s="416"/>
      <c r="K9" s="416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13" t="s">
        <v>144</v>
      </c>
      <c r="C11" s="413"/>
      <c r="D11" s="417" t="str">
        <f>+'Estado de costos'!C12</f>
        <v xml:space="preserve">AIDISA </v>
      </c>
      <c r="E11" s="417"/>
      <c r="F11" s="417"/>
      <c r="G11" s="28">
        <v>1.2</v>
      </c>
      <c r="H11" s="29" t="s">
        <v>52</v>
      </c>
      <c r="I11" s="30"/>
      <c r="J11" s="428">
        <f>+'Estado de costos'!I12</f>
        <v>4201660117</v>
      </c>
      <c r="K11" s="428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18" t="s">
        <v>124</v>
      </c>
      <c r="C13" s="418"/>
      <c r="D13" s="419">
        <f>+'Estado de costos'!C14</f>
        <v>0</v>
      </c>
      <c r="E13" s="420"/>
      <c r="F13" s="420"/>
      <c r="G13" s="14">
        <v>1.4</v>
      </c>
      <c r="H13" s="55" t="s">
        <v>125</v>
      </c>
      <c r="I13" s="429" t="str">
        <f>+'Estado de costos'!H14</f>
        <v>IMPULSO SUPERMERCADO IC NORTE TRANSPORTE</v>
      </c>
      <c r="J13" s="429"/>
      <c r="K13" s="429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13" t="s">
        <v>126</v>
      </c>
      <c r="C15" s="413"/>
      <c r="D15" s="413"/>
      <c r="E15" s="414">
        <f>+'Estado de costos'!C16</f>
        <v>43491</v>
      </c>
      <c r="F15" s="414"/>
      <c r="G15" s="14">
        <v>1.6</v>
      </c>
      <c r="H15" s="434" t="s">
        <v>127</v>
      </c>
      <c r="I15" s="434"/>
      <c r="J15" s="414">
        <f>+'Estado de costos'!I16</f>
        <v>43500</v>
      </c>
      <c r="K15" s="414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21" t="s">
        <v>140</v>
      </c>
      <c r="C17" s="421"/>
      <c r="D17" s="421"/>
      <c r="E17" s="421"/>
      <c r="F17" s="421"/>
      <c r="G17" s="421"/>
      <c r="H17" s="421"/>
      <c r="I17" s="421"/>
      <c r="J17" s="421"/>
      <c r="K17" s="421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2" t="s">
        <v>139</v>
      </c>
      <c r="C19" s="422"/>
      <c r="D19" s="422"/>
      <c r="E19" s="422"/>
      <c r="F19" s="422"/>
      <c r="G19" s="423" t="s">
        <v>141</v>
      </c>
      <c r="H19" s="424"/>
      <c r="I19" s="424"/>
      <c r="J19" s="424"/>
      <c r="K19" s="424"/>
    </row>
    <row r="20" spans="1:19" s="10" customFormat="1" ht="65.25" customHeight="1" x14ac:dyDescent="0.25">
      <c r="A20" s="36"/>
      <c r="B20" s="425" t="s">
        <v>145</v>
      </c>
      <c r="C20" s="426"/>
      <c r="D20" s="427"/>
      <c r="E20" s="425" t="s">
        <v>65</v>
      </c>
      <c r="F20" s="427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25" t="s">
        <v>145</v>
      </c>
      <c r="N20" s="426"/>
      <c r="O20" s="427"/>
      <c r="P20" s="425" t="s">
        <v>65</v>
      </c>
      <c r="Q20" s="427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10" t="s">
        <v>44</v>
      </c>
      <c r="C21" s="411"/>
      <c r="D21" s="412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10">
        <f>+'Estado de costos'!B30:B30</f>
        <v>0</v>
      </c>
      <c r="C22" s="411"/>
      <c r="D22" s="412"/>
      <c r="E22" s="410">
        <f>+'Estado de costos'!C30</f>
        <v>0</v>
      </c>
      <c r="F22" s="412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10" t="e">
        <f>+'Estado de costos'!#REF!</f>
        <v>#REF!</v>
      </c>
      <c r="C23" s="411"/>
      <c r="D23" s="412"/>
      <c r="E23" s="410" t="e">
        <f>+'Estado de costos'!#REF!</f>
        <v>#REF!</v>
      </c>
      <c r="F23" s="412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10" t="e">
        <f>+'Estado de costos'!#REF!</f>
        <v>#REF!</v>
      </c>
      <c r="C24" s="411"/>
      <c r="D24" s="412"/>
      <c r="E24" s="410" t="e">
        <f>+'Estado de costos'!#REF!</f>
        <v>#REF!</v>
      </c>
      <c r="F24" s="412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25" t="s">
        <v>145</v>
      </c>
      <c r="N24" s="426"/>
      <c r="O24" s="427"/>
      <c r="P24" s="425" t="s">
        <v>65</v>
      </c>
      <c r="Q24" s="427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10" t="e">
        <f>+'Estado de costos'!#REF!</f>
        <v>#REF!</v>
      </c>
      <c r="C25" s="411"/>
      <c r="D25" s="412"/>
      <c r="E25" s="410" t="e">
        <f>+'Estado de costos'!#REF!</f>
        <v>#REF!</v>
      </c>
      <c r="F25" s="412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10" t="e">
        <f>+'Estado de costos'!#REF!</f>
        <v>#REF!</v>
      </c>
      <c r="C26" s="411"/>
      <c r="D26" s="412"/>
      <c r="E26" s="410" t="e">
        <f>+'Estado de costos'!#REF!</f>
        <v>#REF!</v>
      </c>
      <c r="F26" s="412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10" t="e">
        <f>+'Estado de costos'!#REF!</f>
        <v>#REF!</v>
      </c>
      <c r="C27" s="411"/>
      <c r="D27" s="412"/>
      <c r="E27" s="410" t="e">
        <f>+'Estado de costos'!#REF!</f>
        <v>#REF!</v>
      </c>
      <c r="F27" s="412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10" t="e">
        <f>+'Estado de costos'!#REF!</f>
        <v>#REF!</v>
      </c>
      <c r="C28" s="411"/>
      <c r="D28" s="412"/>
      <c r="E28" s="410" t="e">
        <f>+'Estado de costos'!#REF!</f>
        <v>#REF!</v>
      </c>
      <c r="F28" s="412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10" t="e">
        <f>+'Estado de costos'!#REF!</f>
        <v>#REF!</v>
      </c>
      <c r="C29" s="411"/>
      <c r="D29" s="412"/>
      <c r="E29" s="410" t="e">
        <f>+'Estado de costos'!#REF!</f>
        <v>#REF!</v>
      </c>
      <c r="F29" s="412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10" t="e">
        <f>+'Estado de costos'!#REF!</f>
        <v>#REF!</v>
      </c>
      <c r="C30" s="411"/>
      <c r="D30" s="412"/>
      <c r="E30" s="410" t="e">
        <f>+'Estado de costos'!#REF!</f>
        <v>#REF!</v>
      </c>
      <c r="F30" s="412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3" t="s">
        <v>50</v>
      </c>
      <c r="C31" s="424"/>
      <c r="D31" s="424"/>
      <c r="E31" s="424"/>
      <c r="F31" s="43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2" t="s">
        <v>142</v>
      </c>
      <c r="C36" s="422"/>
      <c r="D36" s="422"/>
      <c r="E36" s="422"/>
      <c r="F36" s="422"/>
      <c r="G36" s="422" t="s">
        <v>46</v>
      </c>
      <c r="H36" s="422"/>
      <c r="I36" s="422"/>
      <c r="J36" s="422"/>
      <c r="K36" s="422"/>
    </row>
    <row r="37" spans="1:11" s="8" customFormat="1" ht="50.25" customHeight="1" x14ac:dyDescent="0.2">
      <c r="A37" s="14"/>
      <c r="B37" s="431" t="s">
        <v>7</v>
      </c>
      <c r="C37" s="432"/>
      <c r="D37" s="433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3" t="e">
        <f>+'Estado de costos'!#REF!</f>
        <v>#REF!</v>
      </c>
      <c r="C38" s="424"/>
      <c r="D38" s="43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3" t="e">
        <f>+'Estado de costos'!#REF!</f>
        <v>#REF!</v>
      </c>
      <c r="C39" s="424"/>
      <c r="D39" s="43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3" t="e">
        <f>+'Estado de costos'!#REF!</f>
        <v>#REF!</v>
      </c>
      <c r="C40" s="424"/>
      <c r="D40" s="43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3" t="e">
        <f>+'Estado de costos'!#REF!</f>
        <v>#REF!</v>
      </c>
      <c r="C41" s="424"/>
      <c r="D41" s="43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3" t="e">
        <f>+'Estado de costos'!#REF!</f>
        <v>#REF!</v>
      </c>
      <c r="C42" s="424"/>
      <c r="D42" s="43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3" t="str">
        <f>+'Estado de costos'!B38:B38</f>
        <v xml:space="preserve">TRANSPORTE DE MATERIAL A DISTINTAS SALAS DE SUPERMERCADO </v>
      </c>
      <c r="C43" s="424"/>
      <c r="D43" s="43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23" t="e">
        <f>+'Estado de costos'!#REF!</f>
        <v>#REF!</v>
      </c>
      <c r="C44" s="424"/>
      <c r="D44" s="43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3" t="e">
        <f>+'Estado de costos'!#REF!</f>
        <v>#REF!</v>
      </c>
      <c r="C45" s="424"/>
      <c r="D45" s="43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3" t="e">
        <f>+'Estado de costos'!#REF!</f>
        <v>#REF!</v>
      </c>
      <c r="C46" s="424"/>
      <c r="D46" s="43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3" t="e">
        <f>+'Estado de costos'!#REF!</f>
        <v>#REF!</v>
      </c>
      <c r="C47" s="424"/>
      <c r="D47" s="43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3" t="e">
        <f>+'Estado de costos'!#REF!</f>
        <v>#REF!</v>
      </c>
      <c r="C48" s="424"/>
      <c r="D48" s="43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3" t="e">
        <f>+'Estado de costos'!#REF!</f>
        <v>#REF!</v>
      </c>
      <c r="C49" s="424"/>
      <c r="D49" s="43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3" t="e">
        <f>+'Estado de costos'!#REF!</f>
        <v>#REF!</v>
      </c>
      <c r="C50" s="424"/>
      <c r="D50" s="43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3" t="e">
        <f>+'Estado de costos'!#REF!</f>
        <v>#REF!</v>
      </c>
      <c r="C51" s="424"/>
      <c r="D51" s="43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3" t="e">
        <f>+'Estado de costos'!#REF!</f>
        <v>#REF!</v>
      </c>
      <c r="C52" s="424"/>
      <c r="D52" s="43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3" t="e">
        <f>+'Estado de costos'!#REF!</f>
        <v>#REF!</v>
      </c>
      <c r="C53" s="424"/>
      <c r="D53" s="43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3" t="e">
        <f>+'Estado de costos'!#REF!</f>
        <v>#REF!</v>
      </c>
      <c r="C54" s="424"/>
      <c r="D54" s="43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3" t="e">
        <f>+'Estado de costos'!#REF!</f>
        <v>#REF!</v>
      </c>
      <c r="C55" s="424"/>
      <c r="D55" s="43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3" t="e">
        <f>+'Estado de costos'!#REF!</f>
        <v>#REF!</v>
      </c>
      <c r="C56" s="424"/>
      <c r="D56" s="43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3" t="e">
        <f>+'Estado de costos'!#REF!</f>
        <v>#REF!</v>
      </c>
      <c r="C57" s="424"/>
      <c r="D57" s="43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3" t="e">
        <f>+'Estado de costos'!#REF!</f>
        <v>#REF!</v>
      </c>
      <c r="C58" s="424"/>
      <c r="D58" s="43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3" t="e">
        <f>+'Estado de costos'!#REF!</f>
        <v>#REF!</v>
      </c>
      <c r="C59" s="424"/>
      <c r="D59" s="43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3" t="e">
        <f>+'Estado de costos'!#REF!</f>
        <v>#REF!</v>
      </c>
      <c r="C60" s="424"/>
      <c r="D60" s="43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3" t="e">
        <f>+'Estado de costos'!#REF!</f>
        <v>#REF!</v>
      </c>
      <c r="C61" s="424"/>
      <c r="D61" s="43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3" t="e">
        <f>+'Estado de costos'!#REF!</f>
        <v>#REF!</v>
      </c>
      <c r="C62" s="424"/>
      <c r="D62" s="43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3" t="e">
        <f>+'Estado de costos'!#REF!</f>
        <v>#REF!</v>
      </c>
      <c r="C63" s="424"/>
      <c r="D63" s="43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3" t="e">
        <f>+'Estado de costos'!#REF!</f>
        <v>#REF!</v>
      </c>
      <c r="C64" s="424"/>
      <c r="D64" s="43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3" t="e">
        <f>+'Estado de costos'!#REF!</f>
        <v>#REF!</v>
      </c>
      <c r="C65" s="424"/>
      <c r="D65" s="43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3" t="e">
        <f>+'Estado de costos'!#REF!</f>
        <v>#REF!</v>
      </c>
      <c r="C66" s="424"/>
      <c r="D66" s="43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3" t="e">
        <f>+'Estado de costos'!#REF!</f>
        <v>#REF!</v>
      </c>
      <c r="C67" s="424"/>
      <c r="D67" s="43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3" t="e">
        <f>+'Estado de costos'!#REF!</f>
        <v>#REF!</v>
      </c>
      <c r="C68" s="424"/>
      <c r="D68" s="43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3" t="e">
        <f>+'Estado de costos'!#REF!</f>
        <v>#REF!</v>
      </c>
      <c r="C69" s="424"/>
      <c r="D69" s="43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3" t="e">
        <f>+'Estado de costos'!#REF!</f>
        <v>#REF!</v>
      </c>
      <c r="C70" s="424"/>
      <c r="D70" s="43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3" t="e">
        <f>+'Estado de costos'!#REF!</f>
        <v>#REF!</v>
      </c>
      <c r="C71" s="424"/>
      <c r="D71" s="43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3" t="e">
        <f>+'Estado de costos'!#REF!</f>
        <v>#REF!</v>
      </c>
      <c r="C72" s="424"/>
      <c r="D72" s="43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3" t="e">
        <f>+'Estado de costos'!#REF!</f>
        <v>#REF!</v>
      </c>
      <c r="C73" s="424"/>
      <c r="D73" s="43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3" t="e">
        <f>+'Estado de costos'!#REF!</f>
        <v>#REF!</v>
      </c>
      <c r="C74" s="424"/>
      <c r="D74" s="43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3" t="e">
        <f>+'Estado de costos'!#REF!</f>
        <v>#REF!</v>
      </c>
      <c r="C75" s="424"/>
      <c r="D75" s="43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3" t="e">
        <f>+'Estado de costos'!#REF!</f>
        <v>#REF!</v>
      </c>
      <c r="C76" s="424"/>
      <c r="D76" s="43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3" t="e">
        <f>+'Estado de costos'!#REF!</f>
        <v>#REF!</v>
      </c>
      <c r="C77" s="424"/>
      <c r="D77" s="43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3" t="e">
        <f>+'Estado de costos'!#REF!</f>
        <v>#REF!</v>
      </c>
      <c r="C78" s="424"/>
      <c r="D78" s="43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3" t="e">
        <f>+'Estado de costos'!#REF!</f>
        <v>#REF!</v>
      </c>
      <c r="C79" s="424"/>
      <c r="D79" s="43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3" t="e">
        <f>+'Estado de costos'!#REF!</f>
        <v>#REF!</v>
      </c>
      <c r="C80" s="424"/>
      <c r="D80" s="43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3" t="e">
        <f>+'Estado de costos'!#REF!</f>
        <v>#REF!</v>
      </c>
      <c r="C81" s="424"/>
      <c r="D81" s="43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3" t="e">
        <f>+'Estado de costos'!#REF!</f>
        <v>#REF!</v>
      </c>
      <c r="C82" s="424"/>
      <c r="D82" s="43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3" t="e">
        <f>+'Estado de costos'!#REF!</f>
        <v>#REF!</v>
      </c>
      <c r="C83" s="424"/>
      <c r="D83" s="43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3" t="e">
        <f>+'Estado de costos'!#REF!</f>
        <v>#REF!</v>
      </c>
      <c r="C84" s="424"/>
      <c r="D84" s="43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3" t="e">
        <f>+'Estado de costos'!#REF!</f>
        <v>#REF!</v>
      </c>
      <c r="C85" s="424"/>
      <c r="D85" s="43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3" t="e">
        <f>+'Estado de costos'!#REF!</f>
        <v>#REF!</v>
      </c>
      <c r="C86" s="424"/>
      <c r="D86" s="43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3" t="e">
        <f>+'Estado de costos'!#REF!</f>
        <v>#REF!</v>
      </c>
      <c r="C87" s="424"/>
      <c r="D87" s="43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3" t="e">
        <f>+'Estado de costos'!#REF!</f>
        <v>#REF!</v>
      </c>
      <c r="C88" s="424"/>
      <c r="D88" s="43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3" t="e">
        <f>+'Estado de costos'!#REF!</f>
        <v>#REF!</v>
      </c>
      <c r="C89" s="424"/>
      <c r="D89" s="43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3" t="e">
        <f>+'Estado de costos'!#REF!</f>
        <v>#REF!</v>
      </c>
      <c r="C90" s="424"/>
      <c r="D90" s="43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3" t="e">
        <f>+'Estado de costos'!#REF!</f>
        <v>#REF!</v>
      </c>
      <c r="C91" s="424"/>
      <c r="D91" s="43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31" t="s">
        <v>48</v>
      </c>
      <c r="C92" s="432"/>
      <c r="D92" s="432"/>
      <c r="E92" s="433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 xr:uid="{00000000-0009-0000-0000-000003000000}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 xr:uid="{00000000-0002-0000-0300-000000000000}">
      <formula1>#REF!</formula1>
    </dataValidation>
  </dataValidations>
  <hyperlinks>
    <hyperlink ref="D13" r:id="rId1" display="VICTORLOPEZ@GRUPOREGIONAL.COM" xr:uid="{00000000-0004-0000-03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Hoja1!$Q$5:$Q$9</xm:f>
          </x14:formula1>
          <xm:sqref>J38:J91</xm:sqref>
        </x14:dataValidation>
        <x14:dataValidation type="list" allowBlank="1" showInputMessage="1" showErrorMessage="1" xr:uid="{00000000-0002-0000-0300-000002000000}">
          <x14:formula1>
            <xm:f>Hoja1!$Q$1:$Q$3</xm:f>
          </x14:formula1>
          <xm:sqref>J22:J30</xm:sqref>
        </x14:dataValidation>
        <x14:dataValidation type="list" allowBlank="1" showInputMessage="1" showErrorMessage="1" xr:uid="{00000000-0002-0000-0300-000003000000}">
          <x14:formula1>
            <xm:f>'\\DESKTOP-88viqu3\carpetas compartidas\Users\Dell\Downloads\[RICHAR.xlsx]Hoja2'!#REF!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295.86</v>
      </c>
      <c r="E5" s="120">
        <v>295.86</v>
      </c>
      <c r="F5" s="7" t="s">
        <v>181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TRANSPORTE DE MATERIAL A DISTINTAS SALAS DE SUPERMERCADO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295.86</v>
      </c>
      <c r="N10" s="7">
        <f>'Estado de costos'!J38</f>
        <v>295.86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GASOLINA FOTON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0</v>
      </c>
      <c r="N11" s="7">
        <f>'Estado de costos'!J39</f>
        <v>0</v>
      </c>
      <c r="O11" s="7" t="str">
        <f>'Estado de costos'!K39</f>
        <v>888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>
        <f>'Estado de costos'!B41</f>
        <v>0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295.86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147.4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295.86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38.461800000000004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334.3218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Ayde</cp:lastModifiedBy>
  <cp:lastPrinted>2019-02-07T18:40:20Z</cp:lastPrinted>
  <dcterms:created xsi:type="dcterms:W3CDTF">2016-10-17T20:34:40Z</dcterms:created>
  <dcterms:modified xsi:type="dcterms:W3CDTF">2019-02-07T18:40:23Z</dcterms:modified>
</cp:coreProperties>
</file>