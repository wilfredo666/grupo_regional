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varo Vega\Desktop\Cotizaciones 2019\Cotizacion Serpentinas Unilever\"/>
    </mc:Choice>
  </mc:AlternateContent>
  <bookViews>
    <workbookView xWindow="0" yWindow="0" windowWidth="20490" windowHeight="9045" firstSheet="1" activeTab="2"/>
  </bookViews>
  <sheets>
    <sheet name="Hoja1" sheetId="30" state="hidden" r:id="rId1"/>
    <sheet name="Estado de costos" sheetId="8" r:id="rId2"/>
    <sheet name="Carta PDF" sheetId="34" r:id="rId3"/>
    <sheet name="Adquisicion(ISA) " sheetId="31" state="hidden" r:id="rId4"/>
    <sheet name="Hoja2" sheetId="32" state="hidden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2">'Carta PDF'!$A$1:$G$53</definedName>
    <definedName name="_xlnm.Print_Area" localSheetId="1">'Estado de costos'!$A$1:$N$78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L4" i="32"/>
  <c r="N4" i="32"/>
  <c r="O4" i="32"/>
  <c r="J5" i="32"/>
  <c r="K5" i="32"/>
  <c r="L5" i="32"/>
  <c r="N5" i="32"/>
  <c r="O5" i="32"/>
  <c r="P5" i="32"/>
  <c r="J6" i="32"/>
  <c r="K6" i="32"/>
  <c r="L6" i="32"/>
  <c r="M6" i="32" s="1"/>
  <c r="N6" i="32"/>
  <c r="O6" i="32"/>
  <c r="P6" i="32"/>
  <c r="J7" i="32"/>
  <c r="K7" i="32"/>
  <c r="L7" i="32"/>
  <c r="M7" i="32"/>
  <c r="N7" i="32"/>
  <c r="P7" i="32" s="1"/>
  <c r="O7" i="32"/>
  <c r="J8" i="32"/>
  <c r="K8" i="32"/>
  <c r="L8" i="32"/>
  <c r="N8" i="32"/>
  <c r="O8" i="32"/>
  <c r="J9" i="32"/>
  <c r="K9" i="32"/>
  <c r="L9" i="32"/>
  <c r="N9" i="32"/>
  <c r="O9" i="32"/>
  <c r="P9" i="32"/>
  <c r="J10" i="32"/>
  <c r="K10" i="32"/>
  <c r="L10" i="32"/>
  <c r="M10" i="32" s="1"/>
  <c r="N10" i="32"/>
  <c r="O10" i="32"/>
  <c r="P10" i="32"/>
  <c r="J11" i="32"/>
  <c r="K11" i="32"/>
  <c r="L11" i="32"/>
  <c r="O11" i="32"/>
  <c r="J12" i="32"/>
  <c r="K12" i="32"/>
  <c r="L12" i="32"/>
  <c r="N12" i="32"/>
  <c r="O12" i="32"/>
  <c r="J13" i="32"/>
  <c r="K13" i="32"/>
  <c r="L13" i="32"/>
  <c r="N13" i="32"/>
  <c r="M13" i="32" s="1"/>
  <c r="O13" i="32"/>
  <c r="P13" i="32"/>
  <c r="J14" i="32"/>
  <c r="K14" i="32"/>
  <c r="L14" i="32"/>
  <c r="M14" i="32" s="1"/>
  <c r="N14" i="32"/>
  <c r="O14" i="32"/>
  <c r="P14" i="32"/>
  <c r="J15" i="32"/>
  <c r="K15" i="32"/>
  <c r="L15" i="32"/>
  <c r="M15" i="32"/>
  <c r="N15" i="32"/>
  <c r="P15" i="32" s="1"/>
  <c r="O15" i="32"/>
  <c r="J16" i="32"/>
  <c r="K16" i="32"/>
  <c r="L16" i="32"/>
  <c r="N16" i="32"/>
  <c r="O16" i="32"/>
  <c r="J17" i="32"/>
  <c r="K17" i="32"/>
  <c r="L17" i="32"/>
  <c r="N17" i="32"/>
  <c r="O17" i="32"/>
  <c r="P17" i="32"/>
  <c r="J18" i="32"/>
  <c r="K18" i="32"/>
  <c r="L18" i="32"/>
  <c r="O18" i="32"/>
  <c r="J19" i="32"/>
  <c r="K19" i="32"/>
  <c r="L19" i="32"/>
  <c r="M19" i="32"/>
  <c r="N19" i="32"/>
  <c r="P19" i="32" s="1"/>
  <c r="O19" i="32"/>
  <c r="J20" i="32"/>
  <c r="K20" i="32"/>
  <c r="L20" i="32"/>
  <c r="N20" i="32"/>
  <c r="O20" i="32"/>
  <c r="J21" i="32"/>
  <c r="K21" i="32"/>
  <c r="L21" i="32"/>
  <c r="N21" i="32"/>
  <c r="M21" i="32" s="1"/>
  <c r="O21" i="32"/>
  <c r="P21" i="32"/>
  <c r="J22" i="32"/>
  <c r="K22" i="32"/>
  <c r="L22" i="32"/>
  <c r="M22" i="32" s="1"/>
  <c r="N22" i="32"/>
  <c r="O22" i="32"/>
  <c r="P22" i="32"/>
  <c r="J23" i="32"/>
  <c r="K23" i="32"/>
  <c r="L23" i="32"/>
  <c r="O23" i="32"/>
  <c r="J24" i="32"/>
  <c r="K24" i="32"/>
  <c r="L24" i="32"/>
  <c r="N24" i="32"/>
  <c r="O24" i="32"/>
  <c r="J25" i="32"/>
  <c r="K25" i="32"/>
  <c r="L25" i="32"/>
  <c r="N25" i="32"/>
  <c r="O25" i="32"/>
  <c r="P25" i="32"/>
  <c r="J26" i="32"/>
  <c r="K26" i="32"/>
  <c r="L26" i="32"/>
  <c r="M26" i="32" s="1"/>
  <c r="N26" i="32"/>
  <c r="O26" i="32"/>
  <c r="P26" i="32"/>
  <c r="J27" i="32"/>
  <c r="K27" i="32"/>
  <c r="L27" i="32"/>
  <c r="M27" i="32"/>
  <c r="N27" i="32"/>
  <c r="P27" i="32" s="1"/>
  <c r="O27" i="32"/>
  <c r="J28" i="32"/>
  <c r="K28" i="32"/>
  <c r="L28" i="32"/>
  <c r="O28" i="32"/>
  <c r="J29" i="32"/>
  <c r="K29" i="32"/>
  <c r="L29" i="32"/>
  <c r="M29" i="32" s="1"/>
  <c r="N29" i="32"/>
  <c r="O29" i="32"/>
  <c r="P29" i="32"/>
  <c r="J30" i="32"/>
  <c r="K30" i="32"/>
  <c r="L30" i="32"/>
  <c r="M30" i="32" s="1"/>
  <c r="N30" i="32"/>
  <c r="O30" i="32"/>
  <c r="P30" i="32"/>
  <c r="J31" i="32"/>
  <c r="K31" i="32"/>
  <c r="L31" i="32"/>
  <c r="M31" i="32"/>
  <c r="N31" i="32"/>
  <c r="P31" i="32" s="1"/>
  <c r="O31" i="32"/>
  <c r="J32" i="32"/>
  <c r="L32" i="32"/>
  <c r="N32" i="32"/>
  <c r="O32" i="32"/>
  <c r="J33" i="32"/>
  <c r="K33" i="32"/>
  <c r="L33" i="32"/>
  <c r="M33" i="32" s="1"/>
  <c r="N33" i="32"/>
  <c r="O33" i="32"/>
  <c r="P33" i="32"/>
  <c r="J34" i="32"/>
  <c r="K34" i="32"/>
  <c r="L34" i="32"/>
  <c r="M34" i="32" s="1"/>
  <c r="N34" i="32"/>
  <c r="O34" i="32"/>
  <c r="P34" i="32"/>
  <c r="J35" i="32"/>
  <c r="K35" i="32"/>
  <c r="L35" i="32"/>
  <c r="M35" i="32"/>
  <c r="N35" i="32"/>
  <c r="P35" i="32" s="1"/>
  <c r="O35" i="32"/>
  <c r="J36" i="32"/>
  <c r="K36" i="32"/>
  <c r="L36" i="32"/>
  <c r="N36" i="32"/>
  <c r="O36" i="32"/>
  <c r="J37" i="32"/>
  <c r="K37" i="32"/>
  <c r="L37" i="32"/>
  <c r="N37" i="32"/>
  <c r="O37" i="32"/>
  <c r="P37" i="32"/>
  <c r="J38" i="32"/>
  <c r="K38" i="32"/>
  <c r="L38" i="32"/>
  <c r="M38" i="32" s="1"/>
  <c r="N38" i="32"/>
  <c r="O38" i="32"/>
  <c r="P38" i="32"/>
  <c r="J39" i="32"/>
  <c r="K39" i="32"/>
  <c r="L39" i="32"/>
  <c r="M39" i="32"/>
  <c r="N39" i="32"/>
  <c r="P39" i="32" s="1"/>
  <c r="O39" i="32"/>
  <c r="J40" i="32"/>
  <c r="K40" i="32"/>
  <c r="L40" i="32"/>
  <c r="N40" i="32"/>
  <c r="O40" i="32"/>
  <c r="J41" i="32"/>
  <c r="K41" i="32"/>
  <c r="L41" i="32"/>
  <c r="O41" i="32"/>
  <c r="J42" i="32"/>
  <c r="K42" i="32"/>
  <c r="L42" i="32"/>
  <c r="O42" i="32"/>
  <c r="J43" i="32"/>
  <c r="K43" i="32"/>
  <c r="L43" i="32"/>
  <c r="M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P45" i="32"/>
  <c r="J46" i="32"/>
  <c r="K46" i="32"/>
  <c r="L46" i="32"/>
  <c r="M46" i="32" s="1"/>
  <c r="N46" i="32"/>
  <c r="O46" i="32"/>
  <c r="P46" i="32"/>
  <c r="J47" i="32"/>
  <c r="K47" i="32"/>
  <c r="L47" i="32"/>
  <c r="M47" i="32"/>
  <c r="N47" i="32"/>
  <c r="P47" i="32" s="1"/>
  <c r="O47" i="32"/>
  <c r="J48" i="32"/>
  <c r="K48" i="32"/>
  <c r="L48" i="32"/>
  <c r="N48" i="32"/>
  <c r="O48" i="32"/>
  <c r="J49" i="32"/>
  <c r="K49" i="32"/>
  <c r="L49" i="32"/>
  <c r="M49" i="32" s="1"/>
  <c r="N49" i="32"/>
  <c r="O49" i="32"/>
  <c r="P49" i="32"/>
  <c r="J50" i="32"/>
  <c r="K50" i="32"/>
  <c r="L50" i="32"/>
  <c r="M50" i="32" s="1"/>
  <c r="N50" i="32"/>
  <c r="O50" i="32"/>
  <c r="P50" i="32"/>
  <c r="J51" i="32"/>
  <c r="K51" i="32"/>
  <c r="L51" i="32"/>
  <c r="M51" i="32"/>
  <c r="N51" i="32"/>
  <c r="P51" i="32" s="1"/>
  <c r="O51" i="32"/>
  <c r="J52" i="32"/>
  <c r="K52" i="32"/>
  <c r="L52" i="32"/>
  <c r="N52" i="32"/>
  <c r="O52" i="32"/>
  <c r="J53" i="32"/>
  <c r="K53" i="32"/>
  <c r="L53" i="32"/>
  <c r="M53" i="32" s="1"/>
  <c r="N53" i="32"/>
  <c r="O53" i="32"/>
  <c r="P53" i="32"/>
  <c r="J54" i="32"/>
  <c r="K54" i="32"/>
  <c r="L54" i="32"/>
  <c r="M54" i="32" s="1"/>
  <c r="N54" i="32"/>
  <c r="O54" i="32"/>
  <c r="P54" i="32"/>
  <c r="J55" i="32"/>
  <c r="K55" i="32"/>
  <c r="L55" i="32"/>
  <c r="M55" i="32"/>
  <c r="N55" i="32"/>
  <c r="P55" i="32" s="1"/>
  <c r="O55" i="32"/>
  <c r="J56" i="32"/>
  <c r="K56" i="32"/>
  <c r="L56" i="32"/>
  <c r="N56" i="32"/>
  <c r="O56" i="32"/>
  <c r="J57" i="32"/>
  <c r="K57" i="32"/>
  <c r="L57" i="32"/>
  <c r="N57" i="32"/>
  <c r="O57" i="32"/>
  <c r="P57" i="32"/>
  <c r="J58" i="32"/>
  <c r="K58" i="32"/>
  <c r="L58" i="32"/>
  <c r="M58" i="32" s="1"/>
  <c r="N58" i="32"/>
  <c r="O58" i="32"/>
  <c r="P58" i="32"/>
  <c r="J59" i="32"/>
  <c r="K59" i="32"/>
  <c r="L59" i="32"/>
  <c r="M59" i="32"/>
  <c r="N59" i="32"/>
  <c r="P59" i="32" s="1"/>
  <c r="O59" i="32"/>
  <c r="J60" i="32"/>
  <c r="K60" i="32"/>
  <c r="L60" i="32"/>
  <c r="N60" i="32"/>
  <c r="O60" i="32"/>
  <c r="J61" i="32"/>
  <c r="K61" i="32"/>
  <c r="L61" i="32"/>
  <c r="N61" i="32"/>
  <c r="O61" i="32"/>
  <c r="P61" i="32"/>
  <c r="J62" i="32"/>
  <c r="K62" i="32"/>
  <c r="L62" i="32"/>
  <c r="M62" i="32" s="1"/>
  <c r="N62" i="32"/>
  <c r="O62" i="32"/>
  <c r="P62" i="32"/>
  <c r="J63" i="32"/>
  <c r="K63" i="32"/>
  <c r="L63" i="32"/>
  <c r="M63" i="32"/>
  <c r="N63" i="32"/>
  <c r="P63" i="32" s="1"/>
  <c r="O63" i="32"/>
  <c r="J64" i="32"/>
  <c r="K64" i="32"/>
  <c r="L64" i="32"/>
  <c r="N64" i="32"/>
  <c r="O64" i="32"/>
  <c r="J65" i="32"/>
  <c r="K65" i="32"/>
  <c r="L65" i="32"/>
  <c r="N65" i="32"/>
  <c r="M65" i="32" s="1"/>
  <c r="O65" i="32"/>
  <c r="P65" i="32"/>
  <c r="J66" i="32"/>
  <c r="K66" i="32"/>
  <c r="L66" i="32"/>
  <c r="M66" i="32" s="1"/>
  <c r="N66" i="32"/>
  <c r="O66" i="32"/>
  <c r="P66" i="32"/>
  <c r="J67" i="32"/>
  <c r="K67" i="32"/>
  <c r="L67" i="32"/>
  <c r="M67" i="32"/>
  <c r="N67" i="32"/>
  <c r="P67" i="32" s="1"/>
  <c r="O67" i="32"/>
  <c r="J68" i="32"/>
  <c r="K68" i="32"/>
  <c r="L68" i="32"/>
  <c r="N68" i="32"/>
  <c r="O68" i="32"/>
  <c r="J69" i="32"/>
  <c r="K69" i="32"/>
  <c r="L69" i="32"/>
  <c r="N69" i="32"/>
  <c r="M69" i="32" s="1"/>
  <c r="O69" i="32"/>
  <c r="P69" i="32"/>
  <c r="J70" i="32"/>
  <c r="K70" i="32"/>
  <c r="L70" i="32"/>
  <c r="M70" i="32" s="1"/>
  <c r="N70" i="32"/>
  <c r="O70" i="32"/>
  <c r="P70" i="32"/>
  <c r="J71" i="32"/>
  <c r="K71" i="32"/>
  <c r="L71" i="32"/>
  <c r="M71" i="32"/>
  <c r="N71" i="32"/>
  <c r="P71" i="32" s="1"/>
  <c r="O71" i="32"/>
  <c r="J72" i="32"/>
  <c r="K72" i="32"/>
  <c r="L72" i="32"/>
  <c r="N72" i="32"/>
  <c r="O72" i="32"/>
  <c r="J73" i="32"/>
  <c r="K73" i="32"/>
  <c r="L73" i="32"/>
  <c r="N73" i="32"/>
  <c r="O73" i="32"/>
  <c r="P73" i="32"/>
  <c r="J74" i="32"/>
  <c r="K74" i="32"/>
  <c r="L74" i="32"/>
  <c r="M74" i="32" s="1"/>
  <c r="N74" i="32"/>
  <c r="O74" i="32"/>
  <c r="P74" i="32"/>
  <c r="J75" i="32"/>
  <c r="K75" i="32"/>
  <c r="L75" i="32"/>
  <c r="M75" i="32"/>
  <c r="N75" i="32"/>
  <c r="P75" i="32" s="1"/>
  <c r="O75" i="32"/>
  <c r="J76" i="32"/>
  <c r="K76" i="32"/>
  <c r="L76" i="32"/>
  <c r="N76" i="32"/>
  <c r="O76" i="32"/>
  <c r="J77" i="32"/>
  <c r="K77" i="32"/>
  <c r="L77" i="32"/>
  <c r="N77" i="32"/>
  <c r="O77" i="32"/>
  <c r="P77" i="32"/>
  <c r="J78" i="32"/>
  <c r="K78" i="32"/>
  <c r="L78" i="32"/>
  <c r="M78" i="32" s="1"/>
  <c r="N78" i="32"/>
  <c r="O78" i="32"/>
  <c r="P78" i="32"/>
  <c r="J79" i="32"/>
  <c r="K79" i="32"/>
  <c r="L79" i="32"/>
  <c r="M79" i="32"/>
  <c r="N79" i="32"/>
  <c r="P79" i="32" s="1"/>
  <c r="O79" i="32"/>
  <c r="J80" i="32"/>
  <c r="K80" i="32"/>
  <c r="L80" i="32"/>
  <c r="N80" i="32"/>
  <c r="O80" i="32"/>
  <c r="J81" i="32"/>
  <c r="K81" i="32"/>
  <c r="L81" i="32"/>
  <c r="N81" i="32"/>
  <c r="M81" i="32" s="1"/>
  <c r="O81" i="32"/>
  <c r="P81" i="32"/>
  <c r="J82" i="32"/>
  <c r="K82" i="32"/>
  <c r="L82" i="32"/>
  <c r="M82" i="32" s="1"/>
  <c r="N82" i="32"/>
  <c r="O82" i="32"/>
  <c r="P82" i="32"/>
  <c r="J83" i="32"/>
  <c r="K83" i="32"/>
  <c r="L83" i="32"/>
  <c r="M83" i="32"/>
  <c r="N83" i="32"/>
  <c r="P83" i="32" s="1"/>
  <c r="O83" i="32"/>
  <c r="J84" i="32"/>
  <c r="K84" i="32"/>
  <c r="L84" i="32"/>
  <c r="N84" i="32"/>
  <c r="O84" i="32"/>
  <c r="J85" i="32"/>
  <c r="K85" i="32"/>
  <c r="L85" i="32"/>
  <c r="N85" i="32"/>
  <c r="M85" i="32" s="1"/>
  <c r="O85" i="32"/>
  <c r="P85" i="32"/>
  <c r="J86" i="32"/>
  <c r="K86" i="32"/>
  <c r="L86" i="32"/>
  <c r="M86" i="32" s="1"/>
  <c r="N86" i="32"/>
  <c r="O86" i="32"/>
  <c r="P86" i="32"/>
  <c r="J87" i="32"/>
  <c r="K87" i="32"/>
  <c r="L87" i="32"/>
  <c r="M87" i="32"/>
  <c r="N87" i="32"/>
  <c r="P87" i="32" s="1"/>
  <c r="O87" i="32"/>
  <c r="J88" i="32"/>
  <c r="K88" i="32"/>
  <c r="L88" i="32"/>
  <c r="N88" i="32"/>
  <c r="O88" i="32"/>
  <c r="J89" i="32"/>
  <c r="K89" i="32"/>
  <c r="L89" i="32"/>
  <c r="N89" i="32"/>
  <c r="O89" i="32"/>
  <c r="P89" i="32"/>
  <c r="J90" i="32"/>
  <c r="K90" i="32"/>
  <c r="L90" i="32"/>
  <c r="M90" i="32" s="1"/>
  <c r="N90" i="32"/>
  <c r="O90" i="32"/>
  <c r="P90" i="32"/>
  <c r="J91" i="32"/>
  <c r="K91" i="32"/>
  <c r="L91" i="32"/>
  <c r="M91" i="32"/>
  <c r="N91" i="32"/>
  <c r="P91" i="32" s="1"/>
  <c r="O91" i="32"/>
  <c r="J92" i="32"/>
  <c r="K92" i="32"/>
  <c r="L92" i="32"/>
  <c r="N92" i="32"/>
  <c r="O92" i="32"/>
  <c r="J93" i="32"/>
  <c r="K93" i="32"/>
  <c r="L93" i="32"/>
  <c r="N93" i="32"/>
  <c r="O93" i="32"/>
  <c r="P93" i="32"/>
  <c r="J94" i="32"/>
  <c r="K94" i="32"/>
  <c r="L94" i="32"/>
  <c r="M94" i="32" s="1"/>
  <c r="N94" i="32"/>
  <c r="O94" i="32"/>
  <c r="P94" i="32"/>
  <c r="J95" i="32"/>
  <c r="K95" i="32"/>
  <c r="L95" i="32"/>
  <c r="M95" i="32"/>
  <c r="N95" i="32"/>
  <c r="P95" i="32" s="1"/>
  <c r="O95" i="32"/>
  <c r="J96" i="32"/>
  <c r="K96" i="32"/>
  <c r="L96" i="32"/>
  <c r="N96" i="32"/>
  <c r="O96" i="32"/>
  <c r="J97" i="32"/>
  <c r="K97" i="32"/>
  <c r="L97" i="32"/>
  <c r="N97" i="32"/>
  <c r="M97" i="32" s="1"/>
  <c r="O97" i="32"/>
  <c r="P97" i="32"/>
  <c r="J98" i="32"/>
  <c r="K98" i="32"/>
  <c r="L98" i="32"/>
  <c r="M98" i="32" s="1"/>
  <c r="N98" i="32"/>
  <c r="O98" i="32"/>
  <c r="P98" i="32"/>
  <c r="J99" i="32"/>
  <c r="K99" i="32"/>
  <c r="L99" i="32"/>
  <c r="M99" i="32"/>
  <c r="N99" i="32"/>
  <c r="P99" i="32" s="1"/>
  <c r="O99" i="32"/>
  <c r="J100" i="32"/>
  <c r="K100" i="32"/>
  <c r="L100" i="32"/>
  <c r="N100" i="32"/>
  <c r="O100" i="32"/>
  <c r="J101" i="32"/>
  <c r="K101" i="32"/>
  <c r="L101" i="32"/>
  <c r="N101" i="32"/>
  <c r="M101" i="32" s="1"/>
  <c r="O101" i="32"/>
  <c r="P101" i="32"/>
  <c r="J102" i="32"/>
  <c r="K102" i="32"/>
  <c r="L102" i="32"/>
  <c r="M102" i="32" s="1"/>
  <c r="N102" i="32"/>
  <c r="O102" i="32"/>
  <c r="P102" i="32"/>
  <c r="J103" i="32"/>
  <c r="K103" i="32"/>
  <c r="L103" i="32"/>
  <c r="M103" i="32"/>
  <c r="N103" i="32"/>
  <c r="P103" i="32" s="1"/>
  <c r="O103" i="32"/>
  <c r="J104" i="32"/>
  <c r="K104" i="32"/>
  <c r="L104" i="32"/>
  <c r="N104" i="32"/>
  <c r="O104" i="32"/>
  <c r="J105" i="32"/>
  <c r="K105" i="32"/>
  <c r="L105" i="32"/>
  <c r="N105" i="32"/>
  <c r="O105" i="32"/>
  <c r="P105" i="32"/>
  <c r="J106" i="32"/>
  <c r="K106" i="32"/>
  <c r="L106" i="32"/>
  <c r="M106" i="32" s="1"/>
  <c r="N106" i="32"/>
  <c r="O106" i="32"/>
  <c r="P106" i="32"/>
  <c r="J107" i="32"/>
  <c r="K107" i="32"/>
  <c r="L107" i="32"/>
  <c r="M107" i="32"/>
  <c r="N107" i="32"/>
  <c r="P107" i="32" s="1"/>
  <c r="O107" i="32"/>
  <c r="J108" i="32"/>
  <c r="K108" i="32"/>
  <c r="L108" i="32"/>
  <c r="N108" i="32"/>
  <c r="O108" i="32"/>
  <c r="J109" i="32"/>
  <c r="K109" i="32"/>
  <c r="L109" i="32"/>
  <c r="N109" i="32"/>
  <c r="O109" i="32"/>
  <c r="P109" i="32"/>
  <c r="J110" i="32"/>
  <c r="K110" i="32"/>
  <c r="L110" i="32"/>
  <c r="M110" i="32" s="1"/>
  <c r="N110" i="32"/>
  <c r="O110" i="32"/>
  <c r="P110" i="32"/>
  <c r="J111" i="32"/>
  <c r="K111" i="32"/>
  <c r="L111" i="32"/>
  <c r="M111" i="32"/>
  <c r="N111" i="32"/>
  <c r="P111" i="32" s="1"/>
  <c r="O111" i="32"/>
  <c r="J112" i="32"/>
  <c r="K112" i="32"/>
  <c r="L112" i="32"/>
  <c r="N112" i="32"/>
  <c r="O112" i="32"/>
  <c r="J113" i="32"/>
  <c r="K113" i="32"/>
  <c r="L113" i="32"/>
  <c r="N113" i="32"/>
  <c r="M113" i="32" s="1"/>
  <c r="O113" i="32"/>
  <c r="P113" i="32"/>
  <c r="J114" i="32"/>
  <c r="K114" i="32"/>
  <c r="L114" i="32"/>
  <c r="M114" i="32" s="1"/>
  <c r="N114" i="32"/>
  <c r="O114" i="32"/>
  <c r="P114" i="32"/>
  <c r="J115" i="32"/>
  <c r="K115" i="32"/>
  <c r="L115" i="32"/>
  <c r="M115" i="32"/>
  <c r="N115" i="32"/>
  <c r="P115" i="32" s="1"/>
  <c r="O115" i="32"/>
  <c r="J116" i="32"/>
  <c r="K116" i="32"/>
  <c r="L116" i="32"/>
  <c r="N116" i="32"/>
  <c r="O116" i="32"/>
  <c r="J117" i="32"/>
  <c r="K117" i="32"/>
  <c r="L117" i="32"/>
  <c r="N117" i="32"/>
  <c r="M117" i="32" s="1"/>
  <c r="O117" i="32"/>
  <c r="P117" i="32"/>
  <c r="J118" i="32"/>
  <c r="K118" i="32"/>
  <c r="L118" i="32"/>
  <c r="M118" i="32" s="1"/>
  <c r="N118" i="32"/>
  <c r="O118" i="32"/>
  <c r="P118" i="32"/>
  <c r="J119" i="32"/>
  <c r="K119" i="32"/>
  <c r="L119" i="32"/>
  <c r="M119" i="32"/>
  <c r="N119" i="32"/>
  <c r="P119" i="32" s="1"/>
  <c r="O119" i="32"/>
  <c r="J120" i="32"/>
  <c r="K120" i="32"/>
  <c r="L120" i="32"/>
  <c r="N120" i="32"/>
  <c r="O120" i="32"/>
  <c r="J121" i="32"/>
  <c r="K121" i="32"/>
  <c r="L121" i="32"/>
  <c r="N121" i="32"/>
  <c r="O121" i="32"/>
  <c r="P121" i="32"/>
  <c r="J122" i="32"/>
  <c r="K122" i="32"/>
  <c r="L122" i="32"/>
  <c r="M122" i="32" s="1"/>
  <c r="N122" i="32"/>
  <c r="O122" i="32"/>
  <c r="P122" i="32"/>
  <c r="J123" i="32"/>
  <c r="K123" i="32"/>
  <c r="L123" i="32"/>
  <c r="M123" i="32"/>
  <c r="N123" i="32"/>
  <c r="P123" i="32" s="1"/>
  <c r="O123" i="32"/>
  <c r="J124" i="32"/>
  <c r="K124" i="32"/>
  <c r="L124" i="32"/>
  <c r="N124" i="32"/>
  <c r="O124" i="32"/>
  <c r="J125" i="32"/>
  <c r="K125" i="32"/>
  <c r="L125" i="32"/>
  <c r="N125" i="32"/>
  <c r="O125" i="32"/>
  <c r="P125" i="32"/>
  <c r="J126" i="32"/>
  <c r="K126" i="32"/>
  <c r="L126" i="32"/>
  <c r="M126" i="32" s="1"/>
  <c r="N126" i="32"/>
  <c r="O126" i="32"/>
  <c r="P126" i="32"/>
  <c r="J127" i="32"/>
  <c r="K127" i="32"/>
  <c r="L127" i="32"/>
  <c r="M127" i="32"/>
  <c r="N127" i="32"/>
  <c r="P127" i="32" s="1"/>
  <c r="O127" i="32"/>
  <c r="J128" i="32"/>
  <c r="K128" i="32"/>
  <c r="L128" i="32"/>
  <c r="N128" i="32"/>
  <c r="O128" i="32"/>
  <c r="J129" i="32"/>
  <c r="K129" i="32"/>
  <c r="L129" i="32"/>
  <c r="N129" i="32"/>
  <c r="M129" i="32" s="1"/>
  <c r="O129" i="32"/>
  <c r="P129" i="32"/>
  <c r="J130" i="32"/>
  <c r="K130" i="32"/>
  <c r="L130" i="32"/>
  <c r="M130" i="32" s="1"/>
  <c r="N130" i="32"/>
  <c r="O130" i="32"/>
  <c r="P130" i="32"/>
  <c r="J131" i="32"/>
  <c r="K131" i="32"/>
  <c r="L131" i="32"/>
  <c r="M131" i="32"/>
  <c r="N131" i="32"/>
  <c r="P131" i="32" s="1"/>
  <c r="O131" i="32"/>
  <c r="J132" i="32"/>
  <c r="K132" i="32"/>
  <c r="L132" i="32"/>
  <c r="N132" i="32"/>
  <c r="O132" i="32"/>
  <c r="J133" i="32"/>
  <c r="K133" i="32"/>
  <c r="L133" i="32"/>
  <c r="N133" i="32"/>
  <c r="M133" i="32" s="1"/>
  <c r="O133" i="32"/>
  <c r="P133" i="32"/>
  <c r="J134" i="32"/>
  <c r="K134" i="32"/>
  <c r="L134" i="32"/>
  <c r="M134" i="32" s="1"/>
  <c r="N134" i="32"/>
  <c r="O134" i="32"/>
  <c r="P134" i="32"/>
  <c r="J135" i="32"/>
  <c r="K135" i="32"/>
  <c r="L135" i="32"/>
  <c r="M135" i="32"/>
  <c r="N135" i="32"/>
  <c r="P135" i="32" s="1"/>
  <c r="O135" i="32"/>
  <c r="J136" i="32"/>
  <c r="K136" i="32"/>
  <c r="L136" i="32"/>
  <c r="N136" i="32"/>
  <c r="O136" i="32"/>
  <c r="J137" i="32"/>
  <c r="K137" i="32"/>
  <c r="L137" i="32"/>
  <c r="N137" i="32"/>
  <c r="O137" i="32"/>
  <c r="P137" i="32"/>
  <c r="J138" i="32"/>
  <c r="K138" i="32"/>
  <c r="L138" i="32"/>
  <c r="M138" i="32" s="1"/>
  <c r="N138" i="32"/>
  <c r="O138" i="32"/>
  <c r="P138" i="32"/>
  <c r="J139" i="32"/>
  <c r="K139" i="32"/>
  <c r="L139" i="32"/>
  <c r="M139" i="32"/>
  <c r="N139" i="32"/>
  <c r="P139" i="32" s="1"/>
  <c r="O139" i="32"/>
  <c r="J140" i="32"/>
  <c r="K140" i="32"/>
  <c r="L140" i="32"/>
  <c r="N140" i="32"/>
  <c r="O140" i="32"/>
  <c r="J141" i="32"/>
  <c r="K141" i="32"/>
  <c r="L141" i="32"/>
  <c r="N141" i="32"/>
  <c r="O141" i="32"/>
  <c r="P141" i="32"/>
  <c r="J142" i="32"/>
  <c r="K142" i="32"/>
  <c r="L142" i="32"/>
  <c r="M142" i="32" s="1"/>
  <c r="N142" i="32"/>
  <c r="O142" i="32"/>
  <c r="P142" i="32"/>
  <c r="J143" i="32"/>
  <c r="K143" i="32"/>
  <c r="L143" i="32"/>
  <c r="M143" i="32"/>
  <c r="N143" i="32"/>
  <c r="P143" i="32" s="1"/>
  <c r="O143" i="32"/>
  <c r="J144" i="32"/>
  <c r="K144" i="32"/>
  <c r="L144" i="32"/>
  <c r="N144" i="32"/>
  <c r="O144" i="32"/>
  <c r="J145" i="32"/>
  <c r="K145" i="32"/>
  <c r="L145" i="32"/>
  <c r="N145" i="32"/>
  <c r="M145" i="32" s="1"/>
  <c r="O145" i="32"/>
  <c r="P145" i="32"/>
  <c r="J146" i="32"/>
  <c r="K146" i="32"/>
  <c r="L146" i="32"/>
  <c r="M146" i="32" s="1"/>
  <c r="N146" i="32"/>
  <c r="O146" i="32"/>
  <c r="P146" i="32"/>
  <c r="J147" i="32"/>
  <c r="K147" i="32"/>
  <c r="L147" i="32"/>
  <c r="M147" i="32"/>
  <c r="N147" i="32"/>
  <c r="P147" i="32" s="1"/>
  <c r="O147" i="32"/>
  <c r="J148" i="32"/>
  <c r="K148" i="32"/>
  <c r="L148" i="32"/>
  <c r="N148" i="32"/>
  <c r="O148" i="32"/>
  <c r="J149" i="32"/>
  <c r="K149" i="32"/>
  <c r="L149" i="32"/>
  <c r="N149" i="32"/>
  <c r="M149" i="32" s="1"/>
  <c r="O149" i="32"/>
  <c r="P149" i="32"/>
  <c r="J150" i="32"/>
  <c r="K150" i="32"/>
  <c r="L150" i="32"/>
  <c r="M150" i="32" s="1"/>
  <c r="N150" i="32"/>
  <c r="O150" i="32"/>
  <c r="P150" i="32"/>
  <c r="J151" i="32"/>
  <c r="K151" i="32"/>
  <c r="L151" i="32"/>
  <c r="M151" i="32"/>
  <c r="N151" i="32"/>
  <c r="P151" i="32" s="1"/>
  <c r="O151" i="32"/>
  <c r="J152" i="32"/>
  <c r="K152" i="32"/>
  <c r="L152" i="32"/>
  <c r="N152" i="32"/>
  <c r="O152" i="32"/>
  <c r="J153" i="32"/>
  <c r="K153" i="32"/>
  <c r="L153" i="32"/>
  <c r="N153" i="32"/>
  <c r="O153" i="32"/>
  <c r="P153" i="32"/>
  <c r="J154" i="32"/>
  <c r="K154" i="32"/>
  <c r="L154" i="32"/>
  <c r="M154" i="32" s="1"/>
  <c r="N154" i="32"/>
  <c r="O154" i="32"/>
  <c r="P154" i="32"/>
  <c r="J155" i="32"/>
  <c r="K155" i="32"/>
  <c r="L155" i="32"/>
  <c r="M155" i="32"/>
  <c r="N155" i="32"/>
  <c r="P155" i="32" s="1"/>
  <c r="O155" i="32"/>
  <c r="J156" i="32"/>
  <c r="K156" i="32"/>
  <c r="L156" i="32"/>
  <c r="N156" i="32"/>
  <c r="O156" i="32"/>
  <c r="J157" i="32"/>
  <c r="K157" i="32"/>
  <c r="L157" i="32"/>
  <c r="N157" i="32"/>
  <c r="O157" i="32"/>
  <c r="P157" i="32"/>
  <c r="J158" i="32"/>
  <c r="K158" i="32"/>
  <c r="L158" i="32"/>
  <c r="M158" i="32" s="1"/>
  <c r="N158" i="32"/>
  <c r="O158" i="32"/>
  <c r="P158" i="32"/>
  <c r="J159" i="32"/>
  <c r="K159" i="32"/>
  <c r="L159" i="32"/>
  <c r="N159" i="32"/>
  <c r="P159" i="32" s="1"/>
  <c r="O159" i="32"/>
  <c r="J160" i="32"/>
  <c r="K160" i="32"/>
  <c r="L160" i="32"/>
  <c r="N160" i="32"/>
  <c r="O160" i="32"/>
  <c r="J161" i="32"/>
  <c r="K161" i="32"/>
  <c r="L161" i="32"/>
  <c r="N161" i="32"/>
  <c r="M161" i="32" s="1"/>
  <c r="O161" i="32"/>
  <c r="P161" i="32"/>
  <c r="J162" i="32"/>
  <c r="K162" i="32"/>
  <c r="L162" i="32"/>
  <c r="M162" i="32"/>
  <c r="N162" i="32"/>
  <c r="O162" i="32"/>
  <c r="P162" i="32"/>
  <c r="J163" i="32"/>
  <c r="K163" i="32"/>
  <c r="L163" i="32"/>
  <c r="N163" i="32"/>
  <c r="P163" i="32" s="1"/>
  <c r="O163" i="32"/>
  <c r="J164" i="32"/>
  <c r="K164" i="32"/>
  <c r="L164" i="32"/>
  <c r="N164" i="32"/>
  <c r="O164" i="32"/>
  <c r="J165" i="32"/>
  <c r="K165" i="32"/>
  <c r="L165" i="32"/>
  <c r="N165" i="32"/>
  <c r="M165" i="32" s="1"/>
  <c r="O165" i="32"/>
  <c r="P165" i="32"/>
  <c r="J166" i="32"/>
  <c r="K166" i="32"/>
  <c r="L166" i="32"/>
  <c r="M166" i="32"/>
  <c r="N166" i="32"/>
  <c r="O166" i="32"/>
  <c r="P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M169" i="32" s="1"/>
  <c r="N169" i="32"/>
  <c r="O169" i="32"/>
  <c r="P169" i="32"/>
  <c r="J170" i="32"/>
  <c r="K170" i="32"/>
  <c r="L170" i="32"/>
  <c r="M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M172" i="32" s="1"/>
  <c r="O172" i="32"/>
  <c r="P172" i="32"/>
  <c r="J173" i="32"/>
  <c r="K173" i="32"/>
  <c r="L173" i="32"/>
  <c r="M173" i="32" s="1"/>
  <c r="N173" i="32"/>
  <c r="O173" i="32"/>
  <c r="P173" i="32"/>
  <c r="J174" i="32"/>
  <c r="K174" i="32"/>
  <c r="L174" i="32"/>
  <c r="M174" i="32"/>
  <c r="N174" i="32"/>
  <c r="P174" i="32" s="1"/>
  <c r="O174" i="32"/>
  <c r="J175" i="32"/>
  <c r="K175" i="32"/>
  <c r="L175" i="32"/>
  <c r="N175" i="32"/>
  <c r="O175" i="32"/>
  <c r="J176" i="32"/>
  <c r="K176" i="32"/>
  <c r="L176" i="32"/>
  <c r="N176" i="32"/>
  <c r="M176" i="32" s="1"/>
  <c r="O176" i="32"/>
  <c r="P176" i="32"/>
  <c r="J177" i="32"/>
  <c r="K177" i="32"/>
  <c r="L177" i="32"/>
  <c r="M177" i="32" s="1"/>
  <c r="N177" i="32"/>
  <c r="O177" i="32"/>
  <c r="P177" i="32"/>
  <c r="J178" i="32"/>
  <c r="K178" i="32"/>
  <c r="L178" i="32"/>
  <c r="M178" i="32"/>
  <c r="N178" i="32"/>
  <c r="P178" i="32" s="1"/>
  <c r="O178" i="32"/>
  <c r="J179" i="32"/>
  <c r="K179" i="32"/>
  <c r="L179" i="32"/>
  <c r="N179" i="32"/>
  <c r="O179" i="32"/>
  <c r="J180" i="32"/>
  <c r="K180" i="32"/>
  <c r="L180" i="32"/>
  <c r="N180" i="32"/>
  <c r="M180" i="32" s="1"/>
  <c r="O180" i="32"/>
  <c r="P180" i="32"/>
  <c r="J181" i="32"/>
  <c r="K181" i="32"/>
  <c r="L181" i="32"/>
  <c r="M181" i="32" s="1"/>
  <c r="N181" i="32"/>
  <c r="O181" i="32"/>
  <c r="P181" i="32"/>
  <c r="J182" i="32"/>
  <c r="K182" i="32"/>
  <c r="L182" i="32"/>
  <c r="M182" i="32"/>
  <c r="N182" i="32"/>
  <c r="P182" i="32" s="1"/>
  <c r="O182" i="32"/>
  <c r="J183" i="32"/>
  <c r="K183" i="32"/>
  <c r="L183" i="32"/>
  <c r="N183" i="32"/>
  <c r="O183" i="32"/>
  <c r="J184" i="32"/>
  <c r="K184" i="32"/>
  <c r="L184" i="32"/>
  <c r="N184" i="32"/>
  <c r="M184" i="32" s="1"/>
  <c r="O184" i="32"/>
  <c r="P184" i="32"/>
  <c r="J185" i="32"/>
  <c r="K185" i="32"/>
  <c r="L185" i="32"/>
  <c r="M185" i="32" s="1"/>
  <c r="N185" i="32"/>
  <c r="O185" i="32"/>
  <c r="P185" i="32"/>
  <c r="J186" i="32"/>
  <c r="K186" i="32"/>
  <c r="L186" i="32"/>
  <c r="M186" i="32"/>
  <c r="N186" i="32"/>
  <c r="P186" i="32" s="1"/>
  <c r="O186" i="32"/>
  <c r="J187" i="32"/>
  <c r="K187" i="32"/>
  <c r="L187" i="32"/>
  <c r="N187" i="32"/>
  <c r="O187" i="32"/>
  <c r="J188" i="32"/>
  <c r="K188" i="32"/>
  <c r="L188" i="32"/>
  <c r="N188" i="32"/>
  <c r="M188" i="32" s="1"/>
  <c r="O188" i="32"/>
  <c r="P188" i="32"/>
  <c r="J189" i="32"/>
  <c r="K189" i="32"/>
  <c r="L189" i="32"/>
  <c r="M189" i="32" s="1"/>
  <c r="N189" i="32"/>
  <c r="O189" i="32"/>
  <c r="P189" i="32"/>
  <c r="J190" i="32"/>
  <c r="K190" i="32"/>
  <c r="L190" i="32"/>
  <c r="M190" i="32"/>
  <c r="N190" i="32"/>
  <c r="P190" i="32" s="1"/>
  <c r="O190" i="32"/>
  <c r="J191" i="32"/>
  <c r="K191" i="32"/>
  <c r="L191" i="32"/>
  <c r="N191" i="32"/>
  <c r="O191" i="32"/>
  <c r="J192" i="32"/>
  <c r="K192" i="32"/>
  <c r="L192" i="32"/>
  <c r="N192" i="32"/>
  <c r="M192" i="32" s="1"/>
  <c r="O192" i="32"/>
  <c r="P192" i="32"/>
  <c r="J193" i="32"/>
  <c r="K193" i="32"/>
  <c r="L193" i="32"/>
  <c r="M193" i="32" s="1"/>
  <c r="N193" i="32"/>
  <c r="O193" i="32"/>
  <c r="P193" i="32"/>
  <c r="J194" i="32"/>
  <c r="K194" i="32"/>
  <c r="L194" i="32"/>
  <c r="M194" i="32"/>
  <c r="N194" i="32"/>
  <c r="P194" i="32" s="1"/>
  <c r="O194" i="32"/>
  <c r="J195" i="32"/>
  <c r="K195" i="32"/>
  <c r="L195" i="32"/>
  <c r="N195" i="32"/>
  <c r="O195" i="32"/>
  <c r="J196" i="32"/>
  <c r="K196" i="32"/>
  <c r="L196" i="32"/>
  <c r="N196" i="32"/>
  <c r="M196" i="32" s="1"/>
  <c r="O196" i="32"/>
  <c r="P196" i="32"/>
  <c r="J197" i="32"/>
  <c r="K197" i="32"/>
  <c r="L197" i="32"/>
  <c r="M197" i="32" s="1"/>
  <c r="N197" i="32"/>
  <c r="O197" i="32"/>
  <c r="P197" i="32"/>
  <c r="J198" i="32"/>
  <c r="K198" i="32"/>
  <c r="L198" i="32"/>
  <c r="M198" i="32"/>
  <c r="N198" i="32"/>
  <c r="P198" i="32" s="1"/>
  <c r="O198" i="32"/>
  <c r="J199" i="32"/>
  <c r="K199" i="32"/>
  <c r="L199" i="32"/>
  <c r="N199" i="32"/>
  <c r="O199" i="32"/>
  <c r="J200" i="32"/>
  <c r="K200" i="32"/>
  <c r="L200" i="32"/>
  <c r="N200" i="32"/>
  <c r="M200" i="32" s="1"/>
  <c r="O200" i="32"/>
  <c r="P200" i="32"/>
  <c r="J201" i="32"/>
  <c r="K201" i="32"/>
  <c r="L201" i="32"/>
  <c r="M201" i="32" s="1"/>
  <c r="N201" i="32"/>
  <c r="O201" i="32"/>
  <c r="P201" i="32"/>
  <c r="J202" i="32"/>
  <c r="K202" i="32"/>
  <c r="L202" i="32"/>
  <c r="M202" i="32"/>
  <c r="N202" i="32"/>
  <c r="P202" i="32" s="1"/>
  <c r="O202" i="32"/>
  <c r="J203" i="32"/>
  <c r="K203" i="32"/>
  <c r="L203" i="32"/>
  <c r="N203" i="32"/>
  <c r="O203" i="32"/>
  <c r="J204" i="32"/>
  <c r="K204" i="32"/>
  <c r="L204" i="32"/>
  <c r="N204" i="32"/>
  <c r="M204" i="32" s="1"/>
  <c r="O204" i="32"/>
  <c r="P204" i="32"/>
  <c r="J205" i="32"/>
  <c r="K205" i="32"/>
  <c r="L205" i="32"/>
  <c r="M205" i="32" s="1"/>
  <c r="N205" i="32"/>
  <c r="O205" i="32"/>
  <c r="P205" i="32"/>
  <c r="J206" i="32"/>
  <c r="K206" i="32"/>
  <c r="L206" i="32"/>
  <c r="M206" i="32"/>
  <c r="N206" i="32"/>
  <c r="P206" i="32" s="1"/>
  <c r="O206" i="32"/>
  <c r="J207" i="32"/>
  <c r="K207" i="32"/>
  <c r="L207" i="32"/>
  <c r="N207" i="32"/>
  <c r="O207" i="32"/>
  <c r="J208" i="32"/>
  <c r="K208" i="32"/>
  <c r="L208" i="32"/>
  <c r="N208" i="32"/>
  <c r="M208" i="32" s="1"/>
  <c r="O208" i="32"/>
  <c r="P208" i="32"/>
  <c r="J209" i="32"/>
  <c r="K209" i="32"/>
  <c r="L209" i="32"/>
  <c r="M209" i="32" s="1"/>
  <c r="N209" i="32"/>
  <c r="O209" i="32"/>
  <c r="P209" i="32"/>
  <c r="J210" i="32"/>
  <c r="K210" i="32"/>
  <c r="L210" i="32"/>
  <c r="M210" i="32"/>
  <c r="N210" i="32"/>
  <c r="P210" i="32" s="1"/>
  <c r="O210" i="32"/>
  <c r="J211" i="32"/>
  <c r="K211" i="32"/>
  <c r="L211" i="32"/>
  <c r="N211" i="32"/>
  <c r="O211" i="32"/>
  <c r="J212" i="32"/>
  <c r="K212" i="32"/>
  <c r="L212" i="32"/>
  <c r="N212" i="32"/>
  <c r="M212" i="32" s="1"/>
  <c r="O212" i="32"/>
  <c r="P212" i="32"/>
  <c r="J213" i="32"/>
  <c r="K213" i="32"/>
  <c r="L213" i="32"/>
  <c r="M213" i="32" s="1"/>
  <c r="N213" i="32"/>
  <c r="O213" i="32"/>
  <c r="P213" i="32"/>
  <c r="J214" i="32"/>
  <c r="K214" i="32"/>
  <c r="L214" i="32"/>
  <c r="M214" i="32"/>
  <c r="N214" i="32"/>
  <c r="P214" i="32" s="1"/>
  <c r="O214" i="32"/>
  <c r="J215" i="32"/>
  <c r="K215" i="32"/>
  <c r="L215" i="32"/>
  <c r="N215" i="32"/>
  <c r="O215" i="32"/>
  <c r="J216" i="32"/>
  <c r="K216" i="32"/>
  <c r="L216" i="32"/>
  <c r="N216" i="32"/>
  <c r="M216" i="32" s="1"/>
  <c r="O216" i="32"/>
  <c r="P216" i="32"/>
  <c r="J217" i="32"/>
  <c r="K217" i="32"/>
  <c r="L217" i="32"/>
  <c r="M217" i="32" s="1"/>
  <c r="N217" i="32"/>
  <c r="O217" i="32"/>
  <c r="P217" i="32"/>
  <c r="J218" i="32"/>
  <c r="K218" i="32"/>
  <c r="L218" i="32"/>
  <c r="M218" i="32"/>
  <c r="N218" i="32"/>
  <c r="P218" i="32" s="1"/>
  <c r="O218" i="32"/>
  <c r="J219" i="32"/>
  <c r="K219" i="32"/>
  <c r="L219" i="32"/>
  <c r="N219" i="32"/>
  <c r="O219" i="32"/>
  <c r="J220" i="32"/>
  <c r="K220" i="32"/>
  <c r="L220" i="32"/>
  <c r="N220" i="32"/>
  <c r="M220" i="32" s="1"/>
  <c r="O220" i="32"/>
  <c r="P220" i="32"/>
  <c r="J221" i="32"/>
  <c r="K221" i="32"/>
  <c r="L221" i="32"/>
  <c r="M221" i="32" s="1"/>
  <c r="N221" i="32"/>
  <c r="O221" i="32"/>
  <c r="P221" i="32"/>
  <c r="J222" i="32"/>
  <c r="K222" i="32"/>
  <c r="L222" i="32"/>
  <c r="M222" i="32"/>
  <c r="N222" i="32"/>
  <c r="P222" i="32" s="1"/>
  <c r="O222" i="32"/>
  <c r="J223" i="32"/>
  <c r="K223" i="32"/>
  <c r="L223" i="32"/>
  <c r="N223" i="32"/>
  <c r="O223" i="32"/>
  <c r="J224" i="32"/>
  <c r="K224" i="32"/>
  <c r="L224" i="32"/>
  <c r="N224" i="32"/>
  <c r="M224" i="32" s="1"/>
  <c r="O224" i="32"/>
  <c r="P224" i="32"/>
  <c r="J225" i="32"/>
  <c r="K225" i="32"/>
  <c r="L225" i="32"/>
  <c r="M225" i="32" s="1"/>
  <c r="N225" i="32"/>
  <c r="O225" i="32"/>
  <c r="P225" i="32"/>
  <c r="J226" i="32"/>
  <c r="K226" i="32"/>
  <c r="L226" i="32"/>
  <c r="M226" i="32"/>
  <c r="N226" i="32"/>
  <c r="P226" i="32" s="1"/>
  <c r="O226" i="32"/>
  <c r="J227" i="32"/>
  <c r="K227" i="32"/>
  <c r="L227" i="32"/>
  <c r="N227" i="32"/>
  <c r="O227" i="32"/>
  <c r="J228" i="32"/>
  <c r="K228" i="32"/>
  <c r="L228" i="32"/>
  <c r="N228" i="32"/>
  <c r="M228" i="32" s="1"/>
  <c r="O228" i="32"/>
  <c r="P228" i="32"/>
  <c r="J229" i="32"/>
  <c r="K229" i="32"/>
  <c r="L229" i="32"/>
  <c r="M229" i="32" s="1"/>
  <c r="N229" i="32"/>
  <c r="O229" i="32"/>
  <c r="P229" i="32"/>
  <c r="J230" i="32"/>
  <c r="K230" i="32"/>
  <c r="L230" i="32"/>
  <c r="M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M232" i="32" s="1"/>
  <c r="O232" i="32"/>
  <c r="P232" i="32"/>
  <c r="J233" i="32"/>
  <c r="K233" i="32"/>
  <c r="L233" i="32"/>
  <c r="M233" i="32" s="1"/>
  <c r="N233" i="32"/>
  <c r="O233" i="32"/>
  <c r="P233" i="32"/>
  <c r="J234" i="32"/>
  <c r="K234" i="32"/>
  <c r="L234" i="32"/>
  <c r="M234" i="32"/>
  <c r="N234" i="32"/>
  <c r="P234" i="32" s="1"/>
  <c r="O234" i="32"/>
  <c r="J235" i="32"/>
  <c r="K235" i="32"/>
  <c r="L235" i="32"/>
  <c r="N235" i="32"/>
  <c r="O235" i="32"/>
  <c r="J236" i="32"/>
  <c r="K236" i="32"/>
  <c r="L236" i="32"/>
  <c r="N236" i="32"/>
  <c r="M236" i="32" s="1"/>
  <c r="O236" i="32"/>
  <c r="P236" i="32"/>
  <c r="J237" i="32"/>
  <c r="K237" i="32"/>
  <c r="L237" i="32"/>
  <c r="M237" i="32" s="1"/>
  <c r="N237" i="32"/>
  <c r="O237" i="32"/>
  <c r="P237" i="32"/>
  <c r="J238" i="32"/>
  <c r="K238" i="32"/>
  <c r="L238" i="32"/>
  <c r="M238" i="32"/>
  <c r="N238" i="32"/>
  <c r="P238" i="32" s="1"/>
  <c r="O238" i="32"/>
  <c r="J239" i="32"/>
  <c r="K239" i="32"/>
  <c r="L239" i="32"/>
  <c r="N239" i="32"/>
  <c r="O239" i="32"/>
  <c r="J240" i="32"/>
  <c r="K240" i="32"/>
  <c r="L240" i="32"/>
  <c r="N240" i="32"/>
  <c r="M240" i="32" s="1"/>
  <c r="O240" i="32"/>
  <c r="P240" i="32"/>
  <c r="J241" i="32"/>
  <c r="K241" i="32"/>
  <c r="L241" i="32"/>
  <c r="M241" i="32" s="1"/>
  <c r="N241" i="32"/>
  <c r="O241" i="32"/>
  <c r="P241" i="32"/>
  <c r="J242" i="32"/>
  <c r="K242" i="32"/>
  <c r="L242" i="32"/>
  <c r="M242" i="32"/>
  <c r="N242" i="32"/>
  <c r="P242" i="32" s="1"/>
  <c r="O242" i="32"/>
  <c r="J243" i="32"/>
  <c r="K243" i="32"/>
  <c r="L243" i="32"/>
  <c r="N243" i="32"/>
  <c r="O243" i="32"/>
  <c r="J244" i="32"/>
  <c r="K244" i="32"/>
  <c r="L244" i="32"/>
  <c r="N244" i="32"/>
  <c r="M244" i="32" s="1"/>
  <c r="O244" i="32"/>
  <c r="P244" i="32"/>
  <c r="J245" i="32"/>
  <c r="K245" i="32"/>
  <c r="L245" i="32"/>
  <c r="M245" i="32" s="1"/>
  <c r="N245" i="32"/>
  <c r="O245" i="32"/>
  <c r="P245" i="32"/>
  <c r="J246" i="32"/>
  <c r="K246" i="32"/>
  <c r="L246" i="32"/>
  <c r="M246" i="32"/>
  <c r="N246" i="32"/>
  <c r="P246" i="32" s="1"/>
  <c r="O246" i="32"/>
  <c r="J247" i="32"/>
  <c r="K247" i="32"/>
  <c r="L247" i="32"/>
  <c r="N247" i="32"/>
  <c r="O247" i="32"/>
  <c r="J248" i="32"/>
  <c r="K248" i="32"/>
  <c r="L248" i="32"/>
  <c r="N248" i="32"/>
  <c r="M248" i="32" s="1"/>
  <c r="O248" i="32"/>
  <c r="P248" i="32"/>
  <c r="J249" i="32"/>
  <c r="K249" i="32"/>
  <c r="L249" i="32"/>
  <c r="M249" i="32" s="1"/>
  <c r="N249" i="32"/>
  <c r="O249" i="32"/>
  <c r="P249" i="32"/>
  <c r="J250" i="32"/>
  <c r="K250" i="32"/>
  <c r="L250" i="32"/>
  <c r="M250" i="32"/>
  <c r="N250" i="32"/>
  <c r="P250" i="32" s="1"/>
  <c r="O250" i="32"/>
  <c r="J251" i="32"/>
  <c r="K251" i="32"/>
  <c r="L251" i="32"/>
  <c r="N251" i="32"/>
  <c r="O251" i="32"/>
  <c r="J252" i="32"/>
  <c r="K252" i="32"/>
  <c r="L252" i="32"/>
  <c r="N252" i="32"/>
  <c r="M252" i="32" s="1"/>
  <c r="O252" i="32"/>
  <c r="P252" i="32"/>
  <c r="J253" i="32"/>
  <c r="K253" i="32"/>
  <c r="L253" i="32"/>
  <c r="M253" i="32" s="1"/>
  <c r="N253" i="32"/>
  <c r="O253" i="32"/>
  <c r="P253" i="32"/>
  <c r="J254" i="32"/>
  <c r="K254" i="32"/>
  <c r="L254" i="32"/>
  <c r="M254" i="32"/>
  <c r="N254" i="32"/>
  <c r="P254" i="32" s="1"/>
  <c r="O254" i="32"/>
  <c r="J255" i="32"/>
  <c r="K255" i="32"/>
  <c r="L255" i="32"/>
  <c r="N255" i="32"/>
  <c r="O255" i="32"/>
  <c r="J256" i="32"/>
  <c r="K256" i="32"/>
  <c r="L256" i="32"/>
  <c r="N256" i="32"/>
  <c r="M256" i="32" s="1"/>
  <c r="O256" i="32"/>
  <c r="P256" i="32"/>
  <c r="J257" i="32"/>
  <c r="K257" i="32"/>
  <c r="L257" i="32"/>
  <c r="M257" i="32" s="1"/>
  <c r="N257" i="32"/>
  <c r="O257" i="32"/>
  <c r="P257" i="32"/>
  <c r="J258" i="32"/>
  <c r="K258" i="32"/>
  <c r="L258" i="32"/>
  <c r="M258" i="32"/>
  <c r="N258" i="32"/>
  <c r="P258" i="32" s="1"/>
  <c r="O258" i="32"/>
  <c r="J259" i="32"/>
  <c r="K259" i="32"/>
  <c r="L259" i="32"/>
  <c r="N259" i="32"/>
  <c r="O259" i="32"/>
  <c r="J260" i="32"/>
  <c r="K260" i="32"/>
  <c r="L260" i="32"/>
  <c r="N260" i="32"/>
  <c r="M260" i="32" s="1"/>
  <c r="O260" i="32"/>
  <c r="P260" i="32"/>
  <c r="J261" i="32"/>
  <c r="K261" i="32"/>
  <c r="L261" i="32"/>
  <c r="M261" i="32" s="1"/>
  <c r="N261" i="32"/>
  <c r="O261" i="32"/>
  <c r="P261" i="32"/>
  <c r="J262" i="32"/>
  <c r="K262" i="32"/>
  <c r="L262" i="32"/>
  <c r="M262" i="32"/>
  <c r="N262" i="32"/>
  <c r="P262" i="32" s="1"/>
  <c r="O262" i="32"/>
  <c r="J263" i="32"/>
  <c r="K263" i="32"/>
  <c r="L263" i="32"/>
  <c r="N263" i="32"/>
  <c r="O263" i="32"/>
  <c r="J264" i="32"/>
  <c r="K264" i="32"/>
  <c r="L264" i="32"/>
  <c r="N264" i="32"/>
  <c r="M264" i="32" s="1"/>
  <c r="O264" i="32"/>
  <c r="P264" i="32"/>
  <c r="J265" i="32"/>
  <c r="K265" i="32"/>
  <c r="L265" i="32"/>
  <c r="M265" i="32" s="1"/>
  <c r="N265" i="32"/>
  <c r="O265" i="32"/>
  <c r="P265" i="32"/>
  <c r="J266" i="32"/>
  <c r="K266" i="32"/>
  <c r="L266" i="32"/>
  <c r="M266" i="32"/>
  <c r="N266" i="32"/>
  <c r="P266" i="32" s="1"/>
  <c r="O266" i="32"/>
  <c r="J267" i="32"/>
  <c r="K267" i="32"/>
  <c r="L267" i="32"/>
  <c r="N267" i="32"/>
  <c r="O267" i="32"/>
  <c r="J268" i="32"/>
  <c r="K268" i="32"/>
  <c r="L268" i="32"/>
  <c r="N268" i="32"/>
  <c r="M268" i="32" s="1"/>
  <c r="O268" i="32"/>
  <c r="P268" i="32"/>
  <c r="J269" i="32"/>
  <c r="K269" i="32"/>
  <c r="L269" i="32"/>
  <c r="M269" i="32" s="1"/>
  <c r="N269" i="32"/>
  <c r="O269" i="32"/>
  <c r="P269" i="32"/>
  <c r="J270" i="32"/>
  <c r="K270" i="32"/>
  <c r="L270" i="32"/>
  <c r="M270" i="32"/>
  <c r="N270" i="32"/>
  <c r="P270" i="32" s="1"/>
  <c r="O270" i="32"/>
  <c r="J271" i="32"/>
  <c r="K271" i="32"/>
  <c r="L271" i="32"/>
  <c r="N271" i="32"/>
  <c r="O271" i="32"/>
  <c r="J272" i="32"/>
  <c r="K272" i="32"/>
  <c r="L272" i="32"/>
  <c r="N272" i="32"/>
  <c r="M272" i="32" s="1"/>
  <c r="O272" i="32"/>
  <c r="P272" i="32"/>
  <c r="J273" i="32"/>
  <c r="K273" i="32"/>
  <c r="L273" i="32"/>
  <c r="M273" i="32" s="1"/>
  <c r="N273" i="32"/>
  <c r="O273" i="32"/>
  <c r="P273" i="32"/>
  <c r="J274" i="32"/>
  <c r="K274" i="32"/>
  <c r="L274" i="32"/>
  <c r="M274" i="32"/>
  <c r="N274" i="32"/>
  <c r="P274" i="32" s="1"/>
  <c r="O274" i="32"/>
  <c r="J275" i="32"/>
  <c r="K275" i="32"/>
  <c r="L275" i="32"/>
  <c r="N275" i="32"/>
  <c r="O275" i="32"/>
  <c r="J276" i="32"/>
  <c r="K276" i="32"/>
  <c r="L276" i="32"/>
  <c r="N276" i="32"/>
  <c r="M276" i="32" s="1"/>
  <c r="O276" i="32"/>
  <c r="P276" i="32"/>
  <c r="J277" i="32"/>
  <c r="K277" i="32"/>
  <c r="L277" i="32"/>
  <c r="M277" i="32" s="1"/>
  <c r="N277" i="32"/>
  <c r="O277" i="32"/>
  <c r="P277" i="32"/>
  <c r="J278" i="32"/>
  <c r="K278" i="32"/>
  <c r="L278" i="32"/>
  <c r="M278" i="32"/>
  <c r="N278" i="32"/>
  <c r="P278" i="32" s="1"/>
  <c r="O278" i="32"/>
  <c r="J279" i="32"/>
  <c r="K279" i="32"/>
  <c r="L279" i="32"/>
  <c r="N279" i="32"/>
  <c r="O279" i="32"/>
  <c r="J280" i="32"/>
  <c r="K280" i="32"/>
  <c r="L280" i="32"/>
  <c r="N280" i="32"/>
  <c r="M280" i="32" s="1"/>
  <c r="O280" i="32"/>
  <c r="P280" i="32"/>
  <c r="J281" i="32"/>
  <c r="K281" i="32"/>
  <c r="L281" i="32"/>
  <c r="M281" i="32" s="1"/>
  <c r="N281" i="32"/>
  <c r="O281" i="32"/>
  <c r="P281" i="32"/>
  <c r="J282" i="32"/>
  <c r="K282" i="32"/>
  <c r="L282" i="32"/>
  <c r="M282" i="32"/>
  <c r="N282" i="32"/>
  <c r="P282" i="32" s="1"/>
  <c r="O282" i="32"/>
  <c r="J283" i="32"/>
  <c r="K283" i="32"/>
  <c r="L283" i="32"/>
  <c r="N283" i="32"/>
  <c r="O283" i="32"/>
  <c r="J284" i="32"/>
  <c r="K284" i="32"/>
  <c r="L284" i="32"/>
  <c r="N284" i="32"/>
  <c r="M284" i="32" s="1"/>
  <c r="O284" i="32"/>
  <c r="P284" i="32"/>
  <c r="J285" i="32"/>
  <c r="K285" i="32"/>
  <c r="L285" i="32"/>
  <c r="M285" i="32" s="1"/>
  <c r="N285" i="32"/>
  <c r="O285" i="32"/>
  <c r="P285" i="32"/>
  <c r="J286" i="32"/>
  <c r="K286" i="32"/>
  <c r="L286" i="32"/>
  <c r="M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M288" i="32" s="1"/>
  <c r="O288" i="32"/>
  <c r="P288" i="32"/>
  <c r="J289" i="32"/>
  <c r="K289" i="32"/>
  <c r="L289" i="32"/>
  <c r="M289" i="32" s="1"/>
  <c r="N289" i="32"/>
  <c r="O289" i="32"/>
  <c r="P289" i="32"/>
  <c r="J290" i="32"/>
  <c r="K290" i="32"/>
  <c r="L290" i="32"/>
  <c r="M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M292" i="32" s="1"/>
  <c r="O292" i="32"/>
  <c r="J293" i="32"/>
  <c r="K293" i="32"/>
  <c r="L293" i="32"/>
  <c r="M293" i="32" s="1"/>
  <c r="N293" i="32"/>
  <c r="O293" i="32"/>
  <c r="P293" i="32"/>
  <c r="J294" i="32"/>
  <c r="K294" i="32"/>
  <c r="L294" i="32"/>
  <c r="M294" i="32" s="1"/>
  <c r="N294" i="32"/>
  <c r="O294" i="32"/>
  <c r="P294" i="32"/>
  <c r="J295" i="32"/>
  <c r="K295" i="32"/>
  <c r="L295" i="32"/>
  <c r="M295" i="32"/>
  <c r="N295" i="32"/>
  <c r="P295" i="32" s="1"/>
  <c r="O295" i="32"/>
  <c r="J296" i="32"/>
  <c r="K296" i="32"/>
  <c r="L296" i="32"/>
  <c r="N296" i="32"/>
  <c r="O296" i="32"/>
  <c r="P296" i="32"/>
  <c r="J297" i="32"/>
  <c r="K297" i="32"/>
  <c r="L297" i="32"/>
  <c r="M297" i="32"/>
  <c r="N297" i="32"/>
  <c r="O297" i="32"/>
  <c r="P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N300" i="32"/>
  <c r="M300" i="32" s="1"/>
  <c r="O300" i="32"/>
  <c r="P144" i="32" l="1"/>
  <c r="M144" i="32"/>
  <c r="P128" i="32"/>
  <c r="M128" i="32"/>
  <c r="P112" i="32"/>
  <c r="M112" i="32"/>
  <c r="P64" i="32"/>
  <c r="M64" i="32"/>
  <c r="P8" i="32"/>
  <c r="M8" i="32"/>
  <c r="M298" i="32"/>
  <c r="P287" i="32"/>
  <c r="M287" i="32"/>
  <c r="P283" i="32"/>
  <c r="M283" i="32"/>
  <c r="P279" i="32"/>
  <c r="M279" i="32"/>
  <c r="P275" i="32"/>
  <c r="M275" i="32"/>
  <c r="P267" i="32"/>
  <c r="M267" i="32"/>
  <c r="P263" i="32"/>
  <c r="M263" i="32"/>
  <c r="P259" i="32"/>
  <c r="M259" i="32"/>
  <c r="P255" i="32"/>
  <c r="M255" i="32"/>
  <c r="P239" i="32"/>
  <c r="M239" i="32"/>
  <c r="P235" i="32"/>
  <c r="M235" i="32"/>
  <c r="P231" i="32"/>
  <c r="M231" i="32"/>
  <c r="P227" i="32"/>
  <c r="M227" i="32"/>
  <c r="P223" i="32"/>
  <c r="M223" i="32"/>
  <c r="P219" i="32"/>
  <c r="M219" i="32"/>
  <c r="P215" i="32"/>
  <c r="M215" i="32"/>
  <c r="P199" i="32"/>
  <c r="M199" i="32"/>
  <c r="P195" i="32"/>
  <c r="M195" i="32"/>
  <c r="P191" i="32"/>
  <c r="M191" i="32"/>
  <c r="P187" i="32"/>
  <c r="M187" i="32"/>
  <c r="P183" i="32"/>
  <c r="M183" i="32"/>
  <c r="P179" i="32"/>
  <c r="M179" i="32"/>
  <c r="P175" i="32"/>
  <c r="M175" i="32"/>
  <c r="P171" i="32"/>
  <c r="M171" i="32"/>
  <c r="P160" i="32"/>
  <c r="M160" i="32"/>
  <c r="P300" i="32"/>
  <c r="M299" i="32"/>
  <c r="M296" i="32"/>
  <c r="P292" i="32"/>
  <c r="P164" i="32"/>
  <c r="M164" i="32"/>
  <c r="P40" i="32"/>
  <c r="M40" i="32"/>
  <c r="P96" i="32"/>
  <c r="M96" i="32"/>
  <c r="P80" i="32"/>
  <c r="M80" i="32"/>
  <c r="P48" i="32"/>
  <c r="M48" i="32"/>
  <c r="P291" i="32"/>
  <c r="M291" i="32"/>
  <c r="P271" i="32"/>
  <c r="M271" i="32"/>
  <c r="P251" i="32"/>
  <c r="M251" i="32"/>
  <c r="P247" i="32"/>
  <c r="M247" i="32"/>
  <c r="P243" i="32"/>
  <c r="M243" i="32"/>
  <c r="P211" i="32"/>
  <c r="M211" i="32"/>
  <c r="P207" i="32"/>
  <c r="M207" i="32"/>
  <c r="P203" i="32"/>
  <c r="M203" i="32"/>
  <c r="P168" i="32"/>
  <c r="M168" i="32"/>
  <c r="P156" i="32"/>
  <c r="M156" i="32"/>
  <c r="P140" i="32"/>
  <c r="M140" i="32"/>
  <c r="P124" i="32"/>
  <c r="M124" i="32"/>
  <c r="P108" i="32"/>
  <c r="M108" i="32"/>
  <c r="P92" i="32"/>
  <c r="M92" i="32"/>
  <c r="P76" i="32"/>
  <c r="M76" i="32"/>
  <c r="M61" i="32"/>
  <c r="P60" i="32"/>
  <c r="M60" i="32"/>
  <c r="M45" i="32"/>
  <c r="P20" i="32"/>
  <c r="M20" i="32"/>
  <c r="M153" i="32"/>
  <c r="P148" i="32"/>
  <c r="M148" i="32"/>
  <c r="M137" i="32"/>
  <c r="P132" i="32"/>
  <c r="M132" i="32"/>
  <c r="M121" i="32"/>
  <c r="P116" i="32"/>
  <c r="M116" i="32"/>
  <c r="M105" i="32"/>
  <c r="P100" i="32"/>
  <c r="M100" i="32"/>
  <c r="M89" i="32"/>
  <c r="P84" i="32"/>
  <c r="M84" i="32"/>
  <c r="M73" i="32"/>
  <c r="P68" i="32"/>
  <c r="M68" i="32"/>
  <c r="P52" i="32"/>
  <c r="M52" i="32"/>
  <c r="M37" i="32"/>
  <c r="P32" i="32"/>
  <c r="M25" i="32"/>
  <c r="P12" i="32"/>
  <c r="M12" i="32"/>
  <c r="M167" i="32"/>
  <c r="M163" i="32"/>
  <c r="M159" i="32"/>
  <c r="M157" i="32"/>
  <c r="P152" i="32"/>
  <c r="M152" i="32"/>
  <c r="M141" i="32"/>
  <c r="P136" i="32"/>
  <c r="M136" i="32"/>
  <c r="M125" i="32"/>
  <c r="P120" i="32"/>
  <c r="M120" i="32"/>
  <c r="M109" i="32"/>
  <c r="P104" i="32"/>
  <c r="M104" i="32"/>
  <c r="M93" i="32"/>
  <c r="P88" i="32"/>
  <c r="M88" i="32"/>
  <c r="M77" i="32"/>
  <c r="P72" i="32"/>
  <c r="M72" i="32"/>
  <c r="M57" i="32"/>
  <c r="P56" i="32"/>
  <c r="M56" i="32"/>
  <c r="P36" i="32"/>
  <c r="M36" i="32"/>
  <c r="P24" i="32"/>
  <c r="M24" i="32"/>
  <c r="M17" i="32"/>
  <c r="P16" i="32"/>
  <c r="M16" i="32"/>
  <c r="M9" i="32"/>
  <c r="M5" i="32"/>
  <c r="P4" i="32"/>
  <c r="M4" i="32"/>
  <c r="C77" i="34"/>
  <c r="C76" i="34"/>
  <c r="F25" i="8" l="1"/>
  <c r="E25" i="8"/>
  <c r="J25" i="8" l="1"/>
  <c r="C22" i="34" l="1"/>
  <c r="D34" i="34" s="1"/>
  <c r="A37" i="34" l="1"/>
  <c r="D64" i="8"/>
  <c r="D9" i="34" l="1"/>
  <c r="J56" i="8" l="1"/>
  <c r="N28" i="32" s="1"/>
  <c r="J51" i="8"/>
  <c r="N23" i="32" s="1"/>
  <c r="J46" i="8"/>
  <c r="N18" i="32" s="1"/>
  <c r="J39" i="8"/>
  <c r="N11" i="32" s="1"/>
  <c r="J31" i="8"/>
  <c r="N3" i="32" s="1"/>
  <c r="P11" i="32" l="1"/>
  <c r="M11" i="32"/>
  <c r="M18" i="32"/>
  <c r="P18" i="32"/>
  <c r="P23" i="32"/>
  <c r="M23" i="32"/>
  <c r="P3" i="32"/>
  <c r="M3" i="32"/>
  <c r="P28" i="32"/>
  <c r="M28" i="32"/>
  <c r="I45" i="8"/>
  <c r="I46" i="8" s="1"/>
  <c r="K2" i="32"/>
  <c r="B16" i="34" l="1"/>
  <c r="A13" i="34" l="1"/>
  <c r="K55" i="8" l="1"/>
  <c r="K50" i="8"/>
  <c r="K45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1" i="8"/>
  <c r="F56" i="8"/>
  <c r="F46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3" i="8"/>
  <c r="I55" i="8"/>
  <c r="I56" i="8" s="1"/>
  <c r="E56" i="8"/>
  <c r="I28" i="31" l="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1" i="8"/>
  <c r="I50" i="8"/>
  <c r="I51" i="8" s="1"/>
  <c r="G38" i="8"/>
  <c r="I38" i="8" s="1"/>
  <c r="I39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4" i="8" s="1"/>
  <c r="M34" i="30" l="1"/>
  <c r="M33" i="30"/>
  <c r="M35" i="30" l="1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4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0" i="8" l="1"/>
  <c r="K32" i="32" s="1"/>
  <c r="M32" i="32" s="1"/>
  <c r="I34" i="8"/>
  <c r="G60" i="8" l="1"/>
  <c r="F60" i="8" l="1"/>
  <c r="F64" i="8" l="1"/>
  <c r="H69" i="8" s="1"/>
  <c r="C66" i="8" s="1"/>
  <c r="J69" i="8"/>
  <c r="N41" i="32" s="1"/>
  <c r="P41" i="32" l="1"/>
  <c r="M41" i="32"/>
  <c r="K9" i="8"/>
  <c r="E33" i="34" s="1"/>
  <c r="H70" i="8"/>
  <c r="H71" i="8" s="1"/>
  <c r="H72" i="8" s="1"/>
  <c r="J70" i="8"/>
  <c r="N42" i="32" s="1"/>
  <c r="M42" i="32" l="1"/>
  <c r="P42" i="32"/>
  <c r="K8" i="8"/>
  <c r="E34" i="34"/>
  <c r="J72" i="8"/>
  <c r="N44" i="32" s="1"/>
  <c r="D2" i="8"/>
  <c r="D22" i="34" s="1"/>
  <c r="C2" i="8"/>
  <c r="P44" i="32" l="1"/>
  <c r="M44" i="32"/>
  <c r="E35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49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4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4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59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3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<sst xmlns="http://schemas.openxmlformats.org/spreadsheetml/2006/main" count="304" uniqueCount="183">
  <si>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</si>
  <si>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</si>
  <si>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</si>
  <si>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</si>
  <si>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</si>
  <si>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</si>
  <si>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</si>
  <si>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</si>
  <si>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</si>
  <si>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</si>
  <si>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</si>
  <si>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</si>
  <si>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</si>
  <si>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</si>
  <si>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</si>
  <si>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</si>
  <si>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</si>
  <si>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</si>
  <si>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</si>
  <si>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</si>
  <si>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</si>
  <si>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</si>
  <si>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</si>
  <si>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</si>
  <si>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</si>
  <si>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</si>
  <si>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</si>
  <si>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</si>
  <si>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</si>
  <si>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</si>
  <si>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</si>
  <si>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</si>
  <si>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</si>
  <si>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</si>
  <si>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</si>
  <si>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</si>
  <si>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</si>
  <si>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</si>
  <si>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</si>
  <si>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</si>
  <si>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</si>
  <si>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</si>
  <si>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</si>
  <si>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</si>
  <si>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</si>
  <si>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</si>
  <si>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</si>
  <si>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</si>
  <si>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</si>
  <si>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</si>
  <si>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</si>
  <si>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</si>
  <si>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</si>
  <si>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</si>
  <si>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</si>
  <si>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</si>
  <si>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</si>
  <si>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</si>
  <si>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</si>
  <si>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</si>
  <si>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</si>
  <si>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</si>
  <si>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</si>
  <si>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</si>
  <si>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</si>
  <si>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</si>
  <si>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</si>
  <si>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</si>
  <si>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</si>
  <si>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</si>
  <si>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</si>
  <si>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</si>
  <si>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</si>
  <si>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</si>
  <si>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</si>
  <si>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</si>
  <si>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</si>
  <si>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</si>
  <si>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</si>
  <si>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</si>
  <si>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</si>
  <si>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</si>
  <si>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</si>
  <si>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</si>
  <si>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</si>
  <si>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</si>
  <si>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</si>
  <si>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</si>
  <si>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</si>
  <si>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</si>
  <si>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</si>
  <si>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</si>
  <si>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</si>
  <si>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</si>
  <si>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</si>
  <si>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</si>
  <si>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</si>
  <si>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</si>
  <si>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</si>
  <si>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</si>
  <si>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</si>
  <si>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</si>
  <si>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</si>
  <si>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</si>
  <si>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</si>
  <si>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</si>
  <si>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</si>
  <si>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</si>
  <si>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</si>
  <si>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</si>
  <si>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</si>
  <si>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</si>
  <si>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</si>
  <si>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</si>
  <si>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</si>
  <si>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</si>
  <si>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</si>
  <si>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</si>
  <si>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</si>
  <si>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</si>
  <si>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</si>
  <si>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</si>
  <si>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</si>
  <si>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</si>
  <si>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</si>
  <si>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</si>
  <si>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</si>
  <si>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</si>
  <si>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</si>
  <si>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</si>
  <si>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</si>
  <si>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</si>
  <si>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</si>
  <si>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</si>
  <si>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</si>
  <si>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</si>
  <si>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</si>
  <si>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</si>
  <si>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</si>
  <si>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</si>
  <si>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</si>
  <si>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</si>
  <si>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</si>
  <si>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</si>
  <si>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</si>
  <si>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</si>
  <si>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</si>
  <si>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</si>
  <si>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</si>
  <si>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</si>
  <si>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</si>
  <si>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</si>
  <si>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</si>
  <si>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</si>
  <si>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</si>
  <si>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</si>
  <si>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</si>
  <si>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</si>
  <si>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</si>
  <si>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</si>
  <si>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</si>
  <si>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</si>
  <si>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</si>
  <si>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</si>
  <si>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</si>
  <si>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</si>
  <si>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</si>
  <si>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</si>
  <si>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</si>
  <si>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</si>
  <si>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</si>
  <si>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</si>
  <si>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</si>
  <si>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</si>
  <si>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</si>
  <si>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</si>
  <si>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888</t>
  </si>
  <si>
    <t>Alvaro Vega</t>
  </si>
  <si>
    <t>ANGELKA TADIK</t>
  </si>
  <si>
    <t>ADQUISICIÓN DE SERPENTINAS</t>
  </si>
  <si>
    <t>SERPENTINAS CARNAVALERAS</t>
  </si>
  <si>
    <t/>
  </si>
  <si>
    <t>ENVIO A CIUDADES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</si>
</sst>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xmlns="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xmlns="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xmlns="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xmlns="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xmlns="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65</xdr:row>
      <xdr:rowOff>56031</xdr:rowOff>
    </xdr:from>
    <xdr:to>
      <xdr:col>3</xdr:col>
      <xdr:colOff>717176</xdr:colOff>
      <xdr:row>65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65</xdr:row>
      <xdr:rowOff>67236</xdr:rowOff>
    </xdr:from>
    <xdr:to>
      <xdr:col>4</xdr:col>
      <xdr:colOff>246529</xdr:colOff>
      <xdr:row>66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65</xdr:row>
      <xdr:rowOff>62753</xdr:rowOff>
    </xdr:from>
    <xdr:to>
      <xdr:col>4</xdr:col>
      <xdr:colOff>746312</xdr:colOff>
      <xdr:row>65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65</xdr:row>
      <xdr:rowOff>69476</xdr:rowOff>
    </xdr:from>
    <xdr:to>
      <xdr:col>5</xdr:col>
      <xdr:colOff>159123</xdr:colOff>
      <xdr:row>66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65</xdr:row>
      <xdr:rowOff>64994</xdr:rowOff>
    </xdr:from>
    <xdr:to>
      <xdr:col>5</xdr:col>
      <xdr:colOff>625288</xdr:colOff>
      <xdr:row>65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xmlns="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xmlns="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workbookViewId="0">
      <selection activeCell="G13" sqref="G13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6"/>
  <sheetViews>
    <sheetView showGridLines="0" zoomScale="90" zoomScaleNormal="90" zoomScalePageLayoutView="85" workbookViewId="0">
      <pane ySplit="4" topLeftCell="A24" activePane="bottomLeft" state="frozen"/>
      <selection activeCell="A21" sqref="A21"/>
      <selection pane="bottomLeft" activeCell="E23" sqref="E23"/>
    </sheetView>
  </sheetViews>
  <sheetFormatPr baseColWidth="10" defaultRowHeight="15.75" x14ac:dyDescent="0.25"/>
  <cols>
    <col min="1" max="1" width="5.42578125" style="122" customWidth="1"/>
    <col min="2" max="2" width="48.5703125" style="157" customWidth="1"/>
    <col min="3" max="3" width="34.85546875" style="157" bestFit="1" customWidth="1"/>
    <col min="4" max="4" width="15" style="157" customWidth="1"/>
    <col min="5" max="5" width="15.42578125" style="157" bestFit="1" customWidth="1"/>
    <col min="6" max="6" width="16" style="157" customWidth="1"/>
    <col min="7" max="7" width="13.140625" style="157" hidden="1" customWidth="1"/>
    <col min="8" max="8" width="17.42578125" style="157" customWidth="1"/>
    <col min="9" max="9" width="16.28515625" style="157" customWidth="1"/>
    <col min="10" max="10" width="19.42578125" style="157" customWidth="1"/>
    <col min="11" max="11" width="18.42578125" style="159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3"/>
      <c r="D1" s="293"/>
      <c r="E1" s="293"/>
      <c r="F1" s="293"/>
      <c r="G1" s="293"/>
      <c r="H1" s="293"/>
      <c r="I1" s="293"/>
      <c r="J1" s="293"/>
      <c r="K1" s="293"/>
      <c r="L1" s="189"/>
      <c r="M1" s="189"/>
      <c r="N1" s="189"/>
      <c r="O1" s="189"/>
      <c r="P1" s="189"/>
      <c r="Q1" s="190"/>
      <c r="R1" s="189"/>
      <c r="S1" s="191"/>
      <c r="T1" s="189"/>
      <c r="U1" s="189"/>
      <c r="V1" s="189"/>
    </row>
    <row r="2" spans="1:22" s="125" customFormat="1" ht="21" customHeight="1" thickBot="1" x14ac:dyDescent="0.3">
      <c r="A2" s="327"/>
      <c r="B2" s="343" t="s">
        <v>166</v>
      </c>
      <c r="C2" s="274">
        <f ca="1">+H72</f>
        <v>34990.756483695652</v>
      </c>
      <c r="D2" s="386">
        <f ca="1">+J69+J70</f>
        <v>46920</v>
      </c>
      <c r="E2" s="387"/>
      <c r="F2" s="275">
        <f ca="1">+D2-C2</f>
        <v>11929.243516304348</v>
      </c>
      <c r="G2" s="293"/>
      <c r="H2" s="293"/>
      <c r="I2" s="293"/>
      <c r="J2" s="293"/>
      <c r="K2" s="293"/>
      <c r="L2" s="161"/>
      <c r="M2" s="161"/>
      <c r="N2" s="161"/>
      <c r="O2" s="161"/>
      <c r="P2" s="161"/>
      <c r="Q2" s="193"/>
      <c r="R2" s="161"/>
      <c r="S2" s="194"/>
      <c r="T2" s="161"/>
      <c r="U2" s="161"/>
      <c r="V2" s="161"/>
    </row>
    <row r="3" spans="1:22" s="125" customFormat="1" thickBot="1" x14ac:dyDescent="0.3">
      <c r="A3" s="327"/>
      <c r="B3" s="344"/>
      <c r="C3" s="294" t="s">
        <v>168</v>
      </c>
      <c r="D3" s="345" t="s">
        <v>169</v>
      </c>
      <c r="E3" s="346"/>
      <c r="F3" s="294" t="s">
        <v>72</v>
      </c>
      <c r="G3" s="293"/>
      <c r="H3" s="293"/>
      <c r="I3" s="293"/>
      <c r="J3" s="293"/>
      <c r="K3" s="293"/>
      <c r="L3" s="161"/>
      <c r="M3" s="161"/>
      <c r="N3" s="161"/>
      <c r="O3" s="161"/>
      <c r="P3" s="161"/>
      <c r="Q3" s="193"/>
      <c r="R3" s="161"/>
      <c r="S3" s="194"/>
      <c r="T3" s="161"/>
      <c r="U3" s="161"/>
      <c r="V3" s="161"/>
    </row>
    <row r="4" spans="1:22" s="125" customFormat="1" ht="14.25" customHeight="1" x14ac:dyDescent="0.25">
      <c r="A4" s="327"/>
      <c r="B4" s="160"/>
      <c r="C4" s="293"/>
      <c r="D4" s="293"/>
      <c r="E4" s="293"/>
      <c r="F4" s="293"/>
      <c r="G4" s="293"/>
      <c r="H4" s="293"/>
      <c r="I4" s="293"/>
      <c r="J4" s="293"/>
      <c r="K4" s="293"/>
      <c r="L4" s="161"/>
      <c r="M4" s="161"/>
      <c r="N4" s="161"/>
      <c r="O4" s="161"/>
      <c r="P4" s="161"/>
      <c r="Q4" s="193"/>
      <c r="R4" s="161"/>
      <c r="S4" s="194"/>
      <c r="T4" s="161"/>
      <c r="U4" s="161"/>
      <c r="V4" s="161"/>
    </row>
    <row r="5" spans="1:22" s="125" customFormat="1" ht="14.25" x14ac:dyDescent="0.2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92"/>
      <c r="L5" s="161"/>
      <c r="M5" s="161"/>
      <c r="N5" s="161"/>
      <c r="O5" s="161"/>
      <c r="P5" s="161"/>
      <c r="Q5" s="193"/>
      <c r="R5" s="161"/>
      <c r="S5" s="194"/>
      <c r="T5" s="161"/>
      <c r="U5" s="161"/>
      <c r="V5" s="161"/>
    </row>
    <row r="6" spans="1:22" s="125" customFormat="1" ht="14.25" x14ac:dyDescent="0.2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92"/>
      <c r="L6" s="161"/>
      <c r="M6" s="161"/>
      <c r="N6" s="161"/>
      <c r="O6" s="161"/>
      <c r="P6" s="161"/>
      <c r="Q6" s="193"/>
      <c r="R6" s="161"/>
      <c r="S6" s="194"/>
      <c r="T6" s="161"/>
      <c r="U6" s="161"/>
      <c r="V6" s="161"/>
    </row>
    <row r="7" spans="1:22" s="125" customFormat="1" ht="14.25" x14ac:dyDescent="0.2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92"/>
      <c r="L7" s="161"/>
      <c r="M7" s="161"/>
      <c r="N7" s="161"/>
      <c r="O7" s="161"/>
      <c r="P7" s="161"/>
      <c r="Q7" s="193"/>
      <c r="R7" s="161"/>
      <c r="S7" s="194"/>
      <c r="T7" s="161"/>
      <c r="U7" s="161"/>
      <c r="V7" s="161"/>
    </row>
    <row r="8" spans="1:22" s="125" customFormat="1" ht="27.75" x14ac:dyDescent="0.2">
      <c r="A8" s="161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5">
        <f ca="1">C66</f>
        <v>0.16</v>
      </c>
      <c r="L8" s="161"/>
      <c r="M8" s="161"/>
      <c r="N8" s="161"/>
      <c r="O8" s="161"/>
      <c r="P8" s="161"/>
      <c r="Q8" s="193"/>
      <c r="R8" s="161"/>
      <c r="S8" s="194"/>
      <c r="T8" s="161"/>
      <c r="U8" s="161"/>
      <c r="V8" s="161"/>
    </row>
    <row r="9" spans="1:22" s="125" customFormat="1" ht="27.75" x14ac:dyDescent="0.2">
      <c r="A9" s="161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6">
        <f ca="1">H69</f>
        <v>25338.134005434782</v>
      </c>
      <c r="L9" s="161"/>
      <c r="M9" s="161"/>
      <c r="N9" s="161"/>
      <c r="O9" s="161"/>
      <c r="P9" s="161"/>
      <c r="Q9" s="193"/>
      <c r="R9" s="161"/>
      <c r="S9" s="194"/>
      <c r="T9" s="161"/>
      <c r="U9" s="161"/>
      <c r="V9" s="161"/>
    </row>
    <row r="10" spans="1:22" s="125" customFormat="1" ht="15.75" customHeight="1" x14ac:dyDescent="0.2">
      <c r="A10" s="161"/>
      <c r="B10" s="162"/>
      <c r="C10" s="162"/>
      <c r="D10" s="162"/>
      <c r="E10" s="162"/>
      <c r="F10" s="162"/>
      <c r="G10" s="162"/>
      <c r="H10" s="162"/>
      <c r="I10" s="162"/>
      <c r="J10" s="162"/>
      <c r="K10" s="196"/>
      <c r="L10" s="161"/>
      <c r="M10" s="161"/>
      <c r="N10" s="161"/>
      <c r="O10" s="161"/>
      <c r="P10" s="161"/>
      <c r="Q10" s="193"/>
      <c r="R10" s="161"/>
      <c r="S10" s="194"/>
      <c r="T10" s="161"/>
      <c r="U10" s="161"/>
      <c r="V10" s="161"/>
    </row>
    <row r="11" spans="1:22" s="125" customFormat="1" ht="27.75" x14ac:dyDescent="0.2">
      <c r="A11" s="161"/>
      <c r="B11" s="163"/>
      <c r="C11" s="163"/>
      <c r="D11" s="163"/>
      <c r="E11" s="163"/>
      <c r="F11" s="163"/>
      <c r="G11" s="163"/>
      <c r="H11" s="163"/>
      <c r="I11" s="163"/>
      <c r="J11" s="163"/>
      <c r="K11" s="197"/>
      <c r="L11" s="161"/>
      <c r="M11" s="161"/>
      <c r="N11" s="161"/>
      <c r="O11" s="161"/>
      <c r="P11" s="161"/>
      <c r="Q11" s="193"/>
      <c r="R11" s="161"/>
      <c r="S11" s="194"/>
      <c r="T11" s="161"/>
      <c r="U11" s="161"/>
      <c r="V11" s="161"/>
    </row>
    <row r="12" spans="1:22" s="125" customFormat="1" ht="30" customHeight="1" x14ac:dyDescent="0.2">
      <c r="A12" s="164">
        <v>1.1000000000000001</v>
      </c>
      <c r="B12" s="184" t="s">
        <v>0</v>
      </c>
      <c r="C12" s="337" t="s">
        <v>178</v>
      </c>
      <c r="D12" s="337"/>
      <c r="E12" s="167">
        <v>1.2</v>
      </c>
      <c r="F12" s="342" t="s">
        <v>52</v>
      </c>
      <c r="G12" s="342"/>
      <c r="H12" s="342"/>
      <c r="I12" s="336"/>
      <c r="J12" s="336"/>
      <c r="K12" s="192"/>
      <c r="L12" s="161"/>
      <c r="M12" s="161"/>
      <c r="N12" s="161"/>
      <c r="O12" s="161"/>
      <c r="P12" s="161"/>
      <c r="Q12" s="193"/>
      <c r="R12" s="161"/>
      <c r="S12" s="194"/>
      <c r="T12" s="161"/>
      <c r="U12" s="161"/>
      <c r="V12" s="161"/>
    </row>
    <row r="13" spans="1:22" s="125" customFormat="1" ht="15.75" customHeight="1" x14ac:dyDescent="0.2">
      <c r="A13" s="164"/>
      <c r="B13" s="168"/>
      <c r="C13" s="168"/>
      <c r="D13" s="168"/>
      <c r="E13" s="168"/>
      <c r="F13" s="168"/>
      <c r="G13" s="168"/>
      <c r="H13" s="168"/>
      <c r="I13" s="168"/>
      <c r="J13" s="168"/>
      <c r="K13" s="198"/>
      <c r="L13" s="161"/>
      <c r="M13" s="161"/>
      <c r="N13" s="161"/>
      <c r="O13" s="161"/>
      <c r="P13" s="161"/>
      <c r="Q13" s="193"/>
      <c r="R13" s="161"/>
      <c r="S13" s="194"/>
      <c r="T13" s="161"/>
      <c r="U13" s="161"/>
      <c r="V13" s="161"/>
    </row>
    <row r="14" spans="1:22" s="125" customFormat="1" ht="36.75" customHeight="1" x14ac:dyDescent="0.2">
      <c r="A14" s="164">
        <v>1.3</v>
      </c>
      <c r="B14" s="184" t="s">
        <v>124</v>
      </c>
      <c r="C14" s="339"/>
      <c r="D14" s="340"/>
      <c r="E14" s="164">
        <v>1.4</v>
      </c>
      <c r="F14" s="188" t="s">
        <v>125</v>
      </c>
      <c r="G14" s="128"/>
      <c r="H14" s="341" t="s">
        <v>179</v>
      </c>
      <c r="I14" s="341"/>
      <c r="J14" s="341"/>
      <c r="K14" s="199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</row>
    <row r="15" spans="1:22" s="125" customFormat="1" x14ac:dyDescent="0.2">
      <c r="A15" s="164"/>
      <c r="B15" s="168"/>
      <c r="C15" s="168"/>
      <c r="D15" s="168"/>
      <c r="E15" s="168"/>
      <c r="F15" s="168"/>
      <c r="G15" s="168"/>
      <c r="H15" s="168"/>
      <c r="I15" s="168"/>
      <c r="J15" s="168"/>
      <c r="K15" s="198"/>
      <c r="L15" s="161"/>
      <c r="M15" s="161"/>
      <c r="N15" s="161"/>
      <c r="O15" s="161"/>
      <c r="P15" s="161"/>
      <c r="Q15" s="193"/>
      <c r="R15" s="161"/>
      <c r="S15" s="194"/>
      <c r="T15" s="161"/>
      <c r="U15" s="161"/>
      <c r="V15" s="161"/>
    </row>
    <row r="16" spans="1:22" s="125" customFormat="1" ht="37.5" customHeight="1" x14ac:dyDescent="0.2">
      <c r="A16" s="164">
        <v>1.5</v>
      </c>
      <c r="B16" s="184" t="s">
        <v>126</v>
      </c>
      <c r="C16" s="338"/>
      <c r="D16" s="338"/>
      <c r="E16" s="164">
        <v>1.6</v>
      </c>
      <c r="F16" s="397" t="s">
        <v>127</v>
      </c>
      <c r="G16" s="398"/>
      <c r="H16" s="399"/>
      <c r="I16" s="338"/>
      <c r="J16" s="338"/>
      <c r="K16" s="192"/>
      <c r="L16" s="161"/>
      <c r="M16" s="161"/>
      <c r="N16" s="161"/>
      <c r="O16" s="161"/>
      <c r="P16" s="161"/>
      <c r="Q16" s="193"/>
      <c r="R16" s="161"/>
      <c r="S16" s="194"/>
      <c r="T16" s="161"/>
      <c r="U16" s="161"/>
      <c r="V16" s="161"/>
    </row>
    <row r="17" spans="1:22" s="129" customFormat="1" ht="19.5" customHeight="1" x14ac:dyDescent="0.25">
      <c r="A17" s="165"/>
      <c r="B17" s="185"/>
      <c r="C17" s="186"/>
      <c r="D17" s="187"/>
      <c r="E17" s="169"/>
      <c r="F17" s="169"/>
      <c r="G17" s="169"/>
      <c r="H17" s="169"/>
      <c r="I17" s="169"/>
      <c r="J17" s="169"/>
      <c r="K17" s="200"/>
      <c r="L17" s="187"/>
      <c r="M17" s="187"/>
      <c r="N17" s="187"/>
      <c r="O17" s="187"/>
      <c r="P17" s="187"/>
      <c r="Q17" s="193"/>
      <c r="R17" s="187"/>
      <c r="S17" s="194"/>
      <c r="T17" s="187"/>
      <c r="U17" s="187"/>
      <c r="V17" s="187"/>
    </row>
    <row r="18" spans="1:22" s="129" customFormat="1" ht="37.5" customHeight="1" x14ac:dyDescent="0.2">
      <c r="A18" s="165">
        <v>1.7</v>
      </c>
      <c r="B18" s="184" t="s">
        <v>161</v>
      </c>
      <c r="C18" s="340">
        <v>30</v>
      </c>
      <c r="D18" s="340"/>
      <c r="E18" s="165" t="s">
        <v>146</v>
      </c>
      <c r="F18" s="342" t="s">
        <v>150</v>
      </c>
      <c r="G18" s="342"/>
      <c r="H18" s="342"/>
      <c r="I18" s="338" t="s">
        <v>171</v>
      </c>
      <c r="J18" s="338"/>
      <c r="K18" s="200"/>
      <c r="L18" s="187"/>
      <c r="M18" s="187"/>
      <c r="N18" s="187"/>
      <c r="O18" s="187"/>
      <c r="P18" s="187"/>
      <c r="Q18" s="193"/>
      <c r="R18" s="187"/>
      <c r="S18" s="194"/>
      <c r="T18" s="187"/>
      <c r="U18" s="187"/>
      <c r="V18" s="187"/>
    </row>
    <row r="19" spans="1:22" s="129" customFormat="1" ht="28.5" customHeight="1" x14ac:dyDescent="0.2">
      <c r="A19" s="165"/>
      <c r="B19" s="179"/>
      <c r="C19" s="180"/>
      <c r="D19" s="181"/>
      <c r="E19" s="169"/>
      <c r="F19" s="169"/>
      <c r="G19" s="169"/>
      <c r="H19" s="169"/>
      <c r="I19" s="169"/>
      <c r="J19" s="169"/>
      <c r="K19" s="200"/>
      <c r="L19" s="187"/>
      <c r="M19" s="187"/>
      <c r="N19" s="187"/>
      <c r="O19" s="187"/>
      <c r="P19" s="187"/>
      <c r="Q19" s="193"/>
      <c r="R19" s="187"/>
      <c r="S19" s="194"/>
      <c r="T19" s="187"/>
      <c r="U19" s="187"/>
      <c r="V19" s="187"/>
    </row>
    <row r="20" spans="1:22" s="131" customFormat="1" ht="26.25" customHeight="1" x14ac:dyDescent="0.25">
      <c r="A20" s="166">
        <v>2</v>
      </c>
      <c r="B20" s="182" t="s">
        <v>152</v>
      </c>
      <c r="C20" s="170"/>
      <c r="D20" s="170"/>
      <c r="E20" s="170"/>
      <c r="F20" s="170"/>
      <c r="G20" s="172"/>
      <c r="H20" s="172"/>
      <c r="I20" s="172"/>
      <c r="J20" s="173"/>
      <c r="K20" s="201"/>
      <c r="L20" s="202"/>
      <c r="M20" s="202"/>
      <c r="N20" s="202"/>
      <c r="O20" s="202"/>
      <c r="P20" s="202"/>
      <c r="Q20" s="203"/>
      <c r="R20" s="202"/>
      <c r="S20" s="204"/>
      <c r="T20" s="202"/>
      <c r="U20" s="202"/>
      <c r="V20" s="202"/>
    </row>
    <row r="21" spans="1:22" s="129" customFormat="1" ht="10.5" customHeight="1" x14ac:dyDescent="0.2">
      <c r="A21" s="164"/>
      <c r="B21" s="161"/>
      <c r="C21" s="161"/>
      <c r="D21" s="161"/>
      <c r="E21" s="161"/>
      <c r="F21" s="161"/>
      <c r="G21" s="174"/>
      <c r="H21" s="174"/>
      <c r="I21" s="174"/>
      <c r="J21" s="175"/>
      <c r="K21" s="200"/>
      <c r="L21" s="187"/>
      <c r="M21" s="187"/>
      <c r="N21" s="187"/>
      <c r="O21" s="187"/>
      <c r="P21" s="187"/>
      <c r="Q21" s="193"/>
      <c r="R21" s="187"/>
      <c r="S21" s="194"/>
      <c r="T21" s="187"/>
      <c r="U21" s="187"/>
      <c r="V21" s="187"/>
    </row>
    <row r="22" spans="1:22" s="129" customFormat="1" ht="37.5" customHeight="1" x14ac:dyDescent="0.2">
      <c r="A22" s="164" t="s">
        <v>133</v>
      </c>
      <c r="B22" s="183" t="s">
        <v>68</v>
      </c>
      <c r="C22" s="171" t="s">
        <v>156</v>
      </c>
      <c r="D22" s="183" t="s">
        <v>70</v>
      </c>
      <c r="E22" s="176" t="s">
        <v>8</v>
      </c>
      <c r="F22" s="176" t="s">
        <v>69</v>
      </c>
      <c r="G22" s="177"/>
      <c r="H22" s="176" t="s">
        <v>9</v>
      </c>
      <c r="I22" s="178" t="s">
        <v>14</v>
      </c>
      <c r="J22" s="302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4"/>
      <c r="B23" s="290" t="s">
        <v>71</v>
      </c>
      <c r="C23" s="291" t="s">
        <v>157</v>
      </c>
      <c r="D23" s="132" t="s">
        <v>11</v>
      </c>
      <c r="E23" s="313">
        <v>2</v>
      </c>
      <c r="F23" s="146">
        <v>2</v>
      </c>
      <c r="G23" s="133"/>
      <c r="H23" s="205">
        <f>IF(D23="HRS",Hoja1!$D$48,IF('Estado de costos'!D23="DIAS",Hoja1!$E$48))</f>
        <v>240</v>
      </c>
      <c r="I23" s="205">
        <f>+H23*F23*E23</f>
        <v>960</v>
      </c>
      <c r="J23" s="135"/>
      <c r="K23" s="200"/>
      <c r="L23" s="187"/>
      <c r="M23" s="187"/>
      <c r="N23" s="187"/>
      <c r="O23" s="187"/>
      <c r="P23" s="187"/>
      <c r="Q23" s="193"/>
      <c r="R23" s="187"/>
      <c r="S23" s="194"/>
      <c r="T23" s="187"/>
      <c r="U23" s="187"/>
      <c r="V23" s="187"/>
    </row>
    <row r="24" spans="1:22" s="129" customFormat="1" ht="27.75" customHeight="1" x14ac:dyDescent="0.2">
      <c r="A24" s="164"/>
      <c r="B24" s="290" t="s">
        <v>149</v>
      </c>
      <c r="C24" s="291" t="s">
        <v>157</v>
      </c>
      <c r="D24" s="132" t="s">
        <v>11</v>
      </c>
      <c r="E24" s="313"/>
      <c r="F24" s="146"/>
      <c r="G24" s="133"/>
      <c r="H24" s="318">
        <f>IF(D24="HRS",Hoja1!$D$49,IF('Estado de costos'!D24="DIAS",Hoja1!$E$49))</f>
        <v>208</v>
      </c>
      <c r="I24" s="318">
        <f>+H24*F24*E24</f>
        <v>0</v>
      </c>
      <c r="J24" s="135"/>
      <c r="K24" s="200"/>
      <c r="L24" s="187"/>
      <c r="M24" s="187"/>
      <c r="N24" s="187"/>
      <c r="O24" s="187"/>
      <c r="P24" s="187"/>
      <c r="Q24" s="193"/>
      <c r="R24" s="187"/>
      <c r="S24" s="194"/>
      <c r="T24" s="187"/>
      <c r="U24" s="187"/>
      <c r="V24" s="187"/>
    </row>
    <row r="25" spans="1:22" s="129" customFormat="1" ht="21.75" customHeight="1" x14ac:dyDescent="0.2">
      <c r="A25" s="164"/>
      <c r="B25" s="361" t="s">
        <v>123</v>
      </c>
      <c r="C25" s="362"/>
      <c r="D25" s="206"/>
      <c r="E25" s="320">
        <f>SUM(E23:E24)</f>
        <v>2</v>
      </c>
      <c r="F25" s="319">
        <f>SUM(F23:F24)</f>
        <v>2</v>
      </c>
      <c r="G25" s="207"/>
      <c r="H25" s="208">
        <f>SUM(H23:H24)</f>
        <v>448</v>
      </c>
      <c r="I25" s="208">
        <f>SUM(I23:I24)</f>
        <v>960</v>
      </c>
      <c r="J25" s="208">
        <f>SUM(J23:J24)</f>
        <v>0</v>
      </c>
      <c r="K25" s="200"/>
      <c r="L25" s="187"/>
      <c r="M25" s="187"/>
      <c r="N25" s="187"/>
      <c r="O25" s="187"/>
      <c r="P25" s="187"/>
      <c r="Q25" s="193"/>
      <c r="R25" s="187"/>
      <c r="S25" s="194"/>
      <c r="T25" s="187"/>
      <c r="U25" s="187"/>
      <c r="V25" s="187"/>
    </row>
    <row r="26" spans="1:22" s="130" customFormat="1" ht="37.5" customHeight="1" x14ac:dyDescent="0.25">
      <c r="A26" s="166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09"/>
      <c r="K26" s="210"/>
      <c r="L26" s="170"/>
      <c r="M26" s="170"/>
      <c r="N26" s="170"/>
      <c r="O26" s="170"/>
      <c r="P26" s="170"/>
      <c r="Q26" s="203"/>
      <c r="R26" s="170"/>
      <c r="S26" s="204"/>
      <c r="T26" s="170"/>
      <c r="U26" s="170"/>
      <c r="V26" s="170"/>
    </row>
    <row r="27" spans="1:22" s="125" customFormat="1" ht="7.5" customHeight="1" x14ac:dyDescent="0.25">
      <c r="A27" s="164"/>
      <c r="B27" s="179"/>
      <c r="C27" s="180"/>
      <c r="D27" s="181"/>
      <c r="E27" s="209"/>
      <c r="F27" s="209"/>
      <c r="G27" s="209"/>
      <c r="H27" s="211"/>
      <c r="I27" s="209"/>
      <c r="J27" s="209"/>
      <c r="K27" s="212"/>
      <c r="L27" s="161"/>
      <c r="M27" s="161"/>
      <c r="N27" s="161"/>
      <c r="O27" s="161"/>
      <c r="P27" s="161"/>
      <c r="Q27" s="193"/>
      <c r="R27" s="161"/>
      <c r="S27" s="194"/>
      <c r="T27" s="161"/>
      <c r="U27" s="161"/>
      <c r="V27" s="161"/>
    </row>
    <row r="28" spans="1:22" s="125" customFormat="1" ht="28.5" customHeight="1" x14ac:dyDescent="0.25">
      <c r="A28" s="164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4"/>
      <c r="K28" s="213"/>
      <c r="L28" s="214"/>
      <c r="M28" s="215"/>
      <c r="N28" s="215"/>
      <c r="O28" s="215"/>
      <c r="P28" s="215"/>
      <c r="Q28" s="193"/>
      <c r="R28" s="161"/>
      <c r="S28" s="194"/>
      <c r="T28" s="161"/>
      <c r="U28" s="161"/>
      <c r="V28" s="161"/>
    </row>
    <row r="29" spans="1:22" s="136" customFormat="1" ht="51.75" customHeight="1" x14ac:dyDescent="0.25">
      <c r="A29" s="221"/>
      <c r="B29" s="216" t="s">
        <v>66</v>
      </c>
      <c r="C29" s="328" t="s">
        <v>65</v>
      </c>
      <c r="D29" s="329"/>
      <c r="E29" s="171" t="s">
        <v>10</v>
      </c>
      <c r="F29" s="171" t="s">
        <v>6</v>
      </c>
      <c r="G29" s="171" t="s">
        <v>37</v>
      </c>
      <c r="H29" s="171" t="s">
        <v>49</v>
      </c>
      <c r="I29" s="216" t="s">
        <v>35</v>
      </c>
      <c r="J29" s="303" t="s">
        <v>47</v>
      </c>
      <c r="K29" s="217"/>
      <c r="L29" s="218"/>
      <c r="M29" s="218"/>
      <c r="N29" s="218"/>
      <c r="O29" s="218"/>
      <c r="P29" s="218"/>
      <c r="Q29" s="219"/>
      <c r="R29" s="219"/>
      <c r="S29" s="219"/>
      <c r="T29" s="219"/>
      <c r="U29" s="219"/>
      <c r="V29" s="220"/>
    </row>
    <row r="30" spans="1:22" s="125" customFormat="1" ht="35.25" customHeight="1" x14ac:dyDescent="0.25">
      <c r="A30" s="164"/>
      <c r="B30" s="137" t="s">
        <v>180</v>
      </c>
      <c r="C30" s="138"/>
      <c r="D30" s="139"/>
      <c r="E30" s="140">
        <v>15000</v>
      </c>
      <c r="F30" s="141">
        <v>1.2</v>
      </c>
      <c r="G30" s="134">
        <f>+F30*E30</f>
        <v>18000</v>
      </c>
      <c r="H30" s="142" t="s">
        <v>28</v>
      </c>
      <c r="I30" s="205">
        <f>IF(H30="FACTURA",G30*0.87,IF(H30=Hoja1!$Q$2,G30/0.92,IF(H30="ALMACEN",G30*1,"")))</f>
        <v>19565.217391304348</v>
      </c>
      <c r="J30" s="141">
        <v>40800</v>
      </c>
      <c r="K30" s="222" t="str">
        <f>"888"</f>
        <v>888</v>
      </c>
      <c r="L30" s="223"/>
      <c r="M30" s="224"/>
      <c r="N30" s="224"/>
      <c r="O30" s="224"/>
      <c r="P30" s="224"/>
      <c r="Q30" s="169"/>
      <c r="R30" s="169"/>
      <c r="S30" s="169"/>
      <c r="T30" s="169"/>
      <c r="U30" s="169"/>
      <c r="V30" s="161"/>
    </row>
    <row r="31" spans="1:22" s="125" customFormat="1" ht="36" customHeight="1" x14ac:dyDescent="0.2">
      <c r="A31" s="164"/>
      <c r="B31" s="361" t="s">
        <v>50</v>
      </c>
      <c r="C31" s="363"/>
      <c r="D31" s="363"/>
      <c r="E31" s="363"/>
      <c r="F31" s="363"/>
      <c r="G31" s="363"/>
      <c r="H31" s="362"/>
      <c r="I31" s="208">
        <f ca="1">SUM(I30:OFFSET(I31,-1,0))</f>
        <v>19565.217391304348</v>
      </c>
      <c r="J31" s="225">
        <f ca="1">SUM(J30:OFFSET(J31,-1,0))</f>
        <v>40800</v>
      </c>
      <c r="K31" s="222"/>
      <c r="L31" s="223"/>
      <c r="M31" s="223"/>
      <c r="N31" s="223"/>
      <c r="O31" s="223"/>
      <c r="P31" s="223"/>
      <c r="Q31" s="169"/>
      <c r="R31" s="169"/>
      <c r="S31" s="169"/>
      <c r="T31" s="169"/>
      <c r="U31" s="169"/>
      <c r="V31" s="161"/>
    </row>
    <row r="32" spans="1:22" s="125" customFormat="1" ht="12.75" customHeight="1" x14ac:dyDescent="0.2">
      <c r="A32" s="164"/>
      <c r="B32" s="226"/>
      <c r="C32" s="226"/>
      <c r="D32" s="227"/>
      <c r="E32" s="227"/>
      <c r="F32" s="226"/>
      <c r="G32" s="226"/>
      <c r="H32" s="226"/>
      <c r="I32" s="226"/>
      <c r="J32" s="175"/>
      <c r="K32" s="228"/>
      <c r="L32" s="229"/>
      <c r="M32" s="169"/>
      <c r="N32" s="169"/>
      <c r="O32" s="169"/>
      <c r="P32" s="169"/>
      <c r="Q32" s="169"/>
      <c r="R32" s="169"/>
      <c r="S32" s="169"/>
      <c r="T32" s="169"/>
      <c r="U32" s="169"/>
      <c r="V32" s="161"/>
    </row>
    <row r="33" spans="1:22" s="125" customFormat="1" ht="12.75" customHeight="1" x14ac:dyDescent="0.2">
      <c r="A33" s="164"/>
      <c r="B33" s="226"/>
      <c r="C33" s="226"/>
      <c r="D33" s="227"/>
      <c r="E33" s="227"/>
      <c r="F33" s="226"/>
      <c r="G33" s="226"/>
      <c r="H33" s="226"/>
      <c r="I33" s="226"/>
      <c r="J33" s="175"/>
      <c r="K33" s="228"/>
      <c r="L33" s="229"/>
      <c r="M33" s="169"/>
      <c r="N33" s="169"/>
      <c r="O33" s="169"/>
      <c r="P33" s="169"/>
      <c r="Q33" s="169"/>
      <c r="R33" s="169"/>
      <c r="S33" s="169"/>
      <c r="T33" s="169"/>
      <c r="U33" s="169"/>
      <c r="V33" s="161"/>
    </row>
    <row r="34" spans="1:22" s="125" customFormat="1" ht="12.75" hidden="1" customHeight="1" x14ac:dyDescent="0.2">
      <c r="A34" s="164"/>
      <c r="B34" s="226"/>
      <c r="C34" s="226"/>
      <c r="D34" s="227"/>
      <c r="E34" s="227"/>
      <c r="F34" s="226"/>
      <c r="G34" s="226"/>
      <c r="H34" s="226"/>
      <c r="I34" s="230">
        <f ca="1">+I31+I39</f>
        <v>20348.217391304348</v>
      </c>
      <c r="J34" s="230"/>
      <c r="K34" s="231"/>
      <c r="L34" s="229"/>
      <c r="M34" s="169"/>
      <c r="N34" s="169"/>
      <c r="O34" s="169"/>
      <c r="P34" s="169"/>
      <c r="Q34" s="169"/>
      <c r="R34" s="169"/>
      <c r="S34" s="169"/>
      <c r="T34" s="169"/>
      <c r="U34" s="169"/>
      <c r="V34" s="161"/>
    </row>
    <row r="35" spans="1:22" s="125" customFormat="1" ht="12.75" customHeight="1" x14ac:dyDescent="0.2">
      <c r="A35" s="164"/>
      <c r="B35" s="226"/>
      <c r="C35" s="226"/>
      <c r="D35" s="227"/>
      <c r="E35" s="227"/>
      <c r="F35" s="226"/>
      <c r="G35" s="226"/>
      <c r="H35" s="226"/>
      <c r="I35" s="226"/>
      <c r="J35" s="230"/>
      <c r="K35" s="228"/>
      <c r="L35" s="229"/>
      <c r="M35" s="169"/>
      <c r="N35" s="169"/>
      <c r="O35" s="169"/>
      <c r="P35" s="169"/>
      <c r="Q35" s="169"/>
      <c r="R35" s="169"/>
      <c r="S35" s="169"/>
      <c r="T35" s="169"/>
      <c r="U35" s="169"/>
      <c r="V35" s="161"/>
    </row>
    <row r="36" spans="1:22" s="125" customFormat="1" ht="26.25" customHeight="1" x14ac:dyDescent="0.2">
      <c r="A36" s="164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4"/>
      <c r="K36" s="228"/>
      <c r="L36" s="229"/>
      <c r="M36" s="169"/>
      <c r="N36" s="169"/>
      <c r="O36" s="169"/>
      <c r="P36" s="169"/>
      <c r="Q36" s="169"/>
      <c r="R36" s="169"/>
      <c r="S36" s="169"/>
      <c r="T36" s="169"/>
      <c r="U36" s="169"/>
      <c r="V36" s="161"/>
    </row>
    <row r="37" spans="1:22" s="125" customFormat="1" ht="50.25" customHeight="1" x14ac:dyDescent="0.2">
      <c r="A37" s="164"/>
      <c r="B37" s="183" t="s">
        <v>7</v>
      </c>
      <c r="C37" s="171" t="s">
        <v>65</v>
      </c>
      <c r="D37" s="183" t="s">
        <v>11</v>
      </c>
      <c r="E37" s="171" t="s">
        <v>10</v>
      </c>
      <c r="F37" s="171" t="s">
        <v>6</v>
      </c>
      <c r="G37" s="183" t="s">
        <v>5</v>
      </c>
      <c r="H37" s="183" t="s">
        <v>40</v>
      </c>
      <c r="I37" s="216" t="s">
        <v>41</v>
      </c>
      <c r="J37" s="304" t="s">
        <v>47</v>
      </c>
      <c r="K37" s="217"/>
      <c r="L37" s="218"/>
      <c r="M37" s="169"/>
      <c r="N37" s="218"/>
      <c r="O37" s="218"/>
      <c r="P37" s="169"/>
      <c r="Q37" s="232"/>
      <c r="R37" s="169"/>
      <c r="S37" s="169"/>
      <c r="T37" s="169"/>
      <c r="U37" s="169"/>
      <c r="V37" s="161"/>
    </row>
    <row r="38" spans="1:22" s="125" customFormat="1" ht="30.75" customHeight="1" x14ac:dyDescent="0.2">
      <c r="A38" s="164"/>
      <c r="B38" s="144" t="s">
        <v>182</v>
      </c>
      <c r="C38" s="145"/>
      <c r="D38" s="146">
        <v>1</v>
      </c>
      <c r="E38" s="147">
        <v>6</v>
      </c>
      <c r="F38" s="148">
        <v>150</v>
      </c>
      <c r="G38" s="134">
        <f t="shared" ref="G38" si="0">+F38*E38*D38</f>
        <v>900</v>
      </c>
      <c r="H38" s="149" t="s">
        <v>13</v>
      </c>
      <c r="I38" s="233">
        <f t="shared" ref="I38" si="1">IF(H38="FACTURA",G38*0.87,IF(H38="RECIBO",G38/0.845,IF(H38="SIN IMPUESTO",G38*1,IF(H38="ALQUILER SIN RECIBO",G38/0.84,IF(H38="VIATICOS",G38/0.87,"")))))</f>
        <v>783</v>
      </c>
      <c r="J38" s="135">
        <v>0</v>
      </c>
      <c r="K38" s="222" t="str">
        <f t="shared" ref="K38" si="2">"888"</f>
        <v>888</v>
      </c>
      <c r="L38" s="223"/>
      <c r="M38" s="169"/>
      <c r="N38" s="223"/>
      <c r="O38" s="223"/>
      <c r="P38" s="169"/>
      <c r="Q38" s="232"/>
      <c r="R38" s="169"/>
      <c r="S38" s="169"/>
      <c r="T38" s="169"/>
      <c r="U38" s="169"/>
      <c r="V38" s="161"/>
    </row>
    <row r="39" spans="1:22" s="125" customFormat="1" ht="20.25" customHeight="1" x14ac:dyDescent="0.2">
      <c r="A39" s="164"/>
      <c r="B39" s="361" t="s">
        <v>48</v>
      </c>
      <c r="C39" s="363"/>
      <c r="D39" s="363"/>
      <c r="E39" s="363"/>
      <c r="F39" s="363"/>
      <c r="G39" s="363"/>
      <c r="H39" s="362"/>
      <c r="I39" s="208">
        <f ca="1">SUM(I38:OFFSET(I39,-1,0))</f>
        <v>783</v>
      </c>
      <c r="J39" s="208">
        <f ca="1">SUM(J38:OFFSET(J39,-1,0))</f>
        <v>0</v>
      </c>
      <c r="K39" s="222"/>
      <c r="L39" s="223"/>
      <c r="M39" s="169"/>
      <c r="N39" s="237"/>
      <c r="O39" s="237"/>
      <c r="P39" s="169"/>
      <c r="Q39" s="238"/>
      <c r="R39" s="169"/>
      <c r="S39" s="169"/>
      <c r="T39" s="169"/>
      <c r="U39" s="169"/>
      <c r="V39" s="161"/>
    </row>
    <row r="40" spans="1:22" s="125" customFormat="1" ht="23.25" customHeight="1" x14ac:dyDescent="0.2">
      <c r="A40" s="164"/>
      <c r="B40" s="161"/>
      <c r="C40" s="161"/>
      <c r="D40" s="234"/>
      <c r="E40" s="234"/>
      <c r="F40" s="234"/>
      <c r="G40" s="234"/>
      <c r="H40" s="234"/>
      <c r="I40" s="235"/>
      <c r="J40" s="235"/>
      <c r="K40" s="222"/>
      <c r="L40" s="169"/>
      <c r="M40" s="169"/>
      <c r="N40" s="169"/>
      <c r="O40" s="169"/>
      <c r="P40" s="169"/>
      <c r="Q40" s="238"/>
      <c r="R40" s="169"/>
      <c r="S40" s="169"/>
      <c r="T40" s="169"/>
      <c r="U40" s="169"/>
      <c r="V40" s="161"/>
    </row>
    <row r="41" spans="1:22" s="125" customFormat="1" ht="27.75" customHeight="1" x14ac:dyDescent="0.2">
      <c r="A41" s="164"/>
      <c r="B41" s="364" t="s">
        <v>165</v>
      </c>
      <c r="C41" s="364"/>
      <c r="D41" s="364"/>
      <c r="E41" s="364"/>
      <c r="F41" s="364"/>
      <c r="G41" s="364"/>
      <c r="H41" s="364"/>
      <c r="I41" s="364"/>
      <c r="J41" s="364"/>
      <c r="K41" s="222"/>
      <c r="L41" s="169"/>
      <c r="M41" s="169"/>
      <c r="N41" s="169"/>
      <c r="O41" s="169"/>
      <c r="P41" s="169"/>
      <c r="Q41" s="238"/>
      <c r="R41" s="169"/>
      <c r="S41" s="169"/>
      <c r="T41" s="169"/>
      <c r="U41" s="169"/>
      <c r="V41" s="161"/>
    </row>
    <row r="42" spans="1:22" s="130" customFormat="1" ht="30" customHeight="1" x14ac:dyDescent="0.25">
      <c r="A42" s="166">
        <v>4</v>
      </c>
      <c r="B42" s="182" t="s">
        <v>151</v>
      </c>
      <c r="C42" s="170"/>
      <c r="D42" s="170"/>
      <c r="E42" s="170"/>
      <c r="F42" s="170"/>
      <c r="G42" s="170"/>
      <c r="H42" s="172"/>
      <c r="I42" s="172"/>
      <c r="J42" s="173"/>
      <c r="K42" s="239"/>
      <c r="L42" s="240"/>
      <c r="M42" s="240"/>
      <c r="N42" s="240"/>
      <c r="O42" s="240"/>
      <c r="P42" s="240"/>
      <c r="Q42" s="238"/>
      <c r="R42" s="240"/>
      <c r="S42" s="240"/>
      <c r="T42" s="240"/>
      <c r="U42" s="240"/>
      <c r="V42" s="170"/>
    </row>
    <row r="43" spans="1:22" s="125" customFormat="1" ht="11.25" customHeight="1" x14ac:dyDescent="0.2">
      <c r="A43" s="164"/>
      <c r="B43" s="161"/>
      <c r="C43" s="161"/>
      <c r="D43" s="161"/>
      <c r="E43" s="161"/>
      <c r="F43" s="161"/>
      <c r="G43" s="174"/>
      <c r="H43" s="174"/>
      <c r="I43" s="174"/>
      <c r="J43" s="175"/>
      <c r="K43" s="222"/>
      <c r="L43" s="169"/>
      <c r="M43" s="169"/>
      <c r="N43" s="169"/>
      <c r="O43" s="169"/>
      <c r="P43" s="169"/>
      <c r="Q43" s="238"/>
      <c r="R43" s="169"/>
      <c r="S43" s="169"/>
      <c r="T43" s="169"/>
      <c r="U43" s="169"/>
      <c r="V43" s="161"/>
    </row>
    <row r="44" spans="1:22" s="125" customFormat="1" ht="33" customHeight="1" x14ac:dyDescent="0.2">
      <c r="A44" s="164" t="s">
        <v>136</v>
      </c>
      <c r="B44" s="183" t="s">
        <v>128</v>
      </c>
      <c r="C44" s="353" t="s">
        <v>131</v>
      </c>
      <c r="D44" s="354"/>
      <c r="E44" s="236" t="s">
        <v>4</v>
      </c>
      <c r="F44" s="358" t="s">
        <v>6</v>
      </c>
      <c r="G44" s="358"/>
      <c r="H44" s="358"/>
      <c r="I44" s="216" t="s">
        <v>73</v>
      </c>
      <c r="J44" s="305" t="s">
        <v>47</v>
      </c>
      <c r="K44" s="222"/>
      <c r="L44" s="169"/>
      <c r="M44" s="169"/>
      <c r="N44" s="169"/>
      <c r="O44" s="169"/>
      <c r="P44" s="169"/>
      <c r="Q44" s="238"/>
      <c r="R44" s="169"/>
      <c r="S44" s="169"/>
      <c r="T44" s="169"/>
      <c r="U44" s="169"/>
      <c r="V44" s="161"/>
    </row>
    <row r="45" spans="1:22" s="125" customFormat="1" ht="33.75" customHeight="1" x14ac:dyDescent="0.2">
      <c r="A45" s="164"/>
      <c r="B45" s="150"/>
      <c r="C45" s="396"/>
      <c r="D45" s="396"/>
      <c r="E45" s="147"/>
      <c r="F45" s="359"/>
      <c r="G45" s="359"/>
      <c r="H45" s="359"/>
      <c r="I45" s="233">
        <f>+F45*E45</f>
        <v>0</v>
      </c>
      <c r="J45" s="135"/>
      <c r="K45" s="222" t="str">
        <f>"888"</f>
        <v>888</v>
      </c>
      <c r="L45" s="169"/>
      <c r="M45" s="169"/>
      <c r="N45" s="169"/>
      <c r="O45" s="169"/>
      <c r="P45" s="169"/>
      <c r="Q45" s="238"/>
      <c r="R45" s="169"/>
      <c r="S45" s="169"/>
      <c r="T45" s="169"/>
      <c r="U45" s="169"/>
      <c r="V45" s="161"/>
    </row>
    <row r="46" spans="1:22" s="125" customFormat="1" ht="26.25" customHeight="1" x14ac:dyDescent="0.2">
      <c r="A46" s="164"/>
      <c r="B46" s="390" t="s">
        <v>5</v>
      </c>
      <c r="C46" s="391"/>
      <c r="D46" s="391"/>
      <c r="E46" s="392"/>
      <c r="F46" s="365">
        <f>SUM(F45:H45)</f>
        <v>0</v>
      </c>
      <c r="G46" s="365"/>
      <c r="H46" s="365"/>
      <c r="I46" s="241">
        <f ca="1">SUM(I45:OFFSET(I46,-1,0))</f>
        <v>0</v>
      </c>
      <c r="J46" s="208">
        <f ca="1">SUM(J45:OFFSET(J46,-1,0))</f>
        <v>0</v>
      </c>
      <c r="K46" s="222"/>
      <c r="L46" s="169"/>
      <c r="M46" s="169"/>
      <c r="N46" s="169"/>
      <c r="O46" s="169"/>
      <c r="P46" s="169"/>
      <c r="Q46" s="238"/>
      <c r="R46" s="169"/>
      <c r="S46" s="169"/>
      <c r="T46" s="169"/>
      <c r="U46" s="169"/>
      <c r="V46" s="161"/>
    </row>
    <row r="47" spans="1:22" s="130" customFormat="1" ht="26.25" customHeight="1" x14ac:dyDescent="0.25">
      <c r="A47" s="166">
        <v>5</v>
      </c>
      <c r="B47" s="182" t="s">
        <v>170</v>
      </c>
      <c r="C47" s="170"/>
      <c r="D47" s="170"/>
      <c r="E47" s="170"/>
      <c r="F47" s="170"/>
      <c r="G47" s="170"/>
      <c r="H47" s="172"/>
      <c r="I47" s="172"/>
      <c r="J47" s="173"/>
      <c r="K47" s="239"/>
      <c r="L47" s="240"/>
      <c r="M47" s="240"/>
      <c r="N47" s="240"/>
      <c r="O47" s="240"/>
      <c r="P47" s="240"/>
      <c r="Q47" s="238"/>
      <c r="R47" s="240"/>
      <c r="S47" s="240"/>
      <c r="T47" s="240"/>
      <c r="U47" s="240"/>
      <c r="V47" s="170"/>
    </row>
    <row r="48" spans="1:22" s="125" customFormat="1" ht="9" customHeight="1" x14ac:dyDescent="0.2">
      <c r="A48" s="164"/>
      <c r="B48" s="161"/>
      <c r="C48" s="161"/>
      <c r="D48" s="161"/>
      <c r="E48" s="161"/>
      <c r="F48" s="161"/>
      <c r="G48" s="174"/>
      <c r="H48" s="174"/>
      <c r="I48" s="174"/>
      <c r="J48" s="175"/>
      <c r="K48" s="222"/>
      <c r="L48" s="169"/>
      <c r="M48" s="169"/>
      <c r="N48" s="169"/>
      <c r="O48" s="169"/>
      <c r="P48" s="169"/>
      <c r="Q48" s="238"/>
      <c r="R48" s="169"/>
      <c r="S48" s="169"/>
      <c r="T48" s="169"/>
      <c r="U48" s="169"/>
      <c r="V48" s="161"/>
    </row>
    <row r="49" spans="1:22" s="125" customFormat="1" ht="30.75" customHeight="1" x14ac:dyDescent="0.2">
      <c r="A49" s="164" t="s">
        <v>137</v>
      </c>
      <c r="B49" s="183" t="s">
        <v>129</v>
      </c>
      <c r="C49" s="353" t="s">
        <v>67</v>
      </c>
      <c r="D49" s="354"/>
      <c r="E49" s="236" t="s">
        <v>2</v>
      </c>
      <c r="F49" s="358" t="s">
        <v>6</v>
      </c>
      <c r="G49" s="358"/>
      <c r="H49" s="358"/>
      <c r="I49" s="216" t="s">
        <v>73</v>
      </c>
      <c r="J49" s="302" t="s">
        <v>47</v>
      </c>
      <c r="K49" s="222"/>
      <c r="L49" s="169"/>
      <c r="M49" s="169"/>
      <c r="N49" s="169"/>
      <c r="O49" s="169"/>
      <c r="P49" s="169"/>
      <c r="Q49" s="238"/>
      <c r="R49" s="169"/>
      <c r="S49" s="169"/>
      <c r="T49" s="169"/>
      <c r="U49" s="169"/>
      <c r="V49" s="161"/>
    </row>
    <row r="50" spans="1:22" s="125" customFormat="1" ht="30" customHeight="1" x14ac:dyDescent="0.2">
      <c r="A50" s="164"/>
      <c r="B50" s="150"/>
      <c r="C50" s="395"/>
      <c r="D50" s="395"/>
      <c r="E50" s="151"/>
      <c r="F50" s="356"/>
      <c r="G50" s="356"/>
      <c r="H50" s="356"/>
      <c r="I50" s="233">
        <f>+F50*E50</f>
        <v>0</v>
      </c>
      <c r="J50" s="135"/>
      <c r="K50" s="222" t="str">
        <f>"888"</f>
        <v>888</v>
      </c>
      <c r="L50" s="169"/>
      <c r="M50" s="169"/>
      <c r="N50" s="169"/>
      <c r="O50" s="169"/>
      <c r="P50" s="169"/>
      <c r="Q50" s="238"/>
      <c r="R50" s="169"/>
      <c r="S50" s="169"/>
      <c r="T50" s="169"/>
      <c r="U50" s="169"/>
      <c r="V50" s="161"/>
    </row>
    <row r="51" spans="1:22" s="125" customFormat="1" ht="24" customHeight="1" x14ac:dyDescent="0.2">
      <c r="A51" s="164"/>
      <c r="B51" s="390" t="s">
        <v>5</v>
      </c>
      <c r="C51" s="391"/>
      <c r="D51" s="392"/>
      <c r="E51" s="242">
        <f>SUM(E50:E50)</f>
        <v>0</v>
      </c>
      <c r="F51" s="357">
        <f>SUM(F50:H50)</f>
        <v>0</v>
      </c>
      <c r="G51" s="357"/>
      <c r="H51" s="357"/>
      <c r="I51" s="241">
        <f ca="1">SUM(I50:OFFSET(I51,-1,0))</f>
        <v>0</v>
      </c>
      <c r="J51" s="208">
        <f ca="1">SUM(J50:OFFSET(J51,-1,0))</f>
        <v>0</v>
      </c>
      <c r="K51" s="222"/>
      <c r="L51" s="169"/>
      <c r="M51" s="169"/>
      <c r="N51" s="169"/>
      <c r="O51" s="169"/>
      <c r="P51" s="169"/>
      <c r="Q51" s="238"/>
      <c r="R51" s="169"/>
      <c r="S51" s="169"/>
      <c r="T51" s="169"/>
      <c r="U51" s="169"/>
      <c r="V51" s="161"/>
    </row>
    <row r="52" spans="1:22" s="130" customFormat="1" ht="26.25" customHeight="1" x14ac:dyDescent="0.25">
      <c r="A52" s="166">
        <v>6</v>
      </c>
      <c r="B52" s="182" t="s">
        <v>132</v>
      </c>
      <c r="C52" s="170"/>
      <c r="D52" s="170"/>
      <c r="E52" s="170"/>
      <c r="F52" s="170"/>
      <c r="G52" s="170"/>
      <c r="H52" s="172"/>
      <c r="I52" s="172"/>
      <c r="J52" s="173"/>
      <c r="K52" s="239"/>
      <c r="L52" s="240"/>
      <c r="M52" s="240"/>
      <c r="N52" s="240"/>
      <c r="O52" s="240"/>
      <c r="P52" s="240"/>
      <c r="Q52" s="238"/>
      <c r="R52" s="240"/>
      <c r="S52" s="240"/>
      <c r="T52" s="240"/>
      <c r="U52" s="240"/>
      <c r="V52" s="170"/>
    </row>
    <row r="53" spans="1:22" s="125" customFormat="1" ht="10.5" customHeight="1" x14ac:dyDescent="0.2">
      <c r="A53" s="164"/>
      <c r="B53" s="161"/>
      <c r="C53" s="161"/>
      <c r="D53" s="161"/>
      <c r="E53" s="161"/>
      <c r="F53" s="161"/>
      <c r="G53" s="174"/>
      <c r="H53" s="174"/>
      <c r="I53" s="174"/>
      <c r="J53" s="175"/>
      <c r="K53" s="222"/>
      <c r="L53" s="169"/>
      <c r="M53" s="169"/>
      <c r="N53" s="169"/>
      <c r="O53" s="169"/>
      <c r="P53" s="169"/>
      <c r="Q53" s="238"/>
      <c r="R53" s="169"/>
      <c r="S53" s="169"/>
      <c r="T53" s="169"/>
      <c r="U53" s="169"/>
      <c r="V53" s="161"/>
    </row>
    <row r="54" spans="1:22" s="125" customFormat="1" ht="26.25" customHeight="1" x14ac:dyDescent="0.2">
      <c r="A54" s="164" t="s">
        <v>138</v>
      </c>
      <c r="B54" s="183" t="s">
        <v>129</v>
      </c>
      <c r="C54" s="353" t="s">
        <v>67</v>
      </c>
      <c r="D54" s="354"/>
      <c r="E54" s="236" t="s">
        <v>2</v>
      </c>
      <c r="F54" s="358" t="s">
        <v>6</v>
      </c>
      <c r="G54" s="358"/>
      <c r="H54" s="358"/>
      <c r="I54" s="171" t="s">
        <v>73</v>
      </c>
      <c r="J54" s="306" t="s">
        <v>47</v>
      </c>
      <c r="K54" s="222"/>
      <c r="L54" s="169"/>
      <c r="M54" s="169"/>
      <c r="N54" s="169"/>
      <c r="O54" s="169"/>
      <c r="P54" s="169"/>
      <c r="Q54" s="238"/>
      <c r="R54" s="169"/>
      <c r="S54" s="169"/>
      <c r="T54" s="169"/>
      <c r="U54" s="169"/>
      <c r="V54" s="161"/>
    </row>
    <row r="55" spans="1:22" s="125" customFormat="1" ht="26.25" customHeight="1" x14ac:dyDescent="0.2">
      <c r="A55" s="164"/>
      <c r="B55" s="150"/>
      <c r="C55" s="393"/>
      <c r="D55" s="394"/>
      <c r="E55" s="151"/>
      <c r="F55" s="356"/>
      <c r="G55" s="356"/>
      <c r="H55" s="356"/>
      <c r="I55" s="233">
        <f>+F55*E55</f>
        <v>0</v>
      </c>
      <c r="J55" s="135"/>
      <c r="K55" s="222" t="str">
        <f>"888"</f>
        <v>888</v>
      </c>
      <c r="L55" s="169"/>
      <c r="M55" s="169"/>
      <c r="N55" s="169"/>
      <c r="O55" s="169"/>
      <c r="P55" s="169"/>
      <c r="Q55" s="238"/>
      <c r="R55" s="169"/>
      <c r="S55" s="169"/>
      <c r="T55" s="169"/>
      <c r="U55" s="169"/>
      <c r="V55" s="161"/>
    </row>
    <row r="56" spans="1:22" s="125" customFormat="1" ht="26.25" customHeight="1" x14ac:dyDescent="0.2">
      <c r="A56" s="164"/>
      <c r="B56" s="390" t="s">
        <v>5</v>
      </c>
      <c r="C56" s="391"/>
      <c r="D56" s="392"/>
      <c r="E56" s="242">
        <f>SUM(E55:E55)</f>
        <v>0</v>
      </c>
      <c r="F56" s="357">
        <f>SUM(F55:H55)</f>
        <v>0</v>
      </c>
      <c r="G56" s="357"/>
      <c r="H56" s="357"/>
      <c r="I56" s="241">
        <f ca="1">SUM(I55:OFFSET(I56,-1,0))</f>
        <v>0</v>
      </c>
      <c r="J56" s="208">
        <f ca="1">SUM(J55:OFFSET(J56,-1,0))</f>
        <v>0</v>
      </c>
      <c r="K56" s="222"/>
      <c r="L56" s="169"/>
      <c r="M56" s="169"/>
      <c r="N56" s="169"/>
      <c r="O56" s="169"/>
      <c r="P56" s="169"/>
      <c r="Q56" s="238"/>
      <c r="R56" s="169"/>
      <c r="S56" s="169"/>
      <c r="T56" s="169"/>
      <c r="U56" s="169"/>
      <c r="V56" s="161"/>
    </row>
    <row r="57" spans="1:22" s="130" customFormat="1" ht="34.5" customHeight="1" x14ac:dyDescent="0.25">
      <c r="A57" s="166">
        <v>7</v>
      </c>
      <c r="B57" s="400" t="s">
        <v>51</v>
      </c>
      <c r="C57" s="401"/>
      <c r="D57" s="401"/>
      <c r="E57" s="401"/>
      <c r="F57" s="401"/>
      <c r="G57" s="401"/>
      <c r="H57" s="401"/>
      <c r="I57" s="170"/>
      <c r="J57" s="243"/>
      <c r="K57" s="210"/>
      <c r="L57" s="240"/>
      <c r="M57" s="240"/>
      <c r="N57" s="240"/>
      <c r="O57" s="240"/>
      <c r="P57" s="240"/>
      <c r="Q57" s="238"/>
      <c r="R57" s="240"/>
      <c r="S57" s="240"/>
      <c r="T57" s="240"/>
      <c r="U57" s="240"/>
      <c r="V57" s="170"/>
    </row>
    <row r="58" spans="1:22" s="125" customFormat="1" ht="9" customHeight="1" thickBot="1" x14ac:dyDescent="0.25">
      <c r="A58" s="164"/>
      <c r="B58" s="161"/>
      <c r="C58" s="161"/>
      <c r="D58" s="161"/>
      <c r="E58" s="161"/>
      <c r="F58" s="161"/>
      <c r="G58" s="169"/>
      <c r="H58" s="169"/>
      <c r="I58" s="169"/>
      <c r="J58" s="161"/>
      <c r="K58" s="244"/>
      <c r="L58" s="161"/>
      <c r="M58" s="161"/>
      <c r="N58" s="161"/>
      <c r="O58" s="161"/>
      <c r="P58" s="161"/>
      <c r="Q58" s="245"/>
      <c r="R58" s="161"/>
      <c r="S58" s="194"/>
      <c r="T58" s="161"/>
      <c r="U58" s="161"/>
      <c r="V58" s="161"/>
    </row>
    <row r="59" spans="1:22" s="125" customFormat="1" ht="79.5" customHeight="1" thickBot="1" x14ac:dyDescent="0.25">
      <c r="A59" s="164">
        <v>7.1</v>
      </c>
      <c r="B59" s="350" t="s">
        <v>54</v>
      </c>
      <c r="C59" s="351"/>
      <c r="D59" s="246" t="s">
        <v>32</v>
      </c>
      <c r="E59" s="247" t="s">
        <v>30</v>
      </c>
      <c r="F59" s="246" t="s">
        <v>33</v>
      </c>
      <c r="G59" s="248" t="s">
        <v>36</v>
      </c>
      <c r="H59" s="249"/>
      <c r="I59" s="249"/>
      <c r="J59" s="161"/>
      <c r="K59" s="244"/>
      <c r="L59" s="161"/>
      <c r="M59" s="161"/>
      <c r="N59" s="161"/>
      <c r="O59" s="161"/>
      <c r="P59" s="161"/>
      <c r="Q59" s="245"/>
      <c r="R59" s="161"/>
      <c r="S59" s="194"/>
      <c r="T59" s="161"/>
      <c r="U59" s="161"/>
      <c r="V59" s="161"/>
    </row>
    <row r="60" spans="1:22" s="125" customFormat="1" ht="40.5" customHeight="1" thickBot="1" x14ac:dyDescent="0.25">
      <c r="A60" s="164"/>
      <c r="B60" s="250"/>
      <c r="C60" s="250"/>
      <c r="D60" s="251">
        <f ca="1">I39+I31+I25+I56</f>
        <v>21308.217391304348</v>
      </c>
      <c r="E60" s="252">
        <v>0.17</v>
      </c>
      <c r="F60" s="251">
        <f ca="1">+E60*D60</f>
        <v>3622.3969565217394</v>
      </c>
      <c r="G60" s="253" t="e">
        <f>+#REF!+#REF!+#REF!</f>
        <v>#REF!</v>
      </c>
      <c r="H60" s="254"/>
      <c r="I60" s="255"/>
      <c r="J60" s="161"/>
      <c r="K60" s="244"/>
      <c r="L60" s="161"/>
      <c r="M60" s="161"/>
      <c r="N60" s="161"/>
      <c r="O60" s="161"/>
      <c r="P60" s="161"/>
      <c r="Q60" s="245"/>
      <c r="R60" s="161"/>
      <c r="S60" s="194"/>
      <c r="T60" s="161"/>
      <c r="U60" s="161"/>
      <c r="V60" s="161"/>
    </row>
    <row r="61" spans="1:22" s="125" customFormat="1" ht="15" x14ac:dyDescent="0.2">
      <c r="A61" s="164"/>
      <c r="B61" s="161"/>
      <c r="C61" s="161"/>
      <c r="D61" s="161"/>
      <c r="E61" s="161"/>
      <c r="F61" s="161"/>
      <c r="G61" s="169"/>
      <c r="H61" s="169"/>
      <c r="I61" s="169"/>
      <c r="J61" s="161"/>
      <c r="K61" s="244"/>
      <c r="L61" s="161"/>
      <c r="M61" s="161"/>
      <c r="N61" s="161"/>
      <c r="O61" s="161"/>
      <c r="P61" s="161"/>
      <c r="Q61" s="245"/>
      <c r="R61" s="161"/>
      <c r="S61" s="194"/>
      <c r="T61" s="161"/>
      <c r="U61" s="161"/>
      <c r="V61" s="161"/>
    </row>
    <row r="62" spans="1:22" s="125" customFormat="1" thickBot="1" x14ac:dyDescent="0.25">
      <c r="A62" s="164"/>
      <c r="B62" s="161"/>
      <c r="C62" s="161"/>
      <c r="D62" s="161"/>
      <c r="E62" s="161"/>
      <c r="F62" s="161"/>
      <c r="G62" s="169"/>
      <c r="H62" s="169"/>
      <c r="I62" s="169"/>
      <c r="J62" s="161"/>
      <c r="K62" s="244"/>
      <c r="L62" s="161"/>
      <c r="M62" s="161"/>
      <c r="N62" s="161"/>
      <c r="O62" s="161"/>
      <c r="P62" s="161"/>
      <c r="Q62" s="245"/>
      <c r="R62" s="161"/>
      <c r="S62" s="194"/>
      <c r="T62" s="161"/>
      <c r="U62" s="161"/>
      <c r="V62" s="161"/>
    </row>
    <row r="63" spans="1:22" s="125" customFormat="1" ht="75.75" customHeight="1" thickBot="1" x14ac:dyDescent="0.25">
      <c r="A63" s="164">
        <v>7.2</v>
      </c>
      <c r="B63" s="348" t="s">
        <v>18</v>
      </c>
      <c r="C63" s="349"/>
      <c r="D63" s="246" t="s">
        <v>8</v>
      </c>
      <c r="E63" s="247" t="s">
        <v>29</v>
      </c>
      <c r="F63" s="246" t="s">
        <v>24</v>
      </c>
      <c r="G63" s="248" t="s">
        <v>12</v>
      </c>
      <c r="H63" s="249"/>
      <c r="I63" s="249"/>
      <c r="J63" s="256"/>
      <c r="K63" s="244"/>
      <c r="L63" s="161"/>
      <c r="M63" s="161"/>
      <c r="N63" s="161"/>
      <c r="O63" s="161"/>
      <c r="P63" s="161"/>
      <c r="Q63" s="245"/>
      <c r="R63" s="161"/>
      <c r="S63" s="194"/>
      <c r="T63" s="161"/>
      <c r="U63" s="161"/>
      <c r="V63" s="161"/>
    </row>
    <row r="64" spans="1:22" s="125" customFormat="1" ht="25.5" customHeight="1" thickBot="1" x14ac:dyDescent="0.25">
      <c r="A64" s="161"/>
      <c r="B64" s="347"/>
      <c r="C64" s="347"/>
      <c r="D64" s="257">
        <f>+C18</f>
        <v>30</v>
      </c>
      <c r="E64" s="258">
        <f>Hoja1!F14</f>
        <v>5.4487179487179495E-4</v>
      </c>
      <c r="F64" s="259">
        <f ca="1">+E64*D64*(D60+F60)</f>
        <v>407.51965760869564</v>
      </c>
      <c r="G64" s="260" t="e">
        <f>+#REF!</f>
        <v>#REF!</v>
      </c>
      <c r="H64" s="261"/>
      <c r="I64" s="237"/>
      <c r="J64" s="161"/>
      <c r="K64" s="244"/>
      <c r="L64" s="161"/>
      <c r="M64" s="161"/>
      <c r="N64" s="161"/>
      <c r="O64" s="161"/>
      <c r="P64" s="161"/>
      <c r="Q64" s="245"/>
      <c r="R64" s="161"/>
      <c r="S64" s="194"/>
      <c r="T64" s="161"/>
      <c r="U64" s="161"/>
      <c r="V64" s="161"/>
    </row>
    <row r="65" spans="1:22" s="125" customFormat="1" ht="32.25" customHeight="1" thickBot="1" x14ac:dyDescent="0.25">
      <c r="A65" s="161"/>
      <c r="B65" s="161"/>
      <c r="C65" s="161"/>
      <c r="D65" s="161"/>
      <c r="E65" s="161"/>
      <c r="F65" s="161"/>
      <c r="G65" s="161"/>
      <c r="H65" s="169"/>
      <c r="I65" s="262"/>
      <c r="J65" s="161"/>
      <c r="K65" s="244"/>
      <c r="L65" s="161"/>
      <c r="M65" s="161"/>
      <c r="N65" s="161"/>
      <c r="O65" s="161"/>
      <c r="P65" s="161"/>
      <c r="Q65" s="245"/>
      <c r="R65" s="161"/>
      <c r="S65" s="194"/>
      <c r="T65" s="161"/>
      <c r="U65" s="161"/>
      <c r="V65" s="161"/>
    </row>
    <row r="66" spans="1:22" s="125" customFormat="1" ht="21" thickBot="1" x14ac:dyDescent="0.25">
      <c r="A66" s="161"/>
      <c r="B66" s="263" t="s">
        <v>160</v>
      </c>
      <c r="C66" s="264">
        <f ca="1">IF(H69&lt;5000,0.17,IF(H69&lt;50000,0.16,IF(H69&gt;50000,0.15)))</f>
        <v>0.16</v>
      </c>
      <c r="D66" s="265"/>
      <c r="E66" s="265"/>
      <c r="F66" s="266"/>
      <c r="G66" s="152"/>
      <c r="H66" s="153">
        <v>0.15</v>
      </c>
      <c r="I66" s="388" t="s">
        <v>155</v>
      </c>
      <c r="J66" s="389"/>
      <c r="K66" s="266"/>
      <c r="L66" s="283"/>
      <c r="M66" s="284"/>
      <c r="N66" s="161"/>
      <c r="O66" s="161"/>
      <c r="P66" s="161"/>
      <c r="Q66" s="245"/>
      <c r="R66" s="161"/>
      <c r="S66" s="194"/>
      <c r="T66" s="161"/>
      <c r="U66" s="161"/>
      <c r="V66" s="161"/>
    </row>
    <row r="67" spans="1:22" s="154" customFormat="1" ht="24" customHeight="1" thickBot="1" x14ac:dyDescent="0.3">
      <c r="A67" s="267"/>
      <c r="B67" s="268"/>
      <c r="C67" s="269"/>
      <c r="D67" s="270"/>
      <c r="E67" s="270"/>
      <c r="F67" s="227"/>
      <c r="G67" s="143"/>
      <c r="H67" s="227"/>
      <c r="I67" s="227"/>
      <c r="J67" s="267"/>
      <c r="K67" s="277"/>
      <c r="L67" s="267"/>
      <c r="M67" s="267"/>
      <c r="N67" s="267"/>
      <c r="O67" s="267"/>
      <c r="P67" s="267"/>
      <c r="Q67" s="278"/>
      <c r="R67" s="267"/>
      <c r="S67" s="279"/>
      <c r="T67" s="267"/>
      <c r="U67" s="267"/>
      <c r="V67" s="267"/>
    </row>
    <row r="68" spans="1:22" s="125" customFormat="1" ht="22.5" customHeight="1" x14ac:dyDescent="0.25">
      <c r="A68" s="161"/>
      <c r="B68" s="271"/>
      <c r="C68" s="271"/>
      <c r="D68" s="271"/>
      <c r="E68" s="161"/>
      <c r="F68" s="161"/>
      <c r="H68" s="366" t="s">
        <v>34</v>
      </c>
      <c r="I68" s="367"/>
      <c r="J68" s="366" t="s">
        <v>167</v>
      </c>
      <c r="K68" s="367"/>
      <c r="L68" s="271"/>
      <c r="M68" s="280"/>
      <c r="N68" s="280"/>
      <c r="O68" s="280"/>
      <c r="P68" s="280"/>
      <c r="Q68" s="245"/>
      <c r="R68" s="161"/>
      <c r="S68" s="194"/>
      <c r="T68" s="161"/>
      <c r="U68" s="161"/>
      <c r="V68" s="161"/>
    </row>
    <row r="69" spans="1:22" s="125" customFormat="1" ht="27.75" customHeight="1" x14ac:dyDescent="0.2">
      <c r="A69" s="161"/>
      <c r="B69" s="272"/>
      <c r="C69" s="370" t="s">
        <v>15</v>
      </c>
      <c r="D69" s="371"/>
      <c r="E69" s="371"/>
      <c r="F69" s="371"/>
      <c r="G69" s="298"/>
      <c r="H69" s="368">
        <f ca="1">+F64+F60+I39+I31+I51+I46+I56+I25</f>
        <v>25338.134005434782</v>
      </c>
      <c r="I69" s="369"/>
      <c r="J69" s="402">
        <f ca="1">IF(I18="EXTERNO",J56+J51+J46+J39+J31+J25,IF(I18="INTERNO",H69))</f>
        <v>40800</v>
      </c>
      <c r="K69" s="402"/>
      <c r="L69" s="281"/>
      <c r="M69" s="282"/>
      <c r="N69" s="282"/>
      <c r="O69" s="282"/>
      <c r="P69" s="282"/>
      <c r="Q69" s="245"/>
      <c r="R69" s="161"/>
      <c r="S69" s="194"/>
      <c r="T69" s="161"/>
      <c r="U69" s="161"/>
      <c r="V69" s="161"/>
    </row>
    <row r="70" spans="1:22" s="125" customFormat="1" ht="26.25" customHeight="1" x14ac:dyDescent="0.2">
      <c r="A70" s="164">
        <v>7.3</v>
      </c>
      <c r="B70" s="272"/>
      <c r="C70" s="374" t="s">
        <v>162</v>
      </c>
      <c r="D70" s="375"/>
      <c r="E70" s="375"/>
      <c r="F70" s="375"/>
      <c r="G70" s="299"/>
      <c r="H70" s="368">
        <f ca="1">IF(I18="EXTERNO",IF(OR(C66="",C66=0),H69*C66,H69*C66),IF(I18="INTERNO",H69))</f>
        <v>4054.1014408695651</v>
      </c>
      <c r="I70" s="369"/>
      <c r="J70" s="402">
        <f ca="1">IF(I18="EXTERNO",J69*H66,IF(I18="INTERNO",J69))</f>
        <v>6120</v>
      </c>
      <c r="K70" s="402"/>
      <c r="L70" s="281"/>
      <c r="M70" s="282"/>
      <c r="N70" s="282"/>
      <c r="O70" s="282"/>
      <c r="P70" s="282"/>
      <c r="Q70" s="245"/>
      <c r="R70" s="161"/>
      <c r="S70" s="194"/>
      <c r="T70" s="161"/>
      <c r="U70" s="161"/>
      <c r="V70" s="161"/>
    </row>
    <row r="71" spans="1:22" s="125" customFormat="1" ht="27.75" customHeight="1" x14ac:dyDescent="0.2">
      <c r="A71" s="161"/>
      <c r="B71" s="272"/>
      <c r="C71" s="374" t="s">
        <v>164</v>
      </c>
      <c r="D71" s="375"/>
      <c r="E71" s="375"/>
      <c r="F71" s="375"/>
      <c r="G71" s="299"/>
      <c r="H71" s="368">
        <f ca="1">IF(I18="EXTERNO",H70+H69,IF(I18="INTERNO",H69))</f>
        <v>29392.235446304348</v>
      </c>
      <c r="I71" s="369"/>
      <c r="J71" s="403"/>
      <c r="K71" s="404"/>
      <c r="L71" s="281"/>
      <c r="M71" s="282"/>
      <c r="N71" s="282"/>
      <c r="O71" s="282"/>
      <c r="P71" s="282"/>
      <c r="Q71" s="245"/>
      <c r="R71" s="161"/>
      <c r="S71" s="194"/>
      <c r="T71" s="161"/>
      <c r="U71" s="161"/>
      <c r="V71" s="301"/>
    </row>
    <row r="72" spans="1:22" s="125" customFormat="1" ht="27.75" customHeight="1" x14ac:dyDescent="0.25">
      <c r="A72" s="161"/>
      <c r="B72" s="271"/>
      <c r="C72" s="372" t="s">
        <v>163</v>
      </c>
      <c r="D72" s="373"/>
      <c r="E72" s="373"/>
      <c r="F72" s="373"/>
      <c r="G72" s="300"/>
      <c r="H72" s="368">
        <f ca="1">IF(I18="EXTERNO",H71/0.84,IF(I18="INTERNO",H69))</f>
        <v>34990.756483695652</v>
      </c>
      <c r="I72" s="369"/>
      <c r="J72" s="402">
        <f ca="1">IF(I18="EXTERNO",J69+J70,IF(I18="INTERNO",J69))</f>
        <v>46920</v>
      </c>
      <c r="K72" s="402"/>
      <c r="L72" s="285"/>
      <c r="M72" s="286"/>
      <c r="N72" s="286"/>
      <c r="O72" s="286"/>
      <c r="P72" s="286"/>
      <c r="Q72" s="287"/>
      <c r="R72" s="288"/>
      <c r="S72" s="194"/>
      <c r="T72" s="161"/>
      <c r="U72" s="161"/>
      <c r="V72" s="256"/>
    </row>
    <row r="73" spans="1:22" s="125" customFormat="1" ht="19.5" customHeight="1" x14ac:dyDescent="0.2">
      <c r="A73" s="161"/>
      <c r="B73" s="161"/>
      <c r="C73" s="161"/>
      <c r="D73" s="161"/>
      <c r="E73" s="161"/>
      <c r="F73" s="161"/>
      <c r="G73" s="161"/>
      <c r="H73" s="378" t="str">
        <f>IF(I18="EXTERNO","COSTO TOTAL PARA ENVIAR CLIENTE",IF(I18="INTERNO","COSTO SOLO PARA  AREAS DE PRODUCION INTERNA !!!!!"))</f>
        <v>COSTO TOTAL PARA ENVIAR CLIENTE</v>
      </c>
      <c r="I73" s="379"/>
      <c r="J73" s="161"/>
      <c r="K73" s="244"/>
      <c r="L73" s="161"/>
      <c r="M73" s="161"/>
      <c r="N73" s="161"/>
      <c r="O73" s="161"/>
      <c r="P73" s="161"/>
      <c r="Q73" s="193"/>
      <c r="R73" s="161"/>
      <c r="S73" s="194"/>
      <c r="T73" s="161"/>
      <c r="U73" s="161"/>
      <c r="V73" s="161"/>
    </row>
    <row r="74" spans="1:22" s="125" customFormat="1" ht="19.5" customHeight="1" x14ac:dyDescent="0.2">
      <c r="A74" s="161"/>
      <c r="B74" s="273"/>
      <c r="C74" s="273"/>
      <c r="D74" s="161"/>
      <c r="E74" s="273"/>
      <c r="F74" s="273"/>
      <c r="G74" s="273"/>
      <c r="H74" s="380"/>
      <c r="I74" s="381"/>
      <c r="J74" s="273"/>
      <c r="K74" s="244"/>
      <c r="L74" s="161"/>
      <c r="M74" s="161"/>
      <c r="N74" s="161"/>
      <c r="O74" s="161"/>
      <c r="P74" s="161"/>
      <c r="Q74" s="193"/>
      <c r="R74" s="161"/>
      <c r="S74" s="194"/>
      <c r="T74" s="161"/>
      <c r="U74" s="161"/>
      <c r="V74" s="161"/>
    </row>
    <row r="75" spans="1:22" s="125" customFormat="1" ht="19.5" customHeight="1" thickBot="1" x14ac:dyDescent="0.25">
      <c r="A75" s="161"/>
      <c r="B75" s="273"/>
      <c r="C75" s="273"/>
      <c r="D75" s="273"/>
      <c r="E75" s="273"/>
      <c r="F75" s="273"/>
      <c r="G75" s="273"/>
      <c r="H75" s="382"/>
      <c r="I75" s="383"/>
      <c r="J75" s="273"/>
      <c r="K75" s="244"/>
      <c r="L75" s="161"/>
      <c r="M75" s="161"/>
      <c r="N75" s="161"/>
      <c r="O75" s="161"/>
      <c r="P75" s="161"/>
      <c r="Q75" s="193"/>
      <c r="R75" s="161"/>
      <c r="S75" s="194"/>
      <c r="T75" s="161"/>
      <c r="U75" s="161"/>
      <c r="V75" s="161"/>
    </row>
    <row r="76" spans="1:22" s="125" customFormat="1" ht="15" x14ac:dyDescent="0.2">
      <c r="A76" s="164"/>
      <c r="B76" s="384"/>
      <c r="C76" s="385"/>
      <c r="D76" s="385"/>
      <c r="E76" s="385"/>
      <c r="F76" s="385"/>
      <c r="G76" s="385"/>
      <c r="H76" s="385"/>
      <c r="I76" s="161"/>
      <c r="J76" s="273"/>
      <c r="K76" s="244"/>
      <c r="L76" s="161"/>
      <c r="M76" s="161"/>
      <c r="N76" s="161"/>
      <c r="O76" s="161"/>
      <c r="P76" s="161"/>
      <c r="Q76" s="193"/>
      <c r="R76" s="161"/>
      <c r="S76" s="194"/>
      <c r="T76" s="161"/>
      <c r="U76" s="161"/>
      <c r="V76" s="161"/>
    </row>
    <row r="77" spans="1:22" s="125" customFormat="1" ht="66" customHeight="1" x14ac:dyDescent="0.2">
      <c r="A77" s="164"/>
      <c r="B77" s="376"/>
      <c r="C77" s="377"/>
      <c r="D77" s="295"/>
      <c r="E77" s="295"/>
      <c r="F77" s="295"/>
      <c r="G77" s="295"/>
      <c r="H77" s="295"/>
      <c r="I77" s="273"/>
      <c r="J77" s="276"/>
      <c r="K77" s="244"/>
      <c r="L77" s="161"/>
      <c r="M77" s="161"/>
      <c r="N77" s="161"/>
      <c r="O77" s="161"/>
      <c r="P77" s="161"/>
      <c r="Q77" s="193"/>
      <c r="R77" s="161"/>
      <c r="S77" s="194"/>
      <c r="T77" s="161"/>
      <c r="U77" s="161"/>
      <c r="V77" s="161"/>
    </row>
    <row r="78" spans="1:22" s="125" customFormat="1" ht="20.25" x14ac:dyDescent="0.2">
      <c r="A78" s="164"/>
      <c r="B78" s="250"/>
      <c r="C78" s="250"/>
      <c r="D78" s="296"/>
      <c r="E78" s="296"/>
      <c r="F78" s="296"/>
      <c r="G78" s="296"/>
      <c r="H78" s="297"/>
      <c r="I78" s="273"/>
      <c r="J78" s="273"/>
      <c r="K78" s="244"/>
      <c r="L78" s="161"/>
      <c r="M78" s="161"/>
      <c r="N78" s="161"/>
      <c r="O78" s="161"/>
      <c r="P78" s="161"/>
      <c r="Q78" s="193"/>
      <c r="R78" s="161"/>
      <c r="S78" s="194"/>
      <c r="T78" s="161"/>
      <c r="U78" s="161"/>
      <c r="V78" s="161"/>
    </row>
    <row r="79" spans="1:22" s="125" customFormat="1" ht="15" x14ac:dyDescent="0.2">
      <c r="A79" s="161"/>
      <c r="B79" s="273"/>
      <c r="C79" s="273"/>
      <c r="D79" s="273"/>
      <c r="E79" s="273"/>
      <c r="F79" s="273"/>
      <c r="G79" s="273"/>
      <c r="H79" s="273"/>
      <c r="I79" s="273"/>
      <c r="J79" s="276"/>
      <c r="K79" s="289"/>
      <c r="L79" s="161"/>
      <c r="M79" s="161"/>
      <c r="N79" s="161"/>
      <c r="O79" s="161"/>
      <c r="P79" s="161"/>
      <c r="Q79" s="193"/>
      <c r="R79" s="161"/>
      <c r="S79" s="194"/>
      <c r="T79" s="161"/>
      <c r="U79" s="161"/>
      <c r="V79" s="161"/>
    </row>
    <row r="80" spans="1:22" s="125" customFormat="1" ht="15" x14ac:dyDescent="0.2">
      <c r="A80" s="161"/>
      <c r="B80" s="273"/>
      <c r="C80" s="273"/>
      <c r="D80" s="273"/>
      <c r="E80" s="256"/>
      <c r="F80" s="273"/>
      <c r="G80" s="273"/>
      <c r="H80" s="273"/>
      <c r="I80" s="273"/>
      <c r="J80" s="273"/>
      <c r="K80" s="244"/>
      <c r="L80" s="161"/>
      <c r="M80" s="161"/>
      <c r="N80" s="161"/>
      <c r="O80" s="161"/>
      <c r="P80" s="161"/>
      <c r="Q80" s="193"/>
      <c r="R80" s="161"/>
      <c r="S80" s="194"/>
      <c r="T80" s="161"/>
      <c r="U80" s="161"/>
      <c r="V80" s="161"/>
    </row>
    <row r="81" spans="1:22" s="125" customFormat="1" ht="15" x14ac:dyDescent="0.2">
      <c r="A81" s="161"/>
      <c r="B81" s="273"/>
      <c r="C81" s="273"/>
      <c r="D81" s="273"/>
      <c r="E81" s="276"/>
      <c r="F81" s="273"/>
      <c r="G81" s="273"/>
      <c r="H81" s="273"/>
      <c r="I81" s="273"/>
      <c r="J81" s="273"/>
      <c r="K81" s="244"/>
      <c r="L81" s="161"/>
      <c r="M81" s="161"/>
      <c r="N81" s="161"/>
      <c r="O81" s="161"/>
      <c r="P81" s="161"/>
      <c r="Q81" s="193"/>
      <c r="R81" s="161"/>
      <c r="S81" s="194"/>
      <c r="T81" s="161"/>
      <c r="U81" s="161"/>
      <c r="V81" s="161"/>
    </row>
    <row r="82" spans="1:22" s="125" customFormat="1" ht="15" x14ac:dyDescent="0.2">
      <c r="B82" s="155"/>
      <c r="C82" s="155"/>
      <c r="D82" s="155"/>
      <c r="E82" s="155"/>
      <c r="F82" s="155"/>
      <c r="G82" s="155"/>
      <c r="H82" s="156"/>
      <c r="I82" s="155"/>
      <c r="J82" s="155"/>
      <c r="K82" s="158"/>
      <c r="Q82" s="126"/>
      <c r="S82" s="127"/>
    </row>
    <row r="83" spans="1:22" s="125" customFormat="1" ht="15" x14ac:dyDescent="0.2">
      <c r="B83" s="155"/>
      <c r="C83" s="155"/>
      <c r="D83" s="155"/>
      <c r="E83" s="156"/>
      <c r="F83" s="155"/>
      <c r="G83" s="155"/>
      <c r="H83" s="155"/>
      <c r="I83" s="155"/>
      <c r="J83" s="156"/>
      <c r="K83" s="158"/>
      <c r="Q83" s="126"/>
      <c r="S83" s="127"/>
    </row>
    <row r="84" spans="1:22" s="125" customFormat="1" ht="15" x14ac:dyDescent="0.2">
      <c r="B84" s="155"/>
      <c r="C84" s="155"/>
      <c r="D84" s="155"/>
      <c r="E84" s="155"/>
      <c r="F84" s="155"/>
      <c r="G84" s="155"/>
      <c r="H84" s="155"/>
      <c r="I84" s="155"/>
      <c r="J84" s="155"/>
      <c r="K84" s="158"/>
      <c r="Q84" s="126"/>
      <c r="S84" s="127"/>
    </row>
    <row r="85" spans="1:22" s="125" customFormat="1" ht="15" x14ac:dyDescent="0.2">
      <c r="B85" s="155"/>
      <c r="C85" s="155"/>
      <c r="D85" s="155"/>
      <c r="E85" s="155"/>
      <c r="F85" s="155"/>
      <c r="G85" s="155"/>
      <c r="H85" s="155"/>
      <c r="I85" s="155"/>
      <c r="J85" s="155"/>
      <c r="K85" s="158"/>
      <c r="Q85" s="126"/>
      <c r="S85" s="127"/>
    </row>
    <row r="86" spans="1:22" s="125" customFormat="1" ht="15" x14ac:dyDescent="0.2">
      <c r="B86" s="155"/>
      <c r="C86" s="155"/>
      <c r="D86" s="155"/>
      <c r="E86" s="155"/>
      <c r="F86" s="155"/>
      <c r="G86" s="155"/>
      <c r="H86" s="155"/>
      <c r="I86" s="155"/>
      <c r="J86" s="155"/>
      <c r="K86" s="158"/>
      <c r="Q86" s="126"/>
      <c r="S86" s="127"/>
    </row>
  </sheetData>
  <sheetProtection selectLockedCells="1"/>
  <protectedRanges>
    <protectedRange sqref="C76:H76 C57:H57" name="Rango3_1_1"/>
    <protectedRange sqref="I12 I16 H14 C16 C18 C19:D19 B56:C56 J55:J56 E45:E46 B45:C46 J45:J46 F55 B55:D55 J23:J25 B50:C51 F50 J50:J51 H30 C30:F30 J30 J38 H38 C38:F38" name="Rango3"/>
    <protectedRange sqref="D23:D24" name="Rango4_1"/>
    <protectedRange sqref="D23:D24" name="Rango3_1"/>
    <protectedRange sqref="I18" name="Rango3_2"/>
  </protectedRanges>
  <mergeCells count="69">
    <mergeCell ref="J68:K68"/>
    <mergeCell ref="J69:K69"/>
    <mergeCell ref="J70:K70"/>
    <mergeCell ref="J71:K71"/>
    <mergeCell ref="J72:K72"/>
    <mergeCell ref="D2:E2"/>
    <mergeCell ref="I66:J66"/>
    <mergeCell ref="B56:D56"/>
    <mergeCell ref="C55:D55"/>
    <mergeCell ref="C50:D50"/>
    <mergeCell ref="B39:H39"/>
    <mergeCell ref="C44:D44"/>
    <mergeCell ref="B46:E46"/>
    <mergeCell ref="C54:D54"/>
    <mergeCell ref="C45:D45"/>
    <mergeCell ref="B51:D51"/>
    <mergeCell ref="C16:D16"/>
    <mergeCell ref="F16:H16"/>
    <mergeCell ref="F18:H18"/>
    <mergeCell ref="I18:J18"/>
    <mergeCell ref="B57:H57"/>
    <mergeCell ref="B77:C77"/>
    <mergeCell ref="H71:I71"/>
    <mergeCell ref="H72:I72"/>
    <mergeCell ref="H73:I75"/>
    <mergeCell ref="B76:H76"/>
    <mergeCell ref="C71:F71"/>
    <mergeCell ref="H68:I68"/>
    <mergeCell ref="H69:I69"/>
    <mergeCell ref="C69:F69"/>
    <mergeCell ref="C72:F72"/>
    <mergeCell ref="H70:I70"/>
    <mergeCell ref="C70:F70"/>
    <mergeCell ref="K22:V22"/>
    <mergeCell ref="F55:H55"/>
    <mergeCell ref="F56:H56"/>
    <mergeCell ref="F49:H49"/>
    <mergeCell ref="F50:H50"/>
    <mergeCell ref="F51:H51"/>
    <mergeCell ref="F54:H54"/>
    <mergeCell ref="F44:H44"/>
    <mergeCell ref="F45:H45"/>
    <mergeCell ref="B26:I26"/>
    <mergeCell ref="E28:I28"/>
    <mergeCell ref="B25:C25"/>
    <mergeCell ref="B31:H31"/>
    <mergeCell ref="B41:J41"/>
    <mergeCell ref="F46:H46"/>
    <mergeCell ref="B64:C64"/>
    <mergeCell ref="B63:C63"/>
    <mergeCell ref="B59:C59"/>
    <mergeCell ref="D36:I36"/>
    <mergeCell ref="C49:D49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78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0:J40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errorTitle="F.E.E. VARIABLE" error="PARA COBRAR VALORES MENORES AL F.E.E. PROGRAMADO DEBERÁ SOLICITAR AUTORIZACION" prompt="PUEDE VARIAR EL PORCENTAJE PROGRAMADO SEGUN CRITERIIO" sqref="H66">
      <formula1>10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6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  <mc:AlternateContent xmlns:mc="http://schemas.openxmlformats.org/markup-compatibility/2006">
      <mc:Choice Requires="x14">
        <control shapeId="3227" r:id="rId10" name="a_pdf">
          <controlPr defaultSize="0" autoLine="0" r:id="rId11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10" name="a_pd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0"/>
  <sheetViews>
    <sheetView showGridLines="0" tabSelected="1" view="pageLayout" topLeftCell="A10" zoomScale="70" zoomScaleNormal="100" zoomScaleSheetLayoutView="106" zoomScalePageLayoutView="70" workbookViewId="0">
      <selection activeCell="A37" sqref="A3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2"/>
      <c r="B9" s="312"/>
      <c r="C9" s="312"/>
      <c r="D9" s="406">
        <f ca="1">TODAY()</f>
        <v>43475</v>
      </c>
      <c r="E9" s="406"/>
      <c r="F9" s="406"/>
      <c r="G9" s="312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>ANGELKA TADIK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ADQUISICIÓN DE SERPENTINAS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4">
        <f>'Estado de costos'!H66*100</f>
        <v>15</v>
      </c>
      <c r="D22" s="307">
        <f ca="1">'Estado de costos'!D2</f>
        <v>46920</v>
      </c>
      <c r="E22" s="308">
        <f ca="1">IF('Estado de costos'!I18="EXTERNO",E33+E34,IF('Estado de costos'!I18="INTERNO",'Estado de costos'!K9,))</f>
        <v>46920</v>
      </c>
      <c r="F22" s="309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/>
      <c r="B26" s="117"/>
      <c r="C26" s="117"/>
      <c r="D26" s="310"/>
      <c r="E26" s="310"/>
      <c r="G26" s="311"/>
    </row>
    <row r="27" spans="1:7" x14ac:dyDescent="0.25">
      <c r="A27" s="118"/>
      <c r="B27" s="118"/>
      <c r="C27" s="119"/>
      <c r="D27" s="120"/>
      <c r="E27" s="120"/>
    </row>
    <row r="28" spans="1:7" x14ac:dyDescent="0.25">
      <c r="A28" s="118"/>
      <c r="B28" s="118"/>
      <c r="C28" s="119"/>
      <c r="D28" s="120"/>
      <c r="E28" s="120"/>
    </row>
    <row r="29" spans="1:7" x14ac:dyDescent="0.25">
      <c r="A29" s="118" t="s">
        <v>180</v>
      </c>
      <c r="B29" s="118"/>
      <c r="C29" s="119">
        <v>15000</v>
      </c>
      <c r="D29" s="120">
        <v>2.72</v>
      </c>
      <c r="E29" s="120">
        <v>40800</v>
      </c>
    </row>
    <row r="30" spans="1:7" x14ac:dyDescent="0.25">
      <c r="A30" s="118"/>
      <c r="B30" s="118"/>
      <c r="C30" s="119"/>
      <c r="D30" s="120"/>
      <c r="E30" s="120"/>
    </row>
    <row r="31" spans="1:7" x14ac:dyDescent="0.25">
      <c r="A31" s="118"/>
      <c r="B31" s="118"/>
      <c r="C31" s="119"/>
      <c r="D31" s="120"/>
      <c r="E31" s="120"/>
    </row>
    <row r="32" spans="1:7" x14ac:dyDescent="0.25">
      <c r="A32" s="118"/>
      <c r="B32" s="118"/>
      <c r="C32" s="119"/>
      <c r="D32" s="120"/>
      <c r="E32" s="120"/>
    </row>
    <row r="33" spans="1:5" ht="15.75" thickBot="1" x14ac:dyDescent="0.3">
      <c r="D33" s="20" t="s">
        <v>60</v>
      </c>
      <c r="E33" s="114">
        <f ca="1">IF('Estado de costos'!I18="EXTERNO",SUM(E26:OFFSET(E33,-1,0)),IF('Estado de costos'!I18="INTERNO",'Estado de costos'!K9,))</f>
        <v>40800</v>
      </c>
    </row>
    <row r="34" spans="1:5" ht="15.75" thickBot="1" x14ac:dyDescent="0.3">
      <c r="D34" s="21" t="str">
        <f>"F E E  "&amp; C22&amp;"%"</f>
        <v>F E E  15%</v>
      </c>
      <c r="E34" s="114">
        <f ca="1">'Estado de costos'!J70</f>
        <v>6120</v>
      </c>
    </row>
    <row r="35" spans="1:5" ht="15.75" thickBot="1" x14ac:dyDescent="0.3">
      <c r="D35" s="22" t="s">
        <v>61</v>
      </c>
      <c r="E35" s="114">
        <f ca="1">IF('Estado de costos'!I18="EXTERNO",E33+E34,IF('Estado de costos'!I18="INTERNO",'Estado de costos'!K9,))</f>
        <v>46920</v>
      </c>
    </row>
    <row r="36" spans="1:5" x14ac:dyDescent="0.25">
      <c r="E36" s="23"/>
    </row>
    <row r="37" spans="1:5" ht="28.5" x14ac:dyDescent="0.25">
      <c r="A37" s="112" t="str">
        <f>IF('Estado de costos'!I18="INTERNO","ESTE PRECIO COTIZADO ES SOLO AREAS INTERNAS  PARA GRUPO REGIONAL SRL ",IF('Estado de costos'!I18="EXTERNO","",))</f>
        <v/>
      </c>
      <c r="B37" s="99"/>
      <c r="C37" s="99"/>
      <c r="D37" s="99"/>
      <c r="E37" s="99"/>
    </row>
    <row r="38" spans="1:5" ht="28.5" x14ac:dyDescent="0.25">
      <c r="A38" s="99"/>
      <c r="B38" s="99"/>
    </row>
    <row r="39" spans="1:5" ht="28.5" x14ac:dyDescent="0.25">
      <c r="A39" s="99"/>
      <c r="B39" s="99"/>
    </row>
    <row r="40" spans="1:5" ht="18.75" x14ac:dyDescent="0.3">
      <c r="A40" s="97" t="s">
        <v>62</v>
      </c>
      <c r="B40" s="97"/>
    </row>
    <row r="41" spans="1:5" x14ac:dyDescent="0.25">
      <c r="A41" s="24"/>
      <c r="B41" s="24"/>
    </row>
    <row r="42" spans="1:5" ht="15.75" x14ac:dyDescent="0.25">
      <c r="A42" s="101" t="s">
        <v>63</v>
      </c>
      <c r="B42" s="101"/>
    </row>
    <row r="43" spans="1:5" ht="15.75" x14ac:dyDescent="0.25">
      <c r="A43" s="102"/>
      <c r="B43" s="102"/>
    </row>
    <row r="44" spans="1:5" ht="15.75" x14ac:dyDescent="0.25">
      <c r="A44" s="101"/>
      <c r="B44" s="101"/>
    </row>
    <row r="45" spans="1:5" ht="15.75" x14ac:dyDescent="0.25">
      <c r="A45" s="98"/>
      <c r="B45" s="101"/>
    </row>
    <row r="46" spans="1:5" ht="15.75" x14ac:dyDescent="0.25">
      <c r="A46" s="98"/>
      <c r="B46" s="103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</row>
    <row r="53" spans="1:4" ht="15.75" x14ac:dyDescent="0.25">
      <c r="A53" s="98"/>
      <c r="B53" s="98"/>
    </row>
    <row r="54" spans="1:4" ht="15.75" x14ac:dyDescent="0.25">
      <c r="A54" s="98"/>
      <c r="B54" s="98"/>
      <c r="C54" s="292"/>
      <c r="D54" s="292"/>
    </row>
    <row r="55" spans="1:4" ht="15.75" x14ac:dyDescent="0.25">
      <c r="A55" s="98"/>
      <c r="B55" s="98"/>
      <c r="C55" s="292"/>
      <c r="D55" s="292"/>
    </row>
    <row r="56" spans="1:4" ht="15.75" x14ac:dyDescent="0.25">
      <c r="A56" s="98"/>
      <c r="B56" s="98"/>
      <c r="C56" s="292"/>
      <c r="D56" s="292"/>
    </row>
    <row r="57" spans="1:4" ht="15.75" x14ac:dyDescent="0.25">
      <c r="A57" s="98"/>
      <c r="B57" s="98"/>
      <c r="C57" s="292"/>
      <c r="D57" s="292"/>
    </row>
    <row r="58" spans="1:4" ht="15.75" x14ac:dyDescent="0.25">
      <c r="A58" s="98"/>
      <c r="B58" s="98"/>
      <c r="C58" s="292"/>
      <c r="D58" s="292"/>
    </row>
    <row r="59" spans="1:4" ht="15.75" x14ac:dyDescent="0.25">
      <c r="A59" s="98"/>
      <c r="B59" s="98"/>
    </row>
    <row r="60" spans="1:4" ht="15.75" x14ac:dyDescent="0.25">
      <c r="A60" s="98"/>
      <c r="B60" s="98"/>
    </row>
    <row r="61" spans="1:4" ht="15.75" x14ac:dyDescent="0.25">
      <c r="A61" s="100"/>
      <c r="B61" s="100"/>
    </row>
    <row r="62" spans="1:4" ht="15.75" x14ac:dyDescent="0.25">
      <c r="A62" s="100"/>
      <c r="B62" s="100"/>
    </row>
    <row r="63" spans="1:4" ht="15.75" x14ac:dyDescent="0.25">
      <c r="A63" s="100"/>
      <c r="B63" s="100"/>
    </row>
    <row r="64" spans="1:4" ht="15.75" x14ac:dyDescent="0.25">
      <c r="A64" s="100"/>
      <c r="B64" s="100"/>
    </row>
    <row r="65" spans="1:3" ht="15.75" x14ac:dyDescent="0.25">
      <c r="A65" s="100"/>
      <c r="B65" s="100"/>
    </row>
    <row r="66" spans="1:3" ht="15.75" x14ac:dyDescent="0.25">
      <c r="C66" s="98"/>
    </row>
    <row r="67" spans="1:3" ht="15.75" x14ac:dyDescent="0.25">
      <c r="C67" s="98"/>
    </row>
    <row r="68" spans="1:3" ht="15.75" x14ac:dyDescent="0.25">
      <c r="C68" s="98"/>
    </row>
    <row r="69" spans="1:3" ht="15.75" x14ac:dyDescent="0.25">
      <c r="C69" s="98"/>
    </row>
    <row r="70" spans="1:3" ht="15.75" x14ac:dyDescent="0.25">
      <c r="C70" s="98"/>
    </row>
    <row r="71" spans="1:3" ht="15.75" x14ac:dyDescent="0.25">
      <c r="C71" s="98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315" t="s">
        <v>174</v>
      </c>
    </row>
    <row r="75" spans="1:3" ht="15.75" x14ac:dyDescent="0.25">
      <c r="C75" s="316" t="s">
        <v>177</v>
      </c>
    </row>
    <row r="76" spans="1:3" ht="15.75" x14ac:dyDescent="0.25">
      <c r="C76" s="315" t="str">
        <f>IF(C75="Francisco Canelas","Gerente Comercial y Operaciones",IF(C75="Paola Bolivar"," Jefe de Eventos ATL",IF(C75="Diego Rojas","Ejecutivo de Cuentas ATL",IF(C75="Alvaro Vega","Jefe Nacional de activaciones BTL"))))</f>
        <v>Jefe Nacional de activaciones BTL</v>
      </c>
    </row>
    <row r="77" spans="1:3" ht="15.75" x14ac:dyDescent="0.25">
      <c r="C77" s="317" t="str">
        <f>IF(C75="Francisco Canelas","francisco@gruporegional.com",IF(C75="Paola Bolivar","paolabolivar@gruporegional.com",IF(C75="Diego Rojas","diegorojas@gruporegional.com",IF(C75="Alvaro Vega","alvarovega@gruporegional.com"))))</f>
        <v>alvarovega@gruporegional.com</v>
      </c>
    </row>
    <row r="78" spans="1:3" ht="15.75" x14ac:dyDescent="0.25">
      <c r="C78" s="317" t="s">
        <v>175</v>
      </c>
    </row>
    <row r="79" spans="1:3" ht="15.75" x14ac:dyDescent="0.25">
      <c r="C79" s="100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98"/>
    </row>
    <row r="90" spans="4:4" ht="15.75" x14ac:dyDescent="0.25">
      <c r="D90" s="98"/>
    </row>
    <row r="91" spans="4:4" ht="15.75" x14ac:dyDescent="0.25">
      <c r="D91" s="98"/>
    </row>
    <row r="92" spans="4:4" ht="15.75" x14ac:dyDescent="0.25">
      <c r="D92" s="100"/>
    </row>
    <row r="93" spans="4:4" ht="15.75" x14ac:dyDescent="0.25">
      <c r="D93" s="100"/>
    </row>
    <row r="94" spans="4:4" ht="15.75" x14ac:dyDescent="0.25">
      <c r="D94" s="100"/>
    </row>
    <row r="95" spans="4:4" ht="15.75" x14ac:dyDescent="0.25">
      <c r="D95" s="100"/>
    </row>
    <row r="96" spans="4:4" ht="15.75" x14ac:dyDescent="0.25">
      <c r="D96" s="100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100"/>
    </row>
    <row r="177" spans="5:5" ht="15.75" x14ac:dyDescent="0.25">
      <c r="E177" s="100"/>
    </row>
    <row r="178" spans="5:5" ht="15.75" x14ac:dyDescent="0.25">
      <c r="E178" s="100"/>
    </row>
    <row r="179" spans="5:5" ht="15.75" x14ac:dyDescent="0.25">
      <c r="E179" s="100"/>
    </row>
    <row r="180" spans="5:5" ht="15.75" x14ac:dyDescent="0.25">
      <c r="E180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5">
      <formula1>"Francisco Canelas,Paola Bolivar,Diego Rojas,Alvaro Vega"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>ANGELKA TADIK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>ADQUISICIÓN DE SERPENTINAS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0</v>
      </c>
      <c r="F15" s="413"/>
      <c r="G15" s="14">
        <v>1.6</v>
      </c>
      <c r="H15" s="414" t="s">
        <v>127</v>
      </c>
      <c r="I15" s="414"/>
      <c r="J15" s="413">
        <f>+'Estado de costos'!I16</f>
        <v>0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 t="str">
        <f>+'Estado de costos'!B30:B30</f>
        <v>SERPENTINAS CARNAVALERAS</v>
      </c>
      <c r="C22" s="423"/>
      <c r="D22" s="424"/>
      <c r="E22" s="422">
        <f>+'Estado de costos'!C30</f>
        <v>0</v>
      </c>
      <c r="F22" s="424"/>
      <c r="G22" s="41">
        <f>+'Estado de costos'!E30</f>
        <v>15000</v>
      </c>
      <c r="H22" s="42">
        <f>+'Estado de costos'!F30</f>
        <v>1.2</v>
      </c>
      <c r="I22" s="91">
        <f>+H22*G22</f>
        <v>18000</v>
      </c>
      <c r="J22" s="41" t="str">
        <f>+'Estado de costos'!H30</f>
        <v xml:space="preserve">RECIBO </v>
      </c>
      <c r="K22" s="91">
        <f>+'Estado de costos'!I30</f>
        <v>19565.217391304348</v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>ENVIO A CIUDADES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6</v>
      </c>
      <c r="H43" s="51">
        <f>+'Estado de costos'!F38</f>
        <v>150</v>
      </c>
      <c r="I43" s="52">
        <f t="shared" si="1"/>
        <v>900</v>
      </c>
      <c r="J43" s="53" t="str">
        <f>+'Estado de costos'!H38</f>
        <v>FACTURA</v>
      </c>
      <c r="K43" s="54">
        <f>+'Estado de costos'!I38</f>
        <v>783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 t="str">
        <f>'Estado de costos'!B30</f>
        <v>SERPENTINAS CARNAVALERAS</v>
      </c>
      <c r="K2" s="105" t="str">
        <f>IF('Estado de costos'!D30=0,"",'Estado de costos'!D30)</f>
        <v/>
      </c>
      <c r="L2">
        <f>'Estado de costos'!E30</f>
        <v>15000</v>
      </c>
      <c r="M2" s="7">
        <f>IFERROR(+N2/L2/IF(K2="",1,K2),0)</f>
        <v>2.72</v>
      </c>
      <c r="N2" s="7">
        <f>'Estado de costos'!J30</f>
        <v>40800</v>
      </c>
      <c r="O2" s="7" t="str">
        <f>'Estado de costos'!K30</f>
        <v>888</v>
      </c>
      <c r="P2">
        <f>IF(N2=0,0,1)</f>
        <v>1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40800</v>
      </c>
      <c r="O3" s="7">
        <f>'Estado de costos'!K31</f>
        <v>0</v>
      </c>
      <c r="P3">
        <f t="shared" ref="P3:P66" ca="1" si="1">IF(N3=0,0,1)</f>
        <v>1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180</v>
      </c>
      <c r="B5" s="118" t="s">
        <v>181</v>
      </c>
      <c r="C5" s="119">
        <v>15000</v>
      </c>
      <c r="D5" s="120">
        <v>2.72</v>
      </c>
      <c r="E5" s="120">
        <v>40800</v>
      </c>
      <c r="F5" s="7" t="s">
        <v>176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>ENVIO A CIUDADES</v>
      </c>
      <c r="K10" s="105">
        <f>IF('Estado de costos'!D38=0,"",'Estado de costos'!D38)</f>
        <v>1</v>
      </c>
      <c r="L10">
        <f>'Estado de costos'!E38</f>
        <v>6</v>
      </c>
      <c r="M10" s="7">
        <f t="shared" si="0"/>
        <v>0</v>
      </c>
      <c r="N10" s="7">
        <f>'Estado de costos'!J38</f>
        <v>0</v>
      </c>
      <c r="O10" s="7" t="str">
        <f>'Estado de costos'!K38</f>
        <v>888</v>
      </c>
      <c r="P10">
        <f t="shared" si="1"/>
        <v>0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TOTALES</v>
      </c>
      <c r="K11" s="105" t="str">
        <f>IF('Estado de costos'!D39=0,"",'Estado de costos'!D39)</f>
        <v/>
      </c>
      <c r="L11">
        <f>'Estado de costos'!E39</f>
        <v>0</v>
      </c>
      <c r="M11" s="7">
        <f t="shared" ca="1" si="0"/>
        <v>0</v>
      </c>
      <c r="N11" s="7">
        <f ca="1">'Estado de costos'!J39</f>
        <v>0</v>
      </c>
      <c r="O11" s="7">
        <f>'Estado de costos'!K39</f>
        <v>0</v>
      </c>
      <c r="P11">
        <f t="shared" ca="1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>
        <f>'Estado de costos'!K40</f>
        <v>0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>SERVICIOS / PRODUCTOS PROPIOS DE GRUPO REGIONAL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>
        <f>'Estado de costos'!K41</f>
        <v>0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 xml:space="preserve">PRODUCTO PROPIO  DE TALLER </v>
      </c>
      <c r="K14" s="105" t="str">
        <f>IF('Estado de costos'!D42=0,"",'Estado de costos'!D42)</f>
        <v/>
      </c>
      <c r="L14">
        <f>'Estado de costos'!E42</f>
        <v>0</v>
      </c>
      <c r="M14" s="7">
        <f t="shared" si="0"/>
        <v>0</v>
      </c>
      <c r="N14" s="7">
        <f>'Estado de costos'!J42</f>
        <v>0</v>
      </c>
      <c r="O14" s="7">
        <f>'Estado de costos'!K42</f>
        <v>0</v>
      </c>
      <c r="P14">
        <f t="shared" si="1"/>
        <v>0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PRODUCTOS TERMINADOS DE TALLER</v>
      </c>
      <c r="K16" s="105" t="str">
        <f>IF('Estado de costos'!D44=0,"",'Estado de costos'!D44)</f>
        <v/>
      </c>
      <c r="L16" t="str">
        <f>'Estado de costos'!E44</f>
        <v xml:space="preserve">CANTIDAD </v>
      </c>
      <c r="M16" s="7">
        <f t="shared" si="0"/>
        <v>0</v>
      </c>
      <c r="N16" s="7" t="str">
        <f>'Estado de costos'!J44</f>
        <v>PRECIO COTIZADO SIN F.E.E.</v>
      </c>
      <c r="O16" s="7">
        <f>'Estado de costos'!K44</f>
        <v>0</v>
      </c>
      <c r="P16">
        <f t="shared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costos'!B45</f>
        <v>0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 t="str">
        <f>'Estado de costos'!K45</f>
        <v>888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>TOTAL</v>
      </c>
      <c r="K18" s="105" t="str">
        <f>IF('Estado de costos'!D46=0,"",'Estado de costos'!D46)</f>
        <v/>
      </c>
      <c r="L18">
        <f>'Estado de costos'!E46</f>
        <v>0</v>
      </c>
      <c r="M18" s="7">
        <f t="shared" ca="1" si="0"/>
        <v>0</v>
      </c>
      <c r="N18" s="7">
        <f ca="1">'Estado de costos'!J46</f>
        <v>0</v>
      </c>
      <c r="O18" s="7">
        <f>'Estado de costos'!K46</f>
        <v>0</v>
      </c>
      <c r="P18">
        <f t="shared" ca="1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SERVICIO DE OPERACION DE ACTIVACIONES PROPIOS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>
        <f>'Estado de costos'!K48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DETALLE DEL SERVICIO</v>
      </c>
      <c r="K21" s="105" t="str">
        <f>IF('Estado de costos'!D49=0,"",'Estado de costos'!D49)</f>
        <v/>
      </c>
      <c r="L21" t="str">
        <f>'Estado de costos'!E49</f>
        <v>CANTIDAD</v>
      </c>
      <c r="M21" s="7">
        <f t="shared" si="0"/>
        <v>0</v>
      </c>
      <c r="N21" s="7" t="str">
        <f>'Estado de costos'!J49</f>
        <v>PRECIO COTIZADO SIN F.E.E.</v>
      </c>
      <c r="O21" s="7">
        <f>'Estado de costos'!K49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costos'!B50</f>
        <v>0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 t="str">
        <f>'Estado de costos'!K50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TOTAL</v>
      </c>
      <c r="K23" s="105" t="str">
        <f>IF('Estado de costos'!D51=0,"",'Estado de costos'!D51)</f>
        <v/>
      </c>
      <c r="L23">
        <f>'Estado de costos'!E51</f>
        <v>0</v>
      </c>
      <c r="M23" s="7">
        <f t="shared" ca="1" si="0"/>
        <v>0</v>
      </c>
      <c r="N23" s="7">
        <f ca="1">'Estado de costos'!J51</f>
        <v>0</v>
      </c>
      <c r="O23" s="7">
        <f>'Estado de costos'!K51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 xml:space="preserve">EQUIPOS PROPIOS 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>
        <f>'Estado de costos'!K53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DETALLE DEL SERVICIO</v>
      </c>
      <c r="K26" s="105" t="str">
        <f>IF('Estado de costos'!D54=0,"",'Estado de costos'!D54)</f>
        <v/>
      </c>
      <c r="L26" t="str">
        <f>'Estado de costos'!E54</f>
        <v>CANTIDAD</v>
      </c>
      <c r="M26" s="7">
        <f t="shared" si="0"/>
        <v>0</v>
      </c>
      <c r="N26" s="7" t="str">
        <f>'Estado de costos'!J54</f>
        <v>PRECIO COTIZADO SIN F.E.E.</v>
      </c>
      <c r="O26" s="7">
        <f>'Estado de costos'!K54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costos'!B55</f>
        <v>0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 t="str">
        <f>'Estado de costos'!K55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TOTAL</v>
      </c>
      <c r="K28" s="105" t="str">
        <f>IF('Estado de costos'!D56=0,"",'Estado de costos'!D56)</f>
        <v/>
      </c>
      <c r="L28">
        <f>'Estado de costos'!E56</f>
        <v>0</v>
      </c>
      <c r="M28" s="7">
        <f t="shared" ca="1" si="0"/>
        <v>0</v>
      </c>
      <c r="N28" s="7">
        <f ca="1">'Estado de costos'!J56</f>
        <v>0</v>
      </c>
      <c r="O28" s="7">
        <f>'Estado de costos'!K56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COSTOS INDIRECTOS DEL PROYECTO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>
        <f>'Estado de costos'!K58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COSTOS INDIRECTOS DE OPERACIONES</v>
      </c>
      <c r="K31" s="105" t="str">
        <f>IF('Estado de costos'!D59=0,"",'Estado de costos'!D59)</f>
        <v>COSTO  ACUMULADO  PROGRAMADO</v>
      </c>
      <c r="L31" t="str">
        <f>'Estado de costos'!E59</f>
        <v>TASA DE APLICACIÓN</v>
      </c>
      <c r="M31" s="7">
        <f t="shared" si="0"/>
        <v>0</v>
      </c>
      <c r="N31" s="7">
        <f>'Estado de costos'!J59</f>
        <v>0</v>
      </c>
      <c r="O31" s="7">
        <f>'Estado de costos'!K59</f>
        <v>0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costos'!B60</f>
        <v>0</v>
      </c>
      <c r="K32" s="105">
        <f ca="1">IF('Estado de costos'!D60=0,"",'Estado de costos'!D60)</f>
        <v>21308.217391304348</v>
      </c>
      <c r="L32">
        <f>'Estado de costos'!E60</f>
        <v>0.17</v>
      </c>
      <c r="M32" s="7">
        <f t="shared" ca="1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COSTO FINANCIERO</v>
      </c>
      <c r="K35" s="105" t="str">
        <f>IF('Estado de costos'!D63=0,"",'Estado de costos'!D63)</f>
        <v>TIEMPO PROGRAMADO</v>
      </c>
      <c r="L35" t="str">
        <f>'Estado de costos'!E63</f>
        <v>TASA FINANCIERA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>
        <f>IF('Estado de costos'!D64=0,"",'Estado de costos'!D64)</f>
        <v>30</v>
      </c>
      <c r="L36">
        <f>'Estado de costos'!E64</f>
        <v>5.4487179487179495E-4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F.E.E. PROGRAMADO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 t="str">
        <f>'Estado de costos'!J68</f>
        <v>TOTAL F.E.E. VARIABLE</v>
      </c>
      <c r="O40" s="7">
        <f>'Estado de costos'!K68</f>
        <v>0</v>
      </c>
      <c r="P40">
        <f t="shared" si="1"/>
        <v>1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 t="str">
        <f>IF('Estado de costos'!D69=0,"",'Estado de costos'!D69)</f>
        <v/>
      </c>
      <c r="L41">
        <f>'Estado de costos'!E69</f>
        <v>0</v>
      </c>
      <c r="M41" s="7">
        <f t="shared" ca="1" si="0"/>
        <v>0</v>
      </c>
      <c r="N41" s="7">
        <f ca="1">'Estado de costos'!J69</f>
        <v>40800</v>
      </c>
      <c r="O41" s="7">
        <f>'Estado de costos'!K69</f>
        <v>0</v>
      </c>
      <c r="P41">
        <f t="shared" ca="1" si="1"/>
        <v>1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ca="1" si="0"/>
        <v>0</v>
      </c>
      <c r="N42" s="7">
        <f ca="1">'Estado de costos'!J70</f>
        <v>6120</v>
      </c>
      <c r="O42" s="7">
        <f>'Estado de costos'!K70</f>
        <v>0</v>
      </c>
      <c r="P42">
        <f t="shared" ca="1" si="1"/>
        <v>1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46920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si="0"/>
        <v>0</v>
      </c>
      <c r="N45" s="7">
        <f>'Estado de costos'!J73</f>
        <v>0</v>
      </c>
      <c r="O45" s="7">
        <f>'Estado de costos'!K73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Alvaro Vega</cp:lastModifiedBy>
  <cp:lastPrinted>2019-01-02T20:37:03Z</cp:lastPrinted>
  <dcterms:created xsi:type="dcterms:W3CDTF">2016-10-17T20:34:40Z</dcterms:created>
  <dcterms:modified xsi:type="dcterms:W3CDTF">2019-01-10T13:40:40Z</dcterms:modified>
</cp:coreProperties>
</file>