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AIDISA BIC\"/>
    </mc:Choice>
  </mc:AlternateContent>
  <bookViews>
    <workbookView xWindow="0" yWindow="0" windowWidth="15360" windowHeight="5865" tabRatio="962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P225" i="8" l="1"/>
  <c r="C167" i="8"/>
  <c r="C151" i="8"/>
  <c r="C135" i="8"/>
  <c r="C119" i="8"/>
  <c r="C103" i="8"/>
  <c r="C87" i="8"/>
  <c r="C71" i="8"/>
  <c r="C55" i="8"/>
  <c r="C39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7" i="8"/>
  <c r="E167" i="40" s="1"/>
  <c r="D167" i="40" s="1"/>
  <c r="I248" i="8"/>
  <c r="E168" i="40" s="1"/>
  <c r="D168" i="40" s="1"/>
  <c r="G249" i="8"/>
  <c r="H249" i="8"/>
  <c r="D167" i="8"/>
  <c r="E167" i="8"/>
  <c r="I249" i="8" l="1"/>
  <c r="G20" i="8"/>
  <c r="E15" i="30" l="1"/>
  <c r="E15" i="38" s="1"/>
  <c r="E15" i="35" l="1"/>
  <c r="E15" i="36"/>
  <c r="E15" i="37"/>
  <c r="C271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D21" i="40"/>
  <c r="D22" i="40"/>
  <c r="D23" i="40"/>
  <c r="D24" i="40"/>
  <c r="D25" i="40"/>
  <c r="D26" i="40"/>
  <c r="D27" i="40"/>
  <c r="D28" i="40"/>
  <c r="D29" i="40"/>
  <c r="D30" i="40"/>
  <c r="D31" i="40"/>
  <c r="D20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5" i="40"/>
  <c r="B44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6" i="8" s="1"/>
  <c r="H86" i="8" s="1"/>
  <c r="G103" i="33"/>
  <c r="G105" i="33" s="1"/>
  <c r="G85" i="8" s="1"/>
  <c r="H85" i="8" s="1"/>
  <c r="O83" i="33"/>
  <c r="O85" i="33" s="1"/>
  <c r="G84" i="8" s="1"/>
  <c r="H84" i="8" s="1"/>
  <c r="G83" i="33"/>
  <c r="G85" i="33" s="1"/>
  <c r="G83" i="8" s="1"/>
  <c r="H83" i="8" s="1"/>
  <c r="O65" i="33"/>
  <c r="O67" i="33" s="1"/>
  <c r="G82" i="8" s="1"/>
  <c r="H82" i="8" s="1"/>
  <c r="G65" i="33"/>
  <c r="G67" i="33" s="1"/>
  <c r="G81" i="8" s="1"/>
  <c r="H81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0" i="8" s="1"/>
  <c r="H70" i="8" s="1"/>
  <c r="G103" i="32"/>
  <c r="G105" i="32" s="1"/>
  <c r="G69" i="8" s="1"/>
  <c r="H69" i="8" s="1"/>
  <c r="O83" i="32"/>
  <c r="O85" i="32" s="1"/>
  <c r="G68" i="8" s="1"/>
  <c r="H68" i="8" s="1"/>
  <c r="G83" i="32"/>
  <c r="G85" i="32" s="1"/>
  <c r="G67" i="8" s="1"/>
  <c r="H67" i="8" s="1"/>
  <c r="O65" i="32"/>
  <c r="O67" i="32" s="1"/>
  <c r="G66" i="8" s="1"/>
  <c r="H66" i="8" s="1"/>
  <c r="G65" i="32"/>
  <c r="G67" i="32" s="1"/>
  <c r="G65" i="8" s="1"/>
  <c r="H65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6" i="8" s="1"/>
  <c r="G105" i="38"/>
  <c r="G165" i="8" s="1"/>
  <c r="M92" i="38"/>
  <c r="E92" i="38"/>
  <c r="N85" i="38"/>
  <c r="F85" i="38"/>
  <c r="O85" i="38"/>
  <c r="G164" i="8" s="1"/>
  <c r="G85" i="38"/>
  <c r="G163" i="8" s="1"/>
  <c r="M74" i="38"/>
  <c r="E74" i="38"/>
  <c r="N67" i="38"/>
  <c r="F67" i="38"/>
  <c r="O67" i="38"/>
  <c r="G162" i="8" s="1"/>
  <c r="G67" i="38"/>
  <c r="G161" i="8" s="1"/>
  <c r="M112" i="37"/>
  <c r="E112" i="37"/>
  <c r="N105" i="37"/>
  <c r="F105" i="37"/>
  <c r="O105" i="37"/>
  <c r="G150" i="8" s="1"/>
  <c r="H150" i="8" s="1"/>
  <c r="G105" i="37"/>
  <c r="G149" i="8" s="1"/>
  <c r="H149" i="8" s="1"/>
  <c r="M92" i="37"/>
  <c r="E92" i="37"/>
  <c r="N85" i="37"/>
  <c r="F85" i="37"/>
  <c r="O85" i="37"/>
  <c r="G148" i="8" s="1"/>
  <c r="H148" i="8" s="1"/>
  <c r="G85" i="37"/>
  <c r="G147" i="8" s="1"/>
  <c r="H147" i="8" s="1"/>
  <c r="M74" i="37"/>
  <c r="E74" i="37"/>
  <c r="N67" i="37"/>
  <c r="F67" i="37"/>
  <c r="O67" i="37"/>
  <c r="G146" i="8" s="1"/>
  <c r="H146" i="8" s="1"/>
  <c r="G67" i="37"/>
  <c r="G145" i="8" s="1"/>
  <c r="H145" i="8" s="1"/>
  <c r="M112" i="36"/>
  <c r="E112" i="36"/>
  <c r="N105" i="36"/>
  <c r="F105" i="36"/>
  <c r="O105" i="36"/>
  <c r="G134" i="8" s="1"/>
  <c r="H134" i="8" s="1"/>
  <c r="G105" i="36"/>
  <c r="G133" i="8" s="1"/>
  <c r="H133" i="8" s="1"/>
  <c r="M92" i="36"/>
  <c r="E92" i="36"/>
  <c r="N85" i="36"/>
  <c r="G85" i="36"/>
  <c r="G131" i="8" s="1"/>
  <c r="H131" i="8" s="1"/>
  <c r="F85" i="36"/>
  <c r="O85" i="36"/>
  <c r="G132" i="8" s="1"/>
  <c r="H132" i="8" s="1"/>
  <c r="M74" i="36"/>
  <c r="E74" i="36"/>
  <c r="N67" i="36"/>
  <c r="F67" i="36"/>
  <c r="O67" i="36"/>
  <c r="G130" i="8" s="1"/>
  <c r="H130" i="8" s="1"/>
  <c r="G67" i="36"/>
  <c r="G129" i="8" s="1"/>
  <c r="H129" i="8" s="1"/>
  <c r="M112" i="35"/>
  <c r="E112" i="35"/>
  <c r="N105" i="35"/>
  <c r="F105" i="35"/>
  <c r="O105" i="35"/>
  <c r="G118" i="8" s="1"/>
  <c r="H118" i="8" s="1"/>
  <c r="G105" i="35"/>
  <c r="G117" i="8" s="1"/>
  <c r="H117" i="8" s="1"/>
  <c r="M92" i="35"/>
  <c r="E92" i="35"/>
  <c r="N85" i="35"/>
  <c r="F85" i="35"/>
  <c r="O85" i="35"/>
  <c r="G116" i="8" s="1"/>
  <c r="H116" i="8" s="1"/>
  <c r="G85" i="35"/>
  <c r="G115" i="8" s="1"/>
  <c r="H115" i="8" s="1"/>
  <c r="M74" i="35"/>
  <c r="E74" i="35"/>
  <c r="N67" i="35"/>
  <c r="F67" i="35"/>
  <c r="O67" i="35"/>
  <c r="G114" i="8" s="1"/>
  <c r="H114" i="8" s="1"/>
  <c r="G67" i="35"/>
  <c r="G113" i="8" s="1"/>
  <c r="H113" i="8" s="1"/>
  <c r="M112" i="34"/>
  <c r="E112" i="34"/>
  <c r="N105" i="34"/>
  <c r="F105" i="34"/>
  <c r="O105" i="34"/>
  <c r="G102" i="8" s="1"/>
  <c r="G105" i="34"/>
  <c r="G101" i="8" s="1"/>
  <c r="M92" i="34"/>
  <c r="E92" i="34"/>
  <c r="N85" i="34"/>
  <c r="F85" i="34"/>
  <c r="O85" i="34"/>
  <c r="G100" i="8" s="1"/>
  <c r="G85" i="34"/>
  <c r="G99" i="8" s="1"/>
  <c r="M74" i="34"/>
  <c r="E74" i="34"/>
  <c r="N67" i="34"/>
  <c r="F67" i="34"/>
  <c r="O67" i="34"/>
  <c r="G98" i="8" s="1"/>
  <c r="G67" i="34"/>
  <c r="G97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4" i="8" s="1"/>
  <c r="H54" i="8" s="1"/>
  <c r="G103" i="31"/>
  <c r="G105" i="31" s="1"/>
  <c r="G53" i="8" s="1"/>
  <c r="H53" i="8" s="1"/>
  <c r="O83" i="31"/>
  <c r="O85" i="31" s="1"/>
  <c r="G52" i="8" s="1"/>
  <c r="H52" i="8" s="1"/>
  <c r="G83" i="31"/>
  <c r="G85" i="31" s="1"/>
  <c r="G51" i="8" s="1"/>
  <c r="H51" i="8" s="1"/>
  <c r="O65" i="31"/>
  <c r="O67" i="31" s="1"/>
  <c r="G50" i="8" s="1"/>
  <c r="H50" i="8" s="1"/>
  <c r="G65" i="31"/>
  <c r="G67" i="31" s="1"/>
  <c r="G49" i="8" s="1"/>
  <c r="H49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5" i="8"/>
  <c r="C176" i="8"/>
  <c r="C177" i="8"/>
  <c r="C178" i="8"/>
  <c r="C179" i="8"/>
  <c r="C180" i="8"/>
  <c r="C181" i="8"/>
  <c r="B174" i="8"/>
  <c r="B175" i="8"/>
  <c r="B176" i="8"/>
  <c r="B177" i="8"/>
  <c r="B178" i="8"/>
  <c r="B179" i="8"/>
  <c r="B180" i="8"/>
  <c r="B181" i="8"/>
  <c r="O104" i="30"/>
  <c r="O106" i="30" s="1"/>
  <c r="G38" i="8" s="1"/>
  <c r="H38" i="8" s="1"/>
  <c r="G104" i="30"/>
  <c r="G106" i="30" s="1"/>
  <c r="G37" i="8" s="1"/>
  <c r="H37" i="8" s="1"/>
  <c r="O85" i="30"/>
  <c r="O87" i="30" s="1"/>
  <c r="G36" i="8" s="1"/>
  <c r="H36" i="8" s="1"/>
  <c r="G85" i="30"/>
  <c r="G87" i="30" s="1"/>
  <c r="G35" i="8" s="1"/>
  <c r="H35" i="8" s="1"/>
  <c r="O65" i="30"/>
  <c r="O67" i="30" s="1"/>
  <c r="G34" i="8" s="1"/>
  <c r="H34" i="8" s="1"/>
  <c r="G65" i="30"/>
  <c r="G67" i="30" s="1"/>
  <c r="G33" i="8" s="1"/>
  <c r="H33" i="8" s="1"/>
  <c r="O46" i="30"/>
  <c r="O100" i="30"/>
  <c r="G100" i="30"/>
  <c r="O81" i="30"/>
  <c r="G81" i="30"/>
  <c r="O61" i="30"/>
  <c r="G61" i="30"/>
  <c r="O42" i="30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4" i="8" l="1"/>
  <c r="H163" i="8"/>
  <c r="H161" i="8"/>
  <c r="H165" i="8"/>
  <c r="H162" i="8"/>
  <c r="H166" i="8"/>
  <c r="H99" i="8"/>
  <c r="H97" i="8"/>
  <c r="H100" i="8"/>
  <c r="H98" i="8"/>
  <c r="H101" i="8"/>
  <c r="H102" i="8"/>
  <c r="E178" i="8" l="1"/>
  <c r="E180" i="8"/>
  <c r="E181" i="8"/>
  <c r="E176" i="8"/>
  <c r="E177" i="8"/>
  <c r="E179" i="8"/>
  <c r="C257" i="8"/>
  <c r="H242" i="8"/>
  <c r="G242" i="8"/>
  <c r="F242" i="8"/>
  <c r="I241" i="8"/>
  <c r="E166" i="40" s="1"/>
  <c r="D166" i="40" s="1"/>
  <c r="I240" i="8"/>
  <c r="E165" i="40" s="1"/>
  <c r="D165" i="40" s="1"/>
  <c r="I234" i="8"/>
  <c r="E164" i="40" s="1"/>
  <c r="D164" i="40" s="1"/>
  <c r="I233" i="8"/>
  <c r="E163" i="40" s="1"/>
  <c r="H235" i="8"/>
  <c r="F235" i="8"/>
  <c r="G235" i="8"/>
  <c r="D163" i="40" l="1"/>
  <c r="I242" i="8"/>
  <c r="I235" i="8"/>
  <c r="G19" i="8" l="1"/>
  <c r="D12" i="11"/>
  <c r="E21" i="8" l="1"/>
  <c r="C21" i="8"/>
  <c r="H20" i="8"/>
  <c r="G21" i="8" l="1"/>
  <c r="H19" i="8"/>
  <c r="H21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G23" i="43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D128" i="40" l="1"/>
  <c r="C128" i="40"/>
  <c r="C171" i="8" l="1"/>
  <c r="C172" i="8"/>
  <c r="C173" i="8"/>
  <c r="C174" i="8"/>
  <c r="C170" i="8"/>
  <c r="C182" i="8" l="1"/>
  <c r="L188" i="8"/>
  <c r="I188" i="8" s="1"/>
  <c r="D134" i="40" s="1"/>
  <c r="B171" i="8" l="1"/>
  <c r="B172" i="8"/>
  <c r="B173" i="8"/>
  <c r="B170" i="8"/>
  <c r="B182" i="8" l="1"/>
  <c r="F28" i="30" l="1"/>
  <c r="E35" i="30"/>
  <c r="L211" i="8"/>
  <c r="I211" i="8" s="1"/>
  <c r="L212" i="8"/>
  <c r="I212" i="8" s="1"/>
  <c r="L213" i="8"/>
  <c r="I213" i="8" s="1"/>
  <c r="L214" i="8"/>
  <c r="I214" i="8" s="1"/>
  <c r="L215" i="8"/>
  <c r="I215" i="8" s="1"/>
  <c r="L216" i="8"/>
  <c r="I216" i="8" s="1"/>
  <c r="L217" i="8"/>
  <c r="I217" i="8" s="1"/>
  <c r="L218" i="8"/>
  <c r="I218" i="8" s="1"/>
  <c r="L219" i="8"/>
  <c r="I219" i="8" s="1"/>
  <c r="L220" i="8"/>
  <c r="I220" i="8" s="1"/>
  <c r="L221" i="8"/>
  <c r="I221" i="8" s="1"/>
  <c r="L222" i="8"/>
  <c r="I222" i="8" s="1"/>
  <c r="L223" i="8"/>
  <c r="I223" i="8" s="1"/>
  <c r="L224" i="8"/>
  <c r="I224" i="8" s="1"/>
  <c r="L210" i="8"/>
  <c r="I210" i="8" l="1"/>
  <c r="I225" i="8" s="1"/>
  <c r="L225" i="8"/>
  <c r="D151" i="40"/>
  <c r="D162" i="40"/>
  <c r="D158" i="40"/>
  <c r="D154" i="40"/>
  <c r="D159" i="40"/>
  <c r="D157" i="40"/>
  <c r="D153" i="40"/>
  <c r="D155" i="40"/>
  <c r="D161" i="40"/>
  <c r="D160" i="40"/>
  <c r="D156" i="40"/>
  <c r="D152" i="40"/>
  <c r="D149" i="40"/>
  <c r="D150" i="40"/>
  <c r="D148" i="40" l="1"/>
  <c r="E149" i="40"/>
  <c r="E157" i="40"/>
  <c r="E150" i="40"/>
  <c r="E158" i="40"/>
  <c r="E155" i="40"/>
  <c r="E154" i="40"/>
  <c r="E162" i="40"/>
  <c r="E160" i="40"/>
  <c r="E161" i="40"/>
  <c r="E159" i="40"/>
  <c r="E151" i="40"/>
  <c r="E152" i="40"/>
  <c r="E156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3" i="30" l="1"/>
  <c r="A26" i="31" l="1"/>
  <c r="E39" i="8" l="1"/>
  <c r="D55" i="8"/>
  <c r="E55" i="8"/>
  <c r="D87" i="8"/>
  <c r="E87" i="8"/>
  <c r="D103" i="8"/>
  <c r="E103" i="8"/>
  <c r="D119" i="8"/>
  <c r="E119" i="8"/>
  <c r="D135" i="8"/>
  <c r="E135" i="8"/>
  <c r="D151" i="8"/>
  <c r="E151" i="8"/>
  <c r="D39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59" i="8" s="1"/>
  <c r="O26" i="38"/>
  <c r="O28" i="38" s="1"/>
  <c r="G158" i="8" s="1"/>
  <c r="G26" i="38"/>
  <c r="O8" i="38"/>
  <c r="G8" i="38"/>
  <c r="G10" i="38" s="1"/>
  <c r="G155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2" i="8" s="1"/>
  <c r="G26" i="37"/>
  <c r="O8" i="37"/>
  <c r="G8" i="37"/>
  <c r="G10" i="37" s="1"/>
  <c r="G139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5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2" i="8" s="1"/>
  <c r="H112" i="8" s="1"/>
  <c r="O26" i="35"/>
  <c r="O28" i="35" s="1"/>
  <c r="G110" i="8" s="1"/>
  <c r="G26" i="35"/>
  <c r="G28" i="35" s="1"/>
  <c r="G109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7" i="8" s="1"/>
  <c r="H77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4" i="8" s="1"/>
  <c r="H64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2" i="30"/>
  <c r="K24" i="30"/>
  <c r="I26" i="30" s="1"/>
  <c r="C24" i="30"/>
  <c r="A26" i="30" s="1"/>
  <c r="G23" i="30"/>
  <c r="K5" i="30"/>
  <c r="I8" i="30" s="1"/>
  <c r="O4" i="30"/>
  <c r="C5" i="30"/>
  <c r="A8" i="30" s="1"/>
  <c r="G4" i="30"/>
  <c r="H158" i="8" l="1"/>
  <c r="H155" i="8"/>
  <c r="H159" i="8"/>
  <c r="G48" i="8"/>
  <c r="H48" i="8" s="1"/>
  <c r="G45" i="8"/>
  <c r="H45" i="8" s="1"/>
  <c r="O10" i="32"/>
  <c r="G60" i="8" s="1"/>
  <c r="G28" i="30"/>
  <c r="G29" i="8" s="1"/>
  <c r="H29" i="8" s="1"/>
  <c r="O10" i="38"/>
  <c r="G156" i="8" s="1"/>
  <c r="O48" i="38"/>
  <c r="G160" i="8" s="1"/>
  <c r="G28" i="38"/>
  <c r="G157" i="8" s="1"/>
  <c r="O10" i="37"/>
  <c r="G140" i="8" s="1"/>
  <c r="H142" i="8"/>
  <c r="O48" i="37"/>
  <c r="G144" i="8" s="1"/>
  <c r="H144" i="8" s="1"/>
  <c r="H139" i="8"/>
  <c r="G28" i="37"/>
  <c r="G141" i="8" s="1"/>
  <c r="G48" i="37"/>
  <c r="O10" i="36"/>
  <c r="G124" i="8" s="1"/>
  <c r="O28" i="36"/>
  <c r="G126" i="8" s="1"/>
  <c r="O48" i="36"/>
  <c r="G128" i="8" s="1"/>
  <c r="H128" i="8" s="1"/>
  <c r="G10" i="36"/>
  <c r="G123" i="8" s="1"/>
  <c r="H125" i="8"/>
  <c r="G48" i="36"/>
  <c r="G127" i="8" s="1"/>
  <c r="G10" i="35"/>
  <c r="H109" i="8"/>
  <c r="G48" i="35"/>
  <c r="G111" i="8" s="1"/>
  <c r="O10" i="35"/>
  <c r="H110" i="8"/>
  <c r="G10" i="34"/>
  <c r="G91" i="8" s="1"/>
  <c r="G28" i="34"/>
  <c r="G93" i="8" s="1"/>
  <c r="O10" i="34"/>
  <c r="G92" i="8" s="1"/>
  <c r="O28" i="34"/>
  <c r="G94" i="8" s="1"/>
  <c r="O48" i="34"/>
  <c r="G96" i="8" s="1"/>
  <c r="G48" i="34"/>
  <c r="G95" i="8" s="1"/>
  <c r="O10" i="33"/>
  <c r="G76" i="8" s="1"/>
  <c r="H76" i="8" s="1"/>
  <c r="O28" i="33"/>
  <c r="G78" i="8" s="1"/>
  <c r="H78" i="8" s="1"/>
  <c r="O48" i="33"/>
  <c r="G80" i="8" s="1"/>
  <c r="H80" i="8" s="1"/>
  <c r="G10" i="33"/>
  <c r="G75" i="8" s="1"/>
  <c r="G48" i="33"/>
  <c r="G79" i="8" s="1"/>
  <c r="H79" i="8" s="1"/>
  <c r="O28" i="32"/>
  <c r="G62" i="8" s="1"/>
  <c r="G28" i="32"/>
  <c r="G61" i="8" s="1"/>
  <c r="G48" i="32"/>
  <c r="G63" i="8" s="1"/>
  <c r="H63" i="8" s="1"/>
  <c r="O10" i="31"/>
  <c r="O28" i="31"/>
  <c r="G48" i="31"/>
  <c r="G10" i="31"/>
  <c r="G48" i="30"/>
  <c r="G31" i="8" s="1"/>
  <c r="H31" i="8" s="1"/>
  <c r="O48" i="30"/>
  <c r="G32" i="8" s="1"/>
  <c r="H32" i="8" s="1"/>
  <c r="O28" i="30"/>
  <c r="G30" i="8" s="1"/>
  <c r="H30" i="8" s="1"/>
  <c r="O10" i="30"/>
  <c r="G28" i="8" s="1"/>
  <c r="H28" i="8" s="1"/>
  <c r="G27" i="8"/>
  <c r="G167" i="8" l="1"/>
  <c r="H156" i="8"/>
  <c r="H157" i="8"/>
  <c r="H160" i="8"/>
  <c r="G44" i="8"/>
  <c r="H44" i="8" s="1"/>
  <c r="G47" i="8"/>
  <c r="H47" i="8" s="1"/>
  <c r="G43" i="8"/>
  <c r="H43" i="8" s="1"/>
  <c r="G46" i="8"/>
  <c r="H46" i="8" s="1"/>
  <c r="H96" i="8"/>
  <c r="G143" i="8"/>
  <c r="H143" i="8" s="1"/>
  <c r="G108" i="8"/>
  <c r="H108" i="8" s="1"/>
  <c r="G107" i="8"/>
  <c r="H107" i="8" s="1"/>
  <c r="H60" i="8"/>
  <c r="H27" i="8"/>
  <c r="H62" i="8"/>
  <c r="H141" i="8"/>
  <c r="H140" i="8"/>
  <c r="H127" i="8"/>
  <c r="H123" i="8"/>
  <c r="H126" i="8"/>
  <c r="H124" i="8"/>
  <c r="H111" i="8"/>
  <c r="H95" i="8"/>
  <c r="H91" i="8"/>
  <c r="H94" i="8"/>
  <c r="H92" i="8"/>
  <c r="H93" i="8"/>
  <c r="H75" i="8"/>
  <c r="H61" i="8"/>
  <c r="H167" i="8" l="1"/>
  <c r="E175" i="8"/>
  <c r="H87" i="8"/>
  <c r="H151" i="8"/>
  <c r="H135" i="8"/>
  <c r="H119" i="8"/>
  <c r="H103" i="8"/>
  <c r="G151" i="8"/>
  <c r="G135" i="8"/>
  <c r="G119" i="8"/>
  <c r="G103" i="8"/>
  <c r="G87" i="8"/>
  <c r="F10" i="30"/>
  <c r="E172" i="8" l="1"/>
  <c r="E171" i="8"/>
  <c r="G39" i="8"/>
  <c r="H39" i="8" l="1"/>
  <c r="P227" i="8"/>
  <c r="F21" i="11" l="1"/>
  <c r="E21" i="11"/>
  <c r="L197" i="8" l="1"/>
  <c r="I197" i="8" s="1"/>
  <c r="D143" i="40" s="1"/>
  <c r="L198" i="8"/>
  <c r="I198" i="8" s="1"/>
  <c r="D144" i="40" s="1"/>
  <c r="L199" i="8"/>
  <c r="I199" i="8" s="1"/>
  <c r="D145" i="40" s="1"/>
  <c r="L200" i="8"/>
  <c r="I200" i="8" s="1"/>
  <c r="D146" i="40" s="1"/>
  <c r="L191" i="8"/>
  <c r="I191" i="8" s="1"/>
  <c r="D137" i="40" s="1"/>
  <c r="L192" i="8"/>
  <c r="I192" i="8" s="1"/>
  <c r="D138" i="40" s="1"/>
  <c r="L193" i="8"/>
  <c r="I193" i="8" s="1"/>
  <c r="D139" i="40" s="1"/>
  <c r="L194" i="8"/>
  <c r="I194" i="8" s="1"/>
  <c r="D140" i="40" s="1"/>
  <c r="L195" i="8"/>
  <c r="I195" i="8" s="1"/>
  <c r="D141" i="40" s="1"/>
  <c r="L196" i="8"/>
  <c r="I196" i="8" s="1"/>
  <c r="D142" i="40" s="1"/>
  <c r="L201" i="8"/>
  <c r="I201" i="8" s="1"/>
  <c r="D147" i="40" s="1"/>
  <c r="E147" i="40" l="1"/>
  <c r="E145" i="40"/>
  <c r="E146" i="40"/>
  <c r="E144" i="40"/>
  <c r="E143" i="40"/>
  <c r="E138" i="40"/>
  <c r="E139" i="40"/>
  <c r="E137" i="40"/>
  <c r="E142" i="40"/>
  <c r="E140" i="40"/>
  <c r="E141" i="40"/>
  <c r="L189" i="8" l="1"/>
  <c r="I189" i="8" s="1"/>
  <c r="D135" i="40" s="1"/>
  <c r="L190" i="8"/>
  <c r="I190" i="8" s="1"/>
  <c r="D136" i="40" s="1"/>
  <c r="F139" i="11"/>
  <c r="L202" i="8" l="1"/>
  <c r="E134" i="40" l="1"/>
  <c r="E135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7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2" i="8" l="1"/>
  <c r="E148" i="40" l="1"/>
  <c r="E169" i="40" s="1"/>
  <c r="I227" i="8"/>
  <c r="E71" i="8" l="1"/>
  <c r="G4" i="32"/>
  <c r="D71" i="8"/>
  <c r="G8" i="32"/>
  <c r="G10" i="32" l="1"/>
  <c r="G59" i="8" s="1"/>
  <c r="H59" i="8" l="1"/>
  <c r="H71" i="8" l="1"/>
  <c r="E170" i="8"/>
  <c r="G71" i="8"/>
  <c r="E173" i="8" l="1"/>
  <c r="H55" i="8"/>
  <c r="E174" i="8"/>
  <c r="E182" i="8" l="1"/>
  <c r="F162" i="8" l="1"/>
  <c r="F164" i="8"/>
  <c r="F161" i="8"/>
  <c r="F163" i="8"/>
  <c r="F166" i="8"/>
  <c r="F165" i="8"/>
  <c r="F158" i="8"/>
  <c r="F155" i="8"/>
  <c r="F159" i="8"/>
  <c r="F157" i="8"/>
  <c r="F156" i="8"/>
  <c r="F160" i="8"/>
  <c r="F145" i="8"/>
  <c r="F149" i="8"/>
  <c r="F146" i="8"/>
  <c r="F150" i="8"/>
  <c r="F147" i="8"/>
  <c r="F144" i="8"/>
  <c r="F148" i="8"/>
  <c r="F131" i="8"/>
  <c r="F129" i="8"/>
  <c r="F130" i="8"/>
  <c r="F128" i="8"/>
  <c r="F132" i="8"/>
  <c r="F133" i="8"/>
  <c r="F134" i="8"/>
  <c r="F113" i="8"/>
  <c r="F117" i="8"/>
  <c r="F115" i="8"/>
  <c r="F114" i="8"/>
  <c r="F112" i="8"/>
  <c r="F116" i="8"/>
  <c r="F118" i="8"/>
  <c r="L254" i="8"/>
  <c r="D254" i="8" s="1"/>
  <c r="G197" i="43" s="1"/>
  <c r="G198" i="43" s="1"/>
  <c r="G199" i="43" s="1"/>
  <c r="F99" i="8"/>
  <c r="F100" i="8"/>
  <c r="F101" i="8"/>
  <c r="F97" i="8"/>
  <c r="F98" i="8"/>
  <c r="F102" i="8"/>
  <c r="F96" i="8"/>
  <c r="F141" i="8"/>
  <c r="F83" i="8"/>
  <c r="F84" i="8"/>
  <c r="F80" i="8"/>
  <c r="F85" i="8"/>
  <c r="F81" i="8"/>
  <c r="F86" i="8"/>
  <c r="F82" i="8"/>
  <c r="F63" i="8"/>
  <c r="F60" i="8"/>
  <c r="F51" i="8"/>
  <c r="F62" i="8"/>
  <c r="F29" i="8"/>
  <c r="C254" i="8"/>
  <c r="F33" i="8"/>
  <c r="F52" i="8"/>
  <c r="F38" i="8"/>
  <c r="F32" i="8"/>
  <c r="F28" i="8"/>
  <c r="F124" i="8"/>
  <c r="F47" i="8"/>
  <c r="F61" i="8"/>
  <c r="F126" i="8"/>
  <c r="F27" i="8"/>
  <c r="F109" i="8"/>
  <c r="F139" i="8"/>
  <c r="F31" i="8"/>
  <c r="F75" i="8"/>
  <c r="F67" i="8"/>
  <c r="F64" i="8"/>
  <c r="F68" i="8"/>
  <c r="F69" i="8"/>
  <c r="F66" i="8"/>
  <c r="F70" i="8"/>
  <c r="F65" i="8"/>
  <c r="F125" i="8"/>
  <c r="F45" i="8"/>
  <c r="F43" i="8"/>
  <c r="F59" i="8"/>
  <c r="F94" i="8"/>
  <c r="F46" i="8"/>
  <c r="F93" i="8"/>
  <c r="F30" i="8"/>
  <c r="F34" i="8"/>
  <c r="F143" i="8"/>
  <c r="F37" i="8"/>
  <c r="F127" i="8"/>
  <c r="F110" i="8"/>
  <c r="F91" i="8"/>
  <c r="F79" i="8"/>
  <c r="F76" i="8"/>
  <c r="F142" i="8"/>
  <c r="F36" i="8"/>
  <c r="F77" i="8"/>
  <c r="F108" i="8"/>
  <c r="F54" i="8"/>
  <c r="F107" i="8"/>
  <c r="F78" i="8"/>
  <c r="F95" i="8"/>
  <c r="F111" i="8"/>
  <c r="F35" i="8"/>
  <c r="F92" i="8"/>
  <c r="F44" i="8"/>
  <c r="F123" i="8"/>
  <c r="F140" i="8"/>
  <c r="F167" i="8" l="1"/>
  <c r="F151" i="8"/>
  <c r="F135" i="8"/>
  <c r="F119" i="8"/>
  <c r="F103" i="8"/>
  <c r="F87" i="8"/>
  <c r="E254" i="8"/>
  <c r="E257" i="8" s="1"/>
  <c r="F71" i="8"/>
  <c r="F39" i="8"/>
  <c r="G32" i="38" l="1"/>
  <c r="G109" i="36"/>
  <c r="G71" i="35"/>
  <c r="G32" i="34"/>
  <c r="O89" i="38"/>
  <c r="O52" i="37"/>
  <c r="O52" i="35"/>
  <c r="G89" i="38"/>
  <c r="G52" i="37"/>
  <c r="G14" i="36"/>
  <c r="G89" i="34"/>
  <c r="G52" i="33"/>
  <c r="O32" i="38"/>
  <c r="O109" i="36"/>
  <c r="O71" i="35"/>
  <c r="O32" i="34"/>
  <c r="O89" i="36"/>
  <c r="O89" i="33"/>
  <c r="O32" i="32"/>
  <c r="G89" i="32"/>
  <c r="G32" i="32"/>
  <c r="O14" i="31"/>
  <c r="G52" i="31"/>
  <c r="O71" i="30"/>
  <c r="G71" i="37"/>
  <c r="G109" i="34"/>
  <c r="O52" i="36"/>
  <c r="G89" i="36"/>
  <c r="O71" i="37"/>
  <c r="O71" i="33"/>
  <c r="G14" i="32"/>
  <c r="O32" i="30"/>
  <c r="G32" i="30"/>
  <c r="G109" i="37"/>
  <c r="G71" i="36"/>
  <c r="G32" i="35"/>
  <c r="G109" i="33"/>
  <c r="O52" i="38"/>
  <c r="O14" i="37"/>
  <c r="O89" i="34"/>
  <c r="G52" i="38"/>
  <c r="G14" i="37"/>
  <c r="G89" i="35"/>
  <c r="G52" i="34"/>
  <c r="G14" i="33"/>
  <c r="O109" i="37"/>
  <c r="O71" i="36"/>
  <c r="O32" i="35"/>
  <c r="O109" i="33"/>
  <c r="O89" i="35"/>
  <c r="O14" i="33"/>
  <c r="G71" i="32"/>
  <c r="G52" i="32"/>
  <c r="O89" i="32"/>
  <c r="G32" i="31"/>
  <c r="G14" i="31"/>
  <c r="G52" i="30"/>
  <c r="G71" i="30"/>
  <c r="O14" i="30"/>
  <c r="G109" i="38"/>
  <c r="G71" i="33"/>
  <c r="O14" i="34"/>
  <c r="G52" i="35"/>
  <c r="O109" i="38"/>
  <c r="O109" i="34"/>
  <c r="O52" i="32"/>
  <c r="O89" i="31"/>
  <c r="G71" i="38"/>
  <c r="G32" i="37"/>
  <c r="G109" i="35"/>
  <c r="G71" i="34"/>
  <c r="G32" i="33"/>
  <c r="O89" i="37"/>
  <c r="O14" i="36"/>
  <c r="O52" i="33"/>
  <c r="G89" i="37"/>
  <c r="G52" i="36"/>
  <c r="G14" i="35"/>
  <c r="G89" i="33"/>
  <c r="O71" i="38"/>
  <c r="O32" i="37"/>
  <c r="O109" i="35"/>
  <c r="O71" i="34"/>
  <c r="O32" i="33"/>
  <c r="O52" i="34"/>
  <c r="O71" i="32"/>
  <c r="O14" i="32"/>
  <c r="G109" i="32"/>
  <c r="O32" i="31"/>
  <c r="G89" i="31"/>
  <c r="G110" i="30"/>
  <c r="O110" i="30"/>
  <c r="O91" i="30"/>
  <c r="G91" i="30"/>
  <c r="O52" i="30"/>
  <c r="G32" i="36"/>
  <c r="O14" i="38"/>
  <c r="G14" i="38"/>
  <c r="G14" i="34"/>
  <c r="O32" i="36"/>
  <c r="O14" i="35"/>
  <c r="O109" i="32"/>
  <c r="O109" i="31"/>
  <c r="G14" i="30"/>
  <c r="O108" i="38"/>
  <c r="O70" i="38"/>
  <c r="O31" i="38"/>
  <c r="G108" i="38"/>
  <c r="G70" i="38"/>
  <c r="G31" i="38"/>
  <c r="O88" i="38"/>
  <c r="O51" i="38"/>
  <c r="O13" i="38"/>
  <c r="G88" i="38"/>
  <c r="G51" i="38"/>
  <c r="G13" i="38"/>
  <c r="O108" i="37"/>
  <c r="G108" i="37"/>
  <c r="G70" i="37"/>
  <c r="G31" i="37"/>
  <c r="O88" i="37"/>
  <c r="O51" i="37"/>
  <c r="O13" i="37"/>
  <c r="G88" i="37"/>
  <c r="G51" i="37"/>
  <c r="G13" i="37"/>
  <c r="O70" i="37"/>
  <c r="O31" i="37"/>
  <c r="O108" i="36"/>
  <c r="O70" i="36"/>
  <c r="O31" i="36"/>
  <c r="G13" i="36"/>
  <c r="G108" i="36"/>
  <c r="G70" i="36"/>
  <c r="G31" i="36"/>
  <c r="G88" i="36"/>
  <c r="O88" i="36"/>
  <c r="O51" i="36"/>
  <c r="O13" i="36"/>
  <c r="G51" i="36"/>
  <c r="O108" i="35"/>
  <c r="O70" i="35"/>
  <c r="O31" i="35"/>
  <c r="G13" i="35"/>
  <c r="G108" i="35"/>
  <c r="G70" i="35"/>
  <c r="G31" i="35"/>
  <c r="G51" i="35"/>
  <c r="O88" i="35"/>
  <c r="O51" i="35"/>
  <c r="O13" i="35"/>
  <c r="G88" i="35"/>
  <c r="O108" i="34"/>
  <c r="O70" i="34"/>
  <c r="O31" i="34"/>
  <c r="G108" i="34"/>
  <c r="G70" i="34"/>
  <c r="G31" i="34"/>
  <c r="O88" i="34"/>
  <c r="O51" i="34"/>
  <c r="O13" i="34"/>
  <c r="G88" i="34"/>
  <c r="G51" i="34"/>
  <c r="G13" i="34"/>
  <c r="O108" i="33"/>
  <c r="O70" i="33"/>
  <c r="O31" i="33"/>
  <c r="O108" i="32"/>
  <c r="O70" i="32"/>
  <c r="O31" i="32"/>
  <c r="G51" i="33"/>
  <c r="G51" i="32"/>
  <c r="G108" i="33"/>
  <c r="G70" i="33"/>
  <c r="G31" i="33"/>
  <c r="G108" i="32"/>
  <c r="G70" i="32"/>
  <c r="G31" i="32"/>
  <c r="G13" i="33"/>
  <c r="O88" i="33"/>
  <c r="O51" i="33"/>
  <c r="O13" i="33"/>
  <c r="O88" i="32"/>
  <c r="O51" i="32"/>
  <c r="O13" i="32"/>
  <c r="G88" i="33"/>
  <c r="G88" i="32"/>
  <c r="G13" i="32"/>
  <c r="O88" i="31"/>
  <c r="G88" i="31"/>
  <c r="O108" i="31"/>
  <c r="O31" i="31"/>
  <c r="G51" i="31"/>
  <c r="G31" i="31"/>
  <c r="O13" i="31"/>
  <c r="O51" i="30"/>
  <c r="G70" i="30"/>
  <c r="G51" i="30"/>
  <c r="C267" i="8"/>
  <c r="C268" i="8" s="1"/>
  <c r="G109" i="30"/>
  <c r="G90" i="30"/>
  <c r="O90" i="30"/>
  <c r="G31" i="30"/>
  <c r="G13" i="31"/>
  <c r="O109" i="30"/>
  <c r="O70" i="30"/>
  <c r="O31" i="30"/>
  <c r="G13" i="30"/>
  <c r="O13" i="30"/>
  <c r="C260" i="8" l="1"/>
  <c r="G15" i="35" s="1"/>
  <c r="G16" i="35" s="1"/>
  <c r="G20" i="35" s="1"/>
  <c r="E80" i="40" s="1"/>
  <c r="C269" i="8"/>
  <c r="C270" i="8" s="1"/>
  <c r="P278" i="8" s="1"/>
  <c r="M13" i="31"/>
  <c r="F48" i="8"/>
  <c r="O52" i="31" s="1"/>
  <c r="E110" i="38" l="1"/>
  <c r="G110" i="38" s="1"/>
  <c r="G15" i="36"/>
  <c r="G16" i="36" s="1"/>
  <c r="G20" i="36" s="1"/>
  <c r="E170" i="40"/>
  <c r="E172" i="40" s="1"/>
  <c r="I268" i="8" s="1"/>
  <c r="G15" i="37"/>
  <c r="G16" i="37" s="1"/>
  <c r="G20" i="37" s="1"/>
  <c r="M72" i="30"/>
  <c r="O72" i="30" s="1"/>
  <c r="O73" i="30" s="1"/>
  <c r="O77" i="30" s="1"/>
  <c r="E27" i="40" s="1"/>
  <c r="M33" i="38"/>
  <c r="O33" i="38" s="1"/>
  <c r="O34" i="38" s="1"/>
  <c r="O38" i="38" s="1"/>
  <c r="E53" i="38"/>
  <c r="G53" i="38" s="1"/>
  <c r="G54" i="38" s="1"/>
  <c r="G58" i="38" s="1"/>
  <c r="G15" i="38"/>
  <c r="G16" i="38" s="1"/>
  <c r="G20" i="38" s="1"/>
  <c r="M110" i="36"/>
  <c r="O110" i="36" s="1"/>
  <c r="M72" i="36"/>
  <c r="O72" i="36" s="1"/>
  <c r="O73" i="36" s="1"/>
  <c r="O77" i="36" s="1"/>
  <c r="M33" i="36"/>
  <c r="O33" i="36" s="1"/>
  <c r="O34" i="36" s="1"/>
  <c r="O38" i="36" s="1"/>
  <c r="M90" i="36"/>
  <c r="O90" i="36" s="1"/>
  <c r="M53" i="36"/>
  <c r="O53" i="36" s="1"/>
  <c r="O54" i="36" s="1"/>
  <c r="O58" i="36" s="1"/>
  <c r="E72" i="36"/>
  <c r="G72" i="36" s="1"/>
  <c r="G73" i="36" s="1"/>
  <c r="G77" i="36" s="1"/>
  <c r="E90" i="36"/>
  <c r="G90" i="36" s="1"/>
  <c r="E110" i="36"/>
  <c r="G110" i="36" s="1"/>
  <c r="M15" i="36"/>
  <c r="O15" i="36" s="1"/>
  <c r="O16" i="36" s="1"/>
  <c r="O20" i="36" s="1"/>
  <c r="E53" i="36"/>
  <c r="G53" i="36" s="1"/>
  <c r="G54" i="36" s="1"/>
  <c r="G58" i="36" s="1"/>
  <c r="E33" i="36"/>
  <c r="G33" i="36" s="1"/>
  <c r="G34" i="36" s="1"/>
  <c r="G38" i="36" s="1"/>
  <c r="M110" i="37"/>
  <c r="O110" i="37" s="1"/>
  <c r="E72" i="37"/>
  <c r="G72" i="37" s="1"/>
  <c r="G73" i="37" s="1"/>
  <c r="G77" i="37" s="1"/>
  <c r="M15" i="37"/>
  <c r="O15" i="37" s="1"/>
  <c r="O16" i="37" s="1"/>
  <c r="O20" i="37" s="1"/>
  <c r="E90" i="35"/>
  <c r="G90" i="35" s="1"/>
  <c r="M15" i="35"/>
  <c r="O15" i="35" s="1"/>
  <c r="M53" i="35"/>
  <c r="O53" i="35" s="1"/>
  <c r="O54" i="35" s="1"/>
  <c r="O58" i="35" s="1"/>
  <c r="M90" i="35"/>
  <c r="O90" i="35" s="1"/>
  <c r="E33" i="35"/>
  <c r="G33" i="35" s="1"/>
  <c r="E53" i="35"/>
  <c r="G53" i="35" s="1"/>
  <c r="G54" i="35" s="1"/>
  <c r="G58" i="35" s="1"/>
  <c r="E110" i="35"/>
  <c r="G110" i="35" s="1"/>
  <c r="M72" i="35"/>
  <c r="O72" i="35" s="1"/>
  <c r="O73" i="35" s="1"/>
  <c r="O77" i="35" s="1"/>
  <c r="E72" i="35"/>
  <c r="G72" i="35" s="1"/>
  <c r="G73" i="35" s="1"/>
  <c r="G77" i="35" s="1"/>
  <c r="M33" i="35"/>
  <c r="O33" i="35" s="1"/>
  <c r="O34" i="35" s="1"/>
  <c r="O38" i="35" s="1"/>
  <c r="M110" i="35"/>
  <c r="O110" i="35" s="1"/>
  <c r="G17" i="35"/>
  <c r="F80" i="40"/>
  <c r="O51" i="31"/>
  <c r="E83" i="40" l="1"/>
  <c r="F83" i="40" s="1"/>
  <c r="E104" i="40"/>
  <c r="F104" i="40" s="1"/>
  <c r="E120" i="40"/>
  <c r="F120" i="40" s="1"/>
  <c r="O74" i="35"/>
  <c r="E87" i="40"/>
  <c r="F87" i="40" s="1"/>
  <c r="E105" i="40"/>
  <c r="F105" i="40" s="1"/>
  <c r="E96" i="40"/>
  <c r="F96" i="40" s="1"/>
  <c r="G74" i="36"/>
  <c r="E98" i="40"/>
  <c r="F98" i="40" s="1"/>
  <c r="O74" i="36"/>
  <c r="E99" i="40"/>
  <c r="F99" i="40" s="1"/>
  <c r="O35" i="38"/>
  <c r="E119" i="40"/>
  <c r="F119" i="40" s="1"/>
  <c r="G17" i="36"/>
  <c r="E92" i="40"/>
  <c r="F92" i="40" s="1"/>
  <c r="E84" i="40"/>
  <c r="F84" i="40" s="1"/>
  <c r="E116" i="40"/>
  <c r="F116" i="40" s="1"/>
  <c r="E86" i="40"/>
  <c r="F86" i="40" s="1"/>
  <c r="E94" i="40"/>
  <c r="F94" i="40" s="1"/>
  <c r="E95" i="40"/>
  <c r="F95" i="40" s="1"/>
  <c r="E85" i="40"/>
  <c r="F85" i="40" s="1"/>
  <c r="G74" i="37"/>
  <c r="E110" i="40"/>
  <c r="F110" i="40" s="1"/>
  <c r="E93" i="40"/>
  <c r="F93" i="40" s="1"/>
  <c r="E97" i="40"/>
  <c r="F97" i="40" s="1"/>
  <c r="G111" i="36"/>
  <c r="G115" i="36" s="1"/>
  <c r="G91" i="35"/>
  <c r="G95" i="35" s="1"/>
  <c r="G91" i="36"/>
  <c r="G95" i="36" s="1"/>
  <c r="O111" i="37"/>
  <c r="O115" i="37" s="1"/>
  <c r="O91" i="36"/>
  <c r="O95" i="36" s="1"/>
  <c r="O91" i="35"/>
  <c r="O95" i="35" s="1"/>
  <c r="O111" i="35"/>
  <c r="O115" i="35" s="1"/>
  <c r="G111" i="35"/>
  <c r="G115" i="35" s="1"/>
  <c r="O111" i="36"/>
  <c r="O115" i="36" s="1"/>
  <c r="G111" i="38"/>
  <c r="G115" i="38" s="1"/>
  <c r="E171" i="40"/>
  <c r="G55" i="36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121" i="40" s="1"/>
  <c r="E33" i="38"/>
  <c r="G33" i="38" s="1"/>
  <c r="G34" i="38" s="1"/>
  <c r="G38" i="38" s="1"/>
  <c r="E118" i="40" s="1"/>
  <c r="M72" i="38"/>
  <c r="O72" i="38" s="1"/>
  <c r="O73" i="38" s="1"/>
  <c r="O77" i="38" s="1"/>
  <c r="E123" i="40" s="1"/>
  <c r="G17" i="37"/>
  <c r="M53" i="37"/>
  <c r="O53" i="37" s="1"/>
  <c r="O54" i="37" s="1"/>
  <c r="O58" i="37" s="1"/>
  <c r="M90" i="38"/>
  <c r="O90" i="38" s="1"/>
  <c r="E90" i="38"/>
  <c r="G90" i="38" s="1"/>
  <c r="O55" i="35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E60" i="40" s="1"/>
  <c r="M15" i="30"/>
  <c r="O15" i="30" s="1"/>
  <c r="O16" i="30" s="1"/>
  <c r="O20" i="30" s="1"/>
  <c r="E21" i="40" s="1"/>
  <c r="E15" i="31"/>
  <c r="M72" i="31" s="1"/>
  <c r="M33" i="30"/>
  <c r="O33" i="30" s="1"/>
  <c r="O34" i="30" s="1"/>
  <c r="O38" i="30" s="1"/>
  <c r="E23" i="40" s="1"/>
  <c r="E33" i="37"/>
  <c r="G33" i="37" s="1"/>
  <c r="G34" i="37" s="1"/>
  <c r="G38" i="37" s="1"/>
  <c r="E106" i="40" s="1"/>
  <c r="M90" i="37"/>
  <c r="O90" i="37" s="1"/>
  <c r="E110" i="37"/>
  <c r="G110" i="37" s="1"/>
  <c r="F27" i="40"/>
  <c r="O74" i="30"/>
  <c r="O35" i="35"/>
  <c r="G15" i="30"/>
  <c r="G16" i="30" s="1"/>
  <c r="G20" i="30" s="1"/>
  <c r="E20" i="40" s="1"/>
  <c r="E15" i="34"/>
  <c r="E53" i="34" s="1"/>
  <c r="G53" i="34" s="1"/>
  <c r="G54" i="34" s="1"/>
  <c r="G58" i="34" s="1"/>
  <c r="E72" i="40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O55" i="36"/>
  <c r="O17" i="36"/>
  <c r="G55" i="35"/>
  <c r="G55" i="38"/>
  <c r="E15" i="32"/>
  <c r="E110" i="32" s="1"/>
  <c r="G110" i="32" s="1"/>
  <c r="E92" i="30"/>
  <c r="G92" i="30" s="1"/>
  <c r="G93" i="30" s="1"/>
  <c r="G97" i="30" s="1"/>
  <c r="E28" i="40" s="1"/>
  <c r="M53" i="30"/>
  <c r="O53" i="30" s="1"/>
  <c r="O54" i="30" s="1"/>
  <c r="O58" i="30" s="1"/>
  <c r="E25" i="40" s="1"/>
  <c r="O35" i="36"/>
  <c r="O17" i="37"/>
  <c r="G74" i="35"/>
  <c r="G17" i="38"/>
  <c r="G35" i="36"/>
  <c r="F49" i="8"/>
  <c r="F53" i="8"/>
  <c r="O112" i="36" l="1"/>
  <c r="E103" i="40"/>
  <c r="F103" i="40" s="1"/>
  <c r="G112" i="36"/>
  <c r="E102" i="40"/>
  <c r="F102" i="40" s="1"/>
  <c r="E26" i="40"/>
  <c r="F26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F123" i="40"/>
  <c r="G74" i="38"/>
  <c r="G35" i="38"/>
  <c r="F118" i="40"/>
  <c r="E72" i="31"/>
  <c r="O35" i="37"/>
  <c r="F121" i="40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E32" i="40" s="1"/>
  <c r="M110" i="31"/>
  <c r="O110" i="31" s="1"/>
  <c r="M90" i="31"/>
  <c r="O90" i="31" s="1"/>
  <c r="O91" i="31" s="1"/>
  <c r="O95" i="31" s="1"/>
  <c r="E41" i="40" s="1"/>
  <c r="G55" i="30"/>
  <c r="G35" i="30"/>
  <c r="M33" i="34"/>
  <c r="O33" i="34" s="1"/>
  <c r="O34" i="34" s="1"/>
  <c r="O38" i="34" s="1"/>
  <c r="G17" i="30"/>
  <c r="M90" i="34"/>
  <c r="O90" i="34" s="1"/>
  <c r="F23" i="40"/>
  <c r="O35" i="30"/>
  <c r="F21" i="4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F106" i="40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F25" i="4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F28" i="40"/>
  <c r="F60" i="40"/>
  <c r="G55" i="33"/>
  <c r="F72" i="40"/>
  <c r="G55" i="34"/>
  <c r="G70" i="31"/>
  <c r="G71" i="31"/>
  <c r="G108" i="31"/>
  <c r="G109" i="31"/>
  <c r="G55" i="8"/>
  <c r="F20" i="40" l="1"/>
  <c r="J20" i="43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F44" i="40" s="1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E53" i="40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F32" i="40"/>
  <c r="G17" i="31"/>
  <c r="F50" i="8" s="1"/>
  <c r="O17" i="34"/>
  <c r="G35" i="34"/>
  <c r="O35" i="32"/>
  <c r="G17" i="34"/>
  <c r="G35" i="31"/>
  <c r="O74" i="34"/>
  <c r="O55" i="34"/>
  <c r="G110" i="31"/>
  <c r="G111" i="31" s="1"/>
  <c r="G115" i="31" s="1"/>
  <c r="E42" i="40" s="1"/>
  <c r="G72" i="31"/>
  <c r="G73" i="31" s="1"/>
  <c r="G77" i="31" s="1"/>
  <c r="E38" i="40" s="1"/>
  <c r="O92" i="31"/>
  <c r="G92" i="34" l="1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5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E39" i="40" s="1"/>
  <c r="M70" i="31"/>
  <c r="F38" i="40"/>
  <c r="G34" i="35"/>
  <c r="G38" i="35" s="1"/>
  <c r="E82" i="40" s="1"/>
  <c r="O16" i="35"/>
  <c r="O20" i="35" s="1"/>
  <c r="E81" i="40" s="1"/>
  <c r="G92" i="31" l="1"/>
  <c r="E40" i="40"/>
  <c r="F40" i="40" s="1"/>
  <c r="F39" i="40"/>
  <c r="O74" i="31"/>
  <c r="O17" i="35"/>
  <c r="F82" i="40"/>
  <c r="G35" i="35"/>
  <c r="E128" i="40" l="1"/>
  <c r="F81" i="40"/>
  <c r="F128" i="40" s="1"/>
  <c r="I267" i="8" s="1"/>
  <c r="I270" i="8" s="1"/>
</calcChain>
</file>

<file path=xl/comments1.xml><?xml version="1.0" encoding="utf-8"?>
<comments xmlns="http://schemas.openxmlformats.org/spreadsheetml/2006/main">
  <authors>
    <author>GRUPOREGIONAL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7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P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UNITARIO REAL   QUE SE  ADQUIRIO LOS MATERIALES</t>
        </r>
      </text>
    </comment>
    <comment ref="B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P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COSTO UNITARIO REAL DEL SERVICIO 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2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39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<sst xmlns="http://schemas.openxmlformats.org/spreadsheetml/2006/main" count="3715" uniqueCount="1601">
  <si>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</si>
  <si>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</si>
  <si>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</si>
  <si>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</si>
  <si>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</si>
  <si>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</si>
  <si>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</si>
  <si>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</si>
  <si>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</si>
  <si>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</si>
  <si>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</si>
  <si>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</si>
  <si>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</si>
  <si>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</si>
  <si>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</si>
  <si>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</si>
  <si>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</si>
  <si>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</si>
  <si>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</si>
  <si>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</si>
  <si>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</si>
  <si>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</si>
  <si>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</si>
  <si>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</si>
  <si>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</si>
  <si>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</si>
  <si>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</si>
  <si>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</si>
  <si>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</si>
  <si>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</si>
  <si>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</si>
  <si>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</si>
  <si>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</si>
  <si>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</si>
  <si>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</si>
  <si>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</si>
  <si>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</si>
  <si>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</si>
  <si>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</si>
  <si>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</si>
  <si>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</si>
  <si>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</si>
  <si>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</si>
  <si>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</si>
  <si>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</si>
  <si>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</si>
  <si>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</si>
  <si>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</si>
  <si>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</si>
  <si>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</si>
  <si>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</si>
  <si>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</si>
  <si>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</si>
  <si>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</si>
  <si>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</si>
  <si>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</si>
  <si>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</si>
  <si>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</si>
  <si>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</si>
  <si>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</si>
  <si>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</si>
  <si>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</si>
  <si>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</si>
  <si>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</si>
  <si>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</si>
  <si>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</si>
  <si>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</si>
  <si>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</si>
  <si>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</si>
  <si>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</si>
  <si>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</si>
  <si>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</si>
  <si>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</si>
  <si>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</si>
  <si>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</si>
  <si>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</si>
  <si>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</si>
  <si>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</si>
  <si>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</si>
  <si>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</si>
  <si>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</si>
  <si>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</si>
  <si>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</si>
  <si>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</si>
  <si>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</si>
  <si>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</si>
  <si>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</si>
  <si>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</si>
  <si>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</si>
  <si>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</si>
  <si>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</si>
  <si>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</si>
  <si>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</si>
  <si>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</si>
  <si>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</si>
  <si>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</si>
  <si>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</si>
  <si>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</si>
  <si>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</si>
  <si>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</si>
  <si>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</si>
  <si>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</si>
  <si>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</si>
  <si>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</si>
  <si>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</si>
  <si>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</si>
  <si>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</si>
  <si>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</si>
  <si>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</si>
  <si>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</si>
  <si>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</si>
  <si>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</si>
  <si>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</si>
  <si>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</si>
  <si>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</si>
  <si>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</si>
  <si>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</si>
  <si>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</si>
  <si>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</si>
  <si>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</si>
  <si>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</si>
  <si>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</si>
  <si>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</si>
  <si>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</si>
  <si>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</si>
  <si>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</si>
  <si>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</si>
  <si>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</si>
  <si>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</si>
  <si>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</si>
  <si>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</si>
  <si>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</si>
  <si>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</si>
  <si>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</si>
  <si>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</si>
  <si>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</si>
  <si>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</si>
  <si>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</si>
  <si>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</si>
  <si>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</si>
  <si>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</si>
  <si>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</si>
  <si>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</si>
  <si>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</si>
  <si>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</si>
  <si>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</si>
  <si>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</si>
  <si>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</si>
  <si>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</si>
  <si>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</si>
  <si>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</si>
  <si>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</si>
  <si>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</si>
  <si>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</si>
  <si>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</si>
  <si>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</si>
  <si>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</si>
  <si>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</si>
  <si>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</si>
  <si>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</si>
  <si>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</si>
  <si>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</si>
  <si>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</si>
  <si>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</si>
  <si>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</si>
  <si>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</si>
  <si>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</si>
  <si>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</si>
  <si>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</si>
  <si>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</si>
  <si>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</si>
  <si>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</si>
  <si>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</si>
  <si>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</si>
  <si>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</si>
  <si>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</si>
  <si>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</si>
  <si>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</si>
  <si>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</si>
  <si>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</si>
  <si>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</si>
  <si>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</si>
  <si>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</si>
  <si>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</si>
  <si>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</si>
  <si>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</si>
  <si>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</si>
  <si>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</si>
  <si>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</si>
  <si>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</si>
  <si>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</si>
  <si>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</si>
  <si>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</si>
  <si>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</si>
  <si>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</si>
  <si>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</si>
  <si>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</si>
  <si>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</si>
  <si>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</si>
  <si>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</si>
  <si>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</si>
  <si>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</si>
  <si>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</si>
  <si>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</si>
  <si>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</si>
  <si>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</si>
  <si>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</si>
  <si>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</si>
  <si>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</si>
  <si>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</si>
  <si>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</si>
  <si>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</si>
  <si>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</si>
  <si>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</si>
  <si>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</si>
  <si>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</si>
  <si>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</si>
  <si>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</si>
  <si>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</si>
  <si>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</si>
  <si>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</si>
  <si>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</si>
  <si>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</si>
  <si>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</si>
  <si>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</si>
  <si>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</si>
  <si>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</si>
  <si>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</si>
  <si>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</si>
  <si>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</si>
  <si>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</si>
  <si>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</si>
  <si>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</si>
  <si>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</si>
  <si>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</si>
  <si>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</si>
  <si>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</si>
  <si>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</si>
  <si>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</si>
  <si>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</si>
  <si>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</si>
  <si>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</si>
  <si>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</si>
  <si>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</si>
  <si>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</si>
  <si>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</si>
  <si>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</si>
  <si>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</si>
  <si>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</si>
  <si>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</si>
  <si>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</si>
  <si>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</si>
  <si>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</si>
  <si>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</si>
  <si>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</si>
  <si>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</si>
  <si>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</si>
  <si>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</si>
  <si>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</si>
  <si>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</si>
  <si>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</si>
  <si>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</si>
  <si>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</si>
  <si>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</si>
  <si>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</si>
  <si>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</si>
  <si>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</si>
  <si>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</si>
  <si>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</si>
  <si>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</si>
  <si>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</si>
  <si>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</si>
  <si>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</si>
  <si>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</si>
  <si>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</si>
  <si>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</si>
  <si>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</si>
  <si>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</si>
  <si>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</si>
  <si>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</si>
  <si>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</si>
  <si>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</si>
  <si>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</si>
  <si>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</si>
  <si>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</si>
  <si>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</si>
  <si>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</si>
  <si>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</si>
  <si>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</si>
  <si>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</si>
  <si>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</si>
  <si>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</si>
  <si>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</si>
  <si>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</si>
  <si>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</si>
  <si>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</si>
  <si>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</si>
  <si>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</si>
  <si>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</si>
  <si>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</si>
  <si>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</si>
  <si>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</si>
  <si>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</si>
  <si>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</si>
  <si>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</si>
  <si>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</si>
  <si>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</si>
  <si>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</si>
  <si>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</si>
  <si>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</si>
  <si>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</si>
  <si>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</si>
  <si>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</si>
  <si>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</si>
  <si>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</si>
  <si>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</si>
  <si>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</si>
  <si>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</si>
  <si>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</si>
  <si>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</si>
  <si>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</si>
  <si>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</si>
  <si>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</si>
  <si>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</si>
  <si>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</si>
  <si>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</si>
  <si>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</si>
  <si>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</si>
  <si>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</si>
  <si>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</si>
  <si>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</si>
  <si>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</si>
  <si>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</si>
  <si>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</si>
  <si>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</si>
  <si>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</si>
  <si>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</si>
  <si>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</si>
  <si>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</si>
  <si>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</si>
  <si>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</si>
  <si>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</si>
  <si>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</si>
  <si>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</si>
  <si>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</si>
  <si>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</si>
  <si>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</si>
  <si>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</si>
  <si>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</si>
  <si>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</si>
  <si>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</si>
  <si>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</si>
  <si>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</si>
  <si>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</si>
  <si>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</si>
  <si>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</si>
  <si>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</si>
  <si>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</si>
  <si>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</si>
  <si>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</si>
  <si>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</si>
  <si>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</si>
  <si>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</si>
  <si>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</si>
  <si>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</si>
  <si>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</si>
  <si>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</si>
  <si>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</si>
  <si>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</si>
  <si>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</si>
  <si>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</si>
  <si>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</si>
  <si>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</si>
  <si>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</si>
  <si>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</si>
  <si>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</si>
  <si>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</si>
  <si>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</si>
  <si>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</si>
  <si>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</si>
  <si>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</si>
  <si>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</si>
  <si>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</si>
  <si>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</si>
  <si>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</si>
  <si>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</si>
  <si>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</si>
  <si>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</si>
  <si>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</si>
  <si>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</si>
  <si>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</si>
  <si>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</si>
  <si>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</si>
  <si>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</si>
  <si>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</si>
  <si>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</si>
  <si>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</si>
  <si>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</si>
  <si>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</si>
  <si>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</si>
  <si>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</si>
  <si>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</si>
  <si>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</si>
  <si>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</si>
  <si>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</si>
  <si>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</si>
  <si>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</si>
  <si>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</si>
  <si>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</si>
  <si>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</si>
  <si>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</si>
  <si>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</si>
  <si>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</si>
  <si>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</si>
  <si>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</si>
  <si>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</si>
  <si>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</si>
  <si>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</si>
  <si>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</si>
  <si>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</si>
  <si>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</si>
  <si>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</si>
  <si>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</si>
  <si>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</si>
  <si>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</si>
  <si>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</si>
  <si>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</si>
  <si>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</si>
  <si>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</si>
  <si>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</si>
  <si>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</si>
  <si>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</si>
  <si>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</si>
  <si>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</si>
  <si>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</si>
  <si>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</si>
  <si>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</si>
  <si>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</si>
  <si>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</si>
  <si>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</si>
  <si>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</si>
  <si>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</si>
  <si>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</si>
  <si>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</si>
  <si>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</si>
  <si>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</si>
  <si>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</si>
  <si>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</si>
  <si>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</si>
  <si>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</si>
  <si>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</si>
  <si>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</si>
  <si>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</si>
  <si>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</si>
  <si>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</si>
  <si>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</si>
  <si>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</si>
  <si>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</si>
  <si>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</si>
  <si>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</si>
  <si>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</si>
  <si>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</si>
  <si>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</si>
  <si>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</si>
  <si>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</si>
  <si>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</si>
  <si>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</si>
  <si>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</si>
  <si>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</si>
  <si>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</si>
  <si>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</si>
  <si>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</si>
  <si>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</si>
  <si>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</si>
  <si>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</si>
  <si>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</si>
  <si>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</si>
  <si>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</si>
  <si>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</si>
  <si>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</si>
  <si>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</si>
  <si>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</si>
  <si>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</si>
  <si>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</si>
  <si>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</si>
  <si>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</si>
  <si>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</si>
  <si>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</si>
  <si>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</si>
  <si>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</si>
  <si>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</si>
  <si>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</si>
  <si>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</si>
  <si>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</si>
  <si>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</si>
  <si>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</si>
  <si>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</si>
  <si>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</si>
  <si>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</si>
  <si>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</si>
  <si>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</si>
  <si>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</si>
  <si>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</si>
  <si>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</si>
  <si>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</si>
  <si>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</si>
  <si>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</si>
  <si>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</si>
  <si>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</si>
  <si>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</si>
  <si>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</si>
  <si>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</si>
  <si>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</si>
  <si>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</si>
  <si>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</si>
  <si>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</si>
  <si>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</si>
  <si>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</si>
  <si>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</si>
  <si>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</si>
  <si>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</si>
  <si>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</si>
  <si>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</si>
  <si>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</si>
  <si>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</si>
  <si>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</si>
  <si>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</si>
  <si>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</si>
  <si>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</si>
  <si>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</si>
  <si>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</si>
  <si>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</si>
  <si>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</si>
  <si>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</si>
  <si>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</si>
  <si>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</si>
  <si>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</si>
  <si>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</si>
  <si>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</si>
  <si>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</si>
  <si>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</si>
  <si>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</si>
  <si>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</si>
  <si>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</si>
  <si>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</si>
  <si>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</si>
  <si>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</si>
  <si>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</si>
  <si>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</si>
  <si>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</si>
  <si>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</si>
  <si>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</si>
  <si>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</si>
  <si>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</si>
  <si>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</si>
  <si>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</si>
  <si>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</si>
  <si>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</si>
  <si>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</si>
  <si>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</si>
  <si>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</si>
  <si>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</si>
  <si>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</si>
  <si>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</si>
  <si>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</si>
  <si>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</si>
  <si>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</si>
  <si>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</si>
  <si>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</si>
  <si>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</si>
  <si>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</si>
  <si>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</si>
  <si>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</si>
  <si>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</si>
  <si>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</si>
  <si>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</si>
  <si>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</si>
  <si>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</si>
  <si>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</si>
  <si>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</si>
  <si>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</si>
  <si>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</si>
  <si>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</si>
  <si>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</si>
  <si>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</si>
  <si>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</si>
  <si>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</si>
  <si>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</si>
  <si>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</si>
  <si>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</si>
  <si>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</si>
  <si>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</si>
  <si>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</si>
  <si>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</si>
  <si>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</si>
  <si>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</si>
  <si>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</si>
  <si>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</si>
  <si>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</si>
  <si>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</si>
  <si>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</si>
  <si>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</si>
  <si>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</si>
  <si>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</si>
  <si>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</si>
  <si>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</si>
  <si>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</si>
  <si>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</si>
  <si>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</si>
  <si>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</si>
  <si>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</si>
  <si>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</si>
  <si>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</si>
  <si>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</si>
  <si>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</si>
  <si>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</si>
  <si>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</si>
  <si>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</si>
  <si>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</si>
  <si>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</si>
  <si>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</si>
  <si>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</si>
  <si>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</si>
  <si>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</si>
  <si>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</si>
  <si>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</si>
  <si>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</si>
  <si>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</si>
  <si>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</si>
  <si>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</si>
  <si>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</si>
  <si>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</si>
  <si>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</si>
  <si>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</si>
  <si>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</si>
  <si>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</si>
  <si>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</si>
  <si>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</si>
  <si>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</si>
  <si>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</si>
  <si>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</si>
  <si>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</si>
  <si>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</si>
  <si>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</si>
  <si>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</si>
  <si>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</si>
  <si>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</si>
  <si>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</si>
  <si>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</si>
  <si>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</si>
  <si>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</si>
  <si>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</si>
  <si>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</si>
  <si>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</si>
  <si>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</si>
  <si>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</si>
  <si>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</si>
  <si>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</si>
  <si>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</si>
  <si>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</si>
  <si>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</si>
  <si>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</si>
  <si>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</si>
  <si>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</si>
  <si>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</si>
  <si>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</si>
  <si>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</si>
  <si>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</si>
  <si>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</si>
  <si>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</si>
  <si>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</si>
  <si>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</si>
  <si>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</si>
  <si>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</si>
  <si>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</si>
  <si>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</si>
  <si>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</si>
  <si>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</si>
  <si>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</si>
  <si>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</si>
  <si>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</si>
  <si>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</si>
  <si>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</si>
  <si>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</si>
  <si>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</si>
  <si>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</si>
  <si>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</si>
  <si>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</si>
  <si>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</si>
  <si>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</si>
  <si>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</si>
  <si>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</si>
  <si>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</si>
  <si>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</si>
  <si>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</si>
  <si>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</si>
  <si>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</si>
  <si>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</si>
  <si>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</si>
  <si>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</si>
  <si>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</si>
  <si>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</si>
  <si>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</si>
  <si>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</si>
  <si>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</si>
  <si>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</si>
  <si>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</si>
  <si>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</si>
  <si>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</si>
  <si>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</si>
  <si>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</si>
  <si>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</si>
  <si>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</si>
  <si>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</si>
  <si>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</si>
  <si>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</si>
  <si>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</si>
  <si>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</si>
  <si>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</si>
  <si>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</si>
  <si>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</si>
  <si>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</si>
  <si>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</si>
  <si>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</si>
  <si>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</si>
  <si>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</si>
  <si>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</si>
  <si>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</si>
  <si>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</si>
  <si>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</si>
  <si>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</si>
  <si>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</si>
  <si>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</si>
  <si>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</si>
  <si>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</si>
  <si>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</si>
  <si>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</si>
  <si>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</si>
  <si>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</si>
  <si>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</si>
  <si>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</si>
  <si>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</si>
  <si>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</si>
  <si>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</si>
  <si>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</si>
  <si>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</si>
  <si>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</si>
  <si>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</si>
  <si>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</si>
  <si>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</si>
  <si>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</si>
  <si>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</si>
  <si>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</si>
  <si>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</si>
  <si>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</si>
  <si>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</si>
  <si>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</si>
  <si>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</si>
  <si>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</si>
  <si>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</si>
  <si>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</si>
  <si>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</si>
  <si>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</si>
  <si>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</si>
  <si>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</si>
  <si>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</si>
  <si>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</si>
  <si>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</si>
  <si>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</si>
  <si>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</si>
  <si>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</si>
  <si>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</si>
  <si>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</si>
  <si>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</si>
  <si>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</si>
  <si>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</si>
  <si>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</si>
  <si>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</si>
  <si>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</si>
  <si>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</si>
  <si>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</si>
  <si>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</si>
  <si>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</si>
  <si>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</si>
  <si>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</si>
  <si>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</si>
  <si>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</si>
  <si>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</si>
  <si>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</si>
  <si>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</si>
  <si>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</si>
  <si>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</si>
  <si>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</si>
  <si>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</si>
  <si>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</si>
  <si>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</si>
  <si>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</si>
  <si>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</si>
  <si>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</si>
  <si>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</si>
  <si>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</si>
  <si>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</si>
  <si>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</si>
  <si>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</si>
  <si>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</si>
  <si>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</si>
  <si>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</si>
  <si>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</si>
  <si>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</si>
  <si>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</si>
  <si>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</si>
  <si>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</si>
  <si>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</si>
  <si>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</si>
  <si>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</si>
  <si>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</si>
  <si>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</si>
  <si>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</si>
  <si>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</si>
  <si>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</si>
  <si>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</si>
  <si>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</si>
  <si>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</si>
  <si>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</si>
  <si>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</si>
  <si>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</si>
  <si>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</si>
  <si>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</si>
  <si>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</si>
  <si>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</si>
  <si>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</si>
  <si>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</si>
  <si>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</si>
  <si>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</si>
  <si>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</si>
  <si>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</si>
  <si>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</si>
  <si>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</si>
  <si>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</si>
  <si>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</si>
  <si>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</si>
  <si>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</si>
  <si>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</si>
  <si>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</si>
  <si>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</si>
  <si>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</si>
  <si>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</si>
  <si>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</si>
  <si>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</si>
  <si>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</si>
  <si>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</si>
  <si>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</si>
  <si>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</si>
  <si>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</si>
  <si>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</si>
  <si>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</si>
  <si>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</si>
  <si>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</si>
  <si>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</si>
  <si>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</si>
  <si>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</si>
  <si>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</si>
  <si>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</si>
  <si>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</si>
  <si>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</si>
  <si>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</si>
  <si>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</si>
  <si>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</si>
  <si>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</si>
  <si>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</si>
  <si>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</si>
  <si>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</si>
  <si>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</si>
  <si>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</si>
  <si>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</si>
  <si>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</si>
  <si>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</si>
  <si>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</si>
  <si>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</si>
  <si>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</si>
  <si>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</si>
  <si>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</si>
  <si>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</si>
  <si>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</si>
  <si>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</si>
  <si>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</si>
  <si>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</si>
  <si>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</si>
  <si>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</si>
  <si>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</si>
  <si>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</si>
  <si>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</si>
  <si>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</si>
  <si>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</si>
  <si>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</si>
  <si>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</si>
  <si>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</si>
  <si>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</si>
  <si>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</si>
  <si>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</si>
  <si>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</si>
  <si>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</si>
  <si>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</si>
  <si>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</si>
  <si>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</si>
  <si>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</si>
  <si>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</si>
  <si>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</si>
  <si>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</si>
  <si>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</si>
  <si>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</si>
  <si>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</si>
  <si>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</si>
  <si>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</si>
  <si>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</si>
  <si>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</si>
  <si>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</si>
  <si>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</si>
  <si>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</si>
  <si>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</si>
  <si>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</si>
  <si>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</si>
  <si>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</si>
  <si>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</si>
  <si>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</si>
  <si>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</si>
  <si>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</si>
  <si>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</si>
  <si>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</si>
  <si>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</si>
  <si>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</si>
  <si>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</si>
  <si>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</si>
  <si>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</si>
  <si>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</si>
  <si>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</si>
  <si>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</si>
  <si>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</si>
  <si>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</si>
  <si>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</si>
  <si>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</si>
  <si>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</si>
  <si>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</si>
  <si>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</si>
  <si>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</si>
  <si>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</si>
  <si>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</si>
  <si>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</si>
  <si>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</si>
  <si>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</si>
  <si>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</si>
  <si>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</si>
  <si>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</si>
  <si>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</si>
  <si>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</si>
  <si>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</si>
  <si>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</si>
  <si>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</si>
  <si>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</si>
  <si>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</si>
  <si>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</si>
  <si>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</si>
  <si>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</si>
  <si>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</si>
  <si>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</si>
  <si>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</si>
  <si>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</si>
  <si>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</si>
  <si>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</si>
  <si>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</si>
  <si>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</si>
  <si>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</si>
  <si>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</si>
  <si>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</si>
  <si>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</si>
  <si>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</si>
  <si>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</si>
  <si>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</si>
  <si>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</si>
  <si>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</si>
  <si>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</si>
  <si>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</si>
  <si>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</si>
  <si>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</si>
  <si>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</si>
  <si>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</si>
  <si>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</si>
  <si>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</si>
  <si>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</si>
  <si>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</si>
  <si>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</si>
  <si>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</si>
  <si>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</si>
  <si>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</si>
  <si>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</si>
  <si>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</si>
  <si>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</si>
  <si>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</si>
  <si>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</si>
  <si>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</si>
  <si>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</si>
  <si>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</si>
  <si>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</si>
  <si>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</si>
  <si>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</si>
  <si>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</si>
  <si>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</si>
  <si>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</si>
  <si>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</si>
  <si>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</si>
  <si>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</si>
  <si>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</si>
  <si>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</si>
  <si>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</si>
  <si>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</si>
  <si>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</si>
  <si>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</si>
  <si>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</si>
  <si>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</si>
  <si>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</si>
  <si>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</si>
  <si>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</si>
  <si>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</si>
  <si>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</si>
  <si>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</si>
  <si>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</si>
  <si>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</si>
  <si>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</si>
  <si>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</si>
  <si>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</si>
  <si>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</si>
  <si>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</si>
  <si>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</si>
  <si>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</si>
  <si>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</si>
  <si>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</si>
  <si>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</si>
  <si>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</si>
  <si>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</si>
  <si>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</si>
  <si>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</si>
  <si>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</si>
  <si>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</si>
  <si>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</si>
  <si>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</si>
  <si>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</si>
  <si>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</si>
  <si>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</si>
  <si>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</si>
  <si>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</si>
  <si>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</si>
  <si>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</si>
  <si>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</si>
  <si>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</si>
  <si>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</si>
  <si>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</si>
  <si>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</si>
  <si>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</si>
  <si>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</si>
  <si>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</si>
  <si>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</si>
  <si>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</si>
  <si>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</si>
  <si>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</si>
  <si>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</si>
  <si>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</si>
  <si>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</si>
  <si>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</si>
  <si>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</si>
  <si>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</si>
  <si>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</si>
  <si>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</si>
  <si>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</si>
  <si>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</si>
  <si>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</si>
  <si>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</si>
  <si>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</si>
  <si>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</si>
  <si>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</si>
  <si>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</si>
  <si>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</si>
  <si>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</si>
  <si>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</si>
  <si>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</si>
  <si>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</si>
  <si>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</si>
  <si>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</si>
  <si>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</si>
  <si>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</si>
  <si>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</si>
  <si>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</si>
  <si>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</si>
  <si>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</si>
  <si>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</si>
  <si>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</si>
  <si>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</si>
  <si>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</si>
  <si>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</si>
  <si>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</si>
  <si>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</si>
  <si>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</si>
  <si>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</si>
  <si>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</si>
  <si>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</si>
  <si>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</si>
  <si>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</si>
  <si>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</si>
  <si>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</si>
  <si>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</si>
  <si>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</si>
  <si>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</si>
  <si>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</si>
  <si>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</si>
  <si>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</si>
  <si>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</si>
  <si>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</si>
  <si>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</si>
  <si>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</si>
  <si>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</si>
  <si>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</si>
  <si>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</si>
  <si>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</si>
  <si>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</si>
  <si>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</si>
  <si>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</si>
  <si>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</si>
  <si>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</si>
  <si>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</si>
  <si>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</si>
  <si>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</si>
  <si>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</si>
  <si>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</si>
  <si>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</si>
  <si>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</si>
  <si>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</si>
  <si>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</si>
  <si>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</si>
  <si>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</si>
  <si>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</si>
  <si>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</si>
  <si>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</si>
  <si>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</si>
  <si>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</si>
  <si>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</si>
  <si>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</si>
  <si>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</si>
  <si>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</si>
  <si>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</si>
  <si>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</si>
  <si>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</si>
  <si>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</si>
  <si>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</si>
  <si>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</si>
  <si>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</si>
  <si>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</si>
  <si>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</si>
  <si>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</si>
  <si>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</si>
  <si>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</si>
  <si>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</si>
  <si>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</si>
  <si>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</si>
  <si>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</si>
  <si>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</si>
  <si>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</si>
  <si>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</si>
  <si>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</si>
  <si>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</si>
  <si>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</si>
  <si>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</si>
  <si>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</si>
  <si>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</si>
  <si>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</si>
  <si>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</si>
  <si>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</si>
  <si>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</si>
  <si>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</si>
  <si>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</si>
  <si>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</si>
  <si>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</si>
  <si>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</si>
  <si>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</si>
  <si>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</si>
  <si>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</si>
  <si>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</si>
  <si>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</si>
  <si>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</si>
  <si>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</si>
  <si>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</si>
  <si>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</si>
  <si>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</si>
  <si>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</si>
  <si>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</si>
  <si>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</si>
  <si>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</si>
  <si>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</si>
  <si>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</si>
  <si>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</si>
  <si>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</si>
  <si>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</si>
  <si>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</si>
  <si>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</si>
  <si>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</si>
  <si>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</si>
  <si>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</si>
  <si>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</si>
  <si>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</si>
  <si>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</si>
  <si>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</si>
  <si>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</si>
  <si>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</si>
  <si>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</si>
  <si>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</si>
  <si>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</si>
  <si>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</si>
  <si>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</si>
  <si>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</si>
  <si>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</si>
  <si>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</si>
  <si>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</si>
  <si>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</si>
  <si>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</si>
  <si>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</si>
  <si>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</si>
  <si>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</si>
  <si>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</si>
  <si>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</si>
  <si>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</si>
  <si>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</si>
  <si>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</si>
  <si>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</si>
  <si>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</si>
  <si>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</si>
  <si>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</si>
  <si>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</si>
  <si>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</si>
  <si>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</si>
  <si>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</si>
  <si>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</si>
  <si>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</si>
  <si>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</si>
  <si>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</si>
  <si>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</si>
  <si>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</si>
  <si>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</si>
  <si>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</si>
  <si>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</si>
  <si>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</si>
  <si>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</si>
  <si>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</si>
  <si>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</si>
  <si>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</si>
  <si>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</si>
  <si>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</si>
  <si>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</si>
  <si>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</si>
  <si>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</si>
  <si>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</si>
  <si>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</si>
  <si>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</si>
  <si>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</si>
  <si>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</si>
  <si>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</si>
  <si>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</si>
  <si>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</si>
  <si>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</si>
  <si>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</si>
  <si>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</si>
  <si>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</si>
  <si>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</si>
  <si>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</si>
  <si>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</si>
  <si>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</si>
  <si>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</si>
  <si>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</si>
  <si>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</si>
  <si>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</si>
  <si>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</si>
  <si>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</si>
  <si>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</si>
  <si>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</si>
  <si>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</si>
  <si>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</si>
  <si>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</si>
  <si>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</si>
  <si>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</si>
  <si>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</si>
  <si>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</si>
  <si>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</si>
  <si>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</si>
  <si>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</si>
  <si>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</si>
  <si>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</si>
  <si>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</si>
  <si>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</si>
  <si>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</si>
  <si>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</si>
  <si>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</si>
  <si>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</si>
  <si>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</si>
  <si>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</si>
  <si>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</si>
  <si>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</si>
  <si>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</si>
  <si>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</si>
  <si>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</si>
  <si>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</si>
  <si>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</si>
  <si>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</si>
  <si>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</si>
  <si>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</si>
  <si>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</si>
  <si>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</si>
  <si>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</si>
  <si>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</si>
  <si>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</si>
  <si>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</si>
  <si>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</si>
  <si>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</si>
  <si>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</si>
  <si>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</si>
  <si>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</si>
  <si>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</si>
  <si>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</si>
  <si>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</si>
  <si>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</si>
  <si>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</si>
  <si>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</si>
  <si>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</si>
  <si>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</si>
  <si>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</si>
  <si>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</si>
  <si>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</si>
  <si>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</si>
  <si>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</si>
  <si>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</si>
  <si>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</si>
  <si>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</si>
  <si>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</si>
  <si>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</si>
  <si>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</si>
  <si>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</si>
  <si>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</si>
  <si>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</si>
  <si>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</si>
  <si>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</si>
  <si>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</si>
  <si>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</si>
  <si>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</si>
  <si>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</si>
  <si>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</si>
  <si>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</si>
  <si>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</si>
  <si>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</si>
  <si>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</si>
  <si>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</si>
  <si>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</si>
  <si>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</si>
  <si>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</si>
  <si>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</si>
  <si>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PRECIO REAL UNIDAD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</si>
  <si>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</si>
  <si>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</si>
  <si>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</si>
  <si>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</si>
  <si>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</si>
  <si>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</si>
  <si>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</si>
  <si>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</si>
  <si>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</si>
  <si>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</si>
  <si>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</si>
  <si>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</si>
  <si>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</si>
  <si>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</si>
  <si>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</si>
  <si>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</si>
  <si>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</si>
  <si>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</si>
  <si>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</si>
  <si>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</si>
  <si>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</si>
  <si>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</si>
  <si>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</si>
  <si>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</si>
  <si>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</si>
  <si>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</si>
  <si>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</si>
  <si>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</si>
  <si>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</si>
  <si>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</si>
  <si>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</si>
  <si>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</si>
  <si>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</si>
  <si>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</si>
  <si>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</si>
  <si>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</si>
  <si>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</si>
  <si>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</si>
  <si>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</si>
  <si>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</si>
  <si>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</si>
  <si>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</si>
  <si>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</si>
  <si>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</si>
  <si>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</si>
  <si>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</si>
  <si>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</si>
  <si>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</si>
  <si>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</si>
  <si>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</si>
  <si>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</si>
  <si>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</si>
  <si>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</si>
  <si>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</si>
  <si>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</si>
  <si>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</si>
  <si>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</si>
  <si>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</si>
  <si>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</si>
  <si>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</si>
  <si>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</si>
  <si>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</si>
  <si>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</si>
  <si>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</si>
  <si>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</si>
  <si>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</si>
  <si>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</si>
  <si>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</si>
  <si>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</si>
  <si>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</si>
  <si>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</si>
  <si>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</si>
  <si>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</si>
  <si>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</si>
  <si>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</si>
  <si>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</si>
  <si>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</si>
  <si>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</si>
  <si>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</si>
  <si>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</si>
  <si>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</si>
  <si>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</si>
  <si>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</si>
  <si>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</si>
  <si>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</si>
  <si>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Atentamente
Alvaro Vega
Jefe Nacional de activaciones &amp; Btl
alvarovega@gruporegional.com
www.gruporegional.com</t>
  </si>
  <si>
    <t>Uniformes 2</t>
  </si>
  <si>
    <t>Uniformes 3</t>
  </si>
  <si>
    <t>Uniformes 4</t>
  </si>
  <si>
    <t>Uniformes 5</t>
  </si>
  <si>
    <t>Uniformes 6</t>
  </si>
  <si>
    <t>Uniformes 7</t>
  </si>
  <si>
    <t>Uniformes 8</t>
  </si>
  <si>
    <t>Uniformes 9</t>
  </si>
  <si>
    <t>Uniformes 10</t>
  </si>
  <si>
    <t>Uniformes 11</t>
  </si>
  <si>
    <t>Uniformes 12</t>
  </si>
  <si>
    <t>Uniformes 13</t>
  </si>
  <si>
    <t>Uniformes 14</t>
  </si>
  <si>
    <t>SERVICIOS 1</t>
  </si>
  <si>
    <t>SERVICIOS 2</t>
  </si>
  <si>
    <t>SERVICIOS 3</t>
  </si>
  <si>
    <t>SERVICIOS 4</t>
  </si>
  <si>
    <t>SERVICIOS 5</t>
  </si>
  <si>
    <t>SERVICIOS 6</t>
  </si>
  <si>
    <t>SERVICIOS 7</t>
  </si>
  <si>
    <t>SERVICIOS 8</t>
  </si>
  <si>
    <t>SERVICIOS 9</t>
  </si>
  <si>
    <t>SERVICIOS 10</t>
  </si>
  <si>
    <t>SERVICIOS 11</t>
  </si>
  <si>
    <t>SERVICIOS 12</t>
  </si>
  <si>
    <t>SERVICIOS 13</t>
  </si>
  <si>
    <t>SERVICIOS 14</t>
  </si>
  <si>
    <t>SERVICIOS 15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</si>
  <si>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</si>
  <si>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</si>
  <si>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</si>
  <si>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</si>
  <si>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</si>
  <si>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</si>
  <si>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</si>
  <si>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</si>
  <si>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</si>
  <si>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</si>
  <si>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</si>
  <si>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VIAJE A SCZ</t>
  </si>
  <si>
    <t>VIAJE A LA PAZ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</si>
  <si>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</si>
  <si>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</si>
  <si>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</si>
  <si>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</si>
  <si>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</si>
  <si>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</si>
  <si>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</si>
  <si>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</si>
  <si>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</si>
  <si>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</si>
  <si>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</si>
  <si>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</si>
  <si>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</si>
  <si>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</si>
  <si>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CREDENCIALES PARA RPOMOTORES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</si>
  <si>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</si>
  <si>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</si>
  <si>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</si>
  <si>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</si>
  <si>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</si>
  <si>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</si>
  <si>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</si>
  <si>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</si>
  <si>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</si>
  <si>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</si>
  <si>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</si>
  <si>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</si>
  <si>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</si>
  <si>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</si>
  <si>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</si>
  <si>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</si>
  <si>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</si>
  <si>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RECLUTAMIENTO DE PERSONAL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</si>
  <si>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</si>
  <si>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</si>
  <si>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</si>
  <si>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</si>
  <si>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</si>
  <si>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</si>
  <si>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</si>
  <si>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</si>
  <si>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</si>
  <si>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</si>
  <si>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</si>
  <si>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</si>
  <si>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</si>
  <si>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</si>
  <si>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</si>
  <si>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</si>
  <si>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</si>
  <si>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</si>
  <si>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</si>
  <si>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</si>
  <si>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</si>
  <si>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</si>
  <si>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</si>
  <si>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</si>
  <si>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</si>
  <si>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</si>
  <si>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</si>
  <si>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</si>
  <si>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</si>
  <si>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</si>
  <si>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</si>
  <si>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</si>
  <si>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</si>
  <si>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</si>
  <si>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</si>
  <si>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</si>
  <si>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SERVICIOS DE TRANSPORTE</t>
  </si>
  <si>
    <t>ALMACEN DE GR SRL</t>
  </si>
  <si>
    <t xml:space="preserve">DETALLE DEL SERVICIO </t>
  </si>
  <si>
    <t>ARMADO DE IMAGEN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</si>
  <si>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</si>
  <si>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</si>
  <si>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</si>
  <si>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</si>
  <si>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</si>
  <si>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</si>
  <si>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</si>
  <si>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</si>
  <si>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COSTO PROGRAMADO DEL PROYECTO</t>
  </si>
  <si>
    <t>COSTO ESTIMADO DEL PROYECTO</t>
  </si>
  <si>
    <t>DIFERENCIA</t>
  </si>
  <si>
    <t>CIUDAD:</t>
  </si>
  <si>
    <t>TOTAL ACT. MAS CARGAS IMPOSITIVA C/U</t>
  </si>
  <si>
    <t>TOTAL ACT. MAS CARGAS IMPOSITIVA GOBLAL</t>
  </si>
  <si>
    <t>chisitos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</si>
  <si>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</si>
  <si>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</si>
  <si>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</si>
  <si>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</si>
  <si>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</si>
  <si>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</si>
  <si>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ARMADO DE IMAGEN B</t>
  </si>
  <si>
    <t>SERVICIOS DE TRANSPORTEB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</si>
  <si>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</si>
  <si>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</si>
  <si>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</si>
  <si>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</si>
  <si>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</si>
  <si>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</si>
  <si>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SANTA CRUZ</t>
  </si>
  <si>
    <t>Maira Crespo Aidisa</t>
  </si>
  <si>
    <t>• Personal con experiencia</t>
  </si>
  <si>
    <t>• Ejecutivo de cuentas</t>
  </si>
  <si>
    <t>REF: Personal para impulso</t>
  </si>
  <si>
    <t>De nuestra mayor consideración:</t>
  </si>
  <si>
    <t>Le hacemos llegar la cotización y facturación detallada por la servicio de personal para impulso en la ciudad de Cbba</t>
  </si>
  <si>
    <t>Impulsadora para Supermercado</t>
  </si>
  <si>
    <t>IMPULSADORA SUPERMERCADO HIPERMAXI JUAN DE LA ROSA</t>
  </si>
  <si>
    <t xml:space="preserve">• Horario de trabajo de 2 a 4 horas diarias </t>
  </si>
  <si>
    <t>El costo total por el servicio es de 672,96 bs ( seiscientos setenta y dos bolivianos 96/100)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</si>
</sst>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663300"/>
      </left>
      <right style="thin">
        <color rgb="FF663300"/>
      </right>
      <top style="thin">
        <color rgb="FF663300"/>
      </top>
      <bottom style="thin">
        <color rgb="FF6633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515">
    <xf numFmtId="0" fontId="0" fillId="0" borderId="0" xfId="0"/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2" fillId="0" borderId="0" xfId="0" applyNumberFormat="1" applyFont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4" fontId="2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20" fillId="2" borderId="6" xfId="6" applyNumberFormat="1" applyFont="1" applyFill="1" applyBorder="1" applyAlignment="1" applyProtection="1">
      <alignment horizontal="center" vertical="top"/>
    </xf>
    <xf numFmtId="170" fontId="5" fillId="2" borderId="5" xfId="4" applyFont="1" applyFill="1" applyBorder="1" applyAlignment="1" applyProtection="1">
      <alignment horizontal="center" vertical="top"/>
    </xf>
    <xf numFmtId="0" fontId="5" fillId="2" borderId="10" xfId="6" applyFont="1" applyFill="1" applyBorder="1" applyAlignment="1" applyProtection="1">
      <alignment horizontal="center" vertical="top"/>
    </xf>
    <xf numFmtId="170" fontId="5" fillId="2" borderId="1" xfId="4" applyFont="1" applyFill="1" applyBorder="1" applyAlignment="1" applyProtection="1">
      <alignment horizontal="center" vertical="top"/>
    </xf>
    <xf numFmtId="0" fontId="5" fillId="2" borderId="20" xfId="6" applyFont="1" applyFill="1" applyBorder="1" applyAlignment="1" applyProtection="1">
      <alignment horizontal="center" vertical="top"/>
    </xf>
    <xf numFmtId="0" fontId="5" fillId="2" borderId="9" xfId="6" applyFont="1" applyFill="1" applyBorder="1" applyAlignment="1" applyProtection="1">
      <alignment horizontal="center" vertical="top"/>
    </xf>
    <xf numFmtId="0" fontId="5" fillId="2" borderId="6" xfId="6" applyFont="1" applyFill="1" applyBorder="1" applyAlignment="1" applyProtection="1">
      <alignment horizontal="center" vertical="top"/>
    </xf>
    <xf numFmtId="0" fontId="5" fillId="2" borderId="21" xfId="6" applyFont="1" applyFill="1" applyBorder="1" applyAlignment="1" applyProtection="1">
      <alignment horizontal="center" vertical="top"/>
    </xf>
    <xf numFmtId="0" fontId="5" fillId="2" borderId="22" xfId="6" applyFont="1" applyFill="1" applyBorder="1" applyAlignment="1" applyProtection="1">
      <alignment horizontal="center" vertical="top"/>
    </xf>
    <xf numFmtId="0" fontId="20" fillId="2" borderId="20" xfId="6" applyNumberFormat="1" applyFont="1" applyFill="1" applyBorder="1" applyAlignment="1" applyProtection="1">
      <alignment horizontal="center" vertical="top"/>
    </xf>
    <xf numFmtId="0" fontId="20" fillId="2" borderId="21" xfId="6" applyNumberFormat="1" applyFont="1" applyFill="1" applyBorder="1" applyAlignment="1" applyProtection="1">
      <alignment horizontal="center" vertical="top"/>
    </xf>
    <xf numFmtId="0" fontId="20" fillId="2" borderId="22" xfId="6" applyNumberFormat="1" applyFont="1" applyFill="1" applyBorder="1" applyAlignment="1" applyProtection="1">
      <alignment horizontal="center" vertical="top"/>
    </xf>
    <xf numFmtId="0" fontId="5" fillId="2" borderId="23" xfId="6" applyFont="1" applyFill="1" applyBorder="1" applyAlignment="1" applyProtection="1">
      <alignment horizontal="center" vertical="top"/>
    </xf>
    <xf numFmtId="170" fontId="20" fillId="2" borderId="6" xfId="4" applyFont="1" applyFill="1" applyBorder="1" applyAlignment="1" applyProtection="1">
      <alignment horizontal="center" vertical="top"/>
    </xf>
    <xf numFmtId="0" fontId="20" fillId="11" borderId="3" xfId="6" applyNumberFormat="1" applyFont="1" applyFill="1" applyBorder="1" applyAlignment="1" applyProtection="1">
      <alignment horizontal="center" vertical="center" wrapText="1"/>
    </xf>
    <xf numFmtId="0" fontId="20" fillId="11" borderId="6" xfId="6" applyNumberFormat="1" applyFont="1" applyFill="1" applyBorder="1" applyAlignment="1" applyProtection="1">
      <alignment horizontal="center" vertical="center"/>
    </xf>
    <xf numFmtId="0" fontId="20" fillId="11" borderId="6" xfId="6" applyNumberFormat="1" applyFont="1" applyFill="1" applyBorder="1" applyAlignment="1" applyProtection="1">
      <alignment horizontal="center" vertical="center" wrapText="1"/>
    </xf>
    <xf numFmtId="0" fontId="5" fillId="12" borderId="19" xfId="6" applyNumberFormat="1" applyFont="1" applyFill="1" applyBorder="1" applyAlignment="1" applyProtection="1">
      <alignment horizontal="center" vertical="top"/>
    </xf>
    <xf numFmtId="0" fontId="5" fillId="12" borderId="14" xfId="6" applyNumberFormat="1" applyFont="1" applyFill="1" applyBorder="1" applyAlignment="1" applyProtection="1">
      <alignment horizontal="center" vertical="top"/>
    </xf>
    <xf numFmtId="170" fontId="5" fillId="12" borderId="14" xfId="4" applyNumberFormat="1" applyFont="1" applyFill="1" applyBorder="1" applyAlignment="1" applyProtection="1">
      <alignment horizontal="center" vertical="top"/>
    </xf>
    <xf numFmtId="0" fontId="5" fillId="12" borderId="18" xfId="6" applyNumberFormat="1" applyFont="1" applyFill="1" applyBorder="1" applyAlignment="1" applyProtection="1">
      <alignment horizontal="center" vertical="top"/>
    </xf>
    <xf numFmtId="0" fontId="5" fillId="12" borderId="13" xfId="6" applyNumberFormat="1" applyFont="1" applyFill="1" applyBorder="1" applyAlignment="1" applyProtection="1">
      <alignment horizontal="center" vertical="top"/>
    </xf>
    <xf numFmtId="0" fontId="22" fillId="12" borderId="19" xfId="5" applyFont="1" applyFill="1" applyBorder="1" applyAlignment="1">
      <alignment horizontal="center"/>
    </xf>
    <xf numFmtId="0" fontId="22" fillId="12" borderId="14" xfId="5" applyFont="1" applyFill="1" applyBorder="1" applyAlignment="1">
      <alignment horizontal="center"/>
    </xf>
    <xf numFmtId="0" fontId="22" fillId="12" borderId="14" xfId="5" applyFont="1" applyFill="1" applyBorder="1"/>
    <xf numFmtId="0" fontId="22" fillId="12" borderId="12" xfId="5" applyFont="1" applyFill="1" applyBorder="1"/>
    <xf numFmtId="0" fontId="5" fillId="12" borderId="17" xfId="6" applyNumberFormat="1" applyFont="1" applyFill="1" applyBorder="1" applyAlignment="1" applyProtection="1">
      <alignment horizontal="center" vertical="top"/>
    </xf>
    <xf numFmtId="170" fontId="5" fillId="12" borderId="15" xfId="4" applyNumberFormat="1" applyFont="1" applyFill="1" applyBorder="1" applyAlignment="1" applyProtection="1">
      <alignment horizontal="center" vertical="top"/>
    </xf>
    <xf numFmtId="0" fontId="5" fillId="12" borderId="24" xfId="6" applyNumberFormat="1" applyFont="1" applyFill="1" applyBorder="1" applyAlignment="1" applyProtection="1">
      <alignment horizontal="center" vertical="top"/>
    </xf>
    <xf numFmtId="0" fontId="5" fillId="12" borderId="25" xfId="6" applyNumberFormat="1" applyFont="1" applyFill="1" applyBorder="1" applyAlignment="1" applyProtection="1">
      <alignment horizontal="center" vertical="top"/>
    </xf>
    <xf numFmtId="0" fontId="0" fillId="0" borderId="0" xfId="0"/>
    <xf numFmtId="170" fontId="5" fillId="2" borderId="6" xfId="4" applyFont="1" applyFill="1" applyBorder="1" applyAlignment="1" applyProtection="1">
      <alignment horizontal="center" vertical="top"/>
    </xf>
    <xf numFmtId="43" fontId="23" fillId="11" borderId="2" xfId="0" applyNumberFormat="1" applyFont="1" applyFill="1" applyBorder="1" applyAlignment="1">
      <alignment horizontal="center" vertical="center"/>
    </xf>
    <xf numFmtId="170" fontId="5" fillId="12" borderId="2" xfId="4" applyNumberFormat="1" applyFont="1" applyFill="1" applyBorder="1" applyAlignment="1" applyProtection="1">
      <alignment horizontal="center" vertical="top"/>
    </xf>
    <xf numFmtId="0" fontId="0" fillId="0" borderId="14" xfId="0" applyBorder="1"/>
    <xf numFmtId="0" fontId="0" fillId="0" borderId="15" xfId="0" applyBorder="1"/>
    <xf numFmtId="43" fontId="23" fillId="11" borderId="14" xfId="0" applyNumberFormat="1" applyFont="1" applyFill="1" applyBorder="1" applyAlignment="1">
      <alignment horizontal="center" vertical="center"/>
    </xf>
    <xf numFmtId="4" fontId="9" fillId="0" borderId="0" xfId="0" applyNumberFormat="1" applyFont="1"/>
    <xf numFmtId="171" fontId="8" fillId="0" borderId="0" xfId="0" applyNumberFormat="1" applyFont="1"/>
    <xf numFmtId="168" fontId="6" fillId="0" borderId="0" xfId="0" applyNumberFormat="1" applyFont="1" applyFill="1" applyBorder="1" applyAlignment="1">
      <alignment horizontal="center" vertical="center" wrapText="1"/>
    </xf>
    <xf numFmtId="41" fontId="6" fillId="0" borderId="0" xfId="0" applyNumberFormat="1" applyFont="1" applyFill="1" applyBorder="1" applyAlignment="1">
      <alignment horizontal="center" vertical="center" wrapText="1"/>
    </xf>
    <xf numFmtId="168" fontId="6" fillId="5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/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4" fontId="28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/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3" fontId="6" fillId="5" borderId="12" xfId="0" applyNumberFormat="1" applyFont="1" applyFill="1" applyBorder="1" applyAlignment="1">
      <alignment horizontal="center" vertical="center" wrapText="1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4" fontId="6" fillId="5" borderId="12" xfId="0" applyNumberFormat="1" applyFont="1" applyFill="1" applyBorder="1" applyAlignment="1">
      <alignment horizontal="center" vertical="center"/>
    </xf>
    <xf numFmtId="4" fontId="6" fillId="5" borderId="17" xfId="0" applyNumberFormat="1" applyFont="1" applyFill="1" applyBorder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3" fontId="6" fillId="5" borderId="0" xfId="0" applyNumberFormat="1" applyFont="1" applyFill="1" applyBorder="1" applyAlignment="1">
      <alignment horizontal="center" vertical="center" wrapText="1"/>
    </xf>
    <xf numFmtId="4" fontId="28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Border="1" applyAlignment="1">
      <alignment vertical="center"/>
    </xf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4" fontId="28" fillId="0" borderId="0" xfId="0" applyNumberFormat="1" applyFont="1"/>
    <xf numFmtId="4" fontId="28" fillId="5" borderId="0" xfId="0" applyNumberFormat="1" applyFont="1" applyFill="1"/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0" borderId="0" xfId="1" applyFont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0" fontId="6" fillId="0" borderId="2" xfId="0" applyFont="1" applyBorder="1" applyAlignment="1">
      <alignment horizontal="left"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3" fillId="2" borderId="38" xfId="0" applyFont="1" applyFill="1" applyBorder="1" applyAlignment="1">
      <alignment horizontal="left" vertical="center" wrapText="1"/>
    </xf>
    <xf numFmtId="1" fontId="13" fillId="2" borderId="38" xfId="0" applyNumberFormat="1" applyFont="1" applyFill="1" applyBorder="1" applyAlignment="1">
      <alignment horizontal="center" vertical="center"/>
    </xf>
    <xf numFmtId="4" fontId="13" fillId="2" borderId="38" xfId="4" applyNumberFormat="1" applyFont="1" applyFill="1" applyBorder="1" applyAlignment="1">
      <alignment horizontal="center" vertical="center"/>
    </xf>
    <xf numFmtId="1" fontId="26" fillId="2" borderId="38" xfId="4" applyNumberFormat="1" applyFont="1" applyFill="1" applyBorder="1" applyAlignment="1" applyProtection="1">
      <alignment horizontal="center" vertical="top"/>
    </xf>
    <xf numFmtId="0" fontId="26" fillId="2" borderId="38" xfId="4" applyNumberFormat="1" applyFont="1" applyFill="1" applyBorder="1" applyAlignment="1" applyProtection="1">
      <alignment horizontal="center" vertical="top"/>
    </xf>
    <xf numFmtId="4" fontId="26" fillId="2" borderId="38" xfId="4" applyNumberFormat="1" applyFont="1" applyFill="1" applyBorder="1" applyAlignment="1" applyProtection="1">
      <alignment horizontal="center" vertical="top"/>
    </xf>
    <xf numFmtId="0" fontId="8" fillId="2" borderId="38" xfId="0" applyFont="1" applyFill="1" applyBorder="1" applyAlignment="1">
      <alignment horizontal="left" wrapText="1"/>
    </xf>
    <xf numFmtId="4" fontId="8" fillId="2" borderId="38" xfId="4" applyNumberFormat="1" applyFont="1" applyFill="1" applyBorder="1" applyAlignment="1">
      <alignment horizontal="center"/>
    </xf>
    <xf numFmtId="1" fontId="8" fillId="2" borderId="38" xfId="0" applyNumberFormat="1" applyFont="1" applyFill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9" fontId="6" fillId="2" borderId="0" xfId="1" applyFont="1" applyFill="1" applyBorder="1" applyAlignment="1">
      <alignment horizontal="center" vertical="center" wrapText="1"/>
    </xf>
    <xf numFmtId="4" fontId="28" fillId="2" borderId="0" xfId="0" applyNumberFormat="1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/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vertical="center"/>
    </xf>
    <xf numFmtId="0" fontId="6" fillId="16" borderId="47" xfId="0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25" fillId="16" borderId="38" xfId="0" applyFont="1" applyFill="1" applyBorder="1" applyAlignment="1">
      <alignment horizontal="center"/>
    </xf>
    <xf numFmtId="4" fontId="25" fillId="16" borderId="38" xfId="0" applyNumberFormat="1" applyFont="1" applyFill="1" applyBorder="1" applyAlignment="1">
      <alignment horizontal="center"/>
    </xf>
    <xf numFmtId="4" fontId="25" fillId="16" borderId="38" xfId="4" applyNumberFormat="1" applyFont="1" applyFill="1" applyBorder="1" applyAlignment="1" applyProtection="1">
      <alignment horizontal="center" vertical="top"/>
    </xf>
    <xf numFmtId="0" fontId="21" fillId="16" borderId="38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1" xfId="0" applyNumberFormat="1" applyFont="1" applyFill="1" applyBorder="1" applyAlignment="1">
      <alignment horizontal="center" vertical="center"/>
    </xf>
    <xf numFmtId="4" fontId="6" fillId="16" borderId="51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1" xfId="0" applyFont="1" applyFill="1" applyBorder="1" applyAlignment="1">
      <alignment horizontal="center" vertical="center"/>
    </xf>
    <xf numFmtId="0" fontId="38" fillId="16" borderId="51" xfId="0" applyFont="1" applyFill="1" applyBorder="1" applyAlignment="1">
      <alignment horizontal="center" vertical="center"/>
    </xf>
    <xf numFmtId="9" fontId="38" fillId="11" borderId="51" xfId="1" applyFont="1" applyFill="1" applyBorder="1" applyAlignment="1">
      <alignment horizontal="center" vertical="center"/>
    </xf>
    <xf numFmtId="9" fontId="38" fillId="18" borderId="51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1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4" fontId="8" fillId="2" borderId="38" xfId="0" applyNumberFormat="1" applyFont="1" applyFill="1" applyBorder="1" applyAlignment="1">
      <alignment horizontal="center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6" fillId="16" borderId="51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0" fontId="41" fillId="2" borderId="0" xfId="0" applyFont="1" applyFill="1" applyAlignment="1">
      <alignment horizontal="left" vertical="center" inden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4" fontId="0" fillId="0" borderId="0" xfId="0" applyNumberFormat="1" applyFont="1"/>
    <xf numFmtId="4" fontId="0" fillId="5" borderId="0" xfId="0" applyNumberFormat="1" applyFont="1" applyFill="1"/>
    <xf numFmtId="4" fontId="0" fillId="2" borderId="0" xfId="0" applyNumberFormat="1" applyFont="1" applyFill="1"/>
    <xf numFmtId="0" fontId="0" fillId="2" borderId="0" xfId="0" applyFont="1" applyFill="1"/>
    <xf numFmtId="0" fontId="0" fillId="0" borderId="6" xfId="0" applyFont="1" applyBorder="1"/>
    <xf numFmtId="0" fontId="47" fillId="0" borderId="0" xfId="0" applyFont="1" applyAlignment="1">
      <alignment vertical="center"/>
    </xf>
    <xf numFmtId="0" fontId="47" fillId="2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4" fontId="6" fillId="5" borderId="0" xfId="0" applyNumberFormat="1" applyFont="1" applyFill="1" applyBorder="1" applyAlignment="1">
      <alignment vertical="center"/>
    </xf>
    <xf numFmtId="0" fontId="49" fillId="2" borderId="0" xfId="0" applyFont="1" applyFill="1" applyAlignment="1">
      <alignment horizontal="center" vertical="center"/>
    </xf>
    <xf numFmtId="0" fontId="49" fillId="13" borderId="0" xfId="0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4" fontId="49" fillId="0" borderId="0" xfId="0" applyNumberFormat="1" applyFont="1" applyFill="1" applyAlignment="1">
      <alignment horizontal="center" vertical="center"/>
    </xf>
    <xf numFmtId="4" fontId="49" fillId="5" borderId="0" xfId="0" applyNumberFormat="1" applyFont="1" applyFill="1" applyAlignment="1">
      <alignment horizontal="center" vertical="center"/>
    </xf>
    <xf numFmtId="4" fontId="49" fillId="2" borderId="0" xfId="0" applyNumberFormat="1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4" fontId="6" fillId="0" borderId="0" xfId="0" applyNumberFormat="1" applyFont="1" applyFill="1" applyBorder="1" applyAlignment="1">
      <alignment vertical="center" wrapText="1"/>
    </xf>
    <xf numFmtId="4" fontId="6" fillId="5" borderId="0" xfId="0" applyNumberFormat="1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4" fontId="28" fillId="0" borderId="0" xfId="0" applyNumberFormat="1" applyFont="1" applyFill="1" applyBorder="1"/>
    <xf numFmtId="4" fontId="28" fillId="5" borderId="0" xfId="0" applyNumberFormat="1" applyFont="1" applyFill="1" applyBorder="1"/>
    <xf numFmtId="14" fontId="50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4" fontId="28" fillId="0" borderId="0" xfId="0" applyNumberFormat="1" applyFont="1" applyBorder="1" applyAlignment="1">
      <alignment horizontal="center" vertical="center"/>
    </xf>
    <xf numFmtId="4" fontId="28" fillId="5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8" xfId="0" applyNumberFormat="1" applyFont="1" applyFill="1" applyBorder="1" applyAlignment="1">
      <alignment horizontal="center" vertical="center" wrapText="1"/>
    </xf>
    <xf numFmtId="41" fontId="6" fillId="2" borderId="48" xfId="0" applyNumberFormat="1" applyFont="1" applyFill="1" applyBorder="1" applyAlignment="1">
      <alignment horizontal="center" vertical="center" wrapText="1"/>
    </xf>
    <xf numFmtId="168" fontId="6" fillId="2" borderId="48" xfId="0" applyNumberFormat="1" applyFont="1" applyFill="1" applyBorder="1" applyAlignment="1">
      <alignment horizontal="center" vertical="center" wrapText="1"/>
    </xf>
    <xf numFmtId="0" fontId="6" fillId="16" borderId="51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vertical="center" wrapText="1"/>
    </xf>
    <xf numFmtId="0" fontId="6" fillId="14" borderId="51" xfId="0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5" borderId="51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1" xfId="0" applyFont="1" applyFill="1" applyBorder="1" applyAlignment="1">
      <alignment horizontal="center" vertical="center" wrapText="1"/>
    </xf>
    <xf numFmtId="41" fontId="51" fillId="17" borderId="51" xfId="0" applyNumberFormat="1" applyFont="1" applyFill="1" applyBorder="1" applyAlignment="1">
      <alignment horizontal="center" vertical="center" wrapText="1"/>
    </xf>
    <xf numFmtId="41" fontId="36" fillId="17" borderId="51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40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horizontal="right" vertical="center"/>
    </xf>
    <xf numFmtId="0" fontId="42" fillId="2" borderId="0" xfId="0" applyNumberFormat="1" applyFont="1" applyFill="1" applyBorder="1" applyAlignment="1">
      <alignment vertical="center"/>
    </xf>
    <xf numFmtId="0" fontId="52" fillId="2" borderId="0" xfId="0" applyFont="1" applyFill="1" applyAlignment="1">
      <alignment horizontal="center" vertical="center"/>
    </xf>
    <xf numFmtId="0" fontId="53" fillId="0" borderId="0" xfId="0" applyFont="1"/>
    <xf numFmtId="0" fontId="40" fillId="16" borderId="40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horizontal="right" vertical="center" wrapText="1"/>
    </xf>
    <xf numFmtId="0" fontId="42" fillId="2" borderId="0" xfId="0" applyFont="1" applyFill="1" applyBorder="1" applyAlignment="1">
      <alignment vertical="center" wrapText="1"/>
    </xf>
    <xf numFmtId="0" fontId="52" fillId="2" borderId="0" xfId="0" applyFont="1" applyFill="1" applyAlignment="1">
      <alignment horizontal="right" vertical="center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3" fillId="2" borderId="0" xfId="0" applyFont="1" applyFill="1" applyBorder="1"/>
    <xf numFmtId="0" fontId="53" fillId="0" borderId="0" xfId="0" applyFont="1" applyFill="1"/>
    <xf numFmtId="4" fontId="43" fillId="17" borderId="42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53" fillId="2" borderId="0" xfId="0" applyFont="1" applyFill="1" applyBorder="1" applyAlignment="1">
      <alignment horizontal="right" vertical="center"/>
    </xf>
    <xf numFmtId="0" fontId="41" fillId="16" borderId="43" xfId="0" applyFont="1" applyFill="1" applyBorder="1" applyAlignment="1">
      <alignment vertical="center"/>
    </xf>
    <xf numFmtId="0" fontId="41" fillId="16" borderId="44" xfId="0" applyFont="1" applyFill="1" applyBorder="1" applyAlignment="1">
      <alignment horizontal="center" vertical="center" wrapText="1"/>
    </xf>
    <xf numFmtId="0" fontId="41" fillId="16" borderId="44" xfId="0" applyFont="1" applyFill="1" applyBorder="1" applyAlignment="1">
      <alignment horizontal="center" vertical="center"/>
    </xf>
    <xf numFmtId="0" fontId="41" fillId="16" borderId="44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41" fontId="51" fillId="17" borderId="51" xfId="0" applyNumberFormat="1" applyFont="1" applyFill="1" applyBorder="1" applyAlignment="1">
      <alignment horizontal="center" vertical="center" wrapText="1"/>
    </xf>
    <xf numFmtId="41" fontId="36" fillId="17" borderId="51" xfId="0" applyNumberFormat="1" applyFont="1" applyFill="1" applyBorder="1" applyAlignment="1">
      <alignment vertical="center" wrapText="1"/>
    </xf>
    <xf numFmtId="168" fontId="36" fillId="17" borderId="51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40" fillId="16" borderId="51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1" xfId="0" applyFont="1" applyBorder="1" applyAlignment="1">
      <alignment horizontal="center" vertical="center"/>
    </xf>
    <xf numFmtId="0" fontId="42" fillId="3" borderId="52" xfId="0" applyFont="1" applyFill="1" applyBorder="1" applyAlignment="1">
      <alignment horizontal="center"/>
    </xf>
    <xf numFmtId="0" fontId="42" fillId="3" borderId="53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50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left" vertical="center" wrapText="1"/>
    </xf>
    <xf numFmtId="0" fontId="48" fillId="17" borderId="41" xfId="0" applyFont="1" applyFill="1" applyBorder="1" applyAlignment="1">
      <alignment horizontal="center" vertical="center"/>
    </xf>
    <xf numFmtId="0" fontId="48" fillId="17" borderId="42" xfId="0" applyFont="1" applyFill="1" applyBorder="1" applyAlignment="1">
      <alignment horizontal="center" vertical="center"/>
    </xf>
    <xf numFmtId="0" fontId="44" fillId="17" borderId="41" xfId="0" applyFont="1" applyFill="1" applyBorder="1" applyAlignment="1">
      <alignment horizontal="center" vertical="center" wrapText="1"/>
    </xf>
    <xf numFmtId="0" fontId="44" fillId="17" borderId="42" xfId="0" applyFont="1" applyFill="1" applyBorder="1" applyAlignment="1">
      <alignment horizontal="center" vertical="center" wrapText="1"/>
    </xf>
    <xf numFmtId="14" fontId="43" fillId="17" borderId="41" xfId="0" applyNumberFormat="1" applyFont="1" applyFill="1" applyBorder="1" applyAlignment="1">
      <alignment horizontal="center" vertical="center"/>
    </xf>
    <xf numFmtId="14" fontId="43" fillId="17" borderId="42" xfId="0" applyNumberFormat="1" applyFont="1" applyFill="1" applyBorder="1" applyAlignment="1">
      <alignment horizontal="center" vertical="center"/>
    </xf>
    <xf numFmtId="14" fontId="48" fillId="17" borderId="41" xfId="0" applyNumberFormat="1" applyFont="1" applyFill="1" applyBorder="1" applyAlignment="1">
      <alignment horizontal="center" vertical="center"/>
    </xf>
    <xf numFmtId="14" fontId="48" fillId="17" borderId="42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43" fillId="17" borderId="42" xfId="0" applyNumberFormat="1" applyFont="1" applyFill="1" applyBorder="1" applyAlignment="1">
      <alignment horizontal="center" vertical="center"/>
    </xf>
    <xf numFmtId="0" fontId="54" fillId="17" borderId="41" xfId="8" applyFont="1" applyFill="1" applyBorder="1" applyAlignment="1">
      <alignment horizontal="center" vertical="center"/>
    </xf>
    <xf numFmtId="0" fontId="54" fillId="17" borderId="42" xfId="8" applyFont="1" applyFill="1" applyBorder="1" applyAlignment="1">
      <alignment horizontal="center" vertical="center"/>
    </xf>
    <xf numFmtId="0" fontId="40" fillId="16" borderId="40" xfId="0" applyFont="1" applyFill="1" applyBorder="1" applyAlignment="1">
      <alignment horizontal="center" vertical="center"/>
    </xf>
    <xf numFmtId="0" fontId="40" fillId="16" borderId="41" xfId="0" applyFont="1" applyFill="1" applyBorder="1" applyAlignment="1">
      <alignment horizontal="center" vertical="center"/>
    </xf>
    <xf numFmtId="0" fontId="40" fillId="16" borderId="40" xfId="0" applyFont="1" applyFill="1" applyBorder="1" applyAlignment="1">
      <alignment horizontal="center" vertical="center" wrapText="1"/>
    </xf>
    <xf numFmtId="0" fontId="40" fillId="16" borderId="41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3" fillId="2" borderId="0" xfId="0" applyFont="1" applyFill="1" applyAlignment="1">
      <alignment horizontal="left" vertical="center"/>
    </xf>
    <xf numFmtId="0" fontId="49" fillId="16" borderId="15" xfId="0" applyFont="1" applyFill="1" applyBorder="1" applyAlignment="1">
      <alignment horizontal="center" vertical="center" wrapText="1"/>
    </xf>
    <xf numFmtId="0" fontId="49" fillId="16" borderId="14" xfId="0" applyFont="1" applyFill="1" applyBorder="1" applyAlignment="1">
      <alignment horizontal="center" vertical="center" wrapText="1"/>
    </xf>
    <xf numFmtId="0" fontId="49" fillId="16" borderId="51" xfId="0" applyFont="1" applyFill="1" applyBorder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42" fillId="0" borderId="3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4" fillId="12" borderId="0" xfId="0" applyFont="1" applyFill="1" applyAlignment="1">
      <alignment horizontal="center" vertical="center"/>
    </xf>
    <xf numFmtId="0" fontId="33" fillId="16" borderId="51" xfId="0" applyFont="1" applyFill="1" applyBorder="1" applyAlignment="1">
      <alignment horizontal="center" vertical="center" wrapText="1"/>
    </xf>
    <xf numFmtId="168" fontId="36" fillId="17" borderId="51" xfId="0" applyNumberFormat="1" applyFont="1" applyFill="1" applyBorder="1" applyAlignment="1">
      <alignment vertical="center" wrapText="1"/>
    </xf>
    <xf numFmtId="0" fontId="1" fillId="0" borderId="4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24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/>
    <xf numFmtId="0" fontId="8" fillId="0" borderId="0" xfId="0" applyFont="1" applyFill="1" applyBorder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5" fillId="0" borderId="0" xfId="0" applyFont="1" applyAlignment="1">
      <alignment horizontal="left"/>
    </xf>
    <xf numFmtId="0" fontId="31" fillId="0" borderId="0" xfId="0" applyFont="1" applyAlignment="1">
      <alignment horizontal="center" vertical="center"/>
    </xf>
    <xf numFmtId="0" fontId="24" fillId="0" borderId="0" xfId="0" applyFont="1"/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5" fillId="2" borderId="3" xfId="6" applyFont="1" applyFill="1" applyBorder="1" applyAlignment="1" applyProtection="1">
      <alignment horizontal="center" vertical="top"/>
    </xf>
    <xf numFmtId="0" fontId="5" fillId="2" borderId="4" xfId="6" applyFont="1" applyFill="1" applyBorder="1" applyAlignment="1" applyProtection="1">
      <alignment horizontal="center" vertical="top"/>
    </xf>
    <xf numFmtId="0" fontId="5" fillId="2" borderId="5" xfId="6" applyFont="1" applyFill="1" applyBorder="1" applyAlignment="1" applyProtection="1">
      <alignment horizontal="center" vertical="top"/>
    </xf>
    <xf numFmtId="0" fontId="20" fillId="2" borderId="3" xfId="6" applyNumberFormat="1" applyFont="1" applyFill="1" applyBorder="1" applyAlignment="1" applyProtection="1">
      <alignment horizontal="center" vertical="top"/>
    </xf>
    <xf numFmtId="0" fontId="20" fillId="2" borderId="4" xfId="6" applyNumberFormat="1" applyFont="1" applyFill="1" applyBorder="1" applyAlignment="1" applyProtection="1">
      <alignment horizontal="center" vertical="top"/>
    </xf>
    <xf numFmtId="0" fontId="20" fillId="2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14" fillId="10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133350</xdr:rowOff>
        </xdr:from>
        <xdr:to>
          <xdr:col>8</xdr:col>
          <xdr:colOff>1114425</xdr:colOff>
          <xdr:row>3</xdr:row>
          <xdr:rowOff>66675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259</xdr:row>
      <xdr:rowOff>136072</xdr:rowOff>
    </xdr:from>
    <xdr:to>
      <xdr:col>3</xdr:col>
      <xdr:colOff>408215</xdr:colOff>
      <xdr:row>259</xdr:row>
      <xdr:rowOff>272143</xdr:rowOff>
    </xdr:to>
    <xdr:sp macro="" textlink="">
      <xdr:nvSpPr>
        <xdr:cNvPr id="2" name="Flecha a la derecha con muesca 1"/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259</xdr:row>
      <xdr:rowOff>138794</xdr:rowOff>
    </xdr:from>
    <xdr:to>
      <xdr:col>3</xdr:col>
      <xdr:colOff>887187</xdr:colOff>
      <xdr:row>259</xdr:row>
      <xdr:rowOff>274865</xdr:rowOff>
    </xdr:to>
    <xdr:sp macro="" textlink="">
      <xdr:nvSpPr>
        <xdr:cNvPr id="5" name="Flecha a la derecha con muesca 4"/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259</xdr:row>
      <xdr:rowOff>155121</xdr:rowOff>
    </xdr:from>
    <xdr:to>
      <xdr:col>3</xdr:col>
      <xdr:colOff>1352551</xdr:colOff>
      <xdr:row>259</xdr:row>
      <xdr:rowOff>291192</xdr:rowOff>
    </xdr:to>
    <xdr:sp macro="" textlink="">
      <xdr:nvSpPr>
        <xdr:cNvPr id="6" name="Flecha a la derecha con muesca 5"/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4</xdr:row>
          <xdr:rowOff>19050</xdr:rowOff>
        </xdr:from>
        <xdr:to>
          <xdr:col>9</xdr:col>
          <xdr:colOff>180975</xdr:colOff>
          <xdr:row>5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88viqu3\carpetas%20compartidas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282"/>
  <sheetViews>
    <sheetView tabSelected="1" view="pageBreakPreview" topLeftCell="A23" zoomScale="70" zoomScaleNormal="70" zoomScaleSheetLayoutView="70" zoomScalePageLayoutView="85" workbookViewId="0">
      <selection activeCell="G27" sqref="G27"/>
    </sheetView>
  </sheetViews>
  <sheetFormatPr baseColWidth="10" defaultRowHeight="15.75" x14ac:dyDescent="0.25"/>
  <cols>
    <col min="1" max="1" width="11.42578125" style="64"/>
    <col min="2" max="2" width="66.42578125" style="57" customWidth="1"/>
    <col min="3" max="3" width="29.42578125" style="57" customWidth="1"/>
    <col min="4" max="4" width="24.7109375" style="57" customWidth="1"/>
    <col min="5" max="5" width="24.140625" style="57" customWidth="1"/>
    <col min="6" max="6" width="22.5703125" style="385" hidden="1" customWidth="1"/>
    <col min="7" max="7" width="31.42578125" style="57" customWidth="1"/>
    <col min="8" max="8" width="25.5703125" style="57" customWidth="1"/>
    <col min="9" max="9" width="23.5703125" style="57" customWidth="1"/>
    <col min="10" max="11" width="22.5703125" style="57" customWidth="1"/>
    <col min="12" max="12" width="22.5703125" style="306" hidden="1" customWidth="1"/>
    <col min="13" max="14" width="22.5703125" style="57" hidden="1" customWidth="1"/>
    <col min="15" max="15" width="22.5703125" style="307" hidden="1" customWidth="1"/>
    <col min="16" max="16" width="22.5703125" style="308" hidden="1" customWidth="1"/>
    <col min="17" max="17" width="22.5703125" style="307" customWidth="1"/>
    <col min="18" max="21" width="22.5703125" style="57" customWidth="1"/>
    <col min="22" max="22" width="26.85546875" style="57" customWidth="1"/>
    <col min="23" max="16384" width="11.42578125" style="57"/>
  </cols>
  <sheetData>
    <row r="1" spans="1:22" ht="24.95" customHeight="1" thickBot="1" x14ac:dyDescent="0.3">
      <c r="A1" s="193"/>
      <c r="B1" s="305"/>
      <c r="C1" s="305"/>
      <c r="D1" s="305"/>
      <c r="E1" s="305"/>
      <c r="F1" s="305"/>
      <c r="G1" s="305"/>
      <c r="H1" s="305"/>
      <c r="I1" s="305"/>
      <c r="J1" s="305"/>
      <c r="K1" s="305"/>
      <c r="Q1" s="309"/>
      <c r="R1" s="310"/>
      <c r="S1" s="310"/>
      <c r="T1" s="310"/>
      <c r="U1" s="310"/>
      <c r="V1" s="310"/>
    </row>
    <row r="2" spans="1:22" ht="20.100000000000001" customHeight="1" thickBot="1" x14ac:dyDescent="0.3">
      <c r="A2" s="193"/>
      <c r="B2" s="480" t="s">
        <v>1568</v>
      </c>
      <c r="C2" s="468"/>
      <c r="D2" s="470"/>
      <c r="E2" s="468"/>
      <c r="F2" s="469"/>
      <c r="G2" s="470"/>
      <c r="H2" s="311"/>
      <c r="I2" s="305"/>
      <c r="J2" s="305"/>
      <c r="K2" s="305"/>
      <c r="Q2" s="309"/>
      <c r="R2" s="310"/>
      <c r="S2" s="310"/>
      <c r="T2" s="310"/>
      <c r="U2" s="310"/>
      <c r="V2" s="310"/>
    </row>
    <row r="3" spans="1:22" ht="16.5" thickBot="1" x14ac:dyDescent="0.3">
      <c r="A3" s="193"/>
      <c r="B3" s="481"/>
      <c r="C3" s="482" t="s">
        <v>1569</v>
      </c>
      <c r="D3" s="483"/>
      <c r="E3" s="482" t="s">
        <v>1570</v>
      </c>
      <c r="F3" s="487"/>
      <c r="G3" s="483"/>
      <c r="H3" s="192" t="s">
        <v>1571</v>
      </c>
      <c r="I3" s="305"/>
      <c r="J3" s="305"/>
      <c r="K3" s="305"/>
      <c r="Q3" s="309"/>
      <c r="R3" s="310"/>
      <c r="S3" s="310"/>
      <c r="T3" s="310"/>
      <c r="U3" s="310"/>
      <c r="V3" s="310"/>
    </row>
    <row r="4" spans="1:22" ht="24.95" customHeight="1" x14ac:dyDescent="0.25">
      <c r="A4" s="193"/>
      <c r="B4" s="305"/>
      <c r="C4" s="305"/>
      <c r="D4" s="305"/>
      <c r="E4" s="305"/>
      <c r="F4" s="305"/>
      <c r="G4" s="305"/>
      <c r="H4" s="305"/>
      <c r="I4" s="305"/>
      <c r="J4" s="305"/>
      <c r="K4" s="305"/>
      <c r="Q4" s="309"/>
      <c r="R4" s="310"/>
      <c r="S4" s="310"/>
      <c r="T4" s="310"/>
      <c r="U4" s="310"/>
      <c r="V4" s="310"/>
    </row>
    <row r="5" spans="1:22" ht="24.95" customHeight="1" x14ac:dyDescent="0.25">
      <c r="A5" s="194"/>
      <c r="B5" s="310"/>
      <c r="C5" s="310"/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Q5" s="309"/>
      <c r="R5" s="310"/>
      <c r="S5" s="310"/>
      <c r="T5" s="310"/>
      <c r="U5" s="310"/>
      <c r="V5" s="310"/>
    </row>
    <row r="6" spans="1:22" ht="26.25" x14ac:dyDescent="0.25">
      <c r="A6" s="194"/>
      <c r="B6" s="479" t="s">
        <v>1584</v>
      </c>
      <c r="C6" s="479"/>
      <c r="D6" s="479"/>
      <c r="E6" s="479"/>
      <c r="F6" s="479"/>
      <c r="G6" s="479"/>
      <c r="H6" s="479"/>
      <c r="I6" s="479"/>
      <c r="J6" s="479"/>
      <c r="K6" s="479"/>
      <c r="L6" s="479"/>
      <c r="M6" s="479"/>
      <c r="N6" s="479"/>
      <c r="O6" s="312"/>
      <c r="P6" s="312"/>
      <c r="Q6" s="313"/>
      <c r="R6" s="310"/>
      <c r="S6" s="310"/>
      <c r="T6" s="310"/>
      <c r="U6" s="310"/>
      <c r="V6" s="310"/>
    </row>
    <row r="7" spans="1:22" ht="26.25" x14ac:dyDescent="0.25">
      <c r="A7" s="194"/>
      <c r="B7" s="479" t="s">
        <v>1392</v>
      </c>
      <c r="C7" s="479"/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312"/>
      <c r="P7" s="312"/>
      <c r="Q7" s="313"/>
      <c r="R7" s="310"/>
      <c r="S7" s="310"/>
      <c r="T7" s="310"/>
      <c r="U7" s="310"/>
      <c r="V7" s="310"/>
    </row>
    <row r="8" spans="1:22" ht="28.5" x14ac:dyDescent="0.25">
      <c r="A8" s="194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"/>
      <c r="P8" s="63"/>
      <c r="Q8" s="197"/>
      <c r="R8" s="310"/>
      <c r="S8" s="310"/>
      <c r="T8" s="310"/>
      <c r="U8" s="310"/>
      <c r="V8" s="310"/>
    </row>
    <row r="9" spans="1:22" s="109" customFormat="1" ht="30" customHeight="1" x14ac:dyDescent="0.25">
      <c r="A9" s="195">
        <v>1.1000000000000001</v>
      </c>
      <c r="B9" s="386" t="s">
        <v>0</v>
      </c>
      <c r="C9" s="460" t="s">
        <v>1591</v>
      </c>
      <c r="D9" s="461"/>
      <c r="E9" s="387">
        <v>1.2</v>
      </c>
      <c r="F9" s="388"/>
      <c r="G9" s="464" t="s">
        <v>1426</v>
      </c>
      <c r="H9" s="465"/>
      <c r="I9" s="452"/>
      <c r="J9" s="453"/>
      <c r="L9" s="314"/>
      <c r="M9" s="314"/>
      <c r="N9" s="314"/>
      <c r="O9" s="315"/>
      <c r="P9" s="316"/>
      <c r="Q9" s="230"/>
      <c r="R9" s="199"/>
      <c r="S9" s="199"/>
      <c r="T9" s="199"/>
      <c r="U9" s="199"/>
      <c r="V9" s="199"/>
    </row>
    <row r="10" spans="1:22" s="109" customFormat="1" ht="21" x14ac:dyDescent="0.35">
      <c r="A10" s="195"/>
      <c r="B10" s="389"/>
      <c r="C10" s="389"/>
      <c r="D10" s="389"/>
      <c r="E10" s="389"/>
      <c r="F10" s="389"/>
      <c r="G10" s="390"/>
      <c r="H10" s="390"/>
      <c r="K10" s="317"/>
      <c r="L10" s="318"/>
      <c r="M10" s="319"/>
      <c r="N10" s="320"/>
      <c r="O10" s="321"/>
      <c r="P10" s="322"/>
      <c r="Q10" s="323"/>
      <c r="R10" s="199"/>
      <c r="S10" s="199"/>
      <c r="T10" s="199"/>
      <c r="U10" s="199"/>
      <c r="V10" s="199"/>
    </row>
    <row r="11" spans="1:22" s="109" customFormat="1" ht="36.75" customHeight="1" x14ac:dyDescent="0.25">
      <c r="A11" s="195">
        <v>1.3</v>
      </c>
      <c r="B11" s="391" t="s">
        <v>1528</v>
      </c>
      <c r="C11" s="462"/>
      <c r="D11" s="463"/>
      <c r="E11" s="392">
        <v>1.3</v>
      </c>
      <c r="F11" s="393"/>
      <c r="G11" s="464" t="s">
        <v>1530</v>
      </c>
      <c r="H11" s="465"/>
      <c r="I11" s="454" t="s">
        <v>1597</v>
      </c>
      <c r="J11" s="455"/>
      <c r="L11" s="325"/>
      <c r="M11" s="325"/>
      <c r="N11" s="325"/>
      <c r="O11" s="326"/>
      <c r="P11" s="327"/>
      <c r="Q11" s="208"/>
      <c r="R11" s="199"/>
      <c r="S11" s="199"/>
      <c r="T11" s="199"/>
      <c r="U11" s="199"/>
      <c r="V11" s="199"/>
    </row>
    <row r="12" spans="1:22" s="109" customFormat="1" ht="21" x14ac:dyDescent="0.35">
      <c r="A12" s="195"/>
      <c r="B12" s="389"/>
      <c r="C12" s="389"/>
      <c r="D12" s="389"/>
      <c r="E12" s="394"/>
      <c r="F12" s="389"/>
      <c r="G12" s="390"/>
      <c r="H12" s="390"/>
      <c r="K12" s="317"/>
      <c r="L12" s="318"/>
      <c r="M12" s="320"/>
      <c r="N12" s="320"/>
      <c r="O12" s="321"/>
      <c r="P12" s="322"/>
      <c r="Q12" s="323"/>
      <c r="R12" s="199"/>
      <c r="S12" s="199"/>
      <c r="T12" s="199"/>
      <c r="U12" s="199"/>
      <c r="V12" s="199"/>
    </row>
    <row r="13" spans="1:22" s="109" customFormat="1" ht="37.5" customHeight="1" x14ac:dyDescent="0.25">
      <c r="A13" s="195">
        <v>1.4</v>
      </c>
      <c r="B13" s="391" t="s">
        <v>1531</v>
      </c>
      <c r="C13" s="456">
        <v>43483</v>
      </c>
      <c r="D13" s="457"/>
      <c r="E13" s="301">
        <v>1.5</v>
      </c>
      <c r="F13" s="395"/>
      <c r="G13" s="466" t="s">
        <v>1532</v>
      </c>
      <c r="H13" s="467"/>
      <c r="I13" s="456">
        <v>43485</v>
      </c>
      <c r="J13" s="457"/>
      <c r="L13" s="328"/>
      <c r="M13" s="328"/>
      <c r="N13" s="328"/>
      <c r="O13" s="329"/>
      <c r="P13" s="330"/>
      <c r="Q13" s="286"/>
      <c r="R13" s="199"/>
      <c r="S13" s="199"/>
      <c r="T13" s="199"/>
      <c r="U13" s="199"/>
      <c r="V13" s="199"/>
    </row>
    <row r="14" spans="1:22" s="113" customFormat="1" ht="19.5" customHeight="1" x14ac:dyDescent="0.35">
      <c r="A14" s="195"/>
      <c r="B14" s="396"/>
      <c r="C14" s="397" t="s">
        <v>1364</v>
      </c>
      <c r="D14" s="398"/>
      <c r="E14" s="399"/>
      <c r="F14" s="399"/>
      <c r="G14" s="400"/>
      <c r="H14" s="400"/>
      <c r="K14" s="214"/>
      <c r="L14" s="120"/>
      <c r="M14" s="119"/>
      <c r="N14" s="119"/>
      <c r="O14" s="329"/>
      <c r="P14" s="330"/>
      <c r="Q14" s="286"/>
      <c r="R14" s="199"/>
      <c r="S14" s="199"/>
      <c r="T14" s="199"/>
      <c r="U14" s="199"/>
      <c r="V14" s="199"/>
    </row>
    <row r="15" spans="1:22" s="113" customFormat="1" ht="48" customHeight="1" x14ac:dyDescent="0.35">
      <c r="A15" s="195">
        <v>1.7</v>
      </c>
      <c r="B15" s="391" t="s">
        <v>1565</v>
      </c>
      <c r="C15" s="401">
        <v>30</v>
      </c>
      <c r="D15" s="402"/>
      <c r="E15" s="403" t="s">
        <v>1563</v>
      </c>
      <c r="F15" s="399"/>
      <c r="G15" s="466" t="s">
        <v>1529</v>
      </c>
      <c r="H15" s="467"/>
      <c r="I15" s="458" t="s">
        <v>1564</v>
      </c>
      <c r="J15" s="459"/>
      <c r="L15" s="331"/>
      <c r="M15" s="331"/>
      <c r="N15" s="331"/>
      <c r="O15" s="329"/>
      <c r="P15" s="330"/>
      <c r="Q15" s="286"/>
      <c r="R15" s="199"/>
      <c r="S15" s="199"/>
      <c r="T15" s="199"/>
      <c r="U15" s="199"/>
      <c r="V15" s="199"/>
    </row>
    <row r="16" spans="1:22" s="109" customFormat="1" ht="37.5" customHeight="1" x14ac:dyDescent="0.25">
      <c r="A16" s="195"/>
      <c r="B16" s="324"/>
      <c r="C16" s="221"/>
      <c r="D16" s="221"/>
      <c r="E16" s="221"/>
      <c r="F16" s="221"/>
      <c r="I16" s="332"/>
      <c r="L16" s="117"/>
      <c r="M16" s="333"/>
      <c r="N16" s="333"/>
      <c r="O16" s="334"/>
      <c r="P16" s="335"/>
      <c r="Q16" s="200"/>
      <c r="R16" s="199"/>
      <c r="S16" s="199"/>
      <c r="T16" s="199"/>
      <c r="U16" s="199"/>
      <c r="V16" s="199"/>
    </row>
    <row r="17" spans="1:22" s="109" customFormat="1" ht="37.5" customHeight="1" x14ac:dyDescent="0.25">
      <c r="A17" s="303" t="s">
        <v>1533</v>
      </c>
      <c r="B17" s="304" t="s">
        <v>1534</v>
      </c>
      <c r="C17" s="208"/>
      <c r="D17" s="208"/>
      <c r="E17" s="208"/>
      <c r="F17" s="235"/>
      <c r="G17" s="235"/>
      <c r="H17" s="235"/>
      <c r="I17" s="332"/>
      <c r="J17" s="202"/>
      <c r="K17" s="202"/>
      <c r="L17" s="117"/>
      <c r="M17" s="333"/>
      <c r="N17" s="333"/>
      <c r="O17" s="334"/>
      <c r="P17" s="335"/>
      <c r="Q17" s="200"/>
      <c r="R17" s="199"/>
      <c r="S17" s="199"/>
      <c r="T17" s="199"/>
      <c r="U17" s="199"/>
      <c r="V17" s="199"/>
    </row>
    <row r="18" spans="1:22" s="109" customFormat="1" ht="37.5" customHeight="1" x14ac:dyDescent="0.25">
      <c r="A18" s="195"/>
      <c r="B18" s="404" t="s">
        <v>1536</v>
      </c>
      <c r="C18" s="405" t="s">
        <v>1537</v>
      </c>
      <c r="D18" s="406" t="s">
        <v>1538</v>
      </c>
      <c r="E18" s="407" t="s">
        <v>11</v>
      </c>
      <c r="F18" s="407"/>
      <c r="G18" s="408" t="s">
        <v>1539</v>
      </c>
      <c r="H18" s="264" t="s">
        <v>1540</v>
      </c>
      <c r="I18" s="332"/>
      <c r="J18" s="202"/>
      <c r="K18" s="202"/>
      <c r="L18" s="117"/>
      <c r="M18" s="333"/>
      <c r="N18" s="333"/>
      <c r="O18" s="334"/>
      <c r="P18" s="335"/>
      <c r="Q18" s="200"/>
      <c r="R18" s="199"/>
      <c r="S18" s="199"/>
      <c r="T18" s="199"/>
      <c r="U18" s="199"/>
      <c r="V18" s="199"/>
    </row>
    <row r="19" spans="1:22" s="109" customFormat="1" ht="37.5" customHeight="1" x14ac:dyDescent="0.25">
      <c r="A19" s="195"/>
      <c r="B19" s="243" t="s">
        <v>1541</v>
      </c>
      <c r="C19" s="174">
        <v>0</v>
      </c>
      <c r="D19" s="174" t="s">
        <v>33</v>
      </c>
      <c r="E19" s="173">
        <v>3</v>
      </c>
      <c r="F19" s="176"/>
      <c r="G19" s="265">
        <f>IF(D19="HRS",Hoja2!C12,IF('HOJA D TRABAJO'!D19="DIAS",Hoja2!D12))</f>
        <v>26</v>
      </c>
      <c r="H19" s="266">
        <f>+G19*E19*C19</f>
        <v>0</v>
      </c>
      <c r="I19" s="332"/>
      <c r="J19" s="202"/>
      <c r="K19" s="202"/>
      <c r="L19" s="117"/>
      <c r="M19" s="333"/>
      <c r="N19" s="333"/>
      <c r="O19" s="334"/>
      <c r="P19" s="335"/>
      <c r="Q19" s="200"/>
      <c r="R19" s="199"/>
      <c r="S19" s="199"/>
      <c r="T19" s="199"/>
      <c r="U19" s="199"/>
      <c r="V19" s="199"/>
    </row>
    <row r="20" spans="1:22" s="109" customFormat="1" ht="37.5" customHeight="1" x14ac:dyDescent="0.25">
      <c r="A20" s="195"/>
      <c r="B20" s="243" t="s">
        <v>1542</v>
      </c>
      <c r="C20" s="174">
        <v>0</v>
      </c>
      <c r="D20" s="174" t="s">
        <v>33</v>
      </c>
      <c r="E20" s="173">
        <v>3</v>
      </c>
      <c r="F20" s="176"/>
      <c r="G20" s="265">
        <f>IF(D20="HRS",Hoja2!C12,IF('HOJA D TRABAJO'!D20="DIAS",Hoja2!D12))</f>
        <v>26</v>
      </c>
      <c r="H20" s="266">
        <f>+G20*E20*C20</f>
        <v>0</v>
      </c>
      <c r="I20" s="332"/>
      <c r="J20" s="202"/>
      <c r="K20" s="202"/>
      <c r="L20" s="117"/>
      <c r="M20" s="333"/>
      <c r="N20" s="333"/>
      <c r="O20" s="334"/>
      <c r="P20" s="335"/>
      <c r="Q20" s="200"/>
      <c r="R20" s="199"/>
      <c r="S20" s="199"/>
      <c r="T20" s="199"/>
      <c r="U20" s="199"/>
      <c r="V20" s="199"/>
    </row>
    <row r="21" spans="1:22" s="109" customFormat="1" ht="37.5" customHeight="1" x14ac:dyDescent="0.25">
      <c r="A21" s="195"/>
      <c r="B21" s="244" t="s">
        <v>10</v>
      </c>
      <c r="C21" s="245">
        <f>SUM(C19:C20)</f>
        <v>0</v>
      </c>
      <c r="D21" s="245"/>
      <c r="E21" s="267">
        <f>SUM(E19:F20)</f>
        <v>6</v>
      </c>
      <c r="F21" s="246"/>
      <c r="G21" s="242">
        <f>SUM(G19:G20)</f>
        <v>52</v>
      </c>
      <c r="H21" s="242">
        <f>SUM(H19:H20)</f>
        <v>0</v>
      </c>
      <c r="I21" s="332"/>
      <c r="J21" s="202"/>
      <c r="K21" s="202"/>
      <c r="L21" s="117"/>
      <c r="M21" s="333"/>
      <c r="N21" s="333"/>
      <c r="O21" s="334"/>
      <c r="P21" s="335"/>
      <c r="Q21" s="200"/>
      <c r="R21" s="199"/>
      <c r="S21" s="199"/>
      <c r="T21" s="199"/>
      <c r="U21" s="199"/>
      <c r="V21" s="199"/>
    </row>
    <row r="22" spans="1:22" s="109" customFormat="1" ht="37.5" customHeight="1" x14ac:dyDescent="0.25">
      <c r="A22" s="195"/>
      <c r="B22" s="211"/>
      <c r="C22" s="235"/>
      <c r="D22" s="235"/>
      <c r="E22" s="235"/>
      <c r="F22" s="235"/>
      <c r="G22" s="235"/>
      <c r="H22" s="235"/>
      <c r="I22" s="332"/>
      <c r="J22" s="202"/>
      <c r="K22" s="202"/>
      <c r="L22" s="117"/>
      <c r="M22" s="333"/>
      <c r="N22" s="333"/>
      <c r="O22" s="334"/>
      <c r="P22" s="335"/>
      <c r="Q22" s="200"/>
      <c r="R22" s="199"/>
      <c r="S22" s="199"/>
      <c r="T22" s="199"/>
      <c r="U22" s="199"/>
      <c r="V22" s="199"/>
    </row>
    <row r="23" spans="1:22" s="109" customFormat="1" ht="37.5" customHeight="1" x14ac:dyDescent="0.25">
      <c r="A23" s="300">
        <v>3</v>
      </c>
      <c r="B23" s="473" t="s">
        <v>1418</v>
      </c>
      <c r="C23" s="473"/>
      <c r="D23" s="473"/>
      <c r="E23" s="473"/>
      <c r="F23" s="473"/>
      <c r="G23" s="473"/>
      <c r="H23" s="235"/>
      <c r="I23" s="336"/>
      <c r="J23" s="200"/>
      <c r="K23" s="202"/>
      <c r="L23" s="117"/>
      <c r="M23" s="333"/>
      <c r="N23" s="334"/>
      <c r="O23" s="334"/>
      <c r="P23" s="335"/>
      <c r="Q23" s="200"/>
      <c r="R23" s="199"/>
      <c r="S23" s="199"/>
      <c r="T23" s="199"/>
      <c r="U23" s="199"/>
      <c r="V23" s="199"/>
    </row>
    <row r="24" spans="1:22" s="109" customFormat="1" ht="37.5" customHeight="1" x14ac:dyDescent="0.25">
      <c r="A24" s="300" t="s">
        <v>1585</v>
      </c>
      <c r="B24" s="451" t="s">
        <v>1535</v>
      </c>
      <c r="C24" s="451"/>
      <c r="D24" s="451"/>
      <c r="E24" s="451"/>
      <c r="F24" s="451"/>
      <c r="G24" s="451"/>
      <c r="H24" s="235"/>
      <c r="I24" s="332"/>
      <c r="J24" s="202"/>
      <c r="K24" s="202"/>
      <c r="L24" s="117"/>
      <c r="M24" s="333"/>
      <c r="N24" s="333"/>
      <c r="O24" s="334"/>
      <c r="P24" s="335"/>
      <c r="Q24" s="200"/>
      <c r="R24" s="199"/>
      <c r="S24" s="199"/>
      <c r="T24" s="199"/>
      <c r="U24" s="199"/>
      <c r="V24" s="199"/>
    </row>
    <row r="25" spans="1:22" s="109" customFormat="1" ht="38.25" customHeight="1" x14ac:dyDescent="0.25">
      <c r="A25" s="195"/>
      <c r="B25" s="476" t="s">
        <v>1380</v>
      </c>
      <c r="C25" s="268" t="s">
        <v>1572</v>
      </c>
      <c r="D25" s="425" t="s">
        <v>1381</v>
      </c>
      <c r="E25" s="426"/>
      <c r="F25" s="337"/>
      <c r="G25" s="421" t="s">
        <v>1566</v>
      </c>
      <c r="H25" s="418"/>
      <c r="I25" s="210"/>
      <c r="J25" s="210"/>
      <c r="K25" s="210"/>
      <c r="L25" s="338"/>
      <c r="M25" s="175"/>
      <c r="N25" s="175"/>
      <c r="O25" s="175"/>
      <c r="Q25" s="199"/>
      <c r="R25" s="199"/>
      <c r="S25" s="199"/>
      <c r="T25" s="199"/>
      <c r="U25" s="199"/>
      <c r="V25" s="199"/>
    </row>
    <row r="26" spans="1:22" s="109" customFormat="1" ht="53.25" customHeight="1" x14ac:dyDescent="0.25">
      <c r="A26" s="195"/>
      <c r="B26" s="477"/>
      <c r="C26" s="240" t="s">
        <v>1421</v>
      </c>
      <c r="D26" s="240" t="s">
        <v>1400</v>
      </c>
      <c r="E26" s="240" t="s">
        <v>1401</v>
      </c>
      <c r="F26" s="339"/>
      <c r="G26" s="256" t="s">
        <v>1573</v>
      </c>
      <c r="H26" s="256" t="s">
        <v>1574</v>
      </c>
      <c r="I26" s="210"/>
      <c r="J26" s="210"/>
      <c r="K26" s="210"/>
      <c r="L26" s="175"/>
      <c r="M26" s="175"/>
      <c r="N26" s="175"/>
      <c r="O26" s="175"/>
      <c r="Q26" s="199"/>
      <c r="R26" s="199"/>
      <c r="S26" s="199"/>
      <c r="T26" s="199"/>
      <c r="U26" s="199"/>
      <c r="V26" s="199"/>
    </row>
    <row r="27" spans="1:22" s="109" customFormat="1" ht="38.25" customHeight="1" x14ac:dyDescent="0.25">
      <c r="A27" s="340">
        <v>1</v>
      </c>
      <c r="B27" s="341" t="s">
        <v>1598</v>
      </c>
      <c r="C27" s="342">
        <v>1</v>
      </c>
      <c r="D27" s="343">
        <v>4</v>
      </c>
      <c r="E27" s="344">
        <v>80</v>
      </c>
      <c r="F27" s="345">
        <f t="shared" ref="F27:F38" si="0">G27/$E$182</f>
        <v>0.25</v>
      </c>
      <c r="G27" s="256">
        <f>+'HOJA 1 AUX'!G10</f>
        <v>94.674556213017752</v>
      </c>
      <c r="H27" s="256">
        <f t="shared" ref="H27:H38" si="1">+(C27*D27)*G27</f>
        <v>378.69822485207101</v>
      </c>
      <c r="I27" s="210"/>
      <c r="J27" s="210"/>
      <c r="K27" s="210"/>
      <c r="L27" s="175"/>
      <c r="M27" s="175"/>
      <c r="N27" s="175"/>
      <c r="O27" s="175"/>
      <c r="Q27" s="199"/>
      <c r="R27" s="199"/>
      <c r="S27" s="199"/>
      <c r="T27" s="199"/>
      <c r="U27" s="199"/>
      <c r="V27" s="199"/>
    </row>
    <row r="28" spans="1:22" s="109" customFormat="1" ht="38.25" customHeight="1" x14ac:dyDescent="0.25">
      <c r="A28" s="340">
        <v>2</v>
      </c>
      <c r="B28" s="341"/>
      <c r="C28" s="342"/>
      <c r="D28" s="343"/>
      <c r="E28" s="344"/>
      <c r="F28" s="345">
        <f t="shared" si="0"/>
        <v>0</v>
      </c>
      <c r="G28" s="256">
        <f>+'HOJA 1 AUX'!O10</f>
        <v>0</v>
      </c>
      <c r="H28" s="256">
        <f t="shared" si="1"/>
        <v>0</v>
      </c>
      <c r="I28" s="210"/>
      <c r="J28" s="210"/>
      <c r="K28" s="210"/>
      <c r="L28" s="175"/>
      <c r="M28" s="175"/>
      <c r="N28" s="175"/>
      <c r="O28" s="175"/>
      <c r="Q28" s="199"/>
      <c r="R28" s="199"/>
      <c r="S28" s="199"/>
      <c r="T28" s="199"/>
      <c r="U28" s="199"/>
      <c r="V28" s="199"/>
    </row>
    <row r="29" spans="1:22" s="109" customFormat="1" ht="38.25" customHeight="1" x14ac:dyDescent="0.25">
      <c r="A29" s="340">
        <v>3</v>
      </c>
      <c r="B29" s="341"/>
      <c r="C29" s="342"/>
      <c r="D29" s="343"/>
      <c r="E29" s="344"/>
      <c r="F29" s="345">
        <f t="shared" si="0"/>
        <v>0</v>
      </c>
      <c r="G29" s="256">
        <f>+'HOJA 1 AUX'!G28</f>
        <v>0</v>
      </c>
      <c r="H29" s="256">
        <f t="shared" si="1"/>
        <v>0</v>
      </c>
      <c r="I29" s="210"/>
      <c r="J29" s="210"/>
      <c r="K29" s="210"/>
      <c r="L29" s="175"/>
      <c r="M29" s="175"/>
      <c r="N29" s="175"/>
      <c r="O29" s="175"/>
      <c r="Q29" s="199"/>
      <c r="R29" s="199"/>
      <c r="S29" s="199"/>
      <c r="T29" s="199"/>
      <c r="U29" s="199"/>
      <c r="V29" s="199"/>
    </row>
    <row r="30" spans="1:22" s="109" customFormat="1" ht="38.25" hidden="1" customHeight="1" x14ac:dyDescent="0.25">
      <c r="A30" s="340">
        <v>4</v>
      </c>
      <c r="B30" s="341"/>
      <c r="C30" s="342"/>
      <c r="D30" s="343"/>
      <c r="E30" s="344"/>
      <c r="F30" s="345">
        <f t="shared" si="0"/>
        <v>0</v>
      </c>
      <c r="G30" s="256">
        <f>++'HOJA 1 AUX'!O28</f>
        <v>0</v>
      </c>
      <c r="H30" s="256">
        <f t="shared" si="1"/>
        <v>0</v>
      </c>
      <c r="I30" s="210"/>
      <c r="J30" s="210"/>
      <c r="K30" s="210"/>
      <c r="L30" s="175"/>
      <c r="M30" s="175"/>
      <c r="N30" s="175"/>
      <c r="O30" s="175"/>
      <c r="Q30" s="199"/>
      <c r="R30" s="199"/>
      <c r="S30" s="199"/>
      <c r="T30" s="199"/>
      <c r="U30" s="199"/>
      <c r="V30" s="199"/>
    </row>
    <row r="31" spans="1:22" s="109" customFormat="1" ht="38.25" hidden="1" customHeight="1" x14ac:dyDescent="0.25">
      <c r="A31" s="340">
        <v>5</v>
      </c>
      <c r="B31" s="341"/>
      <c r="C31" s="342"/>
      <c r="D31" s="343"/>
      <c r="E31" s="344"/>
      <c r="F31" s="345">
        <f t="shared" si="0"/>
        <v>0</v>
      </c>
      <c r="G31" s="256">
        <f>++'HOJA 1 AUX'!G48</f>
        <v>0</v>
      </c>
      <c r="H31" s="256">
        <f t="shared" si="1"/>
        <v>0</v>
      </c>
      <c r="I31" s="210"/>
      <c r="J31" s="210"/>
      <c r="K31" s="210"/>
      <c r="L31" s="175"/>
      <c r="M31" s="175"/>
      <c r="N31" s="175"/>
      <c r="O31" s="175"/>
      <c r="Q31" s="199"/>
      <c r="R31" s="199"/>
      <c r="S31" s="199"/>
      <c r="T31" s="199"/>
      <c r="U31" s="199"/>
      <c r="V31" s="199"/>
    </row>
    <row r="32" spans="1:22" s="109" customFormat="1" ht="38.25" hidden="1" customHeight="1" x14ac:dyDescent="0.25">
      <c r="A32" s="340">
        <v>6</v>
      </c>
      <c r="B32" s="341"/>
      <c r="C32" s="342"/>
      <c r="D32" s="343"/>
      <c r="E32" s="344"/>
      <c r="F32" s="345">
        <f t="shared" si="0"/>
        <v>0</v>
      </c>
      <c r="G32" s="256">
        <f>+'HOJA 1 AUX'!O48</f>
        <v>0</v>
      </c>
      <c r="H32" s="256">
        <f t="shared" si="1"/>
        <v>0</v>
      </c>
      <c r="I32" s="210"/>
      <c r="J32" s="210"/>
      <c r="K32" s="210"/>
      <c r="L32" s="175"/>
      <c r="M32" s="175"/>
      <c r="N32" s="175"/>
      <c r="O32" s="175"/>
      <c r="Q32" s="199"/>
      <c r="R32" s="199"/>
      <c r="S32" s="199"/>
      <c r="T32" s="199"/>
      <c r="U32" s="199"/>
      <c r="V32" s="199"/>
    </row>
    <row r="33" spans="1:22" s="109" customFormat="1" ht="38.25" hidden="1" customHeight="1" x14ac:dyDescent="0.25">
      <c r="A33" s="340">
        <v>7</v>
      </c>
      <c r="B33" s="341"/>
      <c r="C33" s="342"/>
      <c r="D33" s="343"/>
      <c r="E33" s="344"/>
      <c r="F33" s="345">
        <f t="shared" si="0"/>
        <v>0</v>
      </c>
      <c r="G33" s="256">
        <f>+'HOJA 1 AUX'!G67</f>
        <v>0</v>
      </c>
      <c r="H33" s="256">
        <f t="shared" si="1"/>
        <v>0</v>
      </c>
      <c r="I33" s="210"/>
      <c r="J33" s="210"/>
      <c r="K33" s="210"/>
      <c r="L33" s="175"/>
      <c r="M33" s="175"/>
      <c r="N33" s="175"/>
      <c r="O33" s="175"/>
      <c r="Q33" s="199"/>
      <c r="R33" s="199"/>
      <c r="S33" s="199"/>
      <c r="T33" s="199"/>
      <c r="U33" s="199"/>
      <c r="V33" s="199"/>
    </row>
    <row r="34" spans="1:22" s="109" customFormat="1" ht="38.25" hidden="1" customHeight="1" x14ac:dyDescent="0.25">
      <c r="A34" s="340">
        <v>8</v>
      </c>
      <c r="B34" s="341"/>
      <c r="C34" s="342"/>
      <c r="D34" s="343"/>
      <c r="E34" s="344"/>
      <c r="F34" s="345">
        <f t="shared" si="0"/>
        <v>0</v>
      </c>
      <c r="G34" s="256">
        <f>+'HOJA 1 AUX'!O67</f>
        <v>0</v>
      </c>
      <c r="H34" s="256">
        <f t="shared" si="1"/>
        <v>0</v>
      </c>
      <c r="I34" s="210"/>
      <c r="J34" s="210"/>
      <c r="K34" s="210"/>
      <c r="L34" s="175"/>
      <c r="M34" s="175"/>
      <c r="N34" s="175"/>
      <c r="O34" s="175"/>
      <c r="Q34" s="199"/>
      <c r="R34" s="199"/>
      <c r="S34" s="199"/>
      <c r="T34" s="199"/>
      <c r="U34" s="199"/>
      <c r="V34" s="199"/>
    </row>
    <row r="35" spans="1:22" s="109" customFormat="1" ht="38.25" hidden="1" customHeight="1" x14ac:dyDescent="0.25">
      <c r="A35" s="340">
        <v>9</v>
      </c>
      <c r="B35" s="341"/>
      <c r="C35" s="342"/>
      <c r="D35" s="343"/>
      <c r="E35" s="344"/>
      <c r="F35" s="345">
        <f t="shared" si="0"/>
        <v>0</v>
      </c>
      <c r="G35" s="256">
        <f>+'HOJA 1 AUX'!G87</f>
        <v>0</v>
      </c>
      <c r="H35" s="256">
        <f t="shared" si="1"/>
        <v>0</v>
      </c>
      <c r="I35" s="210"/>
      <c r="J35" s="210"/>
      <c r="K35" s="210"/>
      <c r="L35" s="175"/>
      <c r="M35" s="175"/>
      <c r="N35" s="175"/>
      <c r="O35" s="175"/>
      <c r="Q35" s="199"/>
      <c r="R35" s="199"/>
      <c r="S35" s="199"/>
      <c r="T35" s="199"/>
      <c r="U35" s="199"/>
      <c r="V35" s="199"/>
    </row>
    <row r="36" spans="1:22" s="109" customFormat="1" ht="38.25" hidden="1" customHeight="1" x14ac:dyDescent="0.25">
      <c r="A36" s="340">
        <v>10</v>
      </c>
      <c r="B36" s="341"/>
      <c r="C36" s="342"/>
      <c r="D36" s="343"/>
      <c r="E36" s="344"/>
      <c r="F36" s="345">
        <f t="shared" si="0"/>
        <v>0</v>
      </c>
      <c r="G36" s="256">
        <f>+'HOJA 1 AUX'!O87</f>
        <v>0</v>
      </c>
      <c r="H36" s="256">
        <f t="shared" si="1"/>
        <v>0</v>
      </c>
      <c r="I36" s="210"/>
      <c r="J36" s="210"/>
      <c r="K36" s="210"/>
      <c r="L36" s="175"/>
      <c r="M36" s="175"/>
      <c r="N36" s="175"/>
      <c r="O36" s="175"/>
      <c r="Q36" s="199"/>
      <c r="R36" s="199"/>
      <c r="S36" s="199"/>
      <c r="T36" s="199"/>
      <c r="U36" s="199"/>
      <c r="V36" s="199"/>
    </row>
    <row r="37" spans="1:22" s="109" customFormat="1" ht="38.25" hidden="1" customHeight="1" x14ac:dyDescent="0.25">
      <c r="A37" s="340">
        <v>11</v>
      </c>
      <c r="B37" s="341"/>
      <c r="C37" s="342"/>
      <c r="D37" s="343"/>
      <c r="E37" s="344"/>
      <c r="F37" s="345">
        <f t="shared" si="0"/>
        <v>0</v>
      </c>
      <c r="G37" s="256">
        <f>+'HOJA 1 AUX'!G106</f>
        <v>0</v>
      </c>
      <c r="H37" s="256">
        <f t="shared" si="1"/>
        <v>0</v>
      </c>
      <c r="I37" s="210"/>
      <c r="J37" s="210"/>
      <c r="K37" s="210"/>
      <c r="L37" s="175"/>
      <c r="M37" s="175"/>
      <c r="N37" s="175"/>
      <c r="O37" s="175"/>
      <c r="Q37" s="199"/>
      <c r="R37" s="199"/>
      <c r="S37" s="199"/>
      <c r="T37" s="199"/>
      <c r="U37" s="199"/>
      <c r="V37" s="199"/>
    </row>
    <row r="38" spans="1:22" s="109" customFormat="1" ht="38.25" hidden="1" customHeight="1" x14ac:dyDescent="0.25">
      <c r="A38" s="340">
        <v>12</v>
      </c>
      <c r="B38" s="151"/>
      <c r="C38" s="342"/>
      <c r="D38" s="343"/>
      <c r="E38" s="344"/>
      <c r="F38" s="345">
        <f t="shared" si="0"/>
        <v>0</v>
      </c>
      <c r="G38" s="256">
        <f>+'HOJA 1 AUX'!O106</f>
        <v>0</v>
      </c>
      <c r="H38" s="256">
        <f t="shared" si="1"/>
        <v>0</v>
      </c>
      <c r="I38" s="210"/>
      <c r="J38" s="210"/>
      <c r="K38" s="210"/>
      <c r="L38" s="175"/>
      <c r="M38" s="175"/>
      <c r="N38" s="175"/>
      <c r="O38" s="175"/>
      <c r="Q38" s="199"/>
      <c r="R38" s="199"/>
      <c r="S38" s="199"/>
      <c r="T38" s="199"/>
      <c r="U38" s="199"/>
      <c r="V38" s="199"/>
    </row>
    <row r="39" spans="1:22" s="109" customFormat="1" ht="38.25" customHeight="1" x14ac:dyDescent="0.25">
      <c r="A39" s="195"/>
      <c r="B39" s="253" t="s">
        <v>1369</v>
      </c>
      <c r="C39" s="346">
        <f t="shared" ref="C39:G39" si="2">SUM(C27:C38)</f>
        <v>1</v>
      </c>
      <c r="D39" s="347">
        <f t="shared" si="2"/>
        <v>4</v>
      </c>
      <c r="E39" s="348">
        <f t="shared" si="2"/>
        <v>80</v>
      </c>
      <c r="F39" s="349">
        <f t="shared" si="2"/>
        <v>0.25</v>
      </c>
      <c r="G39" s="256">
        <f t="shared" si="2"/>
        <v>94.674556213017752</v>
      </c>
      <c r="H39" s="256">
        <f>SUM(H27:H38)</f>
        <v>378.69822485207101</v>
      </c>
      <c r="I39" s="210"/>
      <c r="J39" s="210"/>
      <c r="K39" s="210"/>
      <c r="L39" s="175"/>
      <c r="M39" s="175"/>
      <c r="N39" s="175"/>
      <c r="O39" s="175"/>
      <c r="Q39" s="199"/>
      <c r="R39" s="199"/>
      <c r="S39" s="199"/>
      <c r="T39" s="199"/>
      <c r="U39" s="199"/>
      <c r="V39" s="199"/>
    </row>
    <row r="40" spans="1:22" s="199" customFormat="1" ht="15" customHeight="1" x14ac:dyDescent="0.25">
      <c r="A40" s="195"/>
      <c r="B40" s="208"/>
      <c r="C40" s="350"/>
      <c r="D40" s="351"/>
      <c r="E40" s="352"/>
      <c r="F40" s="352"/>
      <c r="G40" s="206"/>
      <c r="H40" s="206"/>
      <c r="I40" s="210"/>
      <c r="J40" s="210"/>
      <c r="K40" s="210"/>
      <c r="L40" s="210"/>
      <c r="M40" s="210"/>
      <c r="N40" s="210"/>
      <c r="O40" s="210"/>
    </row>
    <row r="41" spans="1:22" s="109" customFormat="1" ht="38.25" customHeight="1" x14ac:dyDescent="0.25">
      <c r="A41" s="195"/>
      <c r="B41" s="476" t="s">
        <v>1380</v>
      </c>
      <c r="C41" s="353" t="s">
        <v>1572</v>
      </c>
      <c r="D41" s="425" t="s">
        <v>1590</v>
      </c>
      <c r="E41" s="426"/>
      <c r="F41" s="354"/>
      <c r="G41" s="420" t="s">
        <v>1566</v>
      </c>
      <c r="H41" s="420"/>
      <c r="I41" s="209"/>
      <c r="J41" s="198"/>
      <c r="K41" s="198"/>
      <c r="L41" s="107"/>
      <c r="M41" s="107"/>
      <c r="N41" s="107"/>
      <c r="O41" s="106"/>
      <c r="P41" s="106"/>
      <c r="Q41" s="198"/>
      <c r="R41" s="198"/>
      <c r="S41" s="198"/>
      <c r="T41" s="209"/>
      <c r="U41" s="209"/>
      <c r="V41" s="212"/>
    </row>
    <row r="42" spans="1:22" s="109" customFormat="1" ht="60.75" customHeight="1" x14ac:dyDescent="0.25">
      <c r="A42" s="199"/>
      <c r="B42" s="477"/>
      <c r="C42" s="240" t="s">
        <v>1421</v>
      </c>
      <c r="D42" s="240" t="s">
        <v>1402</v>
      </c>
      <c r="E42" s="240" t="s">
        <v>1401</v>
      </c>
      <c r="F42" s="339"/>
      <c r="G42" s="355" t="s">
        <v>1573</v>
      </c>
      <c r="H42" s="355" t="s">
        <v>1574</v>
      </c>
      <c r="I42" s="209"/>
      <c r="J42" s="198"/>
      <c r="K42" s="198"/>
      <c r="L42" s="107"/>
      <c r="M42" s="107"/>
      <c r="N42" s="107"/>
      <c r="O42" s="106"/>
      <c r="P42" s="106"/>
      <c r="Q42" s="198"/>
      <c r="R42" s="198"/>
      <c r="S42" s="198"/>
      <c r="T42" s="209"/>
      <c r="U42" s="209"/>
      <c r="V42" s="212"/>
    </row>
    <row r="43" spans="1:22" s="109" customFormat="1" ht="46.5" customHeight="1" x14ac:dyDescent="0.25">
      <c r="A43" s="340">
        <v>1</v>
      </c>
      <c r="B43" s="341"/>
      <c r="C43" s="342"/>
      <c r="D43" s="343"/>
      <c r="E43" s="344"/>
      <c r="F43" s="345">
        <f t="shared" ref="F43:F54" si="3">G43/$E$182</f>
        <v>0</v>
      </c>
      <c r="G43" s="256">
        <f>+'HOJA 2 AUX'!G10</f>
        <v>0</v>
      </c>
      <c r="H43" s="256">
        <f t="shared" ref="H43:H54" si="4">+(C43*D43)*G43</f>
        <v>0</v>
      </c>
      <c r="I43" s="209"/>
      <c r="J43" s="198"/>
      <c r="K43" s="198"/>
      <c r="L43" s="107"/>
      <c r="M43" s="107"/>
      <c r="N43" s="107"/>
      <c r="O43" s="106"/>
      <c r="P43" s="106"/>
      <c r="Q43" s="198"/>
      <c r="R43" s="198"/>
      <c r="S43" s="198"/>
      <c r="T43" s="209"/>
      <c r="U43" s="209"/>
      <c r="V43" s="212"/>
    </row>
    <row r="44" spans="1:22" s="109" customFormat="1" ht="38.25" customHeight="1" x14ac:dyDescent="0.25">
      <c r="A44" s="340">
        <v>2</v>
      </c>
      <c r="B44" s="341"/>
      <c r="C44" s="342"/>
      <c r="D44" s="343"/>
      <c r="E44" s="344"/>
      <c r="F44" s="345">
        <f t="shared" si="3"/>
        <v>0</v>
      </c>
      <c r="G44" s="256">
        <f>+'HOJA 2 AUX'!O10</f>
        <v>0</v>
      </c>
      <c r="H44" s="256">
        <f t="shared" si="4"/>
        <v>0</v>
      </c>
      <c r="I44" s="209"/>
      <c r="J44" s="198"/>
      <c r="K44" s="198"/>
      <c r="L44" s="107"/>
      <c r="M44" s="107"/>
      <c r="N44" s="107"/>
      <c r="O44" s="106"/>
      <c r="P44" s="106"/>
      <c r="Q44" s="198"/>
      <c r="R44" s="198"/>
      <c r="S44" s="198"/>
      <c r="T44" s="209"/>
      <c r="U44" s="209"/>
      <c r="V44" s="212"/>
    </row>
    <row r="45" spans="1:22" s="109" customFormat="1" ht="38.25" customHeight="1" x14ac:dyDescent="0.25">
      <c r="A45" s="340">
        <v>3</v>
      </c>
      <c r="B45" s="341"/>
      <c r="C45" s="342"/>
      <c r="D45" s="343"/>
      <c r="E45" s="344"/>
      <c r="F45" s="345">
        <f t="shared" si="3"/>
        <v>0</v>
      </c>
      <c r="G45" s="256">
        <f>+'HOJA 2 AUX'!G28</f>
        <v>0</v>
      </c>
      <c r="H45" s="256">
        <f t="shared" si="4"/>
        <v>0</v>
      </c>
      <c r="I45" s="209"/>
      <c r="J45" s="198"/>
      <c r="K45" s="198"/>
      <c r="L45" s="107"/>
      <c r="M45" s="107"/>
      <c r="N45" s="107"/>
      <c r="O45" s="106"/>
      <c r="P45" s="106"/>
      <c r="Q45" s="198"/>
      <c r="R45" s="198"/>
      <c r="S45" s="198"/>
      <c r="T45" s="209"/>
      <c r="U45" s="209"/>
      <c r="V45" s="212"/>
    </row>
    <row r="46" spans="1:22" s="109" customFormat="1" ht="38.25" hidden="1" customHeight="1" x14ac:dyDescent="0.25">
      <c r="A46" s="340">
        <v>4</v>
      </c>
      <c r="B46" s="341"/>
      <c r="C46" s="342"/>
      <c r="D46" s="343"/>
      <c r="E46" s="344"/>
      <c r="F46" s="345">
        <f t="shared" si="3"/>
        <v>0</v>
      </c>
      <c r="G46" s="256">
        <f>+'HOJA 2 AUX'!O28</f>
        <v>0</v>
      </c>
      <c r="H46" s="256">
        <f t="shared" si="4"/>
        <v>0</v>
      </c>
      <c r="I46" s="209"/>
      <c r="J46" s="198"/>
      <c r="K46" s="198"/>
      <c r="L46" s="107"/>
      <c r="M46" s="107"/>
      <c r="N46" s="107"/>
      <c r="O46" s="106"/>
      <c r="P46" s="106"/>
      <c r="Q46" s="198"/>
      <c r="R46" s="198"/>
      <c r="S46" s="198"/>
      <c r="T46" s="209"/>
      <c r="U46" s="209"/>
      <c r="V46" s="212"/>
    </row>
    <row r="47" spans="1:22" s="109" customFormat="1" ht="38.25" hidden="1" customHeight="1" x14ac:dyDescent="0.25">
      <c r="A47" s="340">
        <v>5</v>
      </c>
      <c r="B47" s="341"/>
      <c r="C47" s="342"/>
      <c r="D47" s="343"/>
      <c r="E47" s="344"/>
      <c r="F47" s="345">
        <f t="shared" si="3"/>
        <v>0</v>
      </c>
      <c r="G47" s="256">
        <f>+'HOJA 2 AUX'!G48</f>
        <v>0</v>
      </c>
      <c r="H47" s="256">
        <f t="shared" si="4"/>
        <v>0</v>
      </c>
      <c r="I47" s="209"/>
      <c r="J47" s="198"/>
      <c r="K47" s="198"/>
      <c r="L47" s="107"/>
      <c r="M47" s="107"/>
      <c r="N47" s="107"/>
      <c r="O47" s="106"/>
      <c r="P47" s="106"/>
      <c r="Q47" s="198"/>
      <c r="R47" s="198"/>
      <c r="S47" s="198"/>
      <c r="T47" s="209"/>
      <c r="U47" s="209"/>
      <c r="V47" s="212"/>
    </row>
    <row r="48" spans="1:22" s="109" customFormat="1" ht="38.25" hidden="1" customHeight="1" x14ac:dyDescent="0.25">
      <c r="A48" s="340">
        <v>6</v>
      </c>
      <c r="B48" s="341"/>
      <c r="C48" s="342"/>
      <c r="D48" s="343"/>
      <c r="E48" s="344"/>
      <c r="F48" s="345">
        <f t="shared" si="3"/>
        <v>0</v>
      </c>
      <c r="G48" s="256">
        <f>+'HOJA 2 AUX'!O48</f>
        <v>0</v>
      </c>
      <c r="H48" s="256">
        <f t="shared" si="4"/>
        <v>0</v>
      </c>
      <c r="I48" s="209"/>
      <c r="J48" s="198"/>
      <c r="K48" s="198"/>
      <c r="L48" s="107"/>
      <c r="M48" s="107"/>
      <c r="N48" s="107"/>
      <c r="O48" s="106"/>
      <c r="P48" s="106"/>
      <c r="Q48" s="198"/>
      <c r="R48" s="198"/>
      <c r="S48" s="198"/>
      <c r="T48" s="209"/>
      <c r="U48" s="209"/>
      <c r="V48" s="212"/>
    </row>
    <row r="49" spans="1:22" s="109" customFormat="1" ht="38.25" hidden="1" customHeight="1" x14ac:dyDescent="0.25">
      <c r="A49" s="340">
        <v>7</v>
      </c>
      <c r="B49" s="341"/>
      <c r="C49" s="342"/>
      <c r="D49" s="343"/>
      <c r="E49" s="344"/>
      <c r="F49" s="345">
        <f t="shared" si="3"/>
        <v>0</v>
      </c>
      <c r="G49" s="256">
        <f>+'HOJA 2 AUX'!G67</f>
        <v>0</v>
      </c>
      <c r="H49" s="256">
        <f t="shared" si="4"/>
        <v>0</v>
      </c>
      <c r="I49" s="209"/>
      <c r="J49" s="198"/>
      <c r="K49" s="198"/>
      <c r="L49" s="107"/>
      <c r="M49" s="107"/>
      <c r="N49" s="107"/>
      <c r="O49" s="106"/>
      <c r="P49" s="106"/>
      <c r="Q49" s="198"/>
      <c r="R49" s="198"/>
      <c r="S49" s="198"/>
      <c r="T49" s="209"/>
      <c r="U49" s="209"/>
      <c r="V49" s="212"/>
    </row>
    <row r="50" spans="1:22" s="109" customFormat="1" ht="38.25" hidden="1" customHeight="1" x14ac:dyDescent="0.25">
      <c r="A50" s="340">
        <v>8</v>
      </c>
      <c r="B50" s="341"/>
      <c r="C50" s="342"/>
      <c r="D50" s="343"/>
      <c r="E50" s="344"/>
      <c r="F50" s="345">
        <f t="shared" si="3"/>
        <v>0</v>
      </c>
      <c r="G50" s="256">
        <f>+'HOJA 2 AUX'!O67</f>
        <v>0</v>
      </c>
      <c r="H50" s="256">
        <f t="shared" si="4"/>
        <v>0</v>
      </c>
      <c r="I50" s="209"/>
      <c r="J50" s="198"/>
      <c r="K50" s="198"/>
      <c r="L50" s="107"/>
      <c r="M50" s="107"/>
      <c r="N50" s="107"/>
      <c r="O50" s="106"/>
      <c r="P50" s="106"/>
      <c r="Q50" s="198"/>
      <c r="R50" s="198"/>
      <c r="S50" s="198"/>
      <c r="T50" s="209"/>
      <c r="U50" s="209"/>
      <c r="V50" s="212"/>
    </row>
    <row r="51" spans="1:22" s="109" customFormat="1" ht="38.25" hidden="1" customHeight="1" x14ac:dyDescent="0.25">
      <c r="A51" s="340">
        <v>9</v>
      </c>
      <c r="B51" s="341"/>
      <c r="C51" s="342"/>
      <c r="D51" s="343"/>
      <c r="E51" s="344"/>
      <c r="F51" s="345">
        <f t="shared" si="3"/>
        <v>0</v>
      </c>
      <c r="G51" s="256">
        <f>+'HOJA 2 AUX'!G85</f>
        <v>0</v>
      </c>
      <c r="H51" s="256">
        <f t="shared" si="4"/>
        <v>0</v>
      </c>
      <c r="I51" s="209"/>
      <c r="J51" s="198"/>
      <c r="K51" s="198"/>
      <c r="L51" s="107"/>
      <c r="M51" s="107"/>
      <c r="N51" s="107"/>
      <c r="O51" s="106"/>
      <c r="P51" s="106"/>
      <c r="Q51" s="198"/>
      <c r="R51" s="198"/>
      <c r="S51" s="198"/>
      <c r="T51" s="209"/>
      <c r="U51" s="209"/>
      <c r="V51" s="212"/>
    </row>
    <row r="52" spans="1:22" s="109" customFormat="1" ht="38.25" hidden="1" customHeight="1" x14ac:dyDescent="0.25">
      <c r="A52" s="340">
        <v>10</v>
      </c>
      <c r="B52" s="341"/>
      <c r="C52" s="342"/>
      <c r="D52" s="343"/>
      <c r="E52" s="344"/>
      <c r="F52" s="345">
        <f t="shared" si="3"/>
        <v>0</v>
      </c>
      <c r="G52" s="256">
        <f>+'HOJA 2 AUX'!O85</f>
        <v>0</v>
      </c>
      <c r="H52" s="256">
        <f t="shared" si="4"/>
        <v>0</v>
      </c>
      <c r="I52" s="209"/>
      <c r="J52" s="198"/>
      <c r="K52" s="198"/>
      <c r="L52" s="107"/>
      <c r="M52" s="107"/>
      <c r="N52" s="107"/>
      <c r="O52" s="106"/>
      <c r="P52" s="106"/>
      <c r="Q52" s="198"/>
      <c r="R52" s="198"/>
      <c r="S52" s="198"/>
      <c r="T52" s="209"/>
      <c r="U52" s="209"/>
      <c r="V52" s="212"/>
    </row>
    <row r="53" spans="1:22" s="109" customFormat="1" ht="38.25" hidden="1" customHeight="1" x14ac:dyDescent="0.25">
      <c r="A53" s="340">
        <v>11</v>
      </c>
      <c r="B53" s="341"/>
      <c r="C53" s="342"/>
      <c r="D53" s="343"/>
      <c r="E53" s="344"/>
      <c r="F53" s="345">
        <f t="shared" si="3"/>
        <v>0</v>
      </c>
      <c r="G53" s="256">
        <f>+'HOJA 2 AUX'!G105</f>
        <v>0</v>
      </c>
      <c r="H53" s="256">
        <f t="shared" si="4"/>
        <v>0</v>
      </c>
      <c r="I53" s="209"/>
      <c r="J53" s="198"/>
      <c r="K53" s="198"/>
      <c r="L53" s="107"/>
      <c r="M53" s="107"/>
      <c r="N53" s="107"/>
      <c r="O53" s="106"/>
      <c r="P53" s="106"/>
      <c r="Q53" s="198"/>
      <c r="R53" s="198"/>
      <c r="S53" s="198"/>
      <c r="T53" s="209"/>
      <c r="U53" s="209"/>
      <c r="V53" s="212"/>
    </row>
    <row r="54" spans="1:22" s="109" customFormat="1" ht="38.25" hidden="1" customHeight="1" x14ac:dyDescent="0.25">
      <c r="A54" s="340">
        <v>12</v>
      </c>
      <c r="B54" s="341"/>
      <c r="C54" s="342"/>
      <c r="D54" s="343"/>
      <c r="E54" s="344"/>
      <c r="F54" s="345">
        <f t="shared" si="3"/>
        <v>0</v>
      </c>
      <c r="G54" s="256">
        <f>+'HOJA 2 AUX'!O105</f>
        <v>0</v>
      </c>
      <c r="H54" s="256">
        <f t="shared" si="4"/>
        <v>0</v>
      </c>
      <c r="I54" s="209"/>
      <c r="J54" s="198"/>
      <c r="K54" s="198"/>
      <c r="L54" s="107"/>
      <c r="M54" s="107"/>
      <c r="N54" s="107"/>
      <c r="O54" s="106"/>
      <c r="P54" s="106"/>
      <c r="Q54" s="198"/>
      <c r="R54" s="198"/>
      <c r="S54" s="198"/>
      <c r="T54" s="209"/>
      <c r="U54" s="209"/>
      <c r="V54" s="212"/>
    </row>
    <row r="55" spans="1:22" s="109" customFormat="1" ht="38.25" customHeight="1" x14ac:dyDescent="0.25">
      <c r="A55" s="199"/>
      <c r="B55" s="253" t="s">
        <v>1369</v>
      </c>
      <c r="C55" s="347">
        <f t="shared" ref="C55:G55" si="5">SUM(C43:C54)</f>
        <v>0</v>
      </c>
      <c r="D55" s="347">
        <f t="shared" si="5"/>
        <v>0</v>
      </c>
      <c r="E55" s="348">
        <f t="shared" si="5"/>
        <v>0</v>
      </c>
      <c r="F55" s="349">
        <f t="shared" si="5"/>
        <v>0</v>
      </c>
      <c r="G55" s="256">
        <f t="shared" si="5"/>
        <v>0</v>
      </c>
      <c r="H55" s="256">
        <f>SUM(H43:H54)</f>
        <v>0</v>
      </c>
      <c r="I55" s="209"/>
      <c r="J55" s="198"/>
      <c r="K55" s="198"/>
      <c r="L55" s="107"/>
      <c r="M55" s="107"/>
      <c r="N55" s="107"/>
      <c r="O55" s="106"/>
      <c r="P55" s="106"/>
      <c r="Q55" s="198"/>
      <c r="R55" s="198"/>
      <c r="S55" s="198"/>
      <c r="T55" s="209"/>
      <c r="U55" s="209"/>
      <c r="V55" s="212"/>
    </row>
    <row r="56" spans="1:22" s="199" customFormat="1" ht="15" customHeight="1" x14ac:dyDescent="0.25">
      <c r="A56" s="195"/>
      <c r="B56" s="208"/>
      <c r="C56" s="356"/>
      <c r="D56" s="357"/>
      <c r="E56" s="358"/>
      <c r="F56" s="358"/>
      <c r="G56" s="206"/>
      <c r="H56" s="206"/>
      <c r="I56" s="210"/>
      <c r="J56" s="210"/>
      <c r="K56" s="210"/>
      <c r="L56" s="210"/>
      <c r="M56" s="210"/>
      <c r="N56" s="210"/>
      <c r="O56" s="210"/>
    </row>
    <row r="57" spans="1:22" s="109" customFormat="1" ht="38.25" customHeight="1" x14ac:dyDescent="0.25">
      <c r="A57" s="199"/>
      <c r="B57" s="478" t="s">
        <v>1380</v>
      </c>
      <c r="C57" s="359" t="s">
        <v>1572</v>
      </c>
      <c r="D57" s="429" t="s">
        <v>1382</v>
      </c>
      <c r="E57" s="429"/>
      <c r="F57" s="360"/>
      <c r="G57" s="419" t="s">
        <v>1566</v>
      </c>
      <c r="H57" s="419"/>
      <c r="I57" s="209"/>
      <c r="J57" s="198"/>
      <c r="K57" s="198"/>
      <c r="L57" s="107"/>
      <c r="M57" s="107"/>
      <c r="N57" s="107"/>
      <c r="O57" s="106"/>
      <c r="P57" s="106"/>
      <c r="Q57" s="198"/>
      <c r="R57" s="198"/>
      <c r="S57" s="198"/>
      <c r="T57" s="209"/>
      <c r="U57" s="209"/>
      <c r="V57" s="212"/>
    </row>
    <row r="58" spans="1:22" s="109" customFormat="1" ht="51.75" customHeight="1" x14ac:dyDescent="0.25">
      <c r="A58" s="199"/>
      <c r="B58" s="478"/>
      <c r="C58" s="359" t="s">
        <v>1421</v>
      </c>
      <c r="D58" s="359" t="s">
        <v>1400</v>
      </c>
      <c r="E58" s="359" t="s">
        <v>1401</v>
      </c>
      <c r="F58" s="361"/>
      <c r="G58" s="362" t="s">
        <v>1573</v>
      </c>
      <c r="H58" s="362" t="s">
        <v>1574</v>
      </c>
      <c r="I58" s="209"/>
      <c r="J58" s="198"/>
      <c r="K58" s="198"/>
      <c r="L58" s="107"/>
      <c r="M58" s="107"/>
      <c r="N58" s="107"/>
      <c r="O58" s="106"/>
      <c r="P58" s="106"/>
      <c r="Q58" s="198"/>
      <c r="R58" s="198"/>
      <c r="S58" s="198"/>
      <c r="T58" s="209"/>
      <c r="U58" s="209"/>
      <c r="V58" s="212"/>
    </row>
    <row r="59" spans="1:22" s="109" customFormat="1" ht="38.25" customHeight="1" x14ac:dyDescent="0.25">
      <c r="A59" s="340">
        <v>1</v>
      </c>
      <c r="B59" s="363"/>
      <c r="C59" s="364"/>
      <c r="D59" s="365"/>
      <c r="E59" s="344"/>
      <c r="F59" s="366">
        <f t="shared" ref="F59:F70" si="6">+G59/$E$182</f>
        <v>0</v>
      </c>
      <c r="G59" s="355">
        <f>'HOJA 3 AUX'!G10</f>
        <v>0</v>
      </c>
      <c r="H59" s="355">
        <f t="shared" ref="H59:H70" si="7">+(C59*D59)*G59</f>
        <v>0</v>
      </c>
      <c r="I59" s="209"/>
      <c r="J59" s="198"/>
      <c r="K59" s="198"/>
      <c r="L59" s="107"/>
      <c r="M59" s="107"/>
      <c r="N59" s="107"/>
      <c r="O59" s="106"/>
      <c r="P59" s="106"/>
      <c r="Q59" s="198"/>
      <c r="R59" s="198"/>
      <c r="S59" s="198"/>
      <c r="T59" s="209"/>
      <c r="U59" s="209"/>
      <c r="V59" s="212"/>
    </row>
    <row r="60" spans="1:22" s="109" customFormat="1" ht="38.25" customHeight="1" x14ac:dyDescent="0.25">
      <c r="A60" s="340">
        <v>2</v>
      </c>
      <c r="B60" s="341"/>
      <c r="C60" s="342"/>
      <c r="D60" s="365"/>
      <c r="E60" s="344"/>
      <c r="F60" s="345">
        <f t="shared" si="6"/>
        <v>0</v>
      </c>
      <c r="G60" s="256">
        <f>'HOJA 3 AUX'!O10</f>
        <v>0</v>
      </c>
      <c r="H60" s="256">
        <f t="shared" si="7"/>
        <v>0</v>
      </c>
      <c r="I60" s="209"/>
      <c r="J60" s="198"/>
      <c r="K60" s="198"/>
      <c r="L60" s="107"/>
      <c r="M60" s="107"/>
      <c r="N60" s="107"/>
      <c r="O60" s="106"/>
      <c r="P60" s="106"/>
      <c r="Q60" s="198"/>
      <c r="R60" s="198"/>
      <c r="S60" s="198"/>
      <c r="T60" s="209"/>
      <c r="U60" s="209"/>
      <c r="V60" s="212"/>
    </row>
    <row r="61" spans="1:22" s="109" customFormat="1" ht="38.25" customHeight="1" x14ac:dyDescent="0.25">
      <c r="A61" s="340">
        <v>3</v>
      </c>
      <c r="B61" s="341"/>
      <c r="C61" s="342"/>
      <c r="D61" s="365"/>
      <c r="E61" s="344"/>
      <c r="F61" s="345">
        <f t="shared" si="6"/>
        <v>0</v>
      </c>
      <c r="G61" s="256">
        <f>+'HOJA 3 AUX'!G28</f>
        <v>0</v>
      </c>
      <c r="H61" s="256">
        <f t="shared" si="7"/>
        <v>0</v>
      </c>
      <c r="I61" s="209"/>
      <c r="J61" s="198"/>
      <c r="K61" s="198"/>
      <c r="L61" s="107"/>
      <c r="M61" s="107"/>
      <c r="N61" s="107"/>
      <c r="O61" s="106"/>
      <c r="P61" s="106"/>
      <c r="Q61" s="198"/>
      <c r="R61" s="198"/>
      <c r="S61" s="198"/>
      <c r="T61" s="209"/>
      <c r="U61" s="209"/>
      <c r="V61" s="212"/>
    </row>
    <row r="62" spans="1:22" s="109" customFormat="1" ht="38.25" hidden="1" customHeight="1" x14ac:dyDescent="0.25">
      <c r="A62" s="340">
        <v>4</v>
      </c>
      <c r="B62" s="341"/>
      <c r="C62" s="342"/>
      <c r="D62" s="365"/>
      <c r="E62" s="344"/>
      <c r="F62" s="345">
        <f t="shared" si="6"/>
        <v>0</v>
      </c>
      <c r="G62" s="256">
        <f>'HOJA 3 AUX'!O28</f>
        <v>0</v>
      </c>
      <c r="H62" s="256">
        <f t="shared" si="7"/>
        <v>0</v>
      </c>
      <c r="I62" s="209"/>
      <c r="J62" s="198"/>
      <c r="K62" s="198"/>
      <c r="L62" s="107"/>
      <c r="M62" s="107"/>
      <c r="N62" s="107"/>
      <c r="O62" s="106"/>
      <c r="P62" s="106"/>
      <c r="Q62" s="198"/>
      <c r="R62" s="198"/>
      <c r="S62" s="198"/>
      <c r="T62" s="209"/>
      <c r="U62" s="209"/>
      <c r="V62" s="212"/>
    </row>
    <row r="63" spans="1:22" s="109" customFormat="1" ht="38.25" hidden="1" customHeight="1" x14ac:dyDescent="0.25">
      <c r="A63" s="340">
        <v>5</v>
      </c>
      <c r="B63" s="341"/>
      <c r="C63" s="342"/>
      <c r="D63" s="365"/>
      <c r="E63" s="344"/>
      <c r="F63" s="345">
        <f t="shared" si="6"/>
        <v>0</v>
      </c>
      <c r="G63" s="256">
        <f>'HOJA 3 AUX'!G48</f>
        <v>0</v>
      </c>
      <c r="H63" s="256">
        <f t="shared" si="7"/>
        <v>0</v>
      </c>
      <c r="I63" s="209"/>
      <c r="J63" s="198"/>
      <c r="K63" s="198"/>
      <c r="L63" s="107"/>
      <c r="M63" s="107"/>
      <c r="N63" s="107"/>
      <c r="O63" s="106"/>
      <c r="P63" s="106"/>
      <c r="Q63" s="198"/>
      <c r="R63" s="198"/>
      <c r="S63" s="198"/>
      <c r="T63" s="209"/>
      <c r="U63" s="209"/>
      <c r="V63" s="212"/>
    </row>
    <row r="64" spans="1:22" s="109" customFormat="1" ht="38.25" hidden="1" customHeight="1" x14ac:dyDescent="0.25">
      <c r="A64" s="340">
        <v>6</v>
      </c>
      <c r="B64" s="341"/>
      <c r="C64" s="342"/>
      <c r="D64" s="365"/>
      <c r="E64" s="344"/>
      <c r="F64" s="345">
        <f t="shared" si="6"/>
        <v>0</v>
      </c>
      <c r="G64" s="256">
        <f>'HOJA 3 AUX'!O48</f>
        <v>0</v>
      </c>
      <c r="H64" s="256">
        <f t="shared" si="7"/>
        <v>0</v>
      </c>
      <c r="I64" s="209"/>
      <c r="J64" s="198"/>
      <c r="K64" s="198"/>
      <c r="L64" s="107"/>
      <c r="M64" s="107"/>
      <c r="N64" s="107"/>
      <c r="O64" s="106"/>
      <c r="P64" s="106"/>
      <c r="Q64" s="198"/>
      <c r="R64" s="198"/>
      <c r="S64" s="198"/>
      <c r="T64" s="209"/>
      <c r="U64" s="209"/>
      <c r="V64" s="212"/>
    </row>
    <row r="65" spans="1:22" s="109" customFormat="1" ht="38.25" hidden="1" customHeight="1" x14ac:dyDescent="0.25">
      <c r="A65" s="340">
        <v>7</v>
      </c>
      <c r="B65" s="341"/>
      <c r="C65" s="342"/>
      <c r="D65" s="365"/>
      <c r="E65" s="344"/>
      <c r="F65" s="345">
        <f t="shared" si="6"/>
        <v>0</v>
      </c>
      <c r="G65" s="256">
        <f>+'HOJA 3 AUX'!G67</f>
        <v>0</v>
      </c>
      <c r="H65" s="256">
        <f t="shared" si="7"/>
        <v>0</v>
      </c>
      <c r="I65" s="209"/>
      <c r="J65" s="198"/>
      <c r="K65" s="198"/>
      <c r="L65" s="107"/>
      <c r="M65" s="107"/>
      <c r="N65" s="107"/>
      <c r="O65" s="106"/>
      <c r="P65" s="106"/>
      <c r="Q65" s="198"/>
      <c r="R65" s="198"/>
      <c r="S65" s="198"/>
      <c r="T65" s="209"/>
      <c r="U65" s="209"/>
      <c r="V65" s="212"/>
    </row>
    <row r="66" spans="1:22" s="109" customFormat="1" ht="38.25" hidden="1" customHeight="1" x14ac:dyDescent="0.25">
      <c r="A66" s="340">
        <v>8</v>
      </c>
      <c r="B66" s="341"/>
      <c r="C66" s="342"/>
      <c r="D66" s="365"/>
      <c r="E66" s="344"/>
      <c r="F66" s="345">
        <f t="shared" si="6"/>
        <v>0</v>
      </c>
      <c r="G66" s="256">
        <f>'HOJA 3 AUX'!O67</f>
        <v>0</v>
      </c>
      <c r="H66" s="256">
        <f t="shared" si="7"/>
        <v>0</v>
      </c>
      <c r="I66" s="209"/>
      <c r="J66" s="198"/>
      <c r="K66" s="198"/>
      <c r="L66" s="107"/>
      <c r="M66" s="107"/>
      <c r="N66" s="107"/>
      <c r="O66" s="106"/>
      <c r="P66" s="106"/>
      <c r="Q66" s="198"/>
      <c r="R66" s="198"/>
      <c r="S66" s="198"/>
      <c r="T66" s="209"/>
      <c r="U66" s="209"/>
      <c r="V66" s="212"/>
    </row>
    <row r="67" spans="1:22" s="109" customFormat="1" ht="38.25" hidden="1" customHeight="1" x14ac:dyDescent="0.25">
      <c r="A67" s="340">
        <v>9</v>
      </c>
      <c r="B67" s="341"/>
      <c r="C67" s="342"/>
      <c r="D67" s="365"/>
      <c r="E67" s="344"/>
      <c r="F67" s="345">
        <f t="shared" si="6"/>
        <v>0</v>
      </c>
      <c r="G67" s="256">
        <f>+'HOJA 3 AUX'!G85</f>
        <v>0</v>
      </c>
      <c r="H67" s="256">
        <f t="shared" si="7"/>
        <v>0</v>
      </c>
      <c r="I67" s="209"/>
      <c r="J67" s="198"/>
      <c r="K67" s="198"/>
      <c r="L67" s="107"/>
      <c r="M67" s="107"/>
      <c r="N67" s="107"/>
      <c r="O67" s="106"/>
      <c r="P67" s="106"/>
      <c r="Q67" s="198"/>
      <c r="R67" s="198"/>
      <c r="S67" s="198"/>
      <c r="T67" s="209"/>
      <c r="U67" s="209"/>
      <c r="V67" s="212"/>
    </row>
    <row r="68" spans="1:22" s="109" customFormat="1" ht="38.25" hidden="1" customHeight="1" x14ac:dyDescent="0.25">
      <c r="A68" s="340">
        <v>10</v>
      </c>
      <c r="B68" s="341"/>
      <c r="C68" s="342"/>
      <c r="D68" s="365"/>
      <c r="E68" s="344"/>
      <c r="F68" s="345">
        <f t="shared" si="6"/>
        <v>0</v>
      </c>
      <c r="G68" s="256">
        <f>'HOJA 3 AUX'!O85</f>
        <v>0</v>
      </c>
      <c r="H68" s="256">
        <f t="shared" si="7"/>
        <v>0</v>
      </c>
      <c r="I68" s="209"/>
      <c r="J68" s="198"/>
      <c r="K68" s="198"/>
      <c r="L68" s="107"/>
      <c r="M68" s="107"/>
      <c r="N68" s="107"/>
      <c r="O68" s="106"/>
      <c r="P68" s="106"/>
      <c r="Q68" s="198"/>
      <c r="R68" s="198"/>
      <c r="S68" s="198"/>
      <c r="T68" s="209"/>
      <c r="U68" s="209"/>
      <c r="V68" s="212"/>
    </row>
    <row r="69" spans="1:22" s="109" customFormat="1" ht="38.25" hidden="1" customHeight="1" x14ac:dyDescent="0.25">
      <c r="A69" s="340">
        <v>11</v>
      </c>
      <c r="B69" s="341"/>
      <c r="C69" s="342"/>
      <c r="D69" s="365"/>
      <c r="E69" s="344"/>
      <c r="F69" s="345">
        <f t="shared" si="6"/>
        <v>0</v>
      </c>
      <c r="G69" s="256">
        <f>+'HOJA 3 AUX'!G105</f>
        <v>0</v>
      </c>
      <c r="H69" s="256">
        <f t="shared" si="7"/>
        <v>0</v>
      </c>
      <c r="I69" s="209"/>
      <c r="J69" s="198"/>
      <c r="K69" s="198"/>
      <c r="L69" s="107"/>
      <c r="M69" s="107"/>
      <c r="N69" s="107"/>
      <c r="O69" s="106"/>
      <c r="P69" s="106"/>
      <c r="Q69" s="198"/>
      <c r="R69" s="198"/>
      <c r="S69" s="198"/>
      <c r="T69" s="209"/>
      <c r="U69" s="209"/>
      <c r="V69" s="212"/>
    </row>
    <row r="70" spans="1:22" s="109" customFormat="1" ht="38.25" hidden="1" customHeight="1" x14ac:dyDescent="0.25">
      <c r="A70" s="340">
        <v>12</v>
      </c>
      <c r="B70" s="341"/>
      <c r="C70" s="342"/>
      <c r="D70" s="365"/>
      <c r="E70" s="344"/>
      <c r="F70" s="345">
        <f t="shared" si="6"/>
        <v>0</v>
      </c>
      <c r="G70" s="256">
        <f>'HOJA 3 AUX'!O105</f>
        <v>0</v>
      </c>
      <c r="H70" s="256">
        <f t="shared" si="7"/>
        <v>0</v>
      </c>
      <c r="I70" s="209"/>
      <c r="J70" s="198"/>
      <c r="K70" s="198"/>
      <c r="L70" s="107"/>
      <c r="M70" s="107"/>
      <c r="N70" s="107"/>
      <c r="O70" s="106"/>
      <c r="P70" s="106"/>
      <c r="Q70" s="198"/>
      <c r="R70" s="198"/>
      <c r="S70" s="198"/>
      <c r="T70" s="209"/>
      <c r="U70" s="209"/>
      <c r="V70" s="212"/>
    </row>
    <row r="71" spans="1:22" s="109" customFormat="1" ht="38.25" customHeight="1" x14ac:dyDescent="0.25">
      <c r="A71" s="199"/>
      <c r="B71" s="253" t="s">
        <v>1369</v>
      </c>
      <c r="C71" s="347">
        <f t="shared" ref="C71:G71" si="8">SUM(C59:C70)</f>
        <v>0</v>
      </c>
      <c r="D71" s="347">
        <f t="shared" si="8"/>
        <v>0</v>
      </c>
      <c r="E71" s="348">
        <f t="shared" si="8"/>
        <v>0</v>
      </c>
      <c r="F71" s="367">
        <f t="shared" si="8"/>
        <v>0</v>
      </c>
      <c r="G71" s="256">
        <f t="shared" si="8"/>
        <v>0</v>
      </c>
      <c r="H71" s="256">
        <f>SUM(H59:H70)</f>
        <v>0</v>
      </c>
      <c r="I71" s="209"/>
      <c r="J71" s="198"/>
      <c r="K71" s="198"/>
      <c r="L71" s="107"/>
      <c r="M71" s="107"/>
      <c r="N71" s="107"/>
      <c r="O71" s="106"/>
      <c r="P71" s="106"/>
      <c r="Q71" s="198"/>
      <c r="R71" s="198"/>
      <c r="S71" s="198"/>
      <c r="T71" s="209"/>
      <c r="U71" s="209"/>
      <c r="V71" s="212"/>
    </row>
    <row r="72" spans="1:22" s="199" customFormat="1" ht="15" customHeight="1" x14ac:dyDescent="0.25">
      <c r="A72" s="195"/>
      <c r="B72" s="208"/>
      <c r="C72" s="350"/>
      <c r="D72" s="351"/>
      <c r="E72" s="352"/>
      <c r="F72" s="352"/>
      <c r="G72" s="206"/>
      <c r="H72" s="206"/>
      <c r="I72" s="210"/>
      <c r="J72" s="210"/>
      <c r="K72" s="210"/>
      <c r="L72" s="210"/>
      <c r="M72" s="210"/>
      <c r="N72" s="210"/>
      <c r="O72" s="210"/>
    </row>
    <row r="73" spans="1:22" s="109" customFormat="1" ht="38.25" customHeight="1" x14ac:dyDescent="0.25">
      <c r="A73" s="199"/>
      <c r="B73" s="476" t="s">
        <v>1380</v>
      </c>
      <c r="C73" s="353" t="s">
        <v>1572</v>
      </c>
      <c r="D73" s="425" t="s">
        <v>1384</v>
      </c>
      <c r="E73" s="430"/>
      <c r="F73" s="126"/>
      <c r="G73" s="417" t="s">
        <v>1566</v>
      </c>
      <c r="H73" s="421"/>
      <c r="I73" s="209"/>
      <c r="J73" s="198"/>
      <c r="K73" s="198"/>
      <c r="L73" s="107"/>
      <c r="M73" s="107"/>
      <c r="N73" s="107"/>
      <c r="O73" s="106"/>
      <c r="P73" s="106"/>
      <c r="Q73" s="198"/>
      <c r="R73" s="198"/>
      <c r="S73" s="198"/>
      <c r="T73" s="209"/>
      <c r="U73" s="209"/>
      <c r="V73" s="212"/>
    </row>
    <row r="74" spans="1:22" s="109" customFormat="1" ht="49.5" customHeight="1" x14ac:dyDescent="0.25">
      <c r="A74" s="199"/>
      <c r="B74" s="477"/>
      <c r="C74" s="240" t="s">
        <v>1421</v>
      </c>
      <c r="D74" s="240" t="s">
        <v>1400</v>
      </c>
      <c r="E74" s="240" t="s">
        <v>1401</v>
      </c>
      <c r="F74" s="368"/>
      <c r="G74" s="256" t="s">
        <v>1573</v>
      </c>
      <c r="H74" s="256" t="s">
        <v>1574</v>
      </c>
      <c r="I74" s="209"/>
      <c r="J74" s="198"/>
      <c r="K74" s="198"/>
      <c r="L74" s="107"/>
      <c r="M74" s="107"/>
      <c r="N74" s="107"/>
      <c r="O74" s="106"/>
      <c r="P74" s="106"/>
      <c r="Q74" s="198"/>
      <c r="R74" s="198"/>
      <c r="S74" s="198"/>
      <c r="T74" s="209"/>
      <c r="U74" s="209"/>
      <c r="V74" s="212"/>
    </row>
    <row r="75" spans="1:22" s="109" customFormat="1" ht="38.25" customHeight="1" x14ac:dyDescent="0.25">
      <c r="A75" s="340">
        <v>1</v>
      </c>
      <c r="B75" s="341"/>
      <c r="C75" s="342"/>
      <c r="D75" s="343"/>
      <c r="E75" s="344"/>
      <c r="F75" s="345">
        <f t="shared" ref="F75:F86" si="9">+G75/$E$182</f>
        <v>0</v>
      </c>
      <c r="G75" s="256">
        <f>'HOJA 4 AUX'!G10</f>
        <v>0</v>
      </c>
      <c r="H75" s="256">
        <f t="shared" ref="H75:H86" si="10">(C75*D75)*G75</f>
        <v>0</v>
      </c>
      <c r="I75" s="209"/>
      <c r="J75" s="198"/>
      <c r="K75" s="198"/>
      <c r="L75" s="107"/>
      <c r="M75" s="107"/>
      <c r="N75" s="107"/>
      <c r="O75" s="106"/>
      <c r="P75" s="106"/>
      <c r="Q75" s="198"/>
      <c r="R75" s="198"/>
      <c r="S75" s="198"/>
      <c r="T75" s="209"/>
      <c r="U75" s="209"/>
      <c r="V75" s="212"/>
    </row>
    <row r="76" spans="1:22" s="109" customFormat="1" ht="38.25" customHeight="1" x14ac:dyDescent="0.25">
      <c r="A76" s="340">
        <v>2</v>
      </c>
      <c r="B76" s="341"/>
      <c r="C76" s="342"/>
      <c r="D76" s="343"/>
      <c r="E76" s="344"/>
      <c r="F76" s="345">
        <f t="shared" si="9"/>
        <v>0</v>
      </c>
      <c r="G76" s="256">
        <f>'HOJA 4 AUX'!O10</f>
        <v>0</v>
      </c>
      <c r="H76" s="256">
        <f t="shared" si="10"/>
        <v>0</v>
      </c>
      <c r="I76" s="209"/>
      <c r="J76" s="198"/>
      <c r="K76" s="198"/>
      <c r="L76" s="107"/>
      <c r="M76" s="107"/>
      <c r="N76" s="107"/>
      <c r="O76" s="106"/>
      <c r="P76" s="106"/>
      <c r="Q76" s="198"/>
      <c r="R76" s="198"/>
      <c r="S76" s="198"/>
      <c r="T76" s="209"/>
      <c r="U76" s="209"/>
      <c r="V76" s="212"/>
    </row>
    <row r="77" spans="1:22" s="109" customFormat="1" ht="38.25" customHeight="1" x14ac:dyDescent="0.25">
      <c r="A77" s="340">
        <v>3</v>
      </c>
      <c r="B77" s="341"/>
      <c r="C77" s="342"/>
      <c r="D77" s="343"/>
      <c r="E77" s="344"/>
      <c r="F77" s="345">
        <f t="shared" si="9"/>
        <v>0</v>
      </c>
      <c r="G77" s="256">
        <f>'HOJA 4 AUX'!G28</f>
        <v>0</v>
      </c>
      <c r="H77" s="256">
        <f t="shared" si="10"/>
        <v>0</v>
      </c>
      <c r="I77" s="210"/>
      <c r="J77" s="198"/>
      <c r="K77" s="198"/>
      <c r="L77" s="107"/>
      <c r="M77" s="107"/>
      <c r="N77" s="107"/>
      <c r="O77" s="106"/>
      <c r="P77" s="106"/>
      <c r="Q77" s="198"/>
      <c r="R77" s="198"/>
      <c r="S77" s="198"/>
      <c r="T77" s="209"/>
      <c r="U77" s="209"/>
      <c r="V77" s="212"/>
    </row>
    <row r="78" spans="1:22" s="109" customFormat="1" ht="38.25" hidden="1" customHeight="1" x14ac:dyDescent="0.25">
      <c r="A78" s="340">
        <v>4</v>
      </c>
      <c r="B78" s="341"/>
      <c r="C78" s="342"/>
      <c r="D78" s="343"/>
      <c r="E78" s="344"/>
      <c r="F78" s="345">
        <f t="shared" si="9"/>
        <v>0</v>
      </c>
      <c r="G78" s="256">
        <f>'HOJA 4 AUX'!O28</f>
        <v>0</v>
      </c>
      <c r="H78" s="256">
        <f t="shared" si="10"/>
        <v>0</v>
      </c>
      <c r="I78" s="210"/>
      <c r="J78" s="198"/>
      <c r="K78" s="198"/>
      <c r="L78" s="107"/>
      <c r="M78" s="107"/>
      <c r="N78" s="107"/>
      <c r="O78" s="106"/>
      <c r="P78" s="106"/>
      <c r="Q78" s="198"/>
      <c r="R78" s="198"/>
      <c r="S78" s="198"/>
      <c r="T78" s="209"/>
      <c r="U78" s="209"/>
      <c r="V78" s="212"/>
    </row>
    <row r="79" spans="1:22" s="109" customFormat="1" ht="38.25" hidden="1" customHeight="1" x14ac:dyDescent="0.25">
      <c r="A79" s="340">
        <v>5</v>
      </c>
      <c r="B79" s="341"/>
      <c r="C79" s="342"/>
      <c r="D79" s="343"/>
      <c r="E79" s="344"/>
      <c r="F79" s="345">
        <f t="shared" si="9"/>
        <v>0</v>
      </c>
      <c r="G79" s="256">
        <f>'HOJA 4 AUX'!G48</f>
        <v>0</v>
      </c>
      <c r="H79" s="256">
        <f t="shared" si="10"/>
        <v>0</v>
      </c>
      <c r="I79" s="210"/>
      <c r="J79" s="198"/>
      <c r="K79" s="198"/>
      <c r="L79" s="107"/>
      <c r="M79" s="107"/>
      <c r="N79" s="107"/>
      <c r="O79" s="106"/>
      <c r="P79" s="106"/>
      <c r="Q79" s="198"/>
      <c r="R79" s="198"/>
      <c r="S79" s="198"/>
      <c r="T79" s="209"/>
      <c r="U79" s="209"/>
      <c r="V79" s="212"/>
    </row>
    <row r="80" spans="1:22" s="109" customFormat="1" ht="38.25" hidden="1" customHeight="1" x14ac:dyDescent="0.25">
      <c r="A80" s="340">
        <v>6</v>
      </c>
      <c r="B80" s="341"/>
      <c r="C80" s="342"/>
      <c r="D80" s="343"/>
      <c r="E80" s="344"/>
      <c r="F80" s="345">
        <f t="shared" si="9"/>
        <v>0</v>
      </c>
      <c r="G80" s="256">
        <f>'HOJA 4 AUX'!O48</f>
        <v>0</v>
      </c>
      <c r="H80" s="256">
        <f t="shared" si="10"/>
        <v>0</v>
      </c>
      <c r="I80" s="210"/>
      <c r="J80" s="198"/>
      <c r="K80" s="198"/>
      <c r="L80" s="107"/>
      <c r="M80" s="107"/>
      <c r="N80" s="107"/>
      <c r="O80" s="106"/>
      <c r="P80" s="106"/>
      <c r="Q80" s="198"/>
      <c r="R80" s="198"/>
      <c r="S80" s="198"/>
      <c r="T80" s="209"/>
      <c r="U80" s="209"/>
      <c r="V80" s="212"/>
    </row>
    <row r="81" spans="1:22" s="109" customFormat="1" ht="38.25" hidden="1" customHeight="1" x14ac:dyDescent="0.25">
      <c r="A81" s="340">
        <v>7</v>
      </c>
      <c r="B81" s="341"/>
      <c r="C81" s="342"/>
      <c r="D81" s="343"/>
      <c r="E81" s="344"/>
      <c r="F81" s="345">
        <f t="shared" si="9"/>
        <v>0</v>
      </c>
      <c r="G81" s="256">
        <f>+'HOJA 4 AUX'!G67</f>
        <v>0</v>
      </c>
      <c r="H81" s="256">
        <f t="shared" si="10"/>
        <v>0</v>
      </c>
      <c r="I81" s="210"/>
      <c r="J81" s="198"/>
      <c r="K81" s="198"/>
      <c r="L81" s="107"/>
      <c r="M81" s="107"/>
      <c r="N81" s="107"/>
      <c r="O81" s="106"/>
      <c r="P81" s="106"/>
      <c r="Q81" s="198"/>
      <c r="R81" s="198"/>
      <c r="S81" s="198"/>
      <c r="T81" s="209"/>
      <c r="U81" s="209"/>
      <c r="V81" s="212"/>
    </row>
    <row r="82" spans="1:22" s="109" customFormat="1" ht="38.25" hidden="1" customHeight="1" x14ac:dyDescent="0.25">
      <c r="A82" s="340">
        <v>8</v>
      </c>
      <c r="B82" s="341"/>
      <c r="C82" s="342"/>
      <c r="D82" s="343"/>
      <c r="E82" s="344"/>
      <c r="F82" s="345">
        <f t="shared" si="9"/>
        <v>0</v>
      </c>
      <c r="G82" s="256">
        <f>'HOJA 4 AUX'!O67</f>
        <v>0</v>
      </c>
      <c r="H82" s="256">
        <f t="shared" si="10"/>
        <v>0</v>
      </c>
      <c r="I82" s="210"/>
      <c r="J82" s="198"/>
      <c r="K82" s="198"/>
      <c r="L82" s="107"/>
      <c r="M82" s="107"/>
      <c r="N82" s="107"/>
      <c r="O82" s="106"/>
      <c r="P82" s="106"/>
      <c r="Q82" s="198"/>
      <c r="R82" s="198"/>
      <c r="S82" s="198"/>
      <c r="T82" s="209"/>
      <c r="U82" s="209"/>
      <c r="V82" s="212"/>
    </row>
    <row r="83" spans="1:22" s="109" customFormat="1" ht="38.25" hidden="1" customHeight="1" x14ac:dyDescent="0.25">
      <c r="A83" s="340">
        <v>9</v>
      </c>
      <c r="B83" s="341"/>
      <c r="C83" s="342"/>
      <c r="D83" s="343"/>
      <c r="E83" s="344"/>
      <c r="F83" s="345">
        <f t="shared" si="9"/>
        <v>0</v>
      </c>
      <c r="G83" s="256">
        <f>+'HOJA 4 AUX'!G85</f>
        <v>0</v>
      </c>
      <c r="H83" s="256">
        <f t="shared" si="10"/>
        <v>0</v>
      </c>
      <c r="I83" s="210"/>
      <c r="J83" s="198"/>
      <c r="K83" s="210"/>
      <c r="L83" s="175"/>
      <c r="M83" s="175"/>
      <c r="N83" s="175"/>
      <c r="O83" s="175"/>
      <c r="Q83" s="199"/>
      <c r="R83" s="198"/>
      <c r="S83" s="198"/>
      <c r="T83" s="209"/>
      <c r="U83" s="209"/>
      <c r="V83" s="212"/>
    </row>
    <row r="84" spans="1:22" s="109" customFormat="1" ht="38.25" hidden="1" customHeight="1" x14ac:dyDescent="0.25">
      <c r="A84" s="340">
        <v>10</v>
      </c>
      <c r="B84" s="341"/>
      <c r="C84" s="342"/>
      <c r="D84" s="343"/>
      <c r="E84" s="344"/>
      <c r="F84" s="345">
        <f t="shared" si="9"/>
        <v>0</v>
      </c>
      <c r="G84" s="256">
        <f>'HOJA 4 AUX'!O85</f>
        <v>0</v>
      </c>
      <c r="H84" s="256">
        <f t="shared" si="10"/>
        <v>0</v>
      </c>
      <c r="I84" s="210"/>
      <c r="J84" s="198"/>
      <c r="K84" s="210"/>
      <c r="L84" s="175"/>
      <c r="M84" s="175"/>
      <c r="N84" s="175"/>
      <c r="O84" s="175"/>
      <c r="Q84" s="199"/>
      <c r="R84" s="198"/>
      <c r="S84" s="198"/>
      <c r="T84" s="209"/>
      <c r="U84" s="209"/>
      <c r="V84" s="212"/>
    </row>
    <row r="85" spans="1:22" s="109" customFormat="1" ht="38.25" hidden="1" customHeight="1" x14ac:dyDescent="0.25">
      <c r="A85" s="340">
        <v>11</v>
      </c>
      <c r="B85" s="341"/>
      <c r="C85" s="342"/>
      <c r="D85" s="343"/>
      <c r="E85" s="344"/>
      <c r="F85" s="345">
        <f t="shared" si="9"/>
        <v>0</v>
      </c>
      <c r="G85" s="256">
        <f>+'HOJA 4 AUX'!G105</f>
        <v>0</v>
      </c>
      <c r="H85" s="256">
        <f t="shared" si="10"/>
        <v>0</v>
      </c>
      <c r="I85" s="210"/>
      <c r="J85" s="198"/>
      <c r="K85" s="210"/>
      <c r="L85" s="175"/>
      <c r="M85" s="175"/>
      <c r="N85" s="175"/>
      <c r="O85" s="175"/>
      <c r="Q85" s="199"/>
      <c r="R85" s="198"/>
      <c r="S85" s="198"/>
      <c r="T85" s="209"/>
      <c r="U85" s="209"/>
      <c r="V85" s="212"/>
    </row>
    <row r="86" spans="1:22" s="109" customFormat="1" ht="38.25" hidden="1" customHeight="1" x14ac:dyDescent="0.25">
      <c r="A86" s="340">
        <v>12</v>
      </c>
      <c r="B86" s="341"/>
      <c r="C86" s="342"/>
      <c r="D86" s="343"/>
      <c r="E86" s="344"/>
      <c r="F86" s="345">
        <f t="shared" si="9"/>
        <v>0</v>
      </c>
      <c r="G86" s="256">
        <f>'HOJA 4 AUX'!O105</f>
        <v>0</v>
      </c>
      <c r="H86" s="256">
        <f t="shared" si="10"/>
        <v>0</v>
      </c>
      <c r="I86" s="210"/>
      <c r="J86" s="198"/>
      <c r="K86" s="210"/>
      <c r="L86" s="175"/>
      <c r="M86" s="175"/>
      <c r="N86" s="175"/>
      <c r="O86" s="175"/>
      <c r="Q86" s="199"/>
      <c r="R86" s="198"/>
      <c r="S86" s="198"/>
      <c r="T86" s="209"/>
      <c r="U86" s="209"/>
      <c r="V86" s="212"/>
    </row>
    <row r="87" spans="1:22" s="109" customFormat="1" ht="38.25" customHeight="1" x14ac:dyDescent="0.25">
      <c r="A87" s="199"/>
      <c r="B87" s="253" t="s">
        <v>1369</v>
      </c>
      <c r="C87" s="347">
        <f t="shared" ref="C87:G87" si="11">SUM(C75:C86)</f>
        <v>0</v>
      </c>
      <c r="D87" s="347">
        <f t="shared" si="11"/>
        <v>0</v>
      </c>
      <c r="E87" s="348">
        <f t="shared" si="11"/>
        <v>0</v>
      </c>
      <c r="F87" s="367">
        <f t="shared" si="11"/>
        <v>0</v>
      </c>
      <c r="G87" s="256">
        <f t="shared" si="11"/>
        <v>0</v>
      </c>
      <c r="H87" s="256">
        <f>SUM(H75:H86)</f>
        <v>0</v>
      </c>
      <c r="I87" s="210"/>
      <c r="J87" s="198"/>
      <c r="K87" s="210"/>
      <c r="L87" s="175"/>
      <c r="M87" s="175"/>
      <c r="N87" s="175"/>
      <c r="O87" s="175"/>
      <c r="Q87" s="199"/>
      <c r="R87" s="198"/>
      <c r="S87" s="198"/>
      <c r="T87" s="209"/>
      <c r="U87" s="209"/>
      <c r="V87" s="212"/>
    </row>
    <row r="88" spans="1:22" s="199" customFormat="1" ht="15" customHeight="1" x14ac:dyDescent="0.25">
      <c r="A88" s="195"/>
      <c r="B88" s="208"/>
      <c r="C88" s="356"/>
      <c r="D88" s="357"/>
      <c r="E88" s="358"/>
      <c r="F88" s="358"/>
      <c r="G88" s="206"/>
      <c r="H88" s="206"/>
      <c r="I88" s="210"/>
      <c r="J88" s="210"/>
      <c r="K88" s="210"/>
      <c r="L88" s="210"/>
      <c r="M88" s="210"/>
      <c r="N88" s="210"/>
      <c r="O88" s="210"/>
    </row>
    <row r="89" spans="1:22" s="109" customFormat="1" ht="38.25" customHeight="1" x14ac:dyDescent="0.25">
      <c r="A89" s="199"/>
      <c r="B89" s="478" t="s">
        <v>1380</v>
      </c>
      <c r="C89" s="359" t="s">
        <v>1572</v>
      </c>
      <c r="D89" s="429" t="s">
        <v>1385</v>
      </c>
      <c r="E89" s="429"/>
      <c r="F89" s="369"/>
      <c r="G89" s="419" t="s">
        <v>1566</v>
      </c>
      <c r="H89" s="419"/>
      <c r="I89" s="210"/>
      <c r="J89" s="198"/>
      <c r="K89" s="210"/>
      <c r="L89" s="175"/>
      <c r="M89" s="175"/>
      <c r="N89" s="175"/>
      <c r="O89" s="175"/>
      <c r="Q89" s="199"/>
      <c r="R89" s="198"/>
      <c r="S89" s="198"/>
      <c r="T89" s="209"/>
      <c r="U89" s="209"/>
      <c r="V89" s="212"/>
    </row>
    <row r="90" spans="1:22" s="109" customFormat="1" ht="53.25" customHeight="1" x14ac:dyDescent="0.25">
      <c r="A90" s="199"/>
      <c r="B90" s="478"/>
      <c r="C90" s="359" t="s">
        <v>1421</v>
      </c>
      <c r="D90" s="359" t="s">
        <v>1400</v>
      </c>
      <c r="E90" s="359" t="s">
        <v>1401</v>
      </c>
      <c r="F90" s="370"/>
      <c r="G90" s="362" t="s">
        <v>1573</v>
      </c>
      <c r="H90" s="362" t="s">
        <v>1574</v>
      </c>
      <c r="I90" s="210"/>
      <c r="J90" s="198"/>
      <c r="K90" s="210"/>
      <c r="L90" s="175"/>
      <c r="M90" s="175"/>
      <c r="N90" s="175"/>
      <c r="O90" s="175"/>
      <c r="Q90" s="199"/>
      <c r="R90" s="198"/>
      <c r="S90" s="198"/>
      <c r="T90" s="209"/>
      <c r="U90" s="209"/>
      <c r="V90" s="212"/>
    </row>
    <row r="91" spans="1:22" s="109" customFormat="1" ht="38.25" customHeight="1" x14ac:dyDescent="0.25">
      <c r="A91" s="340">
        <v>1</v>
      </c>
      <c r="B91" s="363"/>
      <c r="C91" s="364"/>
      <c r="D91" s="365"/>
      <c r="E91" s="344"/>
      <c r="F91" s="371">
        <f t="shared" ref="F91:F102" si="12">+G91/$E$182</f>
        <v>0</v>
      </c>
      <c r="G91" s="372">
        <f>'HOJA 5 AUX'!G10</f>
        <v>0</v>
      </c>
      <c r="H91" s="372">
        <f t="shared" ref="H91:H102" si="13">(C91*D91)*G91</f>
        <v>0</v>
      </c>
      <c r="I91" s="210"/>
      <c r="J91" s="198"/>
      <c r="K91" s="210"/>
      <c r="L91" s="175"/>
      <c r="M91" s="175"/>
      <c r="N91" s="175"/>
      <c r="O91" s="175"/>
      <c r="Q91" s="199"/>
      <c r="R91" s="198"/>
      <c r="S91" s="198"/>
      <c r="T91" s="209"/>
      <c r="U91" s="209"/>
      <c r="V91" s="212"/>
    </row>
    <row r="92" spans="1:22" s="109" customFormat="1" ht="38.25" customHeight="1" x14ac:dyDescent="0.25">
      <c r="A92" s="340">
        <v>2</v>
      </c>
      <c r="B92" s="341"/>
      <c r="C92" s="342"/>
      <c r="D92" s="365"/>
      <c r="E92" s="344"/>
      <c r="F92" s="373">
        <f t="shared" si="12"/>
        <v>0</v>
      </c>
      <c r="G92" s="374">
        <f>'HOJA 5 AUX'!O10</f>
        <v>0</v>
      </c>
      <c r="H92" s="374">
        <f t="shared" si="13"/>
        <v>0</v>
      </c>
      <c r="I92" s="210"/>
      <c r="J92" s="198"/>
      <c r="K92" s="210"/>
      <c r="L92" s="175"/>
      <c r="M92" s="175"/>
      <c r="N92" s="175"/>
      <c r="O92" s="175"/>
      <c r="Q92" s="199"/>
      <c r="R92" s="198"/>
      <c r="S92" s="198"/>
      <c r="T92" s="209"/>
      <c r="U92" s="209"/>
      <c r="V92" s="212"/>
    </row>
    <row r="93" spans="1:22" s="109" customFormat="1" ht="38.25" customHeight="1" x14ac:dyDescent="0.25">
      <c r="A93" s="340">
        <v>3</v>
      </c>
      <c r="B93" s="341"/>
      <c r="C93" s="342"/>
      <c r="D93" s="365"/>
      <c r="E93" s="344"/>
      <c r="F93" s="373">
        <f t="shared" si="12"/>
        <v>0</v>
      </c>
      <c r="G93" s="374">
        <f>+'HOJA 5 AUX'!G28</f>
        <v>0</v>
      </c>
      <c r="H93" s="374">
        <f t="shared" si="13"/>
        <v>0</v>
      </c>
      <c r="I93" s="209"/>
      <c r="J93" s="198"/>
      <c r="K93" s="210"/>
      <c r="L93" s="175"/>
      <c r="M93" s="175"/>
      <c r="N93" s="175"/>
      <c r="O93" s="175"/>
      <c r="Q93" s="199"/>
      <c r="R93" s="198"/>
      <c r="S93" s="198"/>
      <c r="T93" s="209"/>
      <c r="U93" s="209"/>
      <c r="V93" s="212"/>
    </row>
    <row r="94" spans="1:22" s="109" customFormat="1" ht="38.25" hidden="1" customHeight="1" x14ac:dyDescent="0.25">
      <c r="A94" s="340">
        <v>4</v>
      </c>
      <c r="B94" s="341"/>
      <c r="C94" s="342"/>
      <c r="D94" s="365"/>
      <c r="E94" s="344"/>
      <c r="F94" s="373">
        <f t="shared" si="12"/>
        <v>0</v>
      </c>
      <c r="G94" s="374">
        <f>'HOJA 5 AUX'!O28</f>
        <v>0</v>
      </c>
      <c r="H94" s="374">
        <f t="shared" si="13"/>
        <v>0</v>
      </c>
      <c r="I94" s="209"/>
      <c r="J94" s="198"/>
      <c r="K94" s="210"/>
      <c r="L94" s="175"/>
      <c r="M94" s="175"/>
      <c r="N94" s="175"/>
      <c r="O94" s="175"/>
      <c r="Q94" s="199"/>
      <c r="R94" s="198"/>
      <c r="S94" s="198"/>
      <c r="T94" s="209"/>
      <c r="U94" s="209"/>
      <c r="V94" s="212"/>
    </row>
    <row r="95" spans="1:22" s="109" customFormat="1" ht="38.25" hidden="1" customHeight="1" x14ac:dyDescent="0.25">
      <c r="A95" s="340">
        <v>5</v>
      </c>
      <c r="B95" s="341"/>
      <c r="C95" s="342"/>
      <c r="D95" s="365"/>
      <c r="E95" s="344"/>
      <c r="F95" s="373">
        <f t="shared" si="12"/>
        <v>0</v>
      </c>
      <c r="G95" s="374">
        <f>'HOJA 5 AUX'!G48</f>
        <v>0</v>
      </c>
      <c r="H95" s="374">
        <f t="shared" si="13"/>
        <v>0</v>
      </c>
      <c r="I95" s="209"/>
      <c r="J95" s="198"/>
      <c r="K95" s="210"/>
      <c r="L95" s="175"/>
      <c r="M95" s="175"/>
      <c r="N95" s="175"/>
      <c r="O95" s="175"/>
      <c r="Q95" s="199"/>
      <c r="R95" s="198"/>
      <c r="S95" s="198"/>
      <c r="T95" s="209"/>
      <c r="U95" s="209"/>
      <c r="V95" s="212"/>
    </row>
    <row r="96" spans="1:22" s="109" customFormat="1" ht="38.25" hidden="1" customHeight="1" x14ac:dyDescent="0.25">
      <c r="A96" s="340">
        <v>6</v>
      </c>
      <c r="B96" s="341"/>
      <c r="C96" s="342"/>
      <c r="D96" s="365"/>
      <c r="E96" s="344"/>
      <c r="F96" s="373">
        <f t="shared" si="12"/>
        <v>0</v>
      </c>
      <c r="G96" s="374">
        <f>'HOJA 5 AUX'!O48</f>
        <v>0</v>
      </c>
      <c r="H96" s="374">
        <f t="shared" si="13"/>
        <v>0</v>
      </c>
      <c r="I96" s="209"/>
      <c r="J96" s="198"/>
      <c r="K96" s="210"/>
      <c r="L96" s="175"/>
      <c r="M96" s="175"/>
      <c r="N96" s="175"/>
      <c r="O96" s="175"/>
      <c r="Q96" s="199"/>
      <c r="R96" s="198"/>
      <c r="S96" s="198"/>
      <c r="T96" s="209"/>
      <c r="U96" s="209"/>
      <c r="V96" s="212"/>
    </row>
    <row r="97" spans="1:22" s="109" customFormat="1" ht="38.25" hidden="1" customHeight="1" x14ac:dyDescent="0.25">
      <c r="A97" s="340">
        <v>7</v>
      </c>
      <c r="B97" s="341"/>
      <c r="C97" s="342"/>
      <c r="D97" s="365"/>
      <c r="E97" s="344"/>
      <c r="F97" s="373">
        <f t="shared" si="12"/>
        <v>0</v>
      </c>
      <c r="G97" s="374">
        <f>+'HOJA 5 AUX'!G67</f>
        <v>0</v>
      </c>
      <c r="H97" s="374">
        <f t="shared" si="13"/>
        <v>0</v>
      </c>
      <c r="I97" s="209"/>
      <c r="J97" s="198"/>
      <c r="K97" s="210"/>
      <c r="L97" s="175"/>
      <c r="M97" s="175"/>
      <c r="N97" s="175"/>
      <c r="O97" s="175"/>
      <c r="Q97" s="199"/>
      <c r="R97" s="198"/>
      <c r="S97" s="198"/>
      <c r="T97" s="209"/>
      <c r="U97" s="209"/>
      <c r="V97" s="212"/>
    </row>
    <row r="98" spans="1:22" s="109" customFormat="1" ht="38.25" hidden="1" customHeight="1" x14ac:dyDescent="0.25">
      <c r="A98" s="340">
        <v>8</v>
      </c>
      <c r="B98" s="341"/>
      <c r="C98" s="342"/>
      <c r="D98" s="365"/>
      <c r="E98" s="344"/>
      <c r="F98" s="373">
        <f t="shared" si="12"/>
        <v>0</v>
      </c>
      <c r="G98" s="374">
        <f>+'HOJA 5 AUX'!O67</f>
        <v>0</v>
      </c>
      <c r="H98" s="374">
        <f t="shared" si="13"/>
        <v>0</v>
      </c>
      <c r="I98" s="209"/>
      <c r="J98" s="198"/>
      <c r="K98" s="210"/>
      <c r="L98" s="175"/>
      <c r="M98" s="175"/>
      <c r="N98" s="175"/>
      <c r="O98" s="175"/>
      <c r="Q98" s="199"/>
      <c r="R98" s="198"/>
      <c r="S98" s="198"/>
      <c r="T98" s="209"/>
      <c r="U98" s="209"/>
      <c r="V98" s="212"/>
    </row>
    <row r="99" spans="1:22" s="109" customFormat="1" ht="38.25" hidden="1" customHeight="1" x14ac:dyDescent="0.25">
      <c r="A99" s="340">
        <v>9</v>
      </c>
      <c r="B99" s="341"/>
      <c r="C99" s="342"/>
      <c r="D99" s="365"/>
      <c r="E99" s="344"/>
      <c r="F99" s="373">
        <f t="shared" si="12"/>
        <v>0</v>
      </c>
      <c r="G99" s="374">
        <f>+'HOJA 5 AUX'!G85</f>
        <v>0</v>
      </c>
      <c r="H99" s="374">
        <f t="shared" si="13"/>
        <v>0</v>
      </c>
      <c r="I99" s="209"/>
      <c r="J99" s="198"/>
      <c r="K99" s="198"/>
      <c r="L99" s="107"/>
      <c r="M99" s="107"/>
      <c r="N99" s="107"/>
      <c r="O99" s="106"/>
      <c r="P99" s="106"/>
      <c r="Q99" s="198"/>
      <c r="R99" s="198"/>
      <c r="S99" s="198"/>
      <c r="T99" s="209"/>
      <c r="U99" s="209"/>
      <c r="V99" s="212"/>
    </row>
    <row r="100" spans="1:22" s="109" customFormat="1" ht="38.25" hidden="1" customHeight="1" x14ac:dyDescent="0.25">
      <c r="A100" s="340">
        <v>10</v>
      </c>
      <c r="B100" s="341"/>
      <c r="C100" s="342"/>
      <c r="D100" s="365"/>
      <c r="E100" s="344"/>
      <c r="F100" s="373">
        <f t="shared" si="12"/>
        <v>0</v>
      </c>
      <c r="G100" s="374">
        <f>+'HOJA 5 AUX'!O85</f>
        <v>0</v>
      </c>
      <c r="H100" s="374">
        <f t="shared" si="13"/>
        <v>0</v>
      </c>
      <c r="I100" s="209"/>
      <c r="J100" s="198"/>
      <c r="K100" s="198"/>
      <c r="L100" s="107"/>
      <c r="M100" s="107"/>
      <c r="N100" s="107"/>
      <c r="O100" s="106"/>
      <c r="P100" s="106"/>
      <c r="Q100" s="198"/>
      <c r="R100" s="198"/>
      <c r="S100" s="198"/>
      <c r="T100" s="209"/>
      <c r="U100" s="209"/>
      <c r="V100" s="212"/>
    </row>
    <row r="101" spans="1:22" s="109" customFormat="1" ht="38.25" hidden="1" customHeight="1" x14ac:dyDescent="0.25">
      <c r="A101" s="340">
        <v>11</v>
      </c>
      <c r="B101" s="341"/>
      <c r="C101" s="342"/>
      <c r="D101" s="365"/>
      <c r="E101" s="344"/>
      <c r="F101" s="373">
        <f t="shared" si="12"/>
        <v>0</v>
      </c>
      <c r="G101" s="374">
        <f>+'HOJA 5 AUX'!G105</f>
        <v>0</v>
      </c>
      <c r="H101" s="374">
        <f t="shared" si="13"/>
        <v>0</v>
      </c>
      <c r="I101" s="209"/>
      <c r="J101" s="198"/>
      <c r="K101" s="198"/>
      <c r="L101" s="107"/>
      <c r="M101" s="107"/>
      <c r="N101" s="107"/>
      <c r="O101" s="106"/>
      <c r="P101" s="106"/>
      <c r="Q101" s="198"/>
      <c r="R101" s="198"/>
      <c r="S101" s="198"/>
      <c r="T101" s="209"/>
      <c r="U101" s="209"/>
      <c r="V101" s="212"/>
    </row>
    <row r="102" spans="1:22" s="109" customFormat="1" ht="38.25" hidden="1" customHeight="1" x14ac:dyDescent="0.25">
      <c r="A102" s="340">
        <v>12</v>
      </c>
      <c r="B102" s="341"/>
      <c r="C102" s="342"/>
      <c r="D102" s="365"/>
      <c r="E102" s="344"/>
      <c r="F102" s="373">
        <f t="shared" si="12"/>
        <v>0</v>
      </c>
      <c r="G102" s="374">
        <f>+'HOJA 5 AUX'!O105</f>
        <v>0</v>
      </c>
      <c r="H102" s="374">
        <f t="shared" si="13"/>
        <v>0</v>
      </c>
      <c r="I102" s="209"/>
      <c r="J102" s="198"/>
      <c r="K102" s="198"/>
      <c r="L102" s="107"/>
      <c r="M102" s="107"/>
      <c r="N102" s="107"/>
      <c r="O102" s="106"/>
      <c r="P102" s="106"/>
      <c r="Q102" s="198"/>
      <c r="R102" s="198"/>
      <c r="S102" s="198"/>
      <c r="T102" s="209"/>
      <c r="U102" s="209"/>
      <c r="V102" s="212"/>
    </row>
    <row r="103" spans="1:22" s="109" customFormat="1" ht="38.25" hidden="1" customHeight="1" x14ac:dyDescent="0.25">
      <c r="A103" s="199"/>
      <c r="B103" s="253" t="s">
        <v>1369</v>
      </c>
      <c r="C103" s="347">
        <f t="shared" ref="C103:G103" si="14">SUM(C91:C102)</f>
        <v>0</v>
      </c>
      <c r="D103" s="347">
        <f t="shared" si="14"/>
        <v>0</v>
      </c>
      <c r="E103" s="348">
        <f t="shared" si="14"/>
        <v>0</v>
      </c>
      <c r="F103" s="348">
        <f t="shared" si="14"/>
        <v>0</v>
      </c>
      <c r="G103" s="256">
        <f t="shared" si="14"/>
        <v>0</v>
      </c>
      <c r="H103" s="256">
        <f>SUM(H91:H102)</f>
        <v>0</v>
      </c>
      <c r="I103" s="209"/>
      <c r="J103" s="198"/>
      <c r="K103" s="198"/>
      <c r="L103" s="107"/>
      <c r="M103" s="107"/>
      <c r="N103" s="107"/>
      <c r="O103" s="106"/>
      <c r="P103" s="106"/>
      <c r="Q103" s="198"/>
      <c r="R103" s="198"/>
      <c r="S103" s="198"/>
      <c r="T103" s="209"/>
      <c r="U103" s="209"/>
      <c r="V103" s="212"/>
    </row>
    <row r="104" spans="1:22" s="199" customFormat="1" ht="15" hidden="1" customHeight="1" x14ac:dyDescent="0.25">
      <c r="A104" s="195"/>
      <c r="B104" s="208"/>
      <c r="C104" s="350"/>
      <c r="D104" s="351"/>
      <c r="E104" s="352"/>
      <c r="F104" s="352"/>
      <c r="G104" s="206"/>
      <c r="H104" s="206"/>
      <c r="I104" s="210"/>
      <c r="J104" s="210"/>
      <c r="K104" s="210"/>
      <c r="L104" s="210"/>
      <c r="M104" s="210"/>
      <c r="N104" s="210"/>
      <c r="O104" s="210"/>
    </row>
    <row r="105" spans="1:22" s="109" customFormat="1" ht="38.25" hidden="1" customHeight="1" x14ac:dyDescent="0.25">
      <c r="A105" s="199"/>
      <c r="B105" s="476" t="s">
        <v>1380</v>
      </c>
      <c r="C105" s="353" t="s">
        <v>1572</v>
      </c>
      <c r="D105" s="425" t="s">
        <v>1386</v>
      </c>
      <c r="E105" s="426"/>
      <c r="F105" s="337"/>
      <c r="G105" s="421" t="s">
        <v>1566</v>
      </c>
      <c r="H105" s="418"/>
      <c r="I105" s="210"/>
      <c r="J105" s="210"/>
      <c r="K105" s="210"/>
      <c r="L105" s="175"/>
      <c r="M105" s="175"/>
      <c r="N105" s="175"/>
      <c r="O105" s="175"/>
      <c r="Q105" s="199"/>
      <c r="R105" s="198"/>
      <c r="S105" s="198"/>
      <c r="T105" s="209"/>
      <c r="U105" s="209"/>
      <c r="V105" s="212"/>
    </row>
    <row r="106" spans="1:22" s="109" customFormat="1" ht="43.5" hidden="1" customHeight="1" x14ac:dyDescent="0.25">
      <c r="A106" s="199"/>
      <c r="B106" s="477"/>
      <c r="C106" s="240" t="s">
        <v>1421</v>
      </c>
      <c r="D106" s="240" t="s">
        <v>1400</v>
      </c>
      <c r="E106" s="240" t="s">
        <v>1401</v>
      </c>
      <c r="F106" s="368"/>
      <c r="G106" s="256" t="s">
        <v>1573</v>
      </c>
      <c r="H106" s="256" t="s">
        <v>1574</v>
      </c>
      <c r="I106" s="210"/>
      <c r="J106" s="210"/>
      <c r="K106" s="210"/>
      <c r="L106" s="175"/>
      <c r="M106" s="175"/>
      <c r="N106" s="175"/>
      <c r="O106" s="175"/>
      <c r="Q106" s="199"/>
      <c r="R106" s="198"/>
      <c r="S106" s="198"/>
      <c r="T106" s="209"/>
      <c r="U106" s="209"/>
      <c r="V106" s="212"/>
    </row>
    <row r="107" spans="1:22" s="109" customFormat="1" ht="38.25" hidden="1" customHeight="1" x14ac:dyDescent="0.25">
      <c r="A107" s="340">
        <v>1</v>
      </c>
      <c r="B107" s="341"/>
      <c r="C107" s="342"/>
      <c r="D107" s="343"/>
      <c r="E107" s="344"/>
      <c r="F107" s="345">
        <f t="shared" ref="F107:F118" si="15">+G107/$E$182</f>
        <v>0</v>
      </c>
      <c r="G107" s="256">
        <f>'HOJA 6 AUX'!G10</f>
        <v>0</v>
      </c>
      <c r="H107" s="256">
        <f t="shared" ref="H107:H118" si="16">+(C107*D107)*G107</f>
        <v>0</v>
      </c>
      <c r="I107" s="210"/>
      <c r="J107" s="210"/>
      <c r="K107" s="210"/>
      <c r="L107" s="175"/>
      <c r="M107" s="175"/>
      <c r="N107" s="175"/>
      <c r="O107" s="175"/>
      <c r="Q107" s="199"/>
      <c r="R107" s="198"/>
      <c r="S107" s="198"/>
      <c r="T107" s="209"/>
      <c r="U107" s="209"/>
      <c r="V107" s="212"/>
    </row>
    <row r="108" spans="1:22" s="109" customFormat="1" ht="38.25" hidden="1" customHeight="1" x14ac:dyDescent="0.25">
      <c r="A108" s="340">
        <v>2</v>
      </c>
      <c r="B108" s="341"/>
      <c r="C108" s="342"/>
      <c r="D108" s="343"/>
      <c r="E108" s="344"/>
      <c r="F108" s="345">
        <f t="shared" si="15"/>
        <v>0</v>
      </c>
      <c r="G108" s="256">
        <f>'HOJA 6 AUX'!O10</f>
        <v>0</v>
      </c>
      <c r="H108" s="256">
        <f t="shared" si="16"/>
        <v>0</v>
      </c>
      <c r="I108" s="210"/>
      <c r="J108" s="210"/>
      <c r="K108" s="210"/>
      <c r="L108" s="175"/>
      <c r="M108" s="175"/>
      <c r="N108" s="175"/>
      <c r="O108" s="175"/>
      <c r="Q108" s="199"/>
      <c r="R108" s="198"/>
      <c r="S108" s="198"/>
      <c r="T108" s="209"/>
      <c r="U108" s="209"/>
      <c r="V108" s="212"/>
    </row>
    <row r="109" spans="1:22" s="109" customFormat="1" ht="38.25" hidden="1" customHeight="1" x14ac:dyDescent="0.25">
      <c r="A109" s="340">
        <v>3</v>
      </c>
      <c r="B109" s="341"/>
      <c r="C109" s="342"/>
      <c r="D109" s="343"/>
      <c r="E109" s="344"/>
      <c r="F109" s="345">
        <f t="shared" si="15"/>
        <v>0</v>
      </c>
      <c r="G109" s="256">
        <f>'HOJA 6 AUX'!G28</f>
        <v>0</v>
      </c>
      <c r="H109" s="256">
        <f t="shared" si="16"/>
        <v>0</v>
      </c>
      <c r="I109" s="210"/>
      <c r="J109" s="210"/>
      <c r="K109" s="210"/>
      <c r="L109" s="175"/>
      <c r="M109" s="175"/>
      <c r="N109" s="175"/>
      <c r="O109" s="175"/>
      <c r="Q109" s="199"/>
      <c r="R109" s="198"/>
      <c r="S109" s="198"/>
      <c r="T109" s="209"/>
      <c r="U109" s="209"/>
      <c r="V109" s="212"/>
    </row>
    <row r="110" spans="1:22" s="109" customFormat="1" ht="38.25" hidden="1" customHeight="1" x14ac:dyDescent="0.25">
      <c r="A110" s="340">
        <v>4</v>
      </c>
      <c r="B110" s="341"/>
      <c r="C110" s="342"/>
      <c r="D110" s="343"/>
      <c r="E110" s="344"/>
      <c r="F110" s="345">
        <f t="shared" si="15"/>
        <v>0</v>
      </c>
      <c r="G110" s="256">
        <f>'HOJA 6 AUX'!O28</f>
        <v>0</v>
      </c>
      <c r="H110" s="256">
        <f t="shared" si="16"/>
        <v>0</v>
      </c>
      <c r="I110" s="210"/>
      <c r="J110" s="210"/>
      <c r="K110" s="210"/>
      <c r="L110" s="175"/>
      <c r="M110" s="175"/>
      <c r="N110" s="175"/>
      <c r="O110" s="175"/>
      <c r="Q110" s="199"/>
      <c r="R110" s="198"/>
      <c r="S110" s="198"/>
      <c r="T110" s="209"/>
      <c r="U110" s="209"/>
      <c r="V110" s="212"/>
    </row>
    <row r="111" spans="1:22" s="109" customFormat="1" ht="38.25" hidden="1" customHeight="1" x14ac:dyDescent="0.25">
      <c r="A111" s="340">
        <v>5</v>
      </c>
      <c r="B111" s="341"/>
      <c r="C111" s="342"/>
      <c r="D111" s="343"/>
      <c r="E111" s="344"/>
      <c r="F111" s="345">
        <f t="shared" si="15"/>
        <v>0</v>
      </c>
      <c r="G111" s="256">
        <f>'HOJA 6 AUX'!G48</f>
        <v>0</v>
      </c>
      <c r="H111" s="256">
        <f t="shared" si="16"/>
        <v>0</v>
      </c>
      <c r="I111" s="210"/>
      <c r="J111" s="210"/>
      <c r="K111" s="210"/>
      <c r="L111" s="175"/>
      <c r="M111" s="175"/>
      <c r="N111" s="175"/>
      <c r="O111" s="175"/>
      <c r="Q111" s="199"/>
      <c r="R111" s="198"/>
      <c r="S111" s="198"/>
      <c r="T111" s="209"/>
      <c r="U111" s="209"/>
      <c r="V111" s="212"/>
    </row>
    <row r="112" spans="1:22" s="109" customFormat="1" ht="38.25" hidden="1" customHeight="1" x14ac:dyDescent="0.25">
      <c r="A112" s="340">
        <v>6</v>
      </c>
      <c r="B112" s="341"/>
      <c r="C112" s="342"/>
      <c r="D112" s="343"/>
      <c r="E112" s="344"/>
      <c r="F112" s="345">
        <f t="shared" si="15"/>
        <v>0</v>
      </c>
      <c r="G112" s="256">
        <f>'HOJA 6 AUX'!O48</f>
        <v>0</v>
      </c>
      <c r="H112" s="256">
        <f t="shared" si="16"/>
        <v>0</v>
      </c>
      <c r="I112" s="210"/>
      <c r="J112" s="210"/>
      <c r="K112" s="210"/>
      <c r="L112" s="175"/>
      <c r="M112" s="175"/>
      <c r="N112" s="175"/>
      <c r="O112" s="175"/>
      <c r="Q112" s="199"/>
      <c r="R112" s="198"/>
      <c r="S112" s="198"/>
      <c r="T112" s="209"/>
      <c r="U112" s="209"/>
      <c r="V112" s="212"/>
    </row>
    <row r="113" spans="1:22" s="109" customFormat="1" ht="38.25" hidden="1" customHeight="1" x14ac:dyDescent="0.25">
      <c r="A113" s="340">
        <v>7</v>
      </c>
      <c r="B113" s="341"/>
      <c r="C113" s="342"/>
      <c r="D113" s="343"/>
      <c r="E113" s="344"/>
      <c r="F113" s="345">
        <f t="shared" si="15"/>
        <v>0</v>
      </c>
      <c r="G113" s="256">
        <f>'HOJA 6 AUX'!G67</f>
        <v>0</v>
      </c>
      <c r="H113" s="256">
        <f t="shared" si="16"/>
        <v>0</v>
      </c>
      <c r="I113" s="210"/>
      <c r="J113" s="210"/>
      <c r="K113" s="210"/>
      <c r="L113" s="175"/>
      <c r="M113" s="175"/>
      <c r="N113" s="175"/>
      <c r="O113" s="175"/>
      <c r="Q113" s="199"/>
      <c r="R113" s="198"/>
      <c r="S113" s="198"/>
      <c r="T113" s="209"/>
      <c r="U113" s="209"/>
      <c r="V113" s="212"/>
    </row>
    <row r="114" spans="1:22" s="109" customFormat="1" ht="38.25" hidden="1" customHeight="1" x14ac:dyDescent="0.25">
      <c r="A114" s="340">
        <v>8</v>
      </c>
      <c r="B114" s="341"/>
      <c r="C114" s="342"/>
      <c r="D114" s="343"/>
      <c r="E114" s="344"/>
      <c r="F114" s="345">
        <f t="shared" si="15"/>
        <v>0</v>
      </c>
      <c r="G114" s="256">
        <f>'HOJA 6 AUX'!O67</f>
        <v>0</v>
      </c>
      <c r="H114" s="256">
        <f t="shared" si="16"/>
        <v>0</v>
      </c>
      <c r="I114" s="210"/>
      <c r="J114" s="210"/>
      <c r="K114" s="210"/>
      <c r="L114" s="175"/>
      <c r="M114" s="175"/>
      <c r="N114" s="175"/>
      <c r="O114" s="175"/>
      <c r="Q114" s="199"/>
      <c r="R114" s="198"/>
      <c r="S114" s="198"/>
      <c r="T114" s="209"/>
      <c r="U114" s="209"/>
      <c r="V114" s="212"/>
    </row>
    <row r="115" spans="1:22" s="109" customFormat="1" ht="38.25" hidden="1" customHeight="1" x14ac:dyDescent="0.25">
      <c r="A115" s="340">
        <v>9</v>
      </c>
      <c r="B115" s="341"/>
      <c r="C115" s="342"/>
      <c r="D115" s="343"/>
      <c r="E115" s="344"/>
      <c r="F115" s="345">
        <f t="shared" si="15"/>
        <v>0</v>
      </c>
      <c r="G115" s="256">
        <f>'HOJA 6 AUX'!G85</f>
        <v>0</v>
      </c>
      <c r="H115" s="256">
        <f t="shared" si="16"/>
        <v>0</v>
      </c>
      <c r="I115" s="210"/>
      <c r="J115" s="210"/>
      <c r="K115" s="210"/>
      <c r="L115" s="175"/>
      <c r="M115" s="175"/>
      <c r="N115" s="175"/>
      <c r="O115" s="175"/>
      <c r="Q115" s="199"/>
      <c r="R115" s="198"/>
      <c r="S115" s="198"/>
      <c r="T115" s="209"/>
      <c r="U115" s="209"/>
      <c r="V115" s="212"/>
    </row>
    <row r="116" spans="1:22" s="109" customFormat="1" ht="38.25" hidden="1" customHeight="1" x14ac:dyDescent="0.25">
      <c r="A116" s="340">
        <v>10</v>
      </c>
      <c r="B116" s="341"/>
      <c r="C116" s="342"/>
      <c r="D116" s="343"/>
      <c r="E116" s="344"/>
      <c r="F116" s="345">
        <f t="shared" si="15"/>
        <v>0</v>
      </c>
      <c r="G116" s="256">
        <f>'HOJA 6 AUX'!O85</f>
        <v>0</v>
      </c>
      <c r="H116" s="256">
        <f t="shared" si="16"/>
        <v>0</v>
      </c>
      <c r="I116" s="210"/>
      <c r="J116" s="210"/>
      <c r="K116" s="210"/>
      <c r="L116" s="175"/>
      <c r="M116" s="175"/>
      <c r="N116" s="175"/>
      <c r="O116" s="175"/>
      <c r="Q116" s="199"/>
      <c r="R116" s="198"/>
      <c r="S116" s="198"/>
      <c r="T116" s="209"/>
      <c r="U116" s="209"/>
      <c r="V116" s="212"/>
    </row>
    <row r="117" spans="1:22" s="109" customFormat="1" ht="38.25" hidden="1" customHeight="1" x14ac:dyDescent="0.25">
      <c r="A117" s="340">
        <v>11</v>
      </c>
      <c r="B117" s="341"/>
      <c r="C117" s="342"/>
      <c r="D117" s="343"/>
      <c r="E117" s="344"/>
      <c r="F117" s="345">
        <f t="shared" si="15"/>
        <v>0</v>
      </c>
      <c r="G117" s="256">
        <f>'HOJA 6 AUX'!G105</f>
        <v>0</v>
      </c>
      <c r="H117" s="256">
        <f t="shared" si="16"/>
        <v>0</v>
      </c>
      <c r="I117" s="210"/>
      <c r="J117" s="210"/>
      <c r="K117" s="210"/>
      <c r="L117" s="175"/>
      <c r="M117" s="175"/>
      <c r="N117" s="175"/>
      <c r="O117" s="175"/>
      <c r="Q117" s="199"/>
      <c r="R117" s="198"/>
      <c r="S117" s="198"/>
      <c r="T117" s="209"/>
      <c r="U117" s="209"/>
      <c r="V117" s="212"/>
    </row>
    <row r="118" spans="1:22" s="109" customFormat="1" ht="38.25" hidden="1" customHeight="1" x14ac:dyDescent="0.25">
      <c r="A118" s="340">
        <v>12</v>
      </c>
      <c r="B118" s="341"/>
      <c r="C118" s="342"/>
      <c r="D118" s="343"/>
      <c r="E118" s="344"/>
      <c r="F118" s="345">
        <f t="shared" si="15"/>
        <v>0</v>
      </c>
      <c r="G118" s="256">
        <f>'HOJA 6 AUX'!O105</f>
        <v>0</v>
      </c>
      <c r="H118" s="256">
        <f t="shared" si="16"/>
        <v>0</v>
      </c>
      <c r="I118" s="210"/>
      <c r="J118" s="210"/>
      <c r="K118" s="210"/>
      <c r="L118" s="175"/>
      <c r="M118" s="175"/>
      <c r="N118" s="175"/>
      <c r="O118" s="175"/>
      <c r="Q118" s="199"/>
      <c r="R118" s="198"/>
      <c r="S118" s="198"/>
      <c r="T118" s="209"/>
      <c r="U118" s="209"/>
      <c r="V118" s="212"/>
    </row>
    <row r="119" spans="1:22" s="109" customFormat="1" ht="38.25" customHeight="1" x14ac:dyDescent="0.25">
      <c r="A119" s="199"/>
      <c r="B119" s="253" t="s">
        <v>1369</v>
      </c>
      <c r="C119" s="347">
        <f t="shared" ref="C119:G119" si="17">SUM(C107:C118)</f>
        <v>0</v>
      </c>
      <c r="D119" s="347">
        <f t="shared" si="17"/>
        <v>0</v>
      </c>
      <c r="E119" s="348">
        <f t="shared" si="17"/>
        <v>0</v>
      </c>
      <c r="F119" s="367">
        <f t="shared" si="17"/>
        <v>0</v>
      </c>
      <c r="G119" s="256">
        <f t="shared" si="17"/>
        <v>0</v>
      </c>
      <c r="H119" s="256">
        <f>SUM(H107:H118)</f>
        <v>0</v>
      </c>
      <c r="I119" s="210"/>
      <c r="J119" s="210"/>
      <c r="K119" s="210"/>
      <c r="L119" s="175"/>
      <c r="M119" s="175"/>
      <c r="N119" s="175"/>
      <c r="O119" s="175"/>
      <c r="Q119" s="199"/>
      <c r="R119" s="198"/>
      <c r="S119" s="198"/>
      <c r="T119" s="209"/>
      <c r="U119" s="209"/>
      <c r="V119" s="212"/>
    </row>
    <row r="120" spans="1:22" s="199" customFormat="1" ht="15" customHeight="1" x14ac:dyDescent="0.25">
      <c r="A120" s="195"/>
      <c r="B120" s="208"/>
      <c r="C120" s="350"/>
      <c r="D120" s="351"/>
      <c r="E120" s="352"/>
      <c r="F120" s="352"/>
      <c r="G120" s="206"/>
      <c r="H120" s="206"/>
      <c r="I120" s="210"/>
      <c r="J120" s="210"/>
      <c r="K120" s="210"/>
      <c r="L120" s="210"/>
      <c r="M120" s="210"/>
      <c r="N120" s="210"/>
      <c r="O120" s="210"/>
    </row>
    <row r="121" spans="1:22" s="109" customFormat="1" ht="38.25" customHeight="1" x14ac:dyDescent="0.25">
      <c r="A121" s="199"/>
      <c r="B121" s="476" t="s">
        <v>1380</v>
      </c>
      <c r="C121" s="353" t="s">
        <v>1572</v>
      </c>
      <c r="D121" s="425" t="s">
        <v>1383</v>
      </c>
      <c r="E121" s="426"/>
      <c r="F121" s="337"/>
      <c r="G121" s="421" t="s">
        <v>1566</v>
      </c>
      <c r="H121" s="418"/>
      <c r="I121" s="209"/>
      <c r="J121" s="198"/>
      <c r="K121" s="198"/>
      <c r="L121" s="107"/>
      <c r="M121" s="107"/>
      <c r="N121" s="107"/>
      <c r="O121" s="106"/>
      <c r="P121" s="106"/>
      <c r="Q121" s="198"/>
      <c r="R121" s="198"/>
      <c r="S121" s="198"/>
      <c r="T121" s="209"/>
      <c r="U121" s="209"/>
      <c r="V121" s="212"/>
    </row>
    <row r="122" spans="1:22" s="109" customFormat="1" ht="52.5" customHeight="1" x14ac:dyDescent="0.25">
      <c r="A122" s="199"/>
      <c r="B122" s="477"/>
      <c r="C122" s="240" t="s">
        <v>1421</v>
      </c>
      <c r="D122" s="240" t="s">
        <v>1400</v>
      </c>
      <c r="E122" s="240" t="s">
        <v>1401</v>
      </c>
      <c r="F122" s="368"/>
      <c r="G122" s="256" t="s">
        <v>1573</v>
      </c>
      <c r="H122" s="256" t="s">
        <v>1574</v>
      </c>
      <c r="I122" s="209"/>
      <c r="J122" s="198"/>
      <c r="K122" s="198"/>
      <c r="L122" s="107"/>
      <c r="M122" s="107"/>
      <c r="N122" s="107"/>
      <c r="O122" s="106"/>
      <c r="P122" s="106"/>
      <c r="Q122" s="198"/>
      <c r="R122" s="198"/>
      <c r="S122" s="198"/>
      <c r="T122" s="209"/>
      <c r="U122" s="209"/>
      <c r="V122" s="212"/>
    </row>
    <row r="123" spans="1:22" s="109" customFormat="1" ht="38.25" customHeight="1" x14ac:dyDescent="0.25">
      <c r="A123" s="340">
        <v>1</v>
      </c>
      <c r="B123" s="341"/>
      <c r="C123" s="342"/>
      <c r="D123" s="343"/>
      <c r="E123" s="344"/>
      <c r="F123" s="345">
        <f t="shared" ref="F123:F134" si="18">+G123/$E$182</f>
        <v>0</v>
      </c>
      <c r="G123" s="256">
        <f>'HOJA 7 AUX'!G10</f>
        <v>0</v>
      </c>
      <c r="H123" s="256">
        <f t="shared" ref="H123:H134" si="19">(C123*D123)*G123</f>
        <v>0</v>
      </c>
      <c r="I123" s="209"/>
      <c r="J123" s="198"/>
      <c r="K123" s="198"/>
      <c r="L123" s="107"/>
      <c r="M123" s="107"/>
      <c r="N123" s="107"/>
      <c r="O123" s="106"/>
      <c r="P123" s="106"/>
      <c r="Q123" s="198"/>
      <c r="R123" s="198"/>
      <c r="S123" s="198"/>
      <c r="T123" s="209"/>
      <c r="U123" s="209"/>
      <c r="V123" s="212"/>
    </row>
    <row r="124" spans="1:22" s="109" customFormat="1" ht="38.25" customHeight="1" x14ac:dyDescent="0.25">
      <c r="A124" s="340">
        <v>2</v>
      </c>
      <c r="B124" s="341"/>
      <c r="C124" s="342"/>
      <c r="D124" s="343"/>
      <c r="E124" s="344"/>
      <c r="F124" s="345">
        <f t="shared" si="18"/>
        <v>0</v>
      </c>
      <c r="G124" s="256">
        <f>'HOJA 7 AUX'!O10</f>
        <v>0</v>
      </c>
      <c r="H124" s="256">
        <f t="shared" si="19"/>
        <v>0</v>
      </c>
      <c r="I124" s="209"/>
      <c r="J124" s="198"/>
      <c r="K124" s="198"/>
      <c r="L124" s="107"/>
      <c r="M124" s="107"/>
      <c r="N124" s="107"/>
      <c r="O124" s="106"/>
      <c r="P124" s="106"/>
      <c r="Q124" s="198"/>
      <c r="R124" s="198"/>
      <c r="S124" s="198"/>
      <c r="T124" s="209"/>
      <c r="U124" s="209"/>
      <c r="V124" s="212"/>
    </row>
    <row r="125" spans="1:22" s="109" customFormat="1" ht="38.25" customHeight="1" x14ac:dyDescent="0.25">
      <c r="A125" s="340">
        <v>3</v>
      </c>
      <c r="B125" s="341"/>
      <c r="C125" s="342"/>
      <c r="D125" s="343"/>
      <c r="E125" s="344"/>
      <c r="F125" s="345">
        <f t="shared" si="18"/>
        <v>0</v>
      </c>
      <c r="G125" s="256">
        <f>'HOJA 7 AUX'!G28</f>
        <v>0</v>
      </c>
      <c r="H125" s="256">
        <f t="shared" si="19"/>
        <v>0</v>
      </c>
      <c r="I125" s="209"/>
      <c r="J125" s="198"/>
      <c r="K125" s="198"/>
      <c r="L125" s="107"/>
      <c r="M125" s="107"/>
      <c r="N125" s="107"/>
      <c r="O125" s="106"/>
      <c r="P125" s="106"/>
      <c r="Q125" s="198"/>
      <c r="R125" s="198"/>
      <c r="S125" s="198"/>
      <c r="T125" s="209"/>
      <c r="U125" s="209"/>
      <c r="V125" s="212"/>
    </row>
    <row r="126" spans="1:22" s="109" customFormat="1" ht="38.25" hidden="1" customHeight="1" x14ac:dyDescent="0.25">
      <c r="A126" s="340">
        <v>4</v>
      </c>
      <c r="B126" s="341"/>
      <c r="C126" s="342"/>
      <c r="D126" s="343"/>
      <c r="E126" s="344"/>
      <c r="F126" s="345">
        <f t="shared" si="18"/>
        <v>0</v>
      </c>
      <c r="G126" s="256">
        <f>'HOJA 7 AUX'!O28</f>
        <v>0</v>
      </c>
      <c r="H126" s="256">
        <f t="shared" si="19"/>
        <v>0</v>
      </c>
      <c r="I126" s="209"/>
      <c r="J126" s="198"/>
      <c r="K126" s="198"/>
      <c r="L126" s="107"/>
      <c r="M126" s="107"/>
      <c r="N126" s="107"/>
      <c r="O126" s="106"/>
      <c r="P126" s="106"/>
      <c r="Q126" s="198"/>
      <c r="R126" s="198"/>
      <c r="S126" s="198"/>
      <c r="T126" s="209"/>
      <c r="U126" s="209"/>
      <c r="V126" s="212"/>
    </row>
    <row r="127" spans="1:22" s="109" customFormat="1" ht="38.25" hidden="1" customHeight="1" x14ac:dyDescent="0.25">
      <c r="A127" s="340">
        <v>5</v>
      </c>
      <c r="B127" s="341"/>
      <c r="C127" s="342"/>
      <c r="D127" s="343"/>
      <c r="E127" s="344"/>
      <c r="F127" s="345">
        <f t="shared" si="18"/>
        <v>0</v>
      </c>
      <c r="G127" s="256">
        <f>'HOJA 7 AUX'!G48</f>
        <v>0</v>
      </c>
      <c r="H127" s="256">
        <f t="shared" si="19"/>
        <v>0</v>
      </c>
      <c r="I127" s="209"/>
      <c r="J127" s="198"/>
      <c r="K127" s="198"/>
      <c r="L127" s="107"/>
      <c r="M127" s="107"/>
      <c r="N127" s="107"/>
      <c r="O127" s="106"/>
      <c r="P127" s="106"/>
      <c r="Q127" s="198"/>
      <c r="R127" s="198"/>
      <c r="S127" s="198"/>
      <c r="T127" s="209"/>
      <c r="U127" s="209"/>
      <c r="V127" s="212"/>
    </row>
    <row r="128" spans="1:22" s="109" customFormat="1" ht="38.25" hidden="1" customHeight="1" x14ac:dyDescent="0.25">
      <c r="A128" s="340">
        <v>6</v>
      </c>
      <c r="B128" s="341"/>
      <c r="C128" s="342"/>
      <c r="D128" s="343"/>
      <c r="E128" s="344"/>
      <c r="F128" s="345">
        <f t="shared" si="18"/>
        <v>0</v>
      </c>
      <c r="G128" s="256">
        <f>'HOJA 7 AUX'!O48</f>
        <v>0</v>
      </c>
      <c r="H128" s="256">
        <f t="shared" si="19"/>
        <v>0</v>
      </c>
      <c r="I128" s="209"/>
      <c r="J128" s="198"/>
      <c r="K128" s="198"/>
      <c r="L128" s="107"/>
      <c r="M128" s="107"/>
      <c r="N128" s="107"/>
      <c r="O128" s="106"/>
      <c r="P128" s="106"/>
      <c r="Q128" s="198"/>
      <c r="R128" s="198"/>
      <c r="S128" s="198"/>
      <c r="T128" s="209"/>
      <c r="U128" s="209"/>
      <c r="V128" s="212"/>
    </row>
    <row r="129" spans="1:22" s="109" customFormat="1" ht="38.25" hidden="1" customHeight="1" x14ac:dyDescent="0.25">
      <c r="A129" s="340">
        <v>7</v>
      </c>
      <c r="B129" s="341"/>
      <c r="C129" s="342"/>
      <c r="D129" s="343"/>
      <c r="E129" s="344"/>
      <c r="F129" s="345">
        <f t="shared" si="18"/>
        <v>0</v>
      </c>
      <c r="G129" s="256">
        <f>'HOJA 7 AUX'!G67</f>
        <v>0</v>
      </c>
      <c r="H129" s="256">
        <f t="shared" si="19"/>
        <v>0</v>
      </c>
      <c r="I129" s="209"/>
      <c r="J129" s="198"/>
      <c r="K129" s="198"/>
      <c r="L129" s="107"/>
      <c r="M129" s="107"/>
      <c r="N129" s="107"/>
      <c r="O129" s="106"/>
      <c r="P129" s="106"/>
      <c r="Q129" s="198"/>
      <c r="R129" s="198"/>
      <c r="S129" s="198"/>
      <c r="T129" s="209"/>
      <c r="U129" s="209"/>
      <c r="V129" s="212"/>
    </row>
    <row r="130" spans="1:22" s="109" customFormat="1" ht="38.25" hidden="1" customHeight="1" x14ac:dyDescent="0.25">
      <c r="A130" s="340">
        <v>8</v>
      </c>
      <c r="B130" s="341"/>
      <c r="C130" s="342"/>
      <c r="D130" s="343"/>
      <c r="E130" s="344"/>
      <c r="F130" s="345">
        <f t="shared" si="18"/>
        <v>0</v>
      </c>
      <c r="G130" s="256">
        <f>'HOJA 7 AUX'!O67</f>
        <v>0</v>
      </c>
      <c r="H130" s="256">
        <f t="shared" si="19"/>
        <v>0</v>
      </c>
      <c r="I130" s="209"/>
      <c r="J130" s="198"/>
      <c r="K130" s="198"/>
      <c r="L130" s="107"/>
      <c r="M130" s="107"/>
      <c r="N130" s="107"/>
      <c r="O130" s="106"/>
      <c r="P130" s="106"/>
      <c r="Q130" s="198"/>
      <c r="R130" s="198"/>
      <c r="S130" s="198"/>
      <c r="T130" s="209"/>
      <c r="U130" s="209"/>
      <c r="V130" s="212"/>
    </row>
    <row r="131" spans="1:22" s="109" customFormat="1" ht="38.25" hidden="1" customHeight="1" x14ac:dyDescent="0.25">
      <c r="A131" s="340">
        <v>9</v>
      </c>
      <c r="B131" s="341"/>
      <c r="C131" s="342"/>
      <c r="D131" s="343"/>
      <c r="E131" s="344"/>
      <c r="F131" s="345">
        <f t="shared" si="18"/>
        <v>0</v>
      </c>
      <c r="G131" s="256">
        <f>'HOJA 7 AUX'!G85</f>
        <v>0</v>
      </c>
      <c r="H131" s="256">
        <f t="shared" si="19"/>
        <v>0</v>
      </c>
      <c r="I131" s="209"/>
      <c r="J131" s="198"/>
      <c r="K131" s="198"/>
      <c r="L131" s="107"/>
      <c r="M131" s="107"/>
      <c r="N131" s="107"/>
      <c r="O131" s="106"/>
      <c r="P131" s="106"/>
      <c r="Q131" s="198"/>
      <c r="R131" s="198"/>
      <c r="S131" s="198"/>
      <c r="T131" s="209"/>
      <c r="U131" s="209"/>
      <c r="V131" s="212"/>
    </row>
    <row r="132" spans="1:22" s="109" customFormat="1" ht="38.25" hidden="1" customHeight="1" x14ac:dyDescent="0.25">
      <c r="A132" s="340">
        <v>10</v>
      </c>
      <c r="B132" s="341"/>
      <c r="C132" s="342"/>
      <c r="D132" s="343"/>
      <c r="E132" s="344"/>
      <c r="F132" s="345">
        <f t="shared" si="18"/>
        <v>0</v>
      </c>
      <c r="G132" s="256">
        <f>'HOJA 7 AUX'!O85</f>
        <v>0</v>
      </c>
      <c r="H132" s="256">
        <f t="shared" si="19"/>
        <v>0</v>
      </c>
      <c r="I132" s="209"/>
      <c r="J132" s="198"/>
      <c r="K132" s="198"/>
      <c r="L132" s="107"/>
      <c r="M132" s="107"/>
      <c r="N132" s="107"/>
      <c r="O132" s="106"/>
      <c r="P132" s="106"/>
      <c r="Q132" s="198"/>
      <c r="R132" s="198"/>
      <c r="S132" s="198"/>
      <c r="T132" s="209"/>
      <c r="U132" s="209"/>
      <c r="V132" s="212"/>
    </row>
    <row r="133" spans="1:22" s="109" customFormat="1" ht="38.25" hidden="1" customHeight="1" x14ac:dyDescent="0.25">
      <c r="A133" s="340">
        <v>11</v>
      </c>
      <c r="B133" s="341"/>
      <c r="C133" s="342"/>
      <c r="D133" s="343"/>
      <c r="E133" s="344"/>
      <c r="F133" s="345">
        <f t="shared" si="18"/>
        <v>0</v>
      </c>
      <c r="G133" s="256">
        <f>'HOJA 7 AUX'!G105</f>
        <v>0</v>
      </c>
      <c r="H133" s="256">
        <f t="shared" si="19"/>
        <v>0</v>
      </c>
      <c r="I133" s="209"/>
      <c r="J133" s="198"/>
      <c r="K133" s="198"/>
      <c r="L133" s="107"/>
      <c r="M133" s="107"/>
      <c r="N133" s="107"/>
      <c r="O133" s="106"/>
      <c r="P133" s="106"/>
      <c r="Q133" s="198"/>
      <c r="R133" s="198"/>
      <c r="S133" s="198"/>
      <c r="T133" s="209"/>
      <c r="U133" s="209"/>
      <c r="V133" s="212"/>
    </row>
    <row r="134" spans="1:22" s="109" customFormat="1" ht="38.25" hidden="1" customHeight="1" x14ac:dyDescent="0.25">
      <c r="A134" s="340">
        <v>12</v>
      </c>
      <c r="B134" s="341"/>
      <c r="C134" s="342"/>
      <c r="D134" s="343"/>
      <c r="E134" s="344"/>
      <c r="F134" s="345">
        <f t="shared" si="18"/>
        <v>0</v>
      </c>
      <c r="G134" s="256">
        <f>'HOJA 7 AUX'!O105</f>
        <v>0</v>
      </c>
      <c r="H134" s="256">
        <f t="shared" si="19"/>
        <v>0</v>
      </c>
      <c r="I134" s="209"/>
      <c r="J134" s="198"/>
      <c r="K134" s="198"/>
      <c r="L134" s="107"/>
      <c r="M134" s="107"/>
      <c r="N134" s="107"/>
      <c r="O134" s="106"/>
      <c r="P134" s="106"/>
      <c r="Q134" s="198"/>
      <c r="R134" s="198"/>
      <c r="S134" s="198"/>
      <c r="T134" s="209"/>
      <c r="U134" s="209"/>
      <c r="V134" s="212"/>
    </row>
    <row r="135" spans="1:22" s="109" customFormat="1" ht="38.25" customHeight="1" x14ac:dyDescent="0.25">
      <c r="A135" s="199"/>
      <c r="B135" s="253" t="s">
        <v>1369</v>
      </c>
      <c r="C135" s="347">
        <f t="shared" ref="C135:G135" si="20">SUM(C123:C134)</f>
        <v>0</v>
      </c>
      <c r="D135" s="347">
        <f t="shared" si="20"/>
        <v>0</v>
      </c>
      <c r="E135" s="348">
        <f t="shared" si="20"/>
        <v>0</v>
      </c>
      <c r="F135" s="367">
        <f t="shared" si="20"/>
        <v>0</v>
      </c>
      <c r="G135" s="256">
        <f t="shared" si="20"/>
        <v>0</v>
      </c>
      <c r="H135" s="256">
        <f>SUM(H123:H134)</f>
        <v>0</v>
      </c>
      <c r="I135" s="209"/>
      <c r="J135" s="198"/>
      <c r="K135" s="198"/>
      <c r="L135" s="107"/>
      <c r="M135" s="107"/>
      <c r="N135" s="107"/>
      <c r="O135" s="106"/>
      <c r="P135" s="106"/>
      <c r="Q135" s="198"/>
      <c r="R135" s="198"/>
      <c r="S135" s="198"/>
      <c r="T135" s="209"/>
      <c r="U135" s="209"/>
      <c r="V135" s="212"/>
    </row>
    <row r="136" spans="1:22" s="199" customFormat="1" ht="15" customHeight="1" x14ac:dyDescent="0.25">
      <c r="A136" s="195"/>
      <c r="B136" s="208"/>
      <c r="C136" s="350"/>
      <c r="D136" s="351"/>
      <c r="E136" s="352"/>
      <c r="F136" s="352"/>
      <c r="G136" s="206"/>
      <c r="H136" s="206"/>
      <c r="I136" s="210"/>
      <c r="J136" s="210"/>
      <c r="K136" s="210"/>
      <c r="L136" s="210"/>
      <c r="M136" s="210"/>
      <c r="N136" s="210"/>
      <c r="O136" s="210"/>
    </row>
    <row r="137" spans="1:22" s="109" customFormat="1" ht="38.25" customHeight="1" x14ac:dyDescent="0.25">
      <c r="A137" s="199"/>
      <c r="B137" s="476" t="s">
        <v>1380</v>
      </c>
      <c r="C137" s="353" t="s">
        <v>1572</v>
      </c>
      <c r="D137" s="427" t="s">
        <v>1390</v>
      </c>
      <c r="E137" s="427"/>
      <c r="F137" s="375"/>
      <c r="G137" s="417" t="s">
        <v>1566</v>
      </c>
      <c r="H137" s="418"/>
      <c r="I137" s="210"/>
      <c r="J137" s="210"/>
      <c r="K137" s="210"/>
      <c r="L137" s="175"/>
      <c r="M137" s="175"/>
      <c r="N137" s="175"/>
      <c r="O137" s="175"/>
      <c r="Q137" s="199"/>
      <c r="R137" s="198"/>
      <c r="S137" s="198"/>
      <c r="T137" s="209"/>
      <c r="U137" s="209"/>
      <c r="V137" s="212"/>
    </row>
    <row r="138" spans="1:22" s="109" customFormat="1" ht="53.25" customHeight="1" x14ac:dyDescent="0.25">
      <c r="A138" s="199"/>
      <c r="B138" s="477"/>
      <c r="C138" s="240" t="s">
        <v>1421</v>
      </c>
      <c r="D138" s="240" t="s">
        <v>1400</v>
      </c>
      <c r="E138" s="240" t="s">
        <v>1401</v>
      </c>
      <c r="F138" s="368"/>
      <c r="G138" s="256" t="s">
        <v>1573</v>
      </c>
      <c r="H138" s="256" t="s">
        <v>1574</v>
      </c>
      <c r="I138" s="210"/>
      <c r="J138" s="210"/>
      <c r="K138" s="210"/>
      <c r="L138" s="175"/>
      <c r="M138" s="175"/>
      <c r="N138" s="175"/>
      <c r="O138" s="175"/>
      <c r="Q138" s="199"/>
      <c r="R138" s="198"/>
      <c r="S138" s="198"/>
      <c r="T138" s="209"/>
      <c r="U138" s="209"/>
      <c r="V138" s="212"/>
    </row>
    <row r="139" spans="1:22" s="109" customFormat="1" ht="38.25" customHeight="1" x14ac:dyDescent="0.25">
      <c r="A139" s="340">
        <v>1</v>
      </c>
      <c r="B139" s="341"/>
      <c r="C139" s="342"/>
      <c r="D139" s="343"/>
      <c r="E139" s="344"/>
      <c r="F139" s="345">
        <f t="shared" ref="F139:F150" si="21">+G139/$E$182</f>
        <v>0</v>
      </c>
      <c r="G139" s="256">
        <f>'HOJA 8 AUX'!G10</f>
        <v>0</v>
      </c>
      <c r="H139" s="256">
        <f t="shared" ref="H139:H150" si="22">+(C139*D139)*G139</f>
        <v>0</v>
      </c>
      <c r="I139" s="210"/>
      <c r="J139" s="210"/>
      <c r="K139" s="210"/>
      <c r="L139" s="175"/>
      <c r="M139" s="175"/>
      <c r="N139" s="175"/>
      <c r="O139" s="175"/>
      <c r="Q139" s="199"/>
      <c r="R139" s="198"/>
      <c r="S139" s="198"/>
      <c r="T139" s="209"/>
      <c r="U139" s="209"/>
      <c r="V139" s="212"/>
    </row>
    <row r="140" spans="1:22" s="109" customFormat="1" ht="38.25" customHeight="1" x14ac:dyDescent="0.25">
      <c r="A140" s="340">
        <v>2</v>
      </c>
      <c r="B140" s="341"/>
      <c r="C140" s="342"/>
      <c r="D140" s="343"/>
      <c r="E140" s="344"/>
      <c r="F140" s="345">
        <f t="shared" si="21"/>
        <v>0</v>
      </c>
      <c r="G140" s="256">
        <f>'HOJA 8 AUX'!O10</f>
        <v>0</v>
      </c>
      <c r="H140" s="256">
        <f t="shared" si="22"/>
        <v>0</v>
      </c>
      <c r="I140" s="210"/>
      <c r="J140" s="210"/>
      <c r="K140" s="210"/>
      <c r="L140" s="175"/>
      <c r="M140" s="175"/>
      <c r="N140" s="175"/>
      <c r="O140" s="175"/>
      <c r="Q140" s="199"/>
      <c r="R140" s="198"/>
      <c r="S140" s="198"/>
      <c r="T140" s="209"/>
      <c r="U140" s="209"/>
      <c r="V140" s="212"/>
    </row>
    <row r="141" spans="1:22" s="109" customFormat="1" ht="38.25" customHeight="1" x14ac:dyDescent="0.25">
      <c r="A141" s="340">
        <v>3</v>
      </c>
      <c r="B141" s="341"/>
      <c r="C141" s="342"/>
      <c r="D141" s="343"/>
      <c r="E141" s="344"/>
      <c r="F141" s="345">
        <f t="shared" si="21"/>
        <v>0</v>
      </c>
      <c r="G141" s="256">
        <f>'HOJA 8 AUX'!G28</f>
        <v>0</v>
      </c>
      <c r="H141" s="256">
        <f t="shared" si="22"/>
        <v>0</v>
      </c>
      <c r="I141" s="210"/>
      <c r="J141" s="210"/>
      <c r="K141" s="210"/>
      <c r="L141" s="175"/>
      <c r="M141" s="175"/>
      <c r="N141" s="175"/>
      <c r="O141" s="175"/>
      <c r="Q141" s="199"/>
      <c r="R141" s="198"/>
      <c r="S141" s="198"/>
      <c r="T141" s="209"/>
      <c r="U141" s="209"/>
      <c r="V141" s="212"/>
    </row>
    <row r="142" spans="1:22" s="109" customFormat="1" ht="38.25" hidden="1" customHeight="1" x14ac:dyDescent="0.25">
      <c r="A142" s="340">
        <v>4</v>
      </c>
      <c r="B142" s="151"/>
      <c r="C142" s="342"/>
      <c r="D142" s="343"/>
      <c r="E142" s="344"/>
      <c r="F142" s="345">
        <f t="shared" si="21"/>
        <v>0</v>
      </c>
      <c r="G142" s="256">
        <f>'HOJA 8 AUX'!O28</f>
        <v>0</v>
      </c>
      <c r="H142" s="256">
        <f t="shared" si="22"/>
        <v>0</v>
      </c>
      <c r="I142" s="210"/>
      <c r="J142" s="210"/>
      <c r="K142" s="210"/>
      <c r="L142" s="175"/>
      <c r="M142" s="175"/>
      <c r="N142" s="175"/>
      <c r="O142" s="175"/>
      <c r="Q142" s="199"/>
      <c r="R142" s="198"/>
      <c r="S142" s="198"/>
      <c r="T142" s="209"/>
      <c r="U142" s="209"/>
      <c r="V142" s="212"/>
    </row>
    <row r="143" spans="1:22" s="109" customFormat="1" ht="38.25" hidden="1" customHeight="1" x14ac:dyDescent="0.25">
      <c r="A143" s="340">
        <v>5</v>
      </c>
      <c r="B143" s="341"/>
      <c r="C143" s="342"/>
      <c r="D143" s="343"/>
      <c r="E143" s="344"/>
      <c r="F143" s="345">
        <f t="shared" si="21"/>
        <v>0</v>
      </c>
      <c r="G143" s="256">
        <f>'HOJA 8 AUX'!G48</f>
        <v>0</v>
      </c>
      <c r="H143" s="256">
        <f t="shared" si="22"/>
        <v>0</v>
      </c>
      <c r="I143" s="210"/>
      <c r="J143" s="210"/>
      <c r="K143" s="210"/>
      <c r="L143" s="175"/>
      <c r="M143" s="175"/>
      <c r="N143" s="175"/>
      <c r="O143" s="175"/>
      <c r="Q143" s="199"/>
      <c r="R143" s="198"/>
      <c r="S143" s="198"/>
      <c r="T143" s="209"/>
      <c r="U143" s="209"/>
      <c r="V143" s="212"/>
    </row>
    <row r="144" spans="1:22" s="109" customFormat="1" ht="38.25" hidden="1" customHeight="1" x14ac:dyDescent="0.25">
      <c r="A144" s="340">
        <v>6</v>
      </c>
      <c r="B144" s="341"/>
      <c r="C144" s="342"/>
      <c r="D144" s="343"/>
      <c r="E144" s="344"/>
      <c r="F144" s="345">
        <f t="shared" si="21"/>
        <v>0</v>
      </c>
      <c r="G144" s="256">
        <f>'HOJA 8 AUX'!O48</f>
        <v>0</v>
      </c>
      <c r="H144" s="256">
        <f t="shared" si="22"/>
        <v>0</v>
      </c>
      <c r="I144" s="210"/>
      <c r="J144" s="210"/>
      <c r="K144" s="210"/>
      <c r="L144" s="175"/>
      <c r="M144" s="175"/>
      <c r="N144" s="175"/>
      <c r="O144" s="175"/>
      <c r="Q144" s="199"/>
      <c r="R144" s="198"/>
      <c r="S144" s="198"/>
      <c r="T144" s="209"/>
      <c r="U144" s="209"/>
      <c r="V144" s="212"/>
    </row>
    <row r="145" spans="1:22" s="109" customFormat="1" ht="38.25" hidden="1" customHeight="1" x14ac:dyDescent="0.25">
      <c r="A145" s="340">
        <v>7</v>
      </c>
      <c r="B145" s="341"/>
      <c r="C145" s="342"/>
      <c r="D145" s="343"/>
      <c r="E145" s="344"/>
      <c r="F145" s="345">
        <f t="shared" si="21"/>
        <v>0</v>
      </c>
      <c r="G145" s="256">
        <f>'HOJA 8 AUX'!G67</f>
        <v>0</v>
      </c>
      <c r="H145" s="256">
        <f t="shared" si="22"/>
        <v>0</v>
      </c>
      <c r="I145" s="210"/>
      <c r="J145" s="210"/>
      <c r="K145" s="210"/>
      <c r="L145" s="175"/>
      <c r="M145" s="175"/>
      <c r="N145" s="175"/>
      <c r="O145" s="175"/>
      <c r="Q145" s="199"/>
      <c r="R145" s="198"/>
      <c r="S145" s="198"/>
      <c r="T145" s="209"/>
      <c r="U145" s="209"/>
      <c r="V145" s="212"/>
    </row>
    <row r="146" spans="1:22" s="109" customFormat="1" ht="38.25" hidden="1" customHeight="1" x14ac:dyDescent="0.25">
      <c r="A146" s="340">
        <v>8</v>
      </c>
      <c r="B146" s="341"/>
      <c r="C146" s="342"/>
      <c r="D146" s="343"/>
      <c r="E146" s="344"/>
      <c r="F146" s="345">
        <f t="shared" si="21"/>
        <v>0</v>
      </c>
      <c r="G146" s="256">
        <f>'HOJA 8 AUX'!O67</f>
        <v>0</v>
      </c>
      <c r="H146" s="256">
        <f t="shared" si="22"/>
        <v>0</v>
      </c>
      <c r="I146" s="210"/>
      <c r="J146" s="210"/>
      <c r="K146" s="210"/>
      <c r="L146" s="175"/>
      <c r="M146" s="175"/>
      <c r="N146" s="175"/>
      <c r="O146" s="175"/>
      <c r="Q146" s="199"/>
      <c r="R146" s="198"/>
      <c r="S146" s="198"/>
      <c r="T146" s="209"/>
      <c r="U146" s="209"/>
      <c r="V146" s="212"/>
    </row>
    <row r="147" spans="1:22" s="109" customFormat="1" ht="38.25" hidden="1" customHeight="1" x14ac:dyDescent="0.25">
      <c r="A147" s="340">
        <v>9</v>
      </c>
      <c r="B147" s="341"/>
      <c r="C147" s="342"/>
      <c r="D147" s="343"/>
      <c r="E147" s="344"/>
      <c r="F147" s="345">
        <f t="shared" si="21"/>
        <v>0</v>
      </c>
      <c r="G147" s="256">
        <f>'HOJA 8 AUX'!G85</f>
        <v>0</v>
      </c>
      <c r="H147" s="256">
        <f t="shared" si="22"/>
        <v>0</v>
      </c>
      <c r="I147" s="210"/>
      <c r="J147" s="210"/>
      <c r="K147" s="210"/>
      <c r="L147" s="175"/>
      <c r="M147" s="175"/>
      <c r="N147" s="175"/>
      <c r="O147" s="175"/>
      <c r="Q147" s="199"/>
      <c r="R147" s="198"/>
      <c r="S147" s="198"/>
      <c r="T147" s="209"/>
      <c r="U147" s="209"/>
      <c r="V147" s="212"/>
    </row>
    <row r="148" spans="1:22" s="109" customFormat="1" ht="38.25" hidden="1" customHeight="1" x14ac:dyDescent="0.25">
      <c r="A148" s="340">
        <v>10</v>
      </c>
      <c r="B148" s="341"/>
      <c r="C148" s="342"/>
      <c r="D148" s="343"/>
      <c r="E148" s="344"/>
      <c r="F148" s="345">
        <f t="shared" si="21"/>
        <v>0</v>
      </c>
      <c r="G148" s="256">
        <f>'HOJA 8 AUX'!O85</f>
        <v>0</v>
      </c>
      <c r="H148" s="256">
        <f t="shared" si="22"/>
        <v>0</v>
      </c>
      <c r="I148" s="210"/>
      <c r="J148" s="210"/>
      <c r="K148" s="210"/>
      <c r="L148" s="175"/>
      <c r="M148" s="175"/>
      <c r="N148" s="175"/>
      <c r="O148" s="175"/>
      <c r="Q148" s="199"/>
      <c r="R148" s="198"/>
      <c r="S148" s="198"/>
      <c r="T148" s="209"/>
      <c r="U148" s="209"/>
      <c r="V148" s="212"/>
    </row>
    <row r="149" spans="1:22" s="109" customFormat="1" ht="38.25" hidden="1" customHeight="1" x14ac:dyDescent="0.25">
      <c r="A149" s="340">
        <v>11</v>
      </c>
      <c r="B149" s="341"/>
      <c r="C149" s="342"/>
      <c r="D149" s="343"/>
      <c r="E149" s="344"/>
      <c r="F149" s="345">
        <f t="shared" si="21"/>
        <v>0</v>
      </c>
      <c r="G149" s="256">
        <f>'HOJA 8 AUX'!G105</f>
        <v>0</v>
      </c>
      <c r="H149" s="256">
        <f t="shared" si="22"/>
        <v>0</v>
      </c>
      <c r="I149" s="210"/>
      <c r="J149" s="210"/>
      <c r="K149" s="210"/>
      <c r="L149" s="175"/>
      <c r="M149" s="175"/>
      <c r="N149" s="175"/>
      <c r="O149" s="175"/>
      <c r="Q149" s="199"/>
      <c r="R149" s="198"/>
      <c r="S149" s="198"/>
      <c r="T149" s="209"/>
      <c r="U149" s="209"/>
      <c r="V149" s="212"/>
    </row>
    <row r="150" spans="1:22" s="109" customFormat="1" ht="38.25" hidden="1" customHeight="1" x14ac:dyDescent="0.25">
      <c r="A150" s="340">
        <v>12</v>
      </c>
      <c r="B150" s="180"/>
      <c r="C150" s="342"/>
      <c r="D150" s="343"/>
      <c r="E150" s="344"/>
      <c r="F150" s="345">
        <f t="shared" si="21"/>
        <v>0</v>
      </c>
      <c r="G150" s="256">
        <f>'HOJA 8 AUX'!O105</f>
        <v>0</v>
      </c>
      <c r="H150" s="256">
        <f t="shared" si="22"/>
        <v>0</v>
      </c>
      <c r="I150" s="210"/>
      <c r="J150" s="210"/>
      <c r="K150" s="210"/>
      <c r="L150" s="175"/>
      <c r="M150" s="175"/>
      <c r="N150" s="175"/>
      <c r="O150" s="175"/>
      <c r="Q150" s="199"/>
      <c r="R150" s="198"/>
      <c r="S150" s="198"/>
      <c r="T150" s="209"/>
      <c r="U150" s="209"/>
      <c r="V150" s="212"/>
    </row>
    <row r="151" spans="1:22" s="109" customFormat="1" ht="38.25" customHeight="1" x14ac:dyDescent="0.25">
      <c r="A151" s="199"/>
      <c r="B151" s="253" t="s">
        <v>1369</v>
      </c>
      <c r="C151" s="347">
        <f t="shared" ref="C151:G151" si="23">SUM(C139:C150)</f>
        <v>0</v>
      </c>
      <c r="D151" s="347">
        <f t="shared" si="23"/>
        <v>0</v>
      </c>
      <c r="E151" s="347">
        <f t="shared" si="23"/>
        <v>0</v>
      </c>
      <c r="F151" s="367">
        <f t="shared" si="23"/>
        <v>0</v>
      </c>
      <c r="G151" s="256">
        <f t="shared" si="23"/>
        <v>0</v>
      </c>
      <c r="H151" s="256">
        <f>SUM(H139:H150)</f>
        <v>0</v>
      </c>
      <c r="I151" s="210"/>
      <c r="J151" s="210"/>
      <c r="K151" s="210"/>
      <c r="L151" s="175"/>
      <c r="M151" s="175"/>
      <c r="N151" s="175"/>
      <c r="O151" s="175"/>
      <c r="Q151" s="199"/>
      <c r="R151" s="198"/>
      <c r="S151" s="198"/>
      <c r="T151" s="209"/>
      <c r="U151" s="209"/>
      <c r="V151" s="212"/>
    </row>
    <row r="152" spans="1:22" s="199" customFormat="1" ht="15" customHeight="1" x14ac:dyDescent="0.25">
      <c r="A152" s="195"/>
      <c r="B152" s="208"/>
      <c r="C152" s="350"/>
      <c r="D152" s="351"/>
      <c r="E152" s="352"/>
      <c r="F152" s="352"/>
      <c r="G152" s="206"/>
      <c r="H152" s="206"/>
      <c r="I152" s="210"/>
      <c r="J152" s="210"/>
      <c r="K152" s="210"/>
      <c r="L152" s="210"/>
      <c r="M152" s="210"/>
      <c r="N152" s="210"/>
      <c r="O152" s="210"/>
    </row>
    <row r="153" spans="1:22" s="109" customFormat="1" ht="38.25" customHeight="1" x14ac:dyDescent="0.25">
      <c r="A153" s="199"/>
      <c r="B153" s="476" t="s">
        <v>1380</v>
      </c>
      <c r="C153" s="353" t="s">
        <v>1572</v>
      </c>
      <c r="D153" s="425" t="s">
        <v>1387</v>
      </c>
      <c r="E153" s="426"/>
      <c r="F153" s="376"/>
      <c r="G153" s="419" t="s">
        <v>1566</v>
      </c>
      <c r="H153" s="419"/>
      <c r="I153" s="209"/>
      <c r="J153" s="198"/>
      <c r="K153" s="198"/>
      <c r="L153" s="107"/>
      <c r="M153" s="107"/>
      <c r="N153" s="107"/>
      <c r="O153" s="106"/>
      <c r="P153" s="106"/>
      <c r="Q153" s="198"/>
      <c r="R153" s="198"/>
      <c r="S153" s="198"/>
      <c r="T153" s="209"/>
      <c r="U153" s="209"/>
      <c r="V153" s="212"/>
    </row>
    <row r="154" spans="1:22" s="109" customFormat="1" ht="53.25" customHeight="1" x14ac:dyDescent="0.25">
      <c r="A154" s="199"/>
      <c r="B154" s="477"/>
      <c r="C154" s="240" t="s">
        <v>1421</v>
      </c>
      <c r="D154" s="240" t="s">
        <v>1400</v>
      </c>
      <c r="E154" s="240" t="s">
        <v>1401</v>
      </c>
      <c r="F154" s="368"/>
      <c r="G154" s="355" t="s">
        <v>1573</v>
      </c>
      <c r="H154" s="355" t="s">
        <v>1574</v>
      </c>
      <c r="I154" s="209"/>
      <c r="J154" s="198"/>
      <c r="K154" s="198"/>
      <c r="L154" s="107"/>
      <c r="M154" s="107"/>
      <c r="N154" s="107"/>
      <c r="O154" s="106"/>
      <c r="P154" s="106"/>
      <c r="Q154" s="198"/>
      <c r="R154" s="198"/>
      <c r="S154" s="198"/>
      <c r="T154" s="209"/>
      <c r="U154" s="209"/>
      <c r="V154" s="212"/>
    </row>
    <row r="155" spans="1:22" s="109" customFormat="1" ht="38.25" customHeight="1" x14ac:dyDescent="0.25">
      <c r="A155" s="340">
        <v>1</v>
      </c>
      <c r="B155" s="341"/>
      <c r="C155" s="342"/>
      <c r="D155" s="343"/>
      <c r="E155" s="344"/>
      <c r="F155" s="345">
        <f t="shared" ref="F155:F166" si="24">+G155/$E$182</f>
        <v>0</v>
      </c>
      <c r="G155" s="256">
        <f>'HOJA 9 AUX'!G10</f>
        <v>0</v>
      </c>
      <c r="H155" s="256">
        <f t="shared" ref="H155:H166" si="25">(C155*D155)*G155</f>
        <v>0</v>
      </c>
      <c r="I155" s="209"/>
      <c r="J155" s="198"/>
      <c r="K155" s="198"/>
      <c r="L155" s="107"/>
      <c r="M155" s="107"/>
      <c r="N155" s="107"/>
      <c r="O155" s="106"/>
      <c r="P155" s="106"/>
      <c r="Q155" s="198"/>
      <c r="R155" s="198"/>
      <c r="S155" s="198"/>
      <c r="T155" s="209"/>
      <c r="U155" s="209"/>
      <c r="V155" s="212"/>
    </row>
    <row r="156" spans="1:22" s="109" customFormat="1" ht="38.25" customHeight="1" x14ac:dyDescent="0.25">
      <c r="A156" s="340">
        <v>2</v>
      </c>
      <c r="B156" s="341"/>
      <c r="C156" s="342"/>
      <c r="D156" s="343"/>
      <c r="E156" s="344"/>
      <c r="F156" s="345">
        <f t="shared" si="24"/>
        <v>0</v>
      </c>
      <c r="G156" s="256">
        <f>'HOJA 9 AUX'!O10</f>
        <v>0</v>
      </c>
      <c r="H156" s="256">
        <f t="shared" si="25"/>
        <v>0</v>
      </c>
      <c r="I156" s="209"/>
      <c r="J156" s="198"/>
      <c r="K156" s="198"/>
      <c r="L156" s="107"/>
      <c r="M156" s="107"/>
      <c r="N156" s="107"/>
      <c r="O156" s="106"/>
      <c r="P156" s="106"/>
      <c r="Q156" s="198"/>
      <c r="R156" s="198"/>
      <c r="S156" s="198"/>
      <c r="T156" s="209"/>
      <c r="U156" s="209"/>
      <c r="V156" s="212"/>
    </row>
    <row r="157" spans="1:22" s="109" customFormat="1" ht="38.25" customHeight="1" x14ac:dyDescent="0.25">
      <c r="A157" s="340">
        <v>3</v>
      </c>
      <c r="B157" s="341"/>
      <c r="C157" s="342"/>
      <c r="D157" s="343"/>
      <c r="E157" s="344"/>
      <c r="F157" s="345">
        <f t="shared" si="24"/>
        <v>0</v>
      </c>
      <c r="G157" s="256">
        <f>'HOJA 9 AUX'!G28</f>
        <v>0</v>
      </c>
      <c r="H157" s="256">
        <f t="shared" si="25"/>
        <v>0</v>
      </c>
      <c r="I157" s="209"/>
      <c r="J157" s="198"/>
      <c r="K157" s="198"/>
      <c r="L157" s="107"/>
      <c r="M157" s="107"/>
      <c r="N157" s="107"/>
      <c r="O157" s="106"/>
      <c r="P157" s="106"/>
      <c r="Q157" s="198"/>
      <c r="R157" s="198"/>
      <c r="S157" s="198"/>
      <c r="T157" s="209"/>
      <c r="U157" s="209"/>
      <c r="V157" s="212"/>
    </row>
    <row r="158" spans="1:22" s="109" customFormat="1" ht="38.25" hidden="1" customHeight="1" x14ac:dyDescent="0.25">
      <c r="A158" s="340">
        <v>4</v>
      </c>
      <c r="B158" s="341"/>
      <c r="C158" s="342"/>
      <c r="D158" s="343"/>
      <c r="E158" s="344"/>
      <c r="F158" s="345">
        <f t="shared" si="24"/>
        <v>0</v>
      </c>
      <c r="G158" s="256">
        <f>'HOJA 9 AUX'!O28</f>
        <v>0</v>
      </c>
      <c r="H158" s="256">
        <f t="shared" si="25"/>
        <v>0</v>
      </c>
      <c r="I158" s="209"/>
      <c r="J158" s="198"/>
      <c r="K158" s="198"/>
      <c r="L158" s="107"/>
      <c r="M158" s="107"/>
      <c r="N158" s="107"/>
      <c r="O158" s="106"/>
      <c r="P158" s="106"/>
      <c r="Q158" s="198"/>
      <c r="R158" s="198"/>
      <c r="S158" s="198"/>
      <c r="T158" s="209"/>
      <c r="U158" s="209"/>
      <c r="V158" s="212"/>
    </row>
    <row r="159" spans="1:22" s="109" customFormat="1" ht="38.25" hidden="1" customHeight="1" x14ac:dyDescent="0.25">
      <c r="A159" s="340">
        <v>5</v>
      </c>
      <c r="B159" s="341"/>
      <c r="C159" s="342"/>
      <c r="D159" s="343"/>
      <c r="E159" s="344"/>
      <c r="F159" s="345">
        <f t="shared" si="24"/>
        <v>0</v>
      </c>
      <c r="G159" s="256">
        <f>'HOJA 9 AUX'!G48</f>
        <v>0</v>
      </c>
      <c r="H159" s="256">
        <f t="shared" si="25"/>
        <v>0</v>
      </c>
      <c r="I159" s="209"/>
      <c r="J159" s="198"/>
      <c r="K159" s="198"/>
      <c r="L159" s="107"/>
      <c r="M159" s="107"/>
      <c r="N159" s="107"/>
      <c r="O159" s="106"/>
      <c r="P159" s="106"/>
      <c r="Q159" s="198"/>
      <c r="R159" s="198"/>
      <c r="S159" s="198"/>
      <c r="T159" s="209"/>
      <c r="U159" s="209"/>
      <c r="V159" s="212"/>
    </row>
    <row r="160" spans="1:22" s="109" customFormat="1" ht="38.25" hidden="1" customHeight="1" x14ac:dyDescent="0.25">
      <c r="A160" s="340">
        <v>6</v>
      </c>
      <c r="B160" s="341"/>
      <c r="C160" s="342"/>
      <c r="D160" s="343"/>
      <c r="E160" s="344"/>
      <c r="F160" s="345">
        <f t="shared" si="24"/>
        <v>0</v>
      </c>
      <c r="G160" s="256">
        <f>'HOJA 9 AUX'!O48</f>
        <v>0</v>
      </c>
      <c r="H160" s="256">
        <f t="shared" si="25"/>
        <v>0</v>
      </c>
      <c r="I160" s="209"/>
      <c r="J160" s="198"/>
      <c r="K160" s="198"/>
      <c r="L160" s="107"/>
      <c r="M160" s="107"/>
      <c r="N160" s="107"/>
      <c r="O160" s="106"/>
      <c r="P160" s="106"/>
      <c r="Q160" s="198"/>
      <c r="R160" s="198"/>
      <c r="S160" s="198"/>
      <c r="T160" s="209"/>
      <c r="U160" s="209"/>
      <c r="V160" s="212"/>
    </row>
    <row r="161" spans="1:22" s="109" customFormat="1" ht="38.25" hidden="1" customHeight="1" x14ac:dyDescent="0.25">
      <c r="A161" s="340">
        <v>7</v>
      </c>
      <c r="B161" s="341"/>
      <c r="C161" s="342"/>
      <c r="D161" s="343"/>
      <c r="E161" s="344"/>
      <c r="F161" s="345">
        <f t="shared" si="24"/>
        <v>0</v>
      </c>
      <c r="G161" s="256">
        <f>'HOJA 9 AUX'!G67</f>
        <v>0</v>
      </c>
      <c r="H161" s="256">
        <f t="shared" si="25"/>
        <v>0</v>
      </c>
      <c r="I161" s="209"/>
      <c r="J161" s="198"/>
      <c r="K161" s="198"/>
      <c r="L161" s="107"/>
      <c r="M161" s="107"/>
      <c r="N161" s="107"/>
      <c r="O161" s="106"/>
      <c r="P161" s="106"/>
      <c r="Q161" s="198"/>
      <c r="R161" s="198"/>
      <c r="S161" s="198"/>
      <c r="T161" s="209"/>
      <c r="U161" s="209"/>
      <c r="V161" s="212"/>
    </row>
    <row r="162" spans="1:22" s="109" customFormat="1" ht="38.25" hidden="1" customHeight="1" x14ac:dyDescent="0.25">
      <c r="A162" s="340">
        <v>8</v>
      </c>
      <c r="B162" s="341"/>
      <c r="C162" s="342"/>
      <c r="D162" s="343"/>
      <c r="E162" s="344"/>
      <c r="F162" s="345">
        <f t="shared" si="24"/>
        <v>0</v>
      </c>
      <c r="G162" s="256">
        <f>'HOJA 9 AUX'!O67</f>
        <v>0</v>
      </c>
      <c r="H162" s="256">
        <f t="shared" si="25"/>
        <v>0</v>
      </c>
      <c r="I162" s="209"/>
      <c r="J162" s="198"/>
      <c r="K162" s="198"/>
      <c r="L162" s="107"/>
      <c r="M162" s="107"/>
      <c r="N162" s="107"/>
      <c r="O162" s="106"/>
      <c r="P162" s="106"/>
      <c r="Q162" s="198"/>
      <c r="R162" s="198"/>
      <c r="S162" s="198"/>
      <c r="T162" s="209"/>
      <c r="U162" s="209"/>
      <c r="V162" s="212"/>
    </row>
    <row r="163" spans="1:22" s="109" customFormat="1" ht="45.75" hidden="1" customHeight="1" x14ac:dyDescent="0.25">
      <c r="A163" s="340">
        <v>9</v>
      </c>
      <c r="B163" s="341"/>
      <c r="C163" s="342"/>
      <c r="D163" s="343"/>
      <c r="E163" s="344"/>
      <c r="F163" s="345">
        <f t="shared" si="24"/>
        <v>0</v>
      </c>
      <c r="G163" s="256">
        <f>'HOJA 9 AUX'!G85</f>
        <v>0</v>
      </c>
      <c r="H163" s="256">
        <f t="shared" si="25"/>
        <v>0</v>
      </c>
      <c r="I163" s="209"/>
      <c r="J163" s="198"/>
      <c r="K163" s="198"/>
      <c r="L163" s="107"/>
      <c r="M163" s="107"/>
      <c r="N163" s="107"/>
      <c r="O163" s="106"/>
      <c r="P163" s="106"/>
      <c r="Q163" s="198"/>
      <c r="R163" s="198"/>
      <c r="S163" s="198"/>
      <c r="T163" s="209"/>
      <c r="U163" s="209"/>
      <c r="V163" s="212"/>
    </row>
    <row r="164" spans="1:22" s="109" customFormat="1" ht="38.25" hidden="1" customHeight="1" x14ac:dyDescent="0.25">
      <c r="A164" s="340">
        <v>10</v>
      </c>
      <c r="B164" s="341"/>
      <c r="C164" s="342"/>
      <c r="D164" s="343"/>
      <c r="E164" s="344"/>
      <c r="F164" s="345">
        <f t="shared" si="24"/>
        <v>0</v>
      </c>
      <c r="G164" s="256">
        <f>'HOJA 9 AUX'!O85</f>
        <v>0</v>
      </c>
      <c r="H164" s="256">
        <f t="shared" si="25"/>
        <v>0</v>
      </c>
      <c r="I164" s="209"/>
      <c r="J164" s="198"/>
      <c r="K164" s="198"/>
      <c r="L164" s="107"/>
      <c r="M164" s="107"/>
      <c r="N164" s="107"/>
      <c r="O164" s="106"/>
      <c r="P164" s="106"/>
      <c r="Q164" s="198"/>
      <c r="R164" s="198"/>
      <c r="S164" s="198"/>
      <c r="T164" s="209"/>
      <c r="U164" s="209"/>
      <c r="V164" s="212"/>
    </row>
    <row r="165" spans="1:22" s="109" customFormat="1" ht="38.25" hidden="1" customHeight="1" x14ac:dyDescent="0.25">
      <c r="A165" s="340">
        <v>11</v>
      </c>
      <c r="B165" s="341"/>
      <c r="C165" s="342"/>
      <c r="D165" s="343"/>
      <c r="E165" s="344"/>
      <c r="F165" s="345">
        <f t="shared" si="24"/>
        <v>0</v>
      </c>
      <c r="G165" s="256">
        <f>'HOJA 9 AUX'!G105</f>
        <v>0</v>
      </c>
      <c r="H165" s="256">
        <f t="shared" si="25"/>
        <v>0</v>
      </c>
      <c r="I165" s="209"/>
      <c r="J165" s="198"/>
      <c r="K165" s="198"/>
      <c r="L165" s="107"/>
      <c r="M165" s="107"/>
      <c r="N165" s="107"/>
      <c r="O165" s="106"/>
      <c r="P165" s="106"/>
      <c r="Q165" s="198"/>
      <c r="R165" s="198"/>
      <c r="S165" s="198"/>
      <c r="T165" s="209"/>
      <c r="U165" s="209"/>
      <c r="V165" s="212"/>
    </row>
    <row r="166" spans="1:22" s="109" customFormat="1" ht="38.25" hidden="1" customHeight="1" x14ac:dyDescent="0.25">
      <c r="A166" s="340">
        <v>12</v>
      </c>
      <c r="B166" s="341"/>
      <c r="C166" s="342"/>
      <c r="D166" s="343"/>
      <c r="E166" s="344"/>
      <c r="F166" s="345">
        <f t="shared" si="24"/>
        <v>0</v>
      </c>
      <c r="G166" s="377">
        <f>'HOJA 9 AUX'!O105</f>
        <v>0</v>
      </c>
      <c r="H166" s="256">
        <f t="shared" si="25"/>
        <v>0</v>
      </c>
      <c r="I166" s="209"/>
      <c r="J166" s="198"/>
      <c r="K166" s="198"/>
      <c r="L166" s="107"/>
      <c r="M166" s="107"/>
      <c r="N166" s="107"/>
      <c r="O166" s="106"/>
      <c r="P166" s="106"/>
      <c r="Q166" s="198"/>
      <c r="R166" s="198"/>
      <c r="S166" s="198"/>
      <c r="T166" s="209"/>
      <c r="U166" s="209"/>
      <c r="V166" s="212"/>
    </row>
    <row r="167" spans="1:22" s="109" customFormat="1" ht="38.25" customHeight="1" x14ac:dyDescent="0.25">
      <c r="A167" s="195"/>
      <c r="B167" s="253" t="s">
        <v>1369</v>
      </c>
      <c r="C167" s="378">
        <f t="shared" ref="C167:G167" si="26">SUM(C155:C166)</f>
        <v>0</v>
      </c>
      <c r="D167" s="378">
        <f t="shared" si="26"/>
        <v>0</v>
      </c>
      <c r="E167" s="379">
        <f t="shared" si="26"/>
        <v>0</v>
      </c>
      <c r="F167" s="380">
        <f t="shared" si="26"/>
        <v>0</v>
      </c>
      <c r="G167" s="256">
        <f t="shared" si="26"/>
        <v>0</v>
      </c>
      <c r="H167" s="381">
        <f>SUM(H155:H166)</f>
        <v>0</v>
      </c>
      <c r="I167" s="209"/>
      <c r="J167" s="198"/>
      <c r="K167" s="198"/>
      <c r="L167" s="107"/>
      <c r="M167" s="107"/>
      <c r="N167" s="107"/>
      <c r="O167" s="106"/>
      <c r="P167" s="106"/>
      <c r="Q167" s="198"/>
      <c r="R167" s="198"/>
      <c r="S167" s="198"/>
      <c r="T167" s="209"/>
      <c r="U167" s="209"/>
      <c r="V167" s="212"/>
    </row>
    <row r="168" spans="1:22" s="199" customFormat="1" ht="15" customHeight="1" x14ac:dyDescent="0.25">
      <c r="A168" s="195"/>
      <c r="B168" s="208"/>
      <c r="C168" s="356"/>
      <c r="D168" s="357"/>
      <c r="E168" s="358"/>
      <c r="F168" s="358"/>
      <c r="G168" s="198"/>
      <c r="H168" s="210"/>
      <c r="I168" s="210"/>
      <c r="J168" s="210"/>
      <c r="K168" s="210"/>
      <c r="L168" s="210"/>
      <c r="M168" s="210"/>
      <c r="N168" s="210"/>
      <c r="O168" s="210"/>
    </row>
    <row r="169" spans="1:22" s="109" customFormat="1" ht="38.25" customHeight="1" x14ac:dyDescent="0.25">
      <c r="A169" s="195"/>
      <c r="B169" s="382" t="s">
        <v>1423</v>
      </c>
      <c r="C169" s="428" t="s">
        <v>1424</v>
      </c>
      <c r="D169" s="428"/>
      <c r="E169" s="485" t="s">
        <v>1369</v>
      </c>
      <c r="F169" s="485"/>
      <c r="G169" s="485"/>
      <c r="H169" s="210"/>
      <c r="I169" s="209"/>
      <c r="J169" s="198"/>
      <c r="K169" s="198"/>
      <c r="L169" s="107"/>
      <c r="M169" s="107"/>
      <c r="N169" s="107"/>
      <c r="O169" s="106"/>
      <c r="P169" s="106"/>
      <c r="Q169" s="198"/>
      <c r="R169" s="198"/>
      <c r="S169" s="198"/>
      <c r="T169" s="209"/>
      <c r="U169" s="209"/>
      <c r="V169" s="212"/>
    </row>
    <row r="170" spans="1:22" s="109" customFormat="1" ht="38.25" hidden="1" customHeight="1" x14ac:dyDescent="0.25">
      <c r="A170" s="195"/>
      <c r="B170" s="383">
        <f t="shared" ref="B170:B181" si="27">+C155+C139+C123+C107+C91+C75+C59+C43+C27</f>
        <v>1</v>
      </c>
      <c r="C170" s="422">
        <f t="shared" ref="C170:C181" si="28">(C27*D27)+(C43*D43)+(C59*D59)+(C75*D75)+(C91*D91)+(C107*D107)+(C123*D123)+(C139*D139)+(C155*D155)</f>
        <v>4</v>
      </c>
      <c r="D170" s="422"/>
      <c r="E170" s="424">
        <f t="shared" ref="E170:E181" si="29">+H155+H139+H123+H107+H91+H75+H59+H43+H27</f>
        <v>378.69822485207101</v>
      </c>
      <c r="F170" s="424"/>
      <c r="G170" s="424"/>
      <c r="H170" s="210"/>
      <c r="I170" s="209"/>
      <c r="J170" s="198"/>
      <c r="K170" s="198"/>
      <c r="L170" s="107"/>
      <c r="M170" s="107"/>
      <c r="N170" s="107"/>
      <c r="O170" s="106"/>
      <c r="P170" s="106"/>
      <c r="Q170" s="198"/>
      <c r="R170" s="198"/>
      <c r="S170" s="198"/>
      <c r="T170" s="209"/>
      <c r="U170" s="209"/>
      <c r="V170" s="212"/>
    </row>
    <row r="171" spans="1:22" s="109" customFormat="1" ht="38.25" hidden="1" customHeight="1" x14ac:dyDescent="0.25">
      <c r="A171" s="195"/>
      <c r="B171" s="383">
        <f t="shared" si="27"/>
        <v>0</v>
      </c>
      <c r="C171" s="422">
        <f t="shared" si="28"/>
        <v>0</v>
      </c>
      <c r="D171" s="422"/>
      <c r="E171" s="424">
        <f t="shared" si="29"/>
        <v>0</v>
      </c>
      <c r="F171" s="424"/>
      <c r="G171" s="424"/>
      <c r="H171" s="210"/>
      <c r="I171" s="209"/>
      <c r="J171" s="198"/>
      <c r="K171" s="198"/>
      <c r="L171" s="107"/>
      <c r="M171" s="107"/>
      <c r="N171" s="107"/>
      <c r="O171" s="106"/>
      <c r="P171" s="106"/>
      <c r="Q171" s="198"/>
      <c r="R171" s="198"/>
      <c r="S171" s="198"/>
      <c r="T171" s="209"/>
      <c r="U171" s="209"/>
      <c r="V171" s="212"/>
    </row>
    <row r="172" spans="1:22" s="109" customFormat="1" ht="38.25" hidden="1" customHeight="1" x14ac:dyDescent="0.25">
      <c r="A172" s="195"/>
      <c r="B172" s="383">
        <f t="shared" si="27"/>
        <v>0</v>
      </c>
      <c r="C172" s="422">
        <f t="shared" si="28"/>
        <v>0</v>
      </c>
      <c r="D172" s="422"/>
      <c r="E172" s="424">
        <f t="shared" si="29"/>
        <v>0</v>
      </c>
      <c r="F172" s="424"/>
      <c r="G172" s="424"/>
      <c r="H172" s="210"/>
      <c r="I172" s="209"/>
      <c r="J172" s="198"/>
      <c r="K172" s="198"/>
      <c r="L172" s="107"/>
      <c r="M172" s="107"/>
      <c r="N172" s="107"/>
      <c r="O172" s="106"/>
      <c r="P172" s="106"/>
      <c r="Q172" s="198"/>
      <c r="R172" s="198"/>
      <c r="S172" s="198"/>
      <c r="T172" s="209"/>
      <c r="U172" s="209"/>
      <c r="V172" s="212"/>
    </row>
    <row r="173" spans="1:22" s="109" customFormat="1" ht="38.25" hidden="1" customHeight="1" x14ac:dyDescent="0.25">
      <c r="A173" s="195"/>
      <c r="B173" s="383">
        <f t="shared" si="27"/>
        <v>0</v>
      </c>
      <c r="C173" s="422">
        <f t="shared" si="28"/>
        <v>0</v>
      </c>
      <c r="D173" s="422"/>
      <c r="E173" s="424">
        <f t="shared" si="29"/>
        <v>0</v>
      </c>
      <c r="F173" s="424"/>
      <c r="G173" s="424"/>
      <c r="H173" s="210"/>
      <c r="I173" s="209"/>
      <c r="J173" s="198"/>
      <c r="K173" s="198"/>
      <c r="L173" s="107"/>
      <c r="M173" s="107"/>
      <c r="N173" s="107"/>
      <c r="O173" s="106"/>
      <c r="P173" s="106"/>
      <c r="Q173" s="198"/>
      <c r="R173" s="198"/>
      <c r="S173" s="198"/>
      <c r="T173" s="209"/>
      <c r="U173" s="209"/>
      <c r="V173" s="212"/>
    </row>
    <row r="174" spans="1:22" s="109" customFormat="1" ht="38.25" hidden="1" customHeight="1" x14ac:dyDescent="0.25">
      <c r="A174" s="195"/>
      <c r="B174" s="383">
        <f t="shared" si="27"/>
        <v>0</v>
      </c>
      <c r="C174" s="422">
        <f t="shared" si="28"/>
        <v>0</v>
      </c>
      <c r="D174" s="422"/>
      <c r="E174" s="424">
        <f t="shared" si="29"/>
        <v>0</v>
      </c>
      <c r="F174" s="424"/>
      <c r="G174" s="424"/>
      <c r="H174" s="210"/>
      <c r="I174" s="209"/>
      <c r="J174" s="198"/>
      <c r="K174" s="198"/>
      <c r="L174" s="107"/>
      <c r="M174" s="107"/>
      <c r="N174" s="107"/>
      <c r="O174" s="106"/>
      <c r="P174" s="106"/>
      <c r="Q174" s="198"/>
      <c r="R174" s="198"/>
      <c r="S174" s="198"/>
      <c r="T174" s="209"/>
      <c r="U174" s="209"/>
      <c r="V174" s="212"/>
    </row>
    <row r="175" spans="1:22" s="109" customFormat="1" ht="38.25" hidden="1" customHeight="1" x14ac:dyDescent="0.25">
      <c r="A175" s="195"/>
      <c r="B175" s="383">
        <f t="shared" si="27"/>
        <v>0</v>
      </c>
      <c r="C175" s="422">
        <f t="shared" si="28"/>
        <v>0</v>
      </c>
      <c r="D175" s="422"/>
      <c r="E175" s="424">
        <f t="shared" si="29"/>
        <v>0</v>
      </c>
      <c r="F175" s="424"/>
      <c r="G175" s="424"/>
      <c r="H175" s="210"/>
      <c r="I175" s="209"/>
      <c r="J175" s="198"/>
      <c r="K175" s="198"/>
      <c r="L175" s="107"/>
      <c r="M175" s="107"/>
      <c r="N175" s="107"/>
      <c r="O175" s="106"/>
      <c r="P175" s="106"/>
      <c r="Q175" s="198"/>
      <c r="R175" s="198"/>
      <c r="S175" s="198"/>
      <c r="T175" s="209"/>
      <c r="U175" s="209"/>
      <c r="V175" s="212"/>
    </row>
    <row r="176" spans="1:22" s="109" customFormat="1" ht="38.25" hidden="1" customHeight="1" x14ac:dyDescent="0.25">
      <c r="A176" s="195"/>
      <c r="B176" s="383">
        <f t="shared" si="27"/>
        <v>0</v>
      </c>
      <c r="C176" s="422">
        <f t="shared" si="28"/>
        <v>0</v>
      </c>
      <c r="D176" s="422"/>
      <c r="E176" s="424">
        <f t="shared" si="29"/>
        <v>0</v>
      </c>
      <c r="F176" s="424"/>
      <c r="G176" s="424"/>
      <c r="H176" s="210"/>
      <c r="I176" s="209"/>
      <c r="J176" s="198"/>
      <c r="K176" s="198"/>
      <c r="L176" s="107"/>
      <c r="M176" s="107"/>
      <c r="N176" s="107"/>
      <c r="O176" s="106"/>
      <c r="P176" s="106"/>
      <c r="Q176" s="198"/>
      <c r="R176" s="198"/>
      <c r="S176" s="198"/>
      <c r="T176" s="209"/>
      <c r="U176" s="209"/>
      <c r="V176" s="212"/>
    </row>
    <row r="177" spans="1:22" s="109" customFormat="1" ht="38.25" hidden="1" customHeight="1" x14ac:dyDescent="0.25">
      <c r="A177" s="195"/>
      <c r="B177" s="383">
        <f t="shared" si="27"/>
        <v>0</v>
      </c>
      <c r="C177" s="422">
        <f t="shared" si="28"/>
        <v>0</v>
      </c>
      <c r="D177" s="422"/>
      <c r="E177" s="424">
        <f t="shared" si="29"/>
        <v>0</v>
      </c>
      <c r="F177" s="424"/>
      <c r="G177" s="424"/>
      <c r="H177" s="210"/>
      <c r="I177" s="209"/>
      <c r="J177" s="198"/>
      <c r="K177" s="198"/>
      <c r="L177" s="107"/>
      <c r="M177" s="107"/>
      <c r="N177" s="107"/>
      <c r="O177" s="106"/>
      <c r="P177" s="106"/>
      <c r="Q177" s="198"/>
      <c r="R177" s="198"/>
      <c r="S177" s="198"/>
      <c r="T177" s="209"/>
      <c r="U177" s="209"/>
      <c r="V177" s="212"/>
    </row>
    <row r="178" spans="1:22" s="109" customFormat="1" ht="38.25" hidden="1" customHeight="1" x14ac:dyDescent="0.25">
      <c r="A178" s="195"/>
      <c r="B178" s="383">
        <f t="shared" si="27"/>
        <v>0</v>
      </c>
      <c r="C178" s="422">
        <f t="shared" si="28"/>
        <v>0</v>
      </c>
      <c r="D178" s="422"/>
      <c r="E178" s="424">
        <f t="shared" si="29"/>
        <v>0</v>
      </c>
      <c r="F178" s="424"/>
      <c r="G178" s="424"/>
      <c r="H178" s="210"/>
      <c r="I178" s="209"/>
      <c r="J178" s="198"/>
      <c r="K178" s="198"/>
      <c r="L178" s="107"/>
      <c r="M178" s="107"/>
      <c r="N178" s="107"/>
      <c r="O178" s="106"/>
      <c r="P178" s="106"/>
      <c r="Q178" s="198"/>
      <c r="R178" s="198"/>
      <c r="S178" s="198"/>
      <c r="T178" s="209"/>
      <c r="U178" s="209"/>
      <c r="V178" s="212"/>
    </row>
    <row r="179" spans="1:22" s="109" customFormat="1" ht="38.25" hidden="1" customHeight="1" x14ac:dyDescent="0.25">
      <c r="A179" s="195"/>
      <c r="B179" s="383">
        <f t="shared" si="27"/>
        <v>0</v>
      </c>
      <c r="C179" s="422">
        <f t="shared" si="28"/>
        <v>0</v>
      </c>
      <c r="D179" s="422"/>
      <c r="E179" s="424">
        <f t="shared" si="29"/>
        <v>0</v>
      </c>
      <c r="F179" s="424"/>
      <c r="G179" s="424"/>
      <c r="H179" s="210"/>
      <c r="I179" s="209"/>
      <c r="J179" s="198"/>
      <c r="K179" s="198"/>
      <c r="L179" s="107"/>
      <c r="M179" s="107"/>
      <c r="N179" s="107"/>
      <c r="O179" s="106"/>
      <c r="P179" s="106"/>
      <c r="Q179" s="198"/>
      <c r="R179" s="198"/>
      <c r="S179" s="198"/>
      <c r="T179" s="209"/>
      <c r="U179" s="209"/>
      <c r="V179" s="212"/>
    </row>
    <row r="180" spans="1:22" s="109" customFormat="1" ht="38.25" hidden="1" customHeight="1" x14ac:dyDescent="0.25">
      <c r="A180" s="195"/>
      <c r="B180" s="383">
        <f t="shared" si="27"/>
        <v>0</v>
      </c>
      <c r="C180" s="422">
        <f t="shared" si="28"/>
        <v>0</v>
      </c>
      <c r="D180" s="422"/>
      <c r="E180" s="424">
        <f t="shared" si="29"/>
        <v>0</v>
      </c>
      <c r="F180" s="424"/>
      <c r="G180" s="424"/>
      <c r="H180" s="210"/>
      <c r="I180" s="209"/>
      <c r="J180" s="198"/>
      <c r="K180" s="198"/>
      <c r="L180" s="107"/>
      <c r="M180" s="107"/>
      <c r="N180" s="107"/>
      <c r="O180" s="106"/>
      <c r="P180" s="106"/>
      <c r="Q180" s="198"/>
      <c r="R180" s="198"/>
      <c r="S180" s="198"/>
      <c r="T180" s="209"/>
      <c r="U180" s="209"/>
      <c r="V180" s="212"/>
    </row>
    <row r="181" spans="1:22" s="109" customFormat="1" ht="38.25" hidden="1" customHeight="1" x14ac:dyDescent="0.25">
      <c r="A181" s="195"/>
      <c r="B181" s="383">
        <f t="shared" si="27"/>
        <v>0</v>
      </c>
      <c r="C181" s="422">
        <f t="shared" si="28"/>
        <v>0</v>
      </c>
      <c r="D181" s="422"/>
      <c r="E181" s="424">
        <f t="shared" si="29"/>
        <v>0</v>
      </c>
      <c r="F181" s="424"/>
      <c r="G181" s="424"/>
      <c r="H181" s="210"/>
      <c r="I181" s="209"/>
      <c r="J181" s="198"/>
      <c r="K181" s="198"/>
      <c r="L181" s="107"/>
      <c r="M181" s="107"/>
      <c r="N181" s="107"/>
      <c r="O181" s="106"/>
      <c r="P181" s="106"/>
      <c r="Q181" s="198"/>
      <c r="R181" s="198"/>
      <c r="S181" s="198"/>
      <c r="T181" s="209"/>
      <c r="U181" s="209"/>
      <c r="V181" s="212"/>
    </row>
    <row r="182" spans="1:22" s="109" customFormat="1" ht="38.25" customHeight="1" x14ac:dyDescent="0.25">
      <c r="A182" s="195"/>
      <c r="B182" s="384">
        <f>SUM(B170:B181)</f>
        <v>1</v>
      </c>
      <c r="C182" s="423">
        <f>SUM(C170:D181)</f>
        <v>4</v>
      </c>
      <c r="D182" s="423"/>
      <c r="E182" s="486">
        <f>SUM(E170:E181)</f>
        <v>378.69822485207101</v>
      </c>
      <c r="F182" s="486"/>
      <c r="G182" s="486"/>
      <c r="H182" s="210"/>
      <c r="I182" s="209"/>
      <c r="J182" s="198"/>
      <c r="K182" s="198"/>
      <c r="L182" s="107"/>
      <c r="M182" s="107"/>
      <c r="N182" s="107"/>
      <c r="O182" s="106"/>
      <c r="P182" s="106"/>
      <c r="Q182" s="198"/>
      <c r="R182" s="198"/>
      <c r="S182" s="198"/>
      <c r="T182" s="209"/>
      <c r="U182" s="209"/>
      <c r="V182" s="212"/>
    </row>
    <row r="183" spans="1:22" s="109" customFormat="1" ht="38.25" customHeight="1" x14ac:dyDescent="0.25">
      <c r="A183" s="195"/>
      <c r="B183" s="199"/>
      <c r="C183" s="199"/>
      <c r="D183" s="199"/>
      <c r="E183" s="199"/>
      <c r="F183" s="199"/>
      <c r="G183" s="199"/>
      <c r="H183" s="199"/>
      <c r="I183" s="209"/>
      <c r="J183" s="198"/>
      <c r="K183" s="198"/>
      <c r="L183" s="107"/>
      <c r="M183" s="107"/>
      <c r="N183" s="107"/>
      <c r="O183" s="106"/>
      <c r="P183" s="106"/>
      <c r="Q183" s="198"/>
      <c r="R183" s="198"/>
      <c r="S183" s="198"/>
      <c r="T183" s="209"/>
      <c r="U183" s="209"/>
      <c r="V183" s="212"/>
    </row>
    <row r="184" spans="1:22" s="113" customFormat="1" ht="38.25" customHeight="1" x14ac:dyDescent="0.25">
      <c r="A184" s="301">
        <v>4</v>
      </c>
      <c r="B184" s="474" t="s">
        <v>1419</v>
      </c>
      <c r="C184" s="475"/>
      <c r="D184" s="475"/>
      <c r="E184" s="475"/>
      <c r="F184" s="475"/>
      <c r="G184" s="475"/>
      <c r="H184" s="475"/>
      <c r="I184" s="475"/>
      <c r="J184" s="198"/>
      <c r="K184" s="198"/>
      <c r="L184" s="209"/>
      <c r="M184" s="209"/>
      <c r="N184" s="209"/>
      <c r="O184" s="198"/>
      <c r="P184" s="108"/>
      <c r="Q184" s="198"/>
      <c r="R184" s="198"/>
      <c r="S184" s="198"/>
      <c r="T184" s="198"/>
      <c r="U184" s="198"/>
      <c r="V184" s="212"/>
    </row>
    <row r="185" spans="1:22" s="109" customFormat="1" ht="3" customHeight="1" x14ac:dyDescent="0.25">
      <c r="A185" s="195"/>
      <c r="B185" s="211"/>
      <c r="C185" s="235"/>
      <c r="D185" s="235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0"/>
      <c r="P185" s="116"/>
      <c r="Q185" s="200"/>
      <c r="R185" s="199"/>
      <c r="S185" s="199"/>
      <c r="T185" s="199"/>
      <c r="U185" s="199"/>
      <c r="V185" s="199"/>
    </row>
    <row r="186" spans="1:22" s="109" customFormat="1" ht="28.5" customHeight="1" x14ac:dyDescent="0.25">
      <c r="A186" s="195" t="s">
        <v>1546</v>
      </c>
      <c r="B186" s="444" t="s">
        <v>1</v>
      </c>
      <c r="C186" s="445"/>
      <c r="D186" s="444" t="s">
        <v>1361</v>
      </c>
      <c r="E186" s="446"/>
      <c r="F186" s="446"/>
      <c r="G186" s="446"/>
      <c r="H186" s="446"/>
      <c r="I186" s="445"/>
      <c r="J186" s="435"/>
      <c r="K186" s="435"/>
      <c r="L186" s="435"/>
      <c r="M186" s="435"/>
      <c r="N186" s="435"/>
      <c r="O186" s="435"/>
      <c r="P186" s="115"/>
      <c r="Q186" s="235"/>
      <c r="R186" s="199"/>
      <c r="S186" s="199"/>
      <c r="T186" s="199"/>
      <c r="U186" s="199"/>
      <c r="V186" s="199"/>
    </row>
    <row r="187" spans="1:22" s="127" customFormat="1" ht="65.25" customHeight="1" x14ac:dyDescent="0.25">
      <c r="A187" s="224"/>
      <c r="B187" s="268" t="s">
        <v>1359</v>
      </c>
      <c r="C187" s="268" t="s">
        <v>1543</v>
      </c>
      <c r="D187" s="240" t="s">
        <v>6</v>
      </c>
      <c r="E187" s="240" t="s">
        <v>12</v>
      </c>
      <c r="F187" s="240"/>
      <c r="G187" s="240" t="s">
        <v>7</v>
      </c>
      <c r="H187" s="240" t="s">
        <v>1370</v>
      </c>
      <c r="I187" s="240" t="s">
        <v>5</v>
      </c>
      <c r="J187" s="211"/>
      <c r="K187" s="211"/>
      <c r="L187" s="217" t="s">
        <v>1339</v>
      </c>
      <c r="M187" s="211"/>
      <c r="N187" s="211"/>
      <c r="O187" s="211"/>
      <c r="P187" s="114"/>
      <c r="Q187" s="201"/>
      <c r="R187" s="201"/>
      <c r="S187" s="201"/>
      <c r="T187" s="201"/>
      <c r="U187" s="201"/>
      <c r="V187" s="213"/>
    </row>
    <row r="188" spans="1:22" s="109" customFormat="1" ht="35.25" customHeight="1" x14ac:dyDescent="0.25">
      <c r="A188" s="195"/>
      <c r="B188" s="177" t="s">
        <v>1575</v>
      </c>
      <c r="C188" s="178"/>
      <c r="D188" s="129"/>
      <c r="E188" s="129"/>
      <c r="F188" s="130"/>
      <c r="G188" s="131"/>
      <c r="H188" s="129" t="s">
        <v>28</v>
      </c>
      <c r="I188" s="249">
        <f>IF(H188="FACTURA",L188*1,IF(H188=Hoja2!$H$3,L188/0.92,IF(H188="ALMACEN",L188*1,IF(H188=Hoja2!$H$5,0))))</f>
        <v>0</v>
      </c>
      <c r="J188" s="235"/>
      <c r="K188" s="237"/>
      <c r="L188" s="218">
        <f t="shared" ref="L188:L201" si="30">+G188*E188</f>
        <v>0</v>
      </c>
      <c r="M188" s="219"/>
      <c r="N188" s="235"/>
      <c r="O188" s="219"/>
      <c r="P188" s="133"/>
      <c r="Q188" s="202"/>
      <c r="R188" s="214"/>
      <c r="S188" s="214"/>
      <c r="T188" s="214"/>
      <c r="U188" s="214"/>
      <c r="V188" s="199"/>
    </row>
    <row r="189" spans="1:22" s="109" customFormat="1" ht="35.25" customHeight="1" x14ac:dyDescent="0.25">
      <c r="A189" s="195"/>
      <c r="B189" s="177" t="s">
        <v>1447</v>
      </c>
      <c r="C189" s="178"/>
      <c r="D189" s="129"/>
      <c r="E189" s="129"/>
      <c r="F189" s="130"/>
      <c r="G189" s="131"/>
      <c r="H189" s="129" t="s">
        <v>14</v>
      </c>
      <c r="I189" s="249">
        <f>IF(H189="FACTURA",L189*1,IF(H189=Hoja2!$H$3,L189/0.92,IF(H189="ALMACEN",L189*1,IF(H189=Hoja2!$H$5,0))))</f>
        <v>0</v>
      </c>
      <c r="J189" s="235"/>
      <c r="K189" s="237"/>
      <c r="L189" s="218">
        <f t="shared" si="30"/>
        <v>0</v>
      </c>
      <c r="M189" s="219"/>
      <c r="N189" s="235"/>
      <c r="O189" s="219"/>
      <c r="P189" s="133"/>
      <c r="Q189" s="202"/>
      <c r="R189" s="214"/>
      <c r="S189" s="214"/>
      <c r="T189" s="214"/>
      <c r="U189" s="214"/>
      <c r="V189" s="199"/>
    </row>
    <row r="190" spans="1:22" s="109" customFormat="1" ht="35.25" customHeight="1" x14ac:dyDescent="0.25">
      <c r="A190" s="195"/>
      <c r="B190" s="177" t="s">
        <v>1448</v>
      </c>
      <c r="C190" s="178"/>
      <c r="D190" s="129"/>
      <c r="E190" s="129"/>
      <c r="F190" s="130"/>
      <c r="G190" s="131"/>
      <c r="H190" s="129" t="s">
        <v>14</v>
      </c>
      <c r="I190" s="249">
        <f>IF(H190="FACTURA",L190*1,IF(H190=Hoja2!$H$3,L190/0.92,IF(H190="ALMACEN",L190*1,IF(H190=Hoja2!$H$5,0))))</f>
        <v>0</v>
      </c>
      <c r="J190" s="235"/>
      <c r="K190" s="237"/>
      <c r="L190" s="218">
        <f t="shared" si="30"/>
        <v>0</v>
      </c>
      <c r="M190" s="219"/>
      <c r="N190" s="235"/>
      <c r="O190" s="219"/>
      <c r="P190" s="133"/>
      <c r="Q190" s="202"/>
      <c r="R190" s="214"/>
      <c r="S190" s="214"/>
      <c r="T190" s="214"/>
      <c r="U190" s="214"/>
      <c r="V190" s="199"/>
    </row>
    <row r="191" spans="1:22" s="109" customFormat="1" ht="35.25" customHeight="1" x14ac:dyDescent="0.25">
      <c r="A191" s="195"/>
      <c r="B191" s="177" t="s">
        <v>1449</v>
      </c>
      <c r="C191" s="178"/>
      <c r="D191" s="129"/>
      <c r="E191" s="129"/>
      <c r="F191" s="130"/>
      <c r="G191" s="131"/>
      <c r="H191" s="129" t="s">
        <v>14</v>
      </c>
      <c r="I191" s="249">
        <f>IF(H191="FACTURA",L191*1,IF(H191=Hoja2!$H$3,L191/0.92,IF(H191="ALMACEN",L191*1,IF(H191=Hoja2!$H$5,0))))</f>
        <v>0</v>
      </c>
      <c r="J191" s="235"/>
      <c r="K191" s="237"/>
      <c r="L191" s="220">
        <f t="shared" si="30"/>
        <v>0</v>
      </c>
      <c r="M191" s="219"/>
      <c r="N191" s="235"/>
      <c r="O191" s="219"/>
      <c r="P191" s="133"/>
      <c r="Q191" s="202"/>
      <c r="R191" s="214"/>
      <c r="S191" s="214"/>
      <c r="T191" s="214"/>
      <c r="U191" s="214"/>
      <c r="V191" s="199"/>
    </row>
    <row r="192" spans="1:22" s="109" customFormat="1" ht="35.25" customHeight="1" x14ac:dyDescent="0.25">
      <c r="A192" s="195"/>
      <c r="B192" s="177" t="s">
        <v>1450</v>
      </c>
      <c r="C192" s="178"/>
      <c r="D192" s="129"/>
      <c r="E192" s="129"/>
      <c r="F192" s="130"/>
      <c r="G192" s="131"/>
      <c r="H192" s="129" t="s">
        <v>14</v>
      </c>
      <c r="I192" s="249">
        <f>IF(H192="FACTURA",L192*1,IF(H192=Hoja2!$H$3,L192/0.92,IF(H192="ALMACEN",L192*1,IF(H192=Hoja2!$H$5,0))))</f>
        <v>0</v>
      </c>
      <c r="J192" s="235"/>
      <c r="K192" s="237"/>
      <c r="L192" s="220">
        <f t="shared" si="30"/>
        <v>0</v>
      </c>
      <c r="M192" s="219"/>
      <c r="N192" s="235"/>
      <c r="O192" s="219"/>
      <c r="P192" s="133"/>
      <c r="Q192" s="202"/>
      <c r="R192" s="214"/>
      <c r="S192" s="214"/>
      <c r="T192" s="214"/>
      <c r="U192" s="214"/>
      <c r="V192" s="199"/>
    </row>
    <row r="193" spans="1:22" s="109" customFormat="1" ht="35.25" customHeight="1" x14ac:dyDescent="0.25">
      <c r="A193" s="195"/>
      <c r="B193" s="177" t="s">
        <v>1451</v>
      </c>
      <c r="C193" s="178"/>
      <c r="D193" s="129"/>
      <c r="E193" s="129"/>
      <c r="F193" s="130"/>
      <c r="G193" s="131"/>
      <c r="H193" s="129" t="s">
        <v>14</v>
      </c>
      <c r="I193" s="249">
        <f>IF(H193="FACTURA",L193*1,IF(H193=Hoja2!$H$3,L193/0.92,IF(H193="ALMACEN",L193*1,IF(H193=Hoja2!$H$5,0))))</f>
        <v>0</v>
      </c>
      <c r="J193" s="235"/>
      <c r="K193" s="237"/>
      <c r="L193" s="220">
        <f t="shared" si="30"/>
        <v>0</v>
      </c>
      <c r="M193" s="219"/>
      <c r="N193" s="235"/>
      <c r="O193" s="219"/>
      <c r="P193" s="133"/>
      <c r="Q193" s="202"/>
      <c r="R193" s="214"/>
      <c r="S193" s="214"/>
      <c r="T193" s="214"/>
      <c r="U193" s="214"/>
      <c r="V193" s="199"/>
    </row>
    <row r="194" spans="1:22" s="109" customFormat="1" ht="37.5" hidden="1" customHeight="1" x14ac:dyDescent="0.25">
      <c r="A194" s="195"/>
      <c r="B194" s="177" t="s">
        <v>1452</v>
      </c>
      <c r="C194" s="178"/>
      <c r="D194" s="129"/>
      <c r="E194" s="129"/>
      <c r="F194" s="130"/>
      <c r="G194" s="131"/>
      <c r="H194" s="129" t="s">
        <v>14</v>
      </c>
      <c r="I194" s="249">
        <f>IF(H194="FACTURA",L194*1,IF(H194=Hoja2!$H$3,L194/0.92,IF(H194="ALMACEN",L194*1,IF(H194=Hoja2!$H$5,0))))</f>
        <v>0</v>
      </c>
      <c r="J194" s="235"/>
      <c r="K194" s="237"/>
      <c r="L194" s="220">
        <f t="shared" si="30"/>
        <v>0</v>
      </c>
      <c r="M194" s="219"/>
      <c r="N194" s="235"/>
      <c r="O194" s="219"/>
      <c r="P194" s="133"/>
      <c r="Q194" s="202"/>
      <c r="R194" s="214"/>
      <c r="S194" s="214"/>
      <c r="T194" s="214"/>
      <c r="U194" s="214"/>
      <c r="V194" s="199"/>
    </row>
    <row r="195" spans="1:22" s="109" customFormat="1" ht="39" hidden="1" customHeight="1" x14ac:dyDescent="0.25">
      <c r="A195" s="195"/>
      <c r="B195" s="177" t="s">
        <v>1453</v>
      </c>
      <c r="C195" s="178"/>
      <c r="D195" s="129"/>
      <c r="E195" s="129"/>
      <c r="F195" s="130"/>
      <c r="G195" s="131"/>
      <c r="H195" s="129" t="s">
        <v>14</v>
      </c>
      <c r="I195" s="249">
        <f>IF(H195="FACTURA",L195*1,IF(H195=Hoja2!$H$3,L195/0.92,IF(H195="ALMACEN",L195*1,IF(H195=Hoja2!$H$5,0))))</f>
        <v>0</v>
      </c>
      <c r="J195" s="235"/>
      <c r="K195" s="237"/>
      <c r="L195" s="220">
        <f t="shared" si="30"/>
        <v>0</v>
      </c>
      <c r="M195" s="219"/>
      <c r="N195" s="235"/>
      <c r="O195" s="219"/>
      <c r="P195" s="133"/>
      <c r="Q195" s="202"/>
      <c r="R195" s="214"/>
      <c r="S195" s="214"/>
      <c r="T195" s="214"/>
      <c r="U195" s="214"/>
      <c r="V195" s="199"/>
    </row>
    <row r="196" spans="1:22" s="109" customFormat="1" ht="39" hidden="1" customHeight="1" x14ac:dyDescent="0.25">
      <c r="A196" s="195"/>
      <c r="B196" s="177" t="s">
        <v>1454</v>
      </c>
      <c r="C196" s="178"/>
      <c r="D196" s="129"/>
      <c r="E196" s="129"/>
      <c r="F196" s="130"/>
      <c r="G196" s="131"/>
      <c r="H196" s="129" t="s">
        <v>14</v>
      </c>
      <c r="I196" s="249">
        <f>IF(H196="FACTURA",L196*1,IF(H196=Hoja2!$H$3,L196/0.92,IF(H196="ALMACEN",L196*1,IF(H196=Hoja2!$H$5,0))))</f>
        <v>0</v>
      </c>
      <c r="J196" s="235"/>
      <c r="K196" s="237"/>
      <c r="L196" s="220">
        <f t="shared" si="30"/>
        <v>0</v>
      </c>
      <c r="M196" s="219"/>
      <c r="N196" s="235"/>
      <c r="O196" s="219"/>
      <c r="P196" s="133"/>
      <c r="Q196" s="202"/>
      <c r="R196" s="214"/>
      <c r="S196" s="214"/>
      <c r="T196" s="214"/>
      <c r="U196" s="214"/>
      <c r="V196" s="199"/>
    </row>
    <row r="197" spans="1:22" s="109" customFormat="1" ht="39" hidden="1" customHeight="1" x14ac:dyDescent="0.25">
      <c r="A197" s="195"/>
      <c r="B197" s="177" t="s">
        <v>1455</v>
      </c>
      <c r="C197" s="178"/>
      <c r="D197" s="129"/>
      <c r="E197" s="129"/>
      <c r="F197" s="130"/>
      <c r="G197" s="131"/>
      <c r="H197" s="129" t="s">
        <v>14</v>
      </c>
      <c r="I197" s="249">
        <f>IF(H197="FACTURA",L197*1,IF(H197=Hoja2!$H$3,L197/0.92,IF(H197="ALMACEN",L197*1,IF(H197=Hoja2!$H$5,0))))</f>
        <v>0</v>
      </c>
      <c r="J197" s="235"/>
      <c r="K197" s="237"/>
      <c r="L197" s="220">
        <f t="shared" si="30"/>
        <v>0</v>
      </c>
      <c r="M197" s="219"/>
      <c r="N197" s="235"/>
      <c r="O197" s="219"/>
      <c r="P197" s="133"/>
      <c r="Q197" s="202"/>
      <c r="R197" s="214"/>
      <c r="S197" s="214"/>
      <c r="T197" s="214"/>
      <c r="U197" s="214"/>
      <c r="V197" s="199"/>
    </row>
    <row r="198" spans="1:22" s="109" customFormat="1" ht="39" hidden="1" customHeight="1" x14ac:dyDescent="0.25">
      <c r="A198" s="195"/>
      <c r="B198" s="177" t="s">
        <v>1456</v>
      </c>
      <c r="C198" s="178"/>
      <c r="D198" s="129"/>
      <c r="E198" s="129"/>
      <c r="F198" s="130"/>
      <c r="G198" s="131"/>
      <c r="H198" s="129" t="s">
        <v>14</v>
      </c>
      <c r="I198" s="249">
        <f>IF(H198="FACTURA",L198*1,IF(H198=Hoja2!$H$3,L198/0.92,IF(H198="ALMACEN",L198*1,IF(H198=Hoja2!$H$5,0))))</f>
        <v>0</v>
      </c>
      <c r="J198" s="235"/>
      <c r="K198" s="237"/>
      <c r="L198" s="220">
        <f t="shared" si="30"/>
        <v>0</v>
      </c>
      <c r="M198" s="219"/>
      <c r="N198" s="235"/>
      <c r="O198" s="219"/>
      <c r="P198" s="133"/>
      <c r="Q198" s="202"/>
      <c r="R198" s="214"/>
      <c r="S198" s="214"/>
      <c r="T198" s="214"/>
      <c r="U198" s="214"/>
      <c r="V198" s="199"/>
    </row>
    <row r="199" spans="1:22" s="109" customFormat="1" ht="39" hidden="1" customHeight="1" x14ac:dyDescent="0.25">
      <c r="A199" s="195"/>
      <c r="B199" s="177" t="s">
        <v>1457</v>
      </c>
      <c r="C199" s="178"/>
      <c r="D199" s="129"/>
      <c r="E199" s="129"/>
      <c r="F199" s="130"/>
      <c r="G199" s="131"/>
      <c r="H199" s="129" t="s">
        <v>14</v>
      </c>
      <c r="I199" s="249">
        <f>IF(H199="FACTURA",L199*1,IF(H199=Hoja2!$H$3,L199/0.92,IF(H199="ALMACEN",L199*1,IF(H199=Hoja2!$H$5,0))))</f>
        <v>0</v>
      </c>
      <c r="J199" s="235"/>
      <c r="K199" s="237"/>
      <c r="L199" s="220">
        <f t="shared" si="30"/>
        <v>0</v>
      </c>
      <c r="M199" s="219"/>
      <c r="N199" s="235"/>
      <c r="O199" s="219"/>
      <c r="P199" s="133"/>
      <c r="Q199" s="202"/>
      <c r="R199" s="214"/>
      <c r="S199" s="214"/>
      <c r="T199" s="214"/>
      <c r="U199" s="214"/>
      <c r="V199" s="199"/>
    </row>
    <row r="200" spans="1:22" s="109" customFormat="1" ht="39" hidden="1" customHeight="1" x14ac:dyDescent="0.25">
      <c r="A200" s="195"/>
      <c r="B200" s="177" t="s">
        <v>1458</v>
      </c>
      <c r="C200" s="178"/>
      <c r="D200" s="129"/>
      <c r="E200" s="129"/>
      <c r="F200" s="130"/>
      <c r="G200" s="131"/>
      <c r="H200" s="129" t="s">
        <v>14</v>
      </c>
      <c r="I200" s="249">
        <f>IF(H200="FACTURA",L200*1,IF(H200=Hoja2!$H$3,L200/0.92,IF(H200="ALMACEN",L200*1,IF(H200=Hoja2!$H$5,0))))</f>
        <v>0</v>
      </c>
      <c r="J200" s="235"/>
      <c r="K200" s="237"/>
      <c r="L200" s="220">
        <f t="shared" si="30"/>
        <v>0</v>
      </c>
      <c r="M200" s="219"/>
      <c r="N200" s="235"/>
      <c r="O200" s="219"/>
      <c r="P200" s="133"/>
      <c r="Q200" s="202"/>
      <c r="R200" s="214"/>
      <c r="S200" s="214"/>
      <c r="T200" s="214"/>
      <c r="U200" s="214"/>
      <c r="V200" s="199"/>
    </row>
    <row r="201" spans="1:22" s="109" customFormat="1" ht="39" hidden="1" customHeight="1" x14ac:dyDescent="0.25">
      <c r="A201" s="195"/>
      <c r="B201" s="178" t="s">
        <v>1459</v>
      </c>
      <c r="C201" s="178"/>
      <c r="D201" s="296"/>
      <c r="E201" s="296"/>
      <c r="F201" s="297"/>
      <c r="G201" s="298"/>
      <c r="H201" s="296" t="s">
        <v>28</v>
      </c>
      <c r="I201" s="249">
        <f>IF(H201="FACTURA",L201*1,IF(H201=Hoja2!$H$3,L201/0.92,IF(H201="ALMACEN",L201*1,IF(H201=Hoja2!$H$5,0))))</f>
        <v>0</v>
      </c>
      <c r="J201" s="235"/>
      <c r="K201" s="237"/>
      <c r="L201" s="220">
        <f t="shared" si="30"/>
        <v>0</v>
      </c>
      <c r="M201" s="219"/>
      <c r="N201" s="235"/>
      <c r="O201" s="219"/>
      <c r="P201" s="133"/>
      <c r="Q201" s="202"/>
      <c r="R201" s="214"/>
      <c r="S201" s="214"/>
      <c r="T201" s="214"/>
      <c r="U201" s="214"/>
      <c r="V201" s="199"/>
    </row>
    <row r="202" spans="1:22" s="109" customFormat="1" ht="36" customHeight="1" x14ac:dyDescent="0.25">
      <c r="A202" s="195"/>
      <c r="B202" s="281" t="s">
        <v>1581</v>
      </c>
      <c r="C202" s="299"/>
      <c r="D202" s="299"/>
      <c r="E202" s="299"/>
      <c r="F202" s="299"/>
      <c r="G202" s="299"/>
      <c r="H202" s="281"/>
      <c r="I202" s="295">
        <f>SUM(I188:I201)</f>
        <v>0</v>
      </c>
      <c r="J202" s="202"/>
      <c r="K202" s="202"/>
      <c r="L202" s="141">
        <f>SUM(L188:L201)</f>
        <v>0</v>
      </c>
      <c r="M202" s="237"/>
      <c r="N202" s="235"/>
      <c r="O202" s="219"/>
      <c r="P202" s="133"/>
      <c r="Q202" s="202"/>
      <c r="R202" s="214"/>
      <c r="S202" s="214"/>
      <c r="T202" s="214"/>
      <c r="U202" s="214"/>
      <c r="V202" s="199"/>
    </row>
    <row r="203" spans="1:22" s="109" customFormat="1" x14ac:dyDescent="0.25">
      <c r="A203" s="195"/>
      <c r="B203" s="235"/>
      <c r="C203" s="202"/>
      <c r="D203" s="202"/>
      <c r="E203" s="202"/>
      <c r="F203" s="202"/>
      <c r="G203" s="235"/>
      <c r="H203" s="235"/>
      <c r="I203" s="235"/>
      <c r="J203" s="235"/>
      <c r="K203" s="235"/>
      <c r="L203" s="235"/>
      <c r="M203" s="235"/>
      <c r="N203" s="235"/>
      <c r="O203" s="237"/>
      <c r="P203" s="133"/>
      <c r="Q203" s="237"/>
      <c r="R203" s="214"/>
      <c r="S203" s="214"/>
      <c r="T203" s="214"/>
      <c r="U203" s="214"/>
      <c r="V203" s="199"/>
    </row>
    <row r="204" spans="1:22" s="109" customFormat="1" x14ac:dyDescent="0.25">
      <c r="A204" s="195"/>
      <c r="B204" s="235"/>
      <c r="C204" s="202"/>
      <c r="D204" s="202"/>
      <c r="E204" s="202"/>
      <c r="F204" s="202"/>
      <c r="G204" s="235"/>
      <c r="H204" s="235"/>
      <c r="I204" s="235"/>
      <c r="J204" s="235"/>
      <c r="K204" s="235"/>
      <c r="L204" s="235"/>
      <c r="M204" s="235"/>
      <c r="N204" s="235"/>
      <c r="O204" s="237"/>
      <c r="P204" s="133"/>
      <c r="Q204" s="237"/>
      <c r="R204" s="214"/>
      <c r="S204" s="214"/>
      <c r="T204" s="214"/>
      <c r="U204" s="214"/>
      <c r="V204" s="199"/>
    </row>
    <row r="205" spans="1:22" s="109" customFormat="1" x14ac:dyDescent="0.25">
      <c r="A205" s="195"/>
      <c r="B205" s="235"/>
      <c r="C205" s="202"/>
      <c r="D205" s="202"/>
      <c r="E205" s="202"/>
      <c r="F205" s="202"/>
      <c r="G205" s="235"/>
      <c r="H205" s="235"/>
      <c r="I205" s="235"/>
      <c r="J205" s="235"/>
      <c r="K205" s="235"/>
      <c r="L205" s="235"/>
      <c r="M205" s="235"/>
      <c r="N205" s="237"/>
      <c r="O205" s="237"/>
      <c r="P205" s="135"/>
      <c r="Q205" s="237"/>
      <c r="R205" s="214"/>
      <c r="S205" s="214"/>
      <c r="T205" s="214"/>
      <c r="U205" s="214"/>
      <c r="V205" s="199"/>
    </row>
    <row r="206" spans="1:22" s="109" customFormat="1" x14ac:dyDescent="0.25">
      <c r="A206" s="195"/>
      <c r="B206" s="235"/>
      <c r="C206" s="202"/>
      <c r="D206" s="202"/>
      <c r="E206" s="202"/>
      <c r="F206" s="202"/>
      <c r="G206" s="235"/>
      <c r="H206" s="235"/>
      <c r="I206" s="235"/>
      <c r="J206" s="235"/>
      <c r="K206" s="237"/>
      <c r="L206" s="237"/>
      <c r="M206" s="237"/>
      <c r="N206" s="237"/>
      <c r="O206" s="237"/>
      <c r="P206" s="135"/>
      <c r="Q206" s="237"/>
      <c r="R206" s="214"/>
      <c r="S206" s="214"/>
      <c r="T206" s="214"/>
      <c r="U206" s="214"/>
      <c r="V206" s="199"/>
    </row>
    <row r="207" spans="1:22" s="109" customFormat="1" x14ac:dyDescent="0.25">
      <c r="A207" s="195"/>
      <c r="B207" s="235"/>
      <c r="C207" s="202"/>
      <c r="D207" s="202"/>
      <c r="E207" s="202"/>
      <c r="F207" s="202"/>
      <c r="G207" s="235"/>
      <c r="H207" s="235"/>
      <c r="I207" s="235"/>
      <c r="J207" s="235"/>
      <c r="K207" s="235"/>
      <c r="L207" s="235"/>
      <c r="M207" s="235"/>
      <c r="N207" s="235"/>
      <c r="O207" s="237"/>
      <c r="P207" s="135"/>
      <c r="Q207" s="237"/>
      <c r="R207" s="214"/>
      <c r="S207" s="214"/>
      <c r="T207" s="214"/>
      <c r="U207" s="214"/>
      <c r="V207" s="199"/>
    </row>
    <row r="208" spans="1:22" s="109" customFormat="1" ht="26.25" customHeight="1" x14ac:dyDescent="0.25">
      <c r="A208" s="195" t="s">
        <v>1586</v>
      </c>
      <c r="B208" s="444" t="s">
        <v>1362</v>
      </c>
      <c r="C208" s="445"/>
      <c r="D208" s="444" t="s">
        <v>1363</v>
      </c>
      <c r="E208" s="446"/>
      <c r="F208" s="446"/>
      <c r="G208" s="446"/>
      <c r="H208" s="446"/>
      <c r="I208" s="445"/>
      <c r="J208" s="221"/>
      <c r="K208" s="221"/>
      <c r="L208" s="221"/>
      <c r="M208" s="221"/>
      <c r="N208" s="221"/>
      <c r="O208" s="221"/>
      <c r="P208" s="137"/>
      <c r="Q208" s="235"/>
      <c r="R208" s="214"/>
      <c r="S208" s="214"/>
      <c r="T208" s="214"/>
      <c r="U208" s="214"/>
      <c r="V208" s="199"/>
    </row>
    <row r="209" spans="1:22" s="109" customFormat="1" ht="66" customHeight="1" x14ac:dyDescent="0.25">
      <c r="A209" s="195"/>
      <c r="B209" s="247" t="s">
        <v>9</v>
      </c>
      <c r="C209" s="248" t="s">
        <v>1543</v>
      </c>
      <c r="D209" s="240" t="s">
        <v>1404</v>
      </c>
      <c r="E209" s="241" t="s">
        <v>2</v>
      </c>
      <c r="F209" s="241"/>
      <c r="G209" s="241" t="s">
        <v>7</v>
      </c>
      <c r="H209" s="241" t="s">
        <v>1356</v>
      </c>
      <c r="I209" s="240" t="s">
        <v>5</v>
      </c>
      <c r="J209" s="235"/>
      <c r="K209" s="235"/>
      <c r="L209" s="222" t="s">
        <v>5</v>
      </c>
      <c r="M209" s="211"/>
      <c r="N209" s="211"/>
      <c r="O209" s="211"/>
      <c r="P209" s="138" t="s">
        <v>1360</v>
      </c>
      <c r="Q209" s="203"/>
      <c r="R209" s="214"/>
      <c r="S209" s="214"/>
      <c r="T209" s="214"/>
      <c r="U209" s="214"/>
      <c r="V209" s="199"/>
    </row>
    <row r="210" spans="1:22" s="109" customFormat="1" ht="44.25" customHeight="1" x14ac:dyDescent="0.25">
      <c r="A210" s="195"/>
      <c r="B210" s="177" t="s">
        <v>1460</v>
      </c>
      <c r="C210" s="178"/>
      <c r="D210" s="173"/>
      <c r="E210" s="139"/>
      <c r="F210" s="140"/>
      <c r="G210" s="141"/>
      <c r="H210" s="126" t="s">
        <v>1354</v>
      </c>
      <c r="I210" s="250">
        <f>IF(H210="FACTURA",L210*1,IF(H210="RECIBO",L210/0.845,IF(H210="SIN IMPUESTO",L210*1,IF(H210="ALQUILER SIN RECIBO",L210/0.84,IF(H210="VIATICOS",L210/0.87,IF(H210=Hoja2!#REF!,0))))))</f>
        <v>0</v>
      </c>
      <c r="J210" s="211"/>
      <c r="K210" s="223"/>
      <c r="L210" s="218">
        <f t="shared" ref="L210:L224" si="31">+G210*E210</f>
        <v>0</v>
      </c>
      <c r="M210" s="223"/>
      <c r="N210" s="211"/>
      <c r="O210" s="223"/>
      <c r="P210" s="142">
        <v>0</v>
      </c>
      <c r="Q210" s="203"/>
      <c r="R210" s="214"/>
      <c r="S210" s="214"/>
      <c r="T210" s="214"/>
      <c r="U210" s="214"/>
      <c r="V210" s="199"/>
    </row>
    <row r="211" spans="1:22" s="109" customFormat="1" ht="44.25" customHeight="1" x14ac:dyDescent="0.25">
      <c r="A211" s="195"/>
      <c r="B211" s="177" t="s">
        <v>1461</v>
      </c>
      <c r="C211" s="178"/>
      <c r="D211" s="173"/>
      <c r="E211" s="139"/>
      <c r="F211" s="140"/>
      <c r="G211" s="141"/>
      <c r="H211" s="126" t="s">
        <v>14</v>
      </c>
      <c r="I211" s="250">
        <f>IF(H211="FACTURA",L211*1,IF(H211="RECIBO",L211/0.845,IF(H211="SIN IMPUESTO",L211*1,IF(H211="ALQUILER SIN RECIBO",L211/0.84,IF(H211="VIATICOS",L211/0.87,IF(H211=Hoja2!#REF!,0))))))</f>
        <v>0</v>
      </c>
      <c r="J211" s="211"/>
      <c r="K211" s="223"/>
      <c r="L211" s="218">
        <f t="shared" si="31"/>
        <v>0</v>
      </c>
      <c r="M211" s="223"/>
      <c r="N211" s="211"/>
      <c r="O211" s="223"/>
      <c r="P211" s="142">
        <v>0</v>
      </c>
      <c r="Q211" s="203"/>
      <c r="R211" s="214"/>
      <c r="S211" s="214"/>
      <c r="T211" s="214"/>
      <c r="U211" s="214"/>
      <c r="V211" s="199"/>
    </row>
    <row r="212" spans="1:22" s="109" customFormat="1" ht="44.25" customHeight="1" x14ac:dyDescent="0.25">
      <c r="A212" s="195"/>
      <c r="B212" s="177" t="s">
        <v>1462</v>
      </c>
      <c r="C212" s="178"/>
      <c r="D212" s="173"/>
      <c r="E212" s="139"/>
      <c r="F212" s="140"/>
      <c r="G212" s="141"/>
      <c r="H212" s="126" t="s">
        <v>14</v>
      </c>
      <c r="I212" s="250">
        <f>IF(H212="FACTURA",L212*1,IF(H212="RECIBO",L212/0.845,IF(H212="SIN IMPUESTO",L212*1,IF(H212="ALQUILER SIN RECIBO",L212/0.84,IF(H212="VIATICOS",L212/0.87,IF(H212=Hoja2!#REF!,0))))))</f>
        <v>0</v>
      </c>
      <c r="J212" s="211"/>
      <c r="K212" s="223"/>
      <c r="L212" s="218">
        <f t="shared" si="31"/>
        <v>0</v>
      </c>
      <c r="M212" s="223"/>
      <c r="N212" s="211"/>
      <c r="O212" s="223"/>
      <c r="P212" s="142">
        <v>0</v>
      </c>
      <c r="Q212" s="203"/>
      <c r="R212" s="214"/>
      <c r="S212" s="214"/>
      <c r="T212" s="214"/>
      <c r="U212" s="214"/>
      <c r="V212" s="199"/>
    </row>
    <row r="213" spans="1:22" s="109" customFormat="1" ht="44.25" customHeight="1" x14ac:dyDescent="0.25">
      <c r="A213" s="195"/>
      <c r="B213" s="177" t="s">
        <v>1463</v>
      </c>
      <c r="C213" s="178"/>
      <c r="D213" s="173"/>
      <c r="E213" s="139"/>
      <c r="F213" s="140"/>
      <c r="G213" s="141"/>
      <c r="H213" s="126" t="s">
        <v>14</v>
      </c>
      <c r="I213" s="250">
        <f>IF(H213="FACTURA",L213*1,IF(H213="RECIBO",L213/0.845,IF(H213="SIN IMPUESTO",L213*1,IF(H213="ALQUILER SIN RECIBO",L213/0.84,IF(H213="VIATICOS",L213/0.87,IF(H213=Hoja2!#REF!,0))))))</f>
        <v>0</v>
      </c>
      <c r="J213" s="211"/>
      <c r="K213" s="223"/>
      <c r="L213" s="218">
        <f t="shared" si="31"/>
        <v>0</v>
      </c>
      <c r="M213" s="223"/>
      <c r="N213" s="211"/>
      <c r="O213" s="223"/>
      <c r="P213" s="142">
        <v>0</v>
      </c>
      <c r="Q213" s="203"/>
      <c r="R213" s="214"/>
      <c r="S213" s="214"/>
      <c r="T213" s="214"/>
      <c r="U213" s="214"/>
      <c r="V213" s="199"/>
    </row>
    <row r="214" spans="1:22" s="109" customFormat="1" ht="44.25" customHeight="1" x14ac:dyDescent="0.25">
      <c r="A214" s="195"/>
      <c r="B214" s="177" t="s">
        <v>1464</v>
      </c>
      <c r="C214" s="178"/>
      <c r="D214" s="173"/>
      <c r="E214" s="139"/>
      <c r="F214" s="140"/>
      <c r="G214" s="141"/>
      <c r="H214" s="126" t="s">
        <v>14</v>
      </c>
      <c r="I214" s="250">
        <f>IF(H214="FACTURA",L214*1,IF(H214="RECIBO",L214/0.845,IF(H214="SIN IMPUESTO",L214*1,IF(H214="ALQUILER SIN RECIBO",L214/0.84,IF(H214="VIATICOS",L214/0.87,IF(H214=Hoja2!#REF!,0))))))</f>
        <v>0</v>
      </c>
      <c r="J214" s="211"/>
      <c r="K214" s="223"/>
      <c r="L214" s="218">
        <f t="shared" si="31"/>
        <v>0</v>
      </c>
      <c r="M214" s="223"/>
      <c r="N214" s="211"/>
      <c r="O214" s="223"/>
      <c r="P214" s="142">
        <v>0</v>
      </c>
      <c r="Q214" s="203"/>
      <c r="R214" s="214"/>
      <c r="S214" s="214"/>
      <c r="T214" s="214"/>
      <c r="U214" s="214"/>
      <c r="V214" s="199"/>
    </row>
    <row r="215" spans="1:22" s="109" customFormat="1" ht="44.25" customHeight="1" x14ac:dyDescent="0.25">
      <c r="A215" s="195"/>
      <c r="B215" s="177" t="s">
        <v>1465</v>
      </c>
      <c r="C215" s="178"/>
      <c r="D215" s="173"/>
      <c r="E215" s="139"/>
      <c r="F215" s="140"/>
      <c r="G215" s="141"/>
      <c r="H215" s="126" t="s">
        <v>14</v>
      </c>
      <c r="I215" s="250">
        <f>IF(H215="FACTURA",L215*1,IF(H215="RECIBO",L215/0.845,IF(H215="SIN IMPUESTO",L215*1,IF(H215="ALQUILER SIN RECIBO",L215/0.84,IF(H215="VIATICOS",L215/0.87,IF(H215=Hoja2!#REF!,0))))))</f>
        <v>0</v>
      </c>
      <c r="J215" s="211"/>
      <c r="K215" s="223"/>
      <c r="L215" s="218">
        <f t="shared" si="31"/>
        <v>0</v>
      </c>
      <c r="M215" s="223"/>
      <c r="N215" s="211"/>
      <c r="O215" s="223"/>
      <c r="P215" s="142">
        <v>0</v>
      </c>
      <c r="Q215" s="203"/>
      <c r="R215" s="214"/>
      <c r="S215" s="214"/>
      <c r="T215" s="214"/>
      <c r="U215" s="214"/>
      <c r="V215" s="199"/>
    </row>
    <row r="216" spans="1:22" s="109" customFormat="1" ht="44.25" hidden="1" customHeight="1" x14ac:dyDescent="0.25">
      <c r="A216" s="195"/>
      <c r="B216" s="177" t="s">
        <v>1466</v>
      </c>
      <c r="C216" s="178"/>
      <c r="D216" s="173"/>
      <c r="E216" s="139"/>
      <c r="F216" s="140"/>
      <c r="G216" s="141"/>
      <c r="H216" s="126" t="s">
        <v>14</v>
      </c>
      <c r="I216" s="250">
        <f>IF(H216="FACTURA",L216*1,IF(H216="RECIBO",L216/0.845,IF(H216="SIN IMPUESTO",L216*1,IF(H216="ALQUILER SIN RECIBO",L216/0.84,IF(H216="VIATICOS",L216/0.87,IF(H216=Hoja2!#REF!,0))))))</f>
        <v>0</v>
      </c>
      <c r="J216" s="211"/>
      <c r="K216" s="223"/>
      <c r="L216" s="218">
        <f t="shared" si="31"/>
        <v>0</v>
      </c>
      <c r="M216" s="223"/>
      <c r="N216" s="211"/>
      <c r="O216" s="223"/>
      <c r="P216" s="142">
        <v>0</v>
      </c>
      <c r="Q216" s="203"/>
      <c r="R216" s="214"/>
      <c r="S216" s="214"/>
      <c r="T216" s="214"/>
      <c r="U216" s="214"/>
      <c r="V216" s="199"/>
    </row>
    <row r="217" spans="1:22" s="109" customFormat="1" ht="44.25" hidden="1" customHeight="1" x14ac:dyDescent="0.25">
      <c r="A217" s="195"/>
      <c r="B217" s="177" t="s">
        <v>1467</v>
      </c>
      <c r="C217" s="178"/>
      <c r="D217" s="173"/>
      <c r="E217" s="139"/>
      <c r="F217" s="140"/>
      <c r="G217" s="141"/>
      <c r="H217" s="126" t="s">
        <v>14</v>
      </c>
      <c r="I217" s="250">
        <f>IF(H217="FACTURA",L217*1,IF(H217="RECIBO",L217/0.845,IF(H217="SIN IMPUESTO",L217*1,IF(H217="ALQUILER SIN RECIBO",L217/0.84,IF(H217="VIATICOS",L217/0.87,IF(H217=Hoja2!#REF!,0))))))</f>
        <v>0</v>
      </c>
      <c r="J217" s="211"/>
      <c r="K217" s="223"/>
      <c r="L217" s="218">
        <f t="shared" si="31"/>
        <v>0</v>
      </c>
      <c r="M217" s="223"/>
      <c r="N217" s="211"/>
      <c r="O217" s="223"/>
      <c r="P217" s="142">
        <v>0</v>
      </c>
      <c r="Q217" s="203"/>
      <c r="R217" s="214"/>
      <c r="S217" s="214"/>
      <c r="T217" s="214"/>
      <c r="U217" s="214"/>
      <c r="V217" s="199"/>
    </row>
    <row r="218" spans="1:22" s="109" customFormat="1" ht="44.25" hidden="1" customHeight="1" x14ac:dyDescent="0.25">
      <c r="A218" s="195"/>
      <c r="B218" s="177" t="s">
        <v>1468</v>
      </c>
      <c r="C218" s="178"/>
      <c r="D218" s="173"/>
      <c r="E218" s="139"/>
      <c r="F218" s="144"/>
      <c r="G218" s="141"/>
      <c r="H218" s="126" t="s">
        <v>14</v>
      </c>
      <c r="I218" s="250">
        <f>IF(H218="FACTURA",L218*1,IF(H218="RECIBO",L218/0.845,IF(H218="SIN IMPUESTO",L218*1,IF(H218="ALQUILER SIN RECIBO",L218/0.84,IF(H218="VIATICOS",L218/0.87,IF(H218=Hoja2!#REF!,0))))))</f>
        <v>0</v>
      </c>
      <c r="J218" s="211"/>
      <c r="K218" s="223"/>
      <c r="L218" s="218">
        <f t="shared" si="31"/>
        <v>0</v>
      </c>
      <c r="M218" s="223"/>
      <c r="N218" s="211"/>
      <c r="O218" s="223"/>
      <c r="P218" s="142">
        <v>0</v>
      </c>
      <c r="Q218" s="203"/>
      <c r="R218" s="214"/>
      <c r="S218" s="214"/>
      <c r="T218" s="214"/>
      <c r="U218" s="214"/>
      <c r="V218" s="199"/>
    </row>
    <row r="219" spans="1:22" s="109" customFormat="1" ht="44.25" hidden="1" customHeight="1" x14ac:dyDescent="0.25">
      <c r="A219" s="195"/>
      <c r="B219" s="177" t="s">
        <v>1469</v>
      </c>
      <c r="C219" s="178"/>
      <c r="D219" s="173"/>
      <c r="E219" s="139"/>
      <c r="F219" s="144"/>
      <c r="G219" s="141"/>
      <c r="H219" s="126" t="s">
        <v>14</v>
      </c>
      <c r="I219" s="250">
        <f>IF(H219="FACTURA",L219*1,IF(H219="RECIBO",L219/0.845,IF(H219="SIN IMPUESTO",L219*1,IF(H219="ALQUILER SIN RECIBO",L219/0.84,IF(H219="VIATICOS",L219/0.87,IF(H219=Hoja2!#REF!,0))))))</f>
        <v>0</v>
      </c>
      <c r="J219" s="211"/>
      <c r="K219" s="223"/>
      <c r="L219" s="218">
        <f t="shared" si="31"/>
        <v>0</v>
      </c>
      <c r="M219" s="223"/>
      <c r="N219" s="211"/>
      <c r="O219" s="223"/>
      <c r="P219" s="142">
        <v>0</v>
      </c>
      <c r="Q219" s="203"/>
      <c r="R219" s="214"/>
      <c r="S219" s="214"/>
      <c r="T219" s="214"/>
      <c r="U219" s="214"/>
      <c r="V219" s="199"/>
    </row>
    <row r="220" spans="1:22" s="109" customFormat="1" ht="44.25" hidden="1" customHeight="1" x14ac:dyDescent="0.25">
      <c r="A220" s="195"/>
      <c r="B220" s="177" t="s">
        <v>1470</v>
      </c>
      <c r="C220" s="178"/>
      <c r="D220" s="173"/>
      <c r="E220" s="139"/>
      <c r="F220" s="144"/>
      <c r="G220" s="141"/>
      <c r="H220" s="126" t="s">
        <v>14</v>
      </c>
      <c r="I220" s="250">
        <f>IF(H220="FACTURA",L220*1,IF(H220="RECIBO",L220/0.845,IF(H220="SIN IMPUESTO",L220*1,IF(H220="ALQUILER SIN RECIBO",L220/0.84,IF(H220="VIATICOS",L220/0.87,IF(H220=Hoja2!#REF!,0))))))</f>
        <v>0</v>
      </c>
      <c r="J220" s="211"/>
      <c r="K220" s="223"/>
      <c r="L220" s="218">
        <f t="shared" si="31"/>
        <v>0</v>
      </c>
      <c r="M220" s="223"/>
      <c r="N220" s="211"/>
      <c r="O220" s="223"/>
      <c r="P220" s="142">
        <v>0</v>
      </c>
      <c r="Q220" s="203"/>
      <c r="R220" s="214"/>
      <c r="S220" s="214"/>
      <c r="T220" s="214"/>
      <c r="U220" s="214"/>
      <c r="V220" s="199"/>
    </row>
    <row r="221" spans="1:22" s="109" customFormat="1" ht="44.25" hidden="1" customHeight="1" x14ac:dyDescent="0.25">
      <c r="A221" s="195"/>
      <c r="B221" s="177" t="s">
        <v>1471</v>
      </c>
      <c r="C221" s="178"/>
      <c r="D221" s="173"/>
      <c r="E221" s="139"/>
      <c r="F221" s="144"/>
      <c r="G221" s="141"/>
      <c r="H221" s="126" t="s">
        <v>14</v>
      </c>
      <c r="I221" s="250">
        <f>IF(H221="FACTURA",L221*1,IF(H221="RECIBO",L221/0.845,IF(H221="SIN IMPUESTO",L221*1,IF(H221="ALQUILER SIN RECIBO",L221/0.84,IF(H221="VIATICOS",L221/0.87,IF(H221=Hoja2!#REF!,0))))))</f>
        <v>0</v>
      </c>
      <c r="J221" s="211"/>
      <c r="K221" s="223"/>
      <c r="L221" s="218">
        <f t="shared" si="31"/>
        <v>0</v>
      </c>
      <c r="M221" s="223"/>
      <c r="N221" s="211"/>
      <c r="O221" s="223"/>
      <c r="P221" s="142">
        <v>0</v>
      </c>
      <c r="Q221" s="203"/>
      <c r="R221" s="214"/>
      <c r="S221" s="214"/>
      <c r="T221" s="214"/>
      <c r="U221" s="214"/>
      <c r="V221" s="199"/>
    </row>
    <row r="222" spans="1:22" s="109" customFormat="1" ht="44.25" hidden="1" customHeight="1" x14ac:dyDescent="0.25">
      <c r="A222" s="195"/>
      <c r="B222" s="177" t="s">
        <v>1472</v>
      </c>
      <c r="C222" s="178"/>
      <c r="D222" s="173"/>
      <c r="E222" s="139"/>
      <c r="F222" s="144"/>
      <c r="G222" s="141"/>
      <c r="H222" s="126" t="s">
        <v>14</v>
      </c>
      <c r="I222" s="250">
        <f>IF(H222="FACTURA",L222*1,IF(H222="RECIBO",L222/0.845,IF(H222="SIN IMPUESTO",L222*1,IF(H222="ALQUILER SIN RECIBO",L222/0.84,IF(H222="VIATICOS",L222/0.87,IF(H222=Hoja2!#REF!,0))))))</f>
        <v>0</v>
      </c>
      <c r="J222" s="211"/>
      <c r="K222" s="223"/>
      <c r="L222" s="218">
        <f t="shared" si="31"/>
        <v>0</v>
      </c>
      <c r="M222" s="223"/>
      <c r="N222" s="211"/>
      <c r="O222" s="223"/>
      <c r="P222" s="142">
        <v>2</v>
      </c>
      <c r="Q222" s="203"/>
      <c r="R222" s="214"/>
      <c r="S222" s="214"/>
      <c r="T222" s="214"/>
      <c r="U222" s="214"/>
      <c r="V222" s="199"/>
    </row>
    <row r="223" spans="1:22" s="109" customFormat="1" ht="44.25" hidden="1" customHeight="1" x14ac:dyDescent="0.25">
      <c r="A223" s="195"/>
      <c r="B223" s="177" t="s">
        <v>1473</v>
      </c>
      <c r="C223" s="178"/>
      <c r="D223" s="173"/>
      <c r="E223" s="139"/>
      <c r="F223" s="144"/>
      <c r="G223" s="141"/>
      <c r="H223" s="126" t="s">
        <v>14</v>
      </c>
      <c r="I223" s="250">
        <f>IF(H223="FACTURA",L223*1,IF(H223="RECIBO",L223/0.845,IF(H223="SIN IMPUESTO",L223*1,IF(H223="ALQUILER SIN RECIBO",L223/0.84,IF(H223="VIATICOS",L223/0.87,IF(H223=Hoja2!#REF!,0))))))</f>
        <v>0</v>
      </c>
      <c r="J223" s="211"/>
      <c r="K223" s="223"/>
      <c r="L223" s="218">
        <f t="shared" si="31"/>
        <v>0</v>
      </c>
      <c r="M223" s="223"/>
      <c r="N223" s="211"/>
      <c r="O223" s="223"/>
      <c r="P223" s="142">
        <v>0</v>
      </c>
      <c r="Q223" s="203"/>
      <c r="R223" s="214"/>
      <c r="S223" s="214"/>
      <c r="T223" s="214"/>
      <c r="U223" s="214"/>
      <c r="V223" s="199"/>
    </row>
    <row r="224" spans="1:22" s="109" customFormat="1" ht="44.25" hidden="1" customHeight="1" x14ac:dyDescent="0.25">
      <c r="A224" s="195"/>
      <c r="B224" s="177" t="s">
        <v>1474</v>
      </c>
      <c r="C224" s="178"/>
      <c r="D224" s="173"/>
      <c r="E224" s="139"/>
      <c r="F224" s="144"/>
      <c r="G224" s="141"/>
      <c r="H224" s="126" t="s">
        <v>1354</v>
      </c>
      <c r="I224" s="250">
        <f>IF(H224="FACTURA",L224*1,IF(H224="RECIBO",L224/0.845,IF(H224="SIN IMPUESTO",L224*1,IF(H224="ALQUILER SIN RECIBO",L224/0.84,IF(H224="VIATICOS",L224/0.87,IF(H224=Hoja2!#REF!,0))))))</f>
        <v>0</v>
      </c>
      <c r="J224" s="211"/>
      <c r="K224" s="223"/>
      <c r="L224" s="218">
        <f t="shared" si="31"/>
        <v>0</v>
      </c>
      <c r="M224" s="223"/>
      <c r="N224" s="211"/>
      <c r="O224" s="223"/>
      <c r="P224" s="142">
        <v>0</v>
      </c>
      <c r="Q224" s="203"/>
      <c r="R224" s="214"/>
      <c r="S224" s="214"/>
      <c r="T224" s="214"/>
      <c r="U224" s="214"/>
      <c r="V224" s="199"/>
    </row>
    <row r="225" spans="1:22" s="109" customFormat="1" ht="51" customHeight="1" x14ac:dyDescent="0.25">
      <c r="A225" s="195"/>
      <c r="B225" s="268" t="s">
        <v>1580</v>
      </c>
      <c r="C225" s="294"/>
      <c r="D225" s="241"/>
      <c r="E225" s="241"/>
      <c r="F225" s="241"/>
      <c r="G225" s="241"/>
      <c r="H225" s="251"/>
      <c r="I225" s="249">
        <f>SUM(I210:I224)</f>
        <v>0</v>
      </c>
      <c r="J225" s="237"/>
      <c r="K225" s="202"/>
      <c r="L225" s="218">
        <f>SUM(L210:L224)</f>
        <v>0</v>
      </c>
      <c r="M225" s="237"/>
      <c r="N225" s="237"/>
      <c r="O225" s="237"/>
      <c r="P225" s="145">
        <f>SUM(P210:P224)</f>
        <v>2</v>
      </c>
      <c r="Q225" s="203"/>
      <c r="R225" s="214"/>
      <c r="S225" s="214"/>
      <c r="T225" s="214"/>
      <c r="U225" s="214"/>
      <c r="V225" s="199"/>
    </row>
    <row r="226" spans="1:22" s="199" customFormat="1" ht="15" customHeight="1" x14ac:dyDescent="0.25">
      <c r="A226" s="195"/>
      <c r="B226" s="208"/>
      <c r="C226" s="356"/>
      <c r="D226" s="357"/>
      <c r="E226" s="358"/>
      <c r="F226" s="358"/>
      <c r="G226" s="198"/>
      <c r="H226" s="210"/>
      <c r="I226" s="210"/>
      <c r="J226" s="210"/>
      <c r="K226" s="210"/>
      <c r="L226" s="210"/>
      <c r="M226" s="210"/>
      <c r="N226" s="210"/>
      <c r="O226" s="210"/>
    </row>
    <row r="227" spans="1:22" s="109" customFormat="1" ht="51" customHeight="1" x14ac:dyDescent="0.25">
      <c r="A227" s="195"/>
      <c r="B227" s="241" t="s">
        <v>1369</v>
      </c>
      <c r="C227" s="241"/>
      <c r="D227" s="241"/>
      <c r="E227" s="241"/>
      <c r="F227" s="241"/>
      <c r="G227" s="241"/>
      <c r="H227" s="280"/>
      <c r="I227" s="249">
        <f>+I225+I202</f>
        <v>0</v>
      </c>
      <c r="J227" s="237"/>
      <c r="K227" s="202"/>
      <c r="L227" s="235"/>
      <c r="M227" s="235"/>
      <c r="N227" s="237"/>
      <c r="O227" s="237"/>
      <c r="P227" s="146">
        <f>+P225+P202</f>
        <v>2</v>
      </c>
      <c r="Q227" s="237"/>
      <c r="R227" s="214"/>
      <c r="S227" s="214"/>
      <c r="T227" s="214"/>
      <c r="U227" s="214"/>
      <c r="V227" s="199"/>
    </row>
    <row r="228" spans="1:22" s="109" customFormat="1" ht="57" customHeight="1" x14ac:dyDescent="0.25">
      <c r="A228" s="195"/>
      <c r="B228" s="203"/>
      <c r="C228" s="203"/>
      <c r="D228" s="435"/>
      <c r="E228" s="435"/>
      <c r="F228" s="435"/>
      <c r="G228" s="435"/>
      <c r="H228" s="435"/>
      <c r="I228" s="435"/>
      <c r="J228" s="435"/>
      <c r="K228" s="436"/>
      <c r="L228" s="436"/>
      <c r="M228" s="436"/>
      <c r="N228" s="436"/>
      <c r="O228" s="436"/>
      <c r="P228" s="124"/>
      <c r="Q228" s="235"/>
      <c r="R228" s="214"/>
      <c r="S228" s="214"/>
      <c r="T228" s="214"/>
      <c r="U228" s="214"/>
      <c r="V228" s="199"/>
    </row>
    <row r="229" spans="1:22" s="109" customFormat="1" ht="57" customHeight="1" x14ac:dyDescent="0.25">
      <c r="A229" s="195"/>
      <c r="B229" s="484" t="s">
        <v>1544</v>
      </c>
      <c r="C229" s="484"/>
      <c r="D229" s="484"/>
      <c r="E229" s="484"/>
      <c r="F229" s="484"/>
      <c r="G229" s="484"/>
      <c r="H229" s="484"/>
      <c r="I229" s="484"/>
      <c r="J229" s="235"/>
      <c r="K229" s="225"/>
      <c r="L229" s="236"/>
      <c r="M229" s="236"/>
      <c r="N229" s="236"/>
      <c r="O229" s="236"/>
      <c r="P229" s="124"/>
      <c r="Q229" s="235"/>
      <c r="R229" s="214"/>
      <c r="S229" s="214"/>
      <c r="T229" s="214"/>
      <c r="U229" s="214"/>
      <c r="V229" s="199"/>
    </row>
    <row r="230" spans="1:22" s="109" customFormat="1" ht="57" customHeight="1" x14ac:dyDescent="0.25">
      <c r="A230" s="301">
        <v>5</v>
      </c>
      <c r="B230" s="409" t="s">
        <v>1545</v>
      </c>
      <c r="C230" s="199"/>
      <c r="D230" s="199"/>
      <c r="E230" s="199"/>
      <c r="F230" s="199"/>
      <c r="G230" s="221"/>
      <c r="H230" s="225"/>
      <c r="I230" s="235"/>
      <c r="J230" s="235"/>
      <c r="K230" s="225"/>
      <c r="L230" s="236"/>
      <c r="M230" s="236"/>
      <c r="N230" s="236"/>
      <c r="O230" s="236"/>
      <c r="P230" s="124"/>
      <c r="Q230" s="235"/>
      <c r="R230" s="214"/>
      <c r="S230" s="214"/>
      <c r="T230" s="214"/>
      <c r="U230" s="214"/>
      <c r="V230" s="199"/>
    </row>
    <row r="231" spans="1:22" s="109" customFormat="1" ht="15" customHeight="1" x14ac:dyDescent="0.25">
      <c r="A231" s="195"/>
      <c r="B231" s="199"/>
      <c r="C231" s="199"/>
      <c r="D231" s="199"/>
      <c r="E231" s="199"/>
      <c r="F231" s="221"/>
      <c r="G231" s="221"/>
      <c r="H231" s="225"/>
      <c r="I231" s="235"/>
      <c r="J231" s="235"/>
      <c r="K231" s="225"/>
      <c r="L231" s="236"/>
      <c r="M231" s="236"/>
      <c r="N231" s="236"/>
      <c r="O231" s="236"/>
      <c r="P231" s="124"/>
      <c r="Q231" s="235"/>
      <c r="R231" s="214"/>
      <c r="S231" s="214"/>
      <c r="T231" s="214"/>
      <c r="U231" s="214"/>
      <c r="V231" s="199"/>
    </row>
    <row r="232" spans="1:22" s="109" customFormat="1" ht="57" customHeight="1" x14ac:dyDescent="0.25">
      <c r="A232" s="195" t="s">
        <v>1552</v>
      </c>
      <c r="B232" s="241" t="s">
        <v>1547</v>
      </c>
      <c r="C232" s="241" t="s">
        <v>1576</v>
      </c>
      <c r="D232" s="241" t="s">
        <v>1548</v>
      </c>
      <c r="E232" s="241" t="s">
        <v>1567</v>
      </c>
      <c r="F232" s="241"/>
      <c r="G232" s="241" t="s">
        <v>4</v>
      </c>
      <c r="H232" s="240" t="s">
        <v>7</v>
      </c>
      <c r="I232" s="240" t="s">
        <v>1405</v>
      </c>
      <c r="J232" s="235"/>
      <c r="K232" s="225"/>
      <c r="L232" s="236"/>
      <c r="M232" s="236"/>
      <c r="N232" s="236"/>
      <c r="O232" s="236"/>
      <c r="P232" s="124"/>
      <c r="Q232" s="235"/>
      <c r="R232" s="214"/>
      <c r="S232" s="214"/>
      <c r="T232" s="214"/>
      <c r="U232" s="214"/>
      <c r="V232" s="199"/>
    </row>
    <row r="233" spans="1:22" s="109" customFormat="1" ht="57" customHeight="1" x14ac:dyDescent="0.25">
      <c r="A233" s="195"/>
      <c r="B233" s="179"/>
      <c r="C233" s="269" t="s">
        <v>1549</v>
      </c>
      <c r="D233" s="256" t="s">
        <v>1550</v>
      </c>
      <c r="E233" s="181"/>
      <c r="F233" s="153"/>
      <c r="G233" s="139"/>
      <c r="H233" s="154"/>
      <c r="I233" s="254">
        <f>+H233*G233</f>
        <v>0</v>
      </c>
      <c r="J233" s="235"/>
      <c r="K233" s="225"/>
      <c r="L233" s="236"/>
      <c r="M233" s="236"/>
      <c r="N233" s="236"/>
      <c r="O233" s="236"/>
      <c r="P233" s="124"/>
      <c r="Q233" s="235"/>
      <c r="R233" s="214"/>
      <c r="S233" s="214"/>
      <c r="T233" s="214"/>
      <c r="U233" s="214"/>
      <c r="V233" s="199"/>
    </row>
    <row r="234" spans="1:22" s="109" customFormat="1" ht="57" customHeight="1" x14ac:dyDescent="0.25">
      <c r="A234" s="195"/>
      <c r="B234" s="179"/>
      <c r="C234" s="269" t="s">
        <v>1549</v>
      </c>
      <c r="D234" s="256" t="s">
        <v>1550</v>
      </c>
      <c r="E234" s="181"/>
      <c r="F234" s="153"/>
      <c r="G234" s="139"/>
      <c r="H234" s="154"/>
      <c r="I234" s="254">
        <f>+H234*G234</f>
        <v>0</v>
      </c>
      <c r="J234" s="235"/>
      <c r="K234" s="225"/>
      <c r="L234" s="236"/>
      <c r="M234" s="236"/>
      <c r="N234" s="236"/>
      <c r="O234" s="236"/>
      <c r="P234" s="124"/>
      <c r="Q234" s="235"/>
      <c r="R234" s="214"/>
      <c r="S234" s="214"/>
      <c r="T234" s="214"/>
      <c r="U234" s="214"/>
      <c r="V234" s="199"/>
    </row>
    <row r="235" spans="1:22" s="109" customFormat="1" ht="57" customHeight="1" x14ac:dyDescent="0.25">
      <c r="A235" s="195"/>
      <c r="B235" s="270" t="s">
        <v>5</v>
      </c>
      <c r="C235" s="255"/>
      <c r="D235" s="255"/>
      <c r="E235" s="255"/>
      <c r="F235" s="255">
        <f>SUM(F233:F234)</f>
        <v>0</v>
      </c>
      <c r="G235" s="255">
        <f>SUM(G233:G234)</f>
        <v>0</v>
      </c>
      <c r="H235" s="242">
        <f>SUM(H233:H234)</f>
        <v>0</v>
      </c>
      <c r="I235" s="242">
        <f>SUM(I233:I234)</f>
        <v>0</v>
      </c>
      <c r="J235" s="235"/>
      <c r="K235" s="225"/>
      <c r="L235" s="236"/>
      <c r="M235" s="236"/>
      <c r="N235" s="236"/>
      <c r="O235" s="236"/>
      <c r="P235" s="124"/>
      <c r="Q235" s="235"/>
      <c r="R235" s="214"/>
      <c r="S235" s="214"/>
      <c r="T235" s="214"/>
      <c r="U235" s="214"/>
      <c r="V235" s="199"/>
    </row>
    <row r="236" spans="1:22" s="109" customFormat="1" ht="57" customHeight="1" x14ac:dyDescent="0.25">
      <c r="A236" s="195"/>
      <c r="B236" s="229"/>
      <c r="C236" s="435"/>
      <c r="D236" s="435"/>
      <c r="E236" s="435"/>
      <c r="F236" s="435"/>
      <c r="G236" s="435"/>
      <c r="H236" s="237"/>
      <c r="I236" s="235"/>
      <c r="J236" s="235"/>
      <c r="K236" s="225"/>
      <c r="L236" s="236"/>
      <c r="M236" s="236"/>
      <c r="N236" s="236"/>
      <c r="O236" s="236"/>
      <c r="P236" s="124"/>
      <c r="Q236" s="235"/>
      <c r="R236" s="214"/>
      <c r="S236" s="214"/>
      <c r="T236" s="214"/>
      <c r="U236" s="214"/>
      <c r="V236" s="199"/>
    </row>
    <row r="237" spans="1:22" s="109" customFormat="1" ht="39.75" customHeight="1" x14ac:dyDescent="0.25">
      <c r="A237" s="301">
        <v>6</v>
      </c>
      <c r="B237" s="409" t="s">
        <v>1551</v>
      </c>
      <c r="C237" s="214"/>
      <c r="D237" s="214"/>
      <c r="E237" s="214"/>
      <c r="F237" s="214"/>
      <c r="G237" s="221"/>
      <c r="H237" s="225"/>
      <c r="I237" s="235"/>
      <c r="J237" s="235"/>
      <c r="K237" s="225"/>
      <c r="L237" s="236"/>
      <c r="M237" s="236"/>
      <c r="N237" s="236"/>
      <c r="O237" s="236"/>
      <c r="P237" s="124"/>
      <c r="Q237" s="235"/>
      <c r="R237" s="214"/>
      <c r="S237" s="214"/>
      <c r="T237" s="214"/>
      <c r="U237" s="214"/>
      <c r="V237" s="199"/>
    </row>
    <row r="238" spans="1:22" s="109" customFormat="1" ht="5.25" customHeight="1" x14ac:dyDescent="0.25">
      <c r="A238" s="195"/>
      <c r="B238" s="199"/>
      <c r="C238" s="199"/>
      <c r="D238" s="199"/>
      <c r="E238" s="199"/>
      <c r="F238" s="221"/>
      <c r="G238" s="221"/>
      <c r="H238" s="225"/>
      <c r="I238" s="235"/>
      <c r="J238" s="235"/>
      <c r="K238" s="225"/>
      <c r="L238" s="236"/>
      <c r="M238" s="236"/>
      <c r="N238" s="236"/>
      <c r="O238" s="236"/>
      <c r="P238" s="124"/>
      <c r="Q238" s="235"/>
      <c r="R238" s="214"/>
      <c r="S238" s="214"/>
      <c r="T238" s="214"/>
      <c r="U238" s="214"/>
      <c r="V238" s="199"/>
    </row>
    <row r="239" spans="1:22" s="109" customFormat="1" ht="57" customHeight="1" x14ac:dyDescent="0.25">
      <c r="A239" s="195" t="s">
        <v>1556</v>
      </c>
      <c r="B239" s="239" t="s">
        <v>1559</v>
      </c>
      <c r="C239" s="241" t="s">
        <v>1577</v>
      </c>
      <c r="D239" s="239" t="s">
        <v>1548</v>
      </c>
      <c r="E239" s="239" t="s">
        <v>1404</v>
      </c>
      <c r="F239" s="239"/>
      <c r="G239" s="239" t="s">
        <v>4</v>
      </c>
      <c r="H239" s="240" t="s">
        <v>7</v>
      </c>
      <c r="I239" s="240" t="s">
        <v>1405</v>
      </c>
      <c r="J239" s="235"/>
      <c r="K239" s="225"/>
      <c r="L239" s="236"/>
      <c r="M239" s="236"/>
      <c r="N239" s="236"/>
      <c r="O239" s="236"/>
      <c r="P239" s="124"/>
      <c r="Q239" s="235"/>
      <c r="R239" s="214"/>
      <c r="S239" s="214"/>
      <c r="T239" s="214"/>
      <c r="U239" s="214"/>
      <c r="V239" s="199"/>
    </row>
    <row r="240" spans="1:22" s="109" customFormat="1" ht="57" customHeight="1" x14ac:dyDescent="0.25">
      <c r="A240" s="195"/>
      <c r="B240" s="179" t="s">
        <v>1560</v>
      </c>
      <c r="C240" s="252" t="s">
        <v>1549</v>
      </c>
      <c r="D240" s="253" t="s">
        <v>1561</v>
      </c>
      <c r="E240" s="181"/>
      <c r="F240" s="153"/>
      <c r="G240" s="139"/>
      <c r="H240" s="154"/>
      <c r="I240" s="254">
        <f>+H240*G240</f>
        <v>0</v>
      </c>
      <c r="J240" s="235"/>
      <c r="K240" s="225"/>
      <c r="L240" s="236"/>
      <c r="M240" s="236"/>
      <c r="N240" s="236"/>
      <c r="O240" s="236"/>
      <c r="P240" s="124"/>
      <c r="Q240" s="235"/>
      <c r="R240" s="214"/>
      <c r="S240" s="214"/>
      <c r="T240" s="214"/>
      <c r="U240" s="214"/>
      <c r="V240" s="199"/>
    </row>
    <row r="241" spans="1:22" s="109" customFormat="1" ht="57" customHeight="1" x14ac:dyDescent="0.25">
      <c r="A241" s="195"/>
      <c r="B241" s="179" t="s">
        <v>1582</v>
      </c>
      <c r="C241" s="271" t="s">
        <v>1549</v>
      </c>
      <c r="D241" s="272" t="s">
        <v>1561</v>
      </c>
      <c r="E241" s="273"/>
      <c r="F241" s="274"/>
      <c r="G241" s="275"/>
      <c r="H241" s="276"/>
      <c r="I241" s="277">
        <f>+H241*G241</f>
        <v>0</v>
      </c>
      <c r="J241" s="235"/>
      <c r="K241" s="225"/>
      <c r="L241" s="236"/>
      <c r="M241" s="236"/>
      <c r="N241" s="236"/>
      <c r="O241" s="236"/>
      <c r="P241" s="124"/>
      <c r="Q241" s="235"/>
      <c r="R241" s="214"/>
      <c r="S241" s="214"/>
      <c r="T241" s="214"/>
      <c r="U241" s="214"/>
      <c r="V241" s="199"/>
    </row>
    <row r="242" spans="1:22" s="109" customFormat="1" ht="57" customHeight="1" x14ac:dyDescent="0.25">
      <c r="A242" s="195"/>
      <c r="B242" s="278" t="s">
        <v>5</v>
      </c>
      <c r="C242" s="278"/>
      <c r="D242" s="278"/>
      <c r="E242" s="278"/>
      <c r="F242" s="278">
        <f>SUM(F240:F241)</f>
        <v>0</v>
      </c>
      <c r="G242" s="278">
        <f>SUM(G240:G241)</f>
        <v>0</v>
      </c>
      <c r="H242" s="279">
        <f>SUM(H240:H241)</f>
        <v>0</v>
      </c>
      <c r="I242" s="279">
        <f>SUM(I240:I241)</f>
        <v>0</v>
      </c>
      <c r="J242" s="235"/>
      <c r="K242" s="225"/>
      <c r="L242" s="236"/>
      <c r="M242" s="236"/>
      <c r="N242" s="236"/>
      <c r="O242" s="236"/>
      <c r="P242" s="124"/>
      <c r="Q242" s="235"/>
      <c r="R242" s="214"/>
      <c r="S242" s="214"/>
      <c r="T242" s="214"/>
      <c r="U242" s="214"/>
      <c r="V242" s="199"/>
    </row>
    <row r="243" spans="1:22" s="109" customFormat="1" ht="57" customHeight="1" x14ac:dyDescent="0.25">
      <c r="A243" s="195"/>
      <c r="B243" s="229"/>
      <c r="C243" s="221"/>
      <c r="D243" s="221"/>
      <c r="E243" s="221"/>
      <c r="F243" s="221"/>
      <c r="G243" s="221"/>
      <c r="H243" s="230"/>
      <c r="I243" s="235"/>
      <c r="J243" s="235"/>
      <c r="K243" s="225"/>
      <c r="L243" s="236"/>
      <c r="M243" s="236"/>
      <c r="N243" s="236"/>
      <c r="O243" s="236"/>
      <c r="P243" s="124"/>
      <c r="Q243" s="235"/>
      <c r="R243" s="214"/>
      <c r="S243" s="214"/>
      <c r="T243" s="214"/>
      <c r="U243" s="214"/>
      <c r="V243" s="199"/>
    </row>
    <row r="244" spans="1:22" s="109" customFormat="1" ht="57" customHeight="1" x14ac:dyDescent="0.25">
      <c r="A244" s="301">
        <v>7</v>
      </c>
      <c r="B244" s="409" t="s">
        <v>1555</v>
      </c>
      <c r="C244" s="214"/>
      <c r="D244" s="214"/>
      <c r="E244" s="214"/>
      <c r="F244" s="214"/>
      <c r="G244" s="221"/>
      <c r="H244" s="225"/>
      <c r="I244" s="235"/>
      <c r="J244" s="235"/>
      <c r="K244" s="225"/>
      <c r="L244" s="236"/>
      <c r="M244" s="236"/>
      <c r="N244" s="236"/>
      <c r="O244" s="236"/>
      <c r="P244" s="124"/>
      <c r="Q244" s="235"/>
      <c r="R244" s="214"/>
      <c r="S244" s="214"/>
      <c r="T244" s="214"/>
      <c r="U244" s="214"/>
      <c r="V244" s="199"/>
    </row>
    <row r="245" spans="1:22" s="109" customFormat="1" ht="6.75" customHeight="1" x14ac:dyDescent="0.25">
      <c r="A245" s="195"/>
      <c r="B245" s="199"/>
      <c r="C245" s="199"/>
      <c r="D245" s="199"/>
      <c r="E245" s="199"/>
      <c r="F245" s="221"/>
      <c r="G245" s="221"/>
      <c r="H245" s="225"/>
      <c r="I245" s="235"/>
      <c r="J245" s="235"/>
      <c r="K245" s="225"/>
      <c r="L245" s="236"/>
      <c r="M245" s="236"/>
      <c r="N245" s="236"/>
      <c r="O245" s="236"/>
      <c r="P245" s="124"/>
      <c r="Q245" s="235"/>
      <c r="R245" s="214"/>
      <c r="S245" s="214"/>
      <c r="T245" s="214"/>
      <c r="U245" s="214"/>
      <c r="V245" s="199"/>
    </row>
    <row r="246" spans="1:22" s="109" customFormat="1" ht="57" customHeight="1" x14ac:dyDescent="0.25">
      <c r="A246" s="195" t="s">
        <v>1587</v>
      </c>
      <c r="B246" s="241" t="s">
        <v>1553</v>
      </c>
      <c r="C246" s="241" t="s">
        <v>1576</v>
      </c>
      <c r="D246" s="241" t="s">
        <v>1554</v>
      </c>
      <c r="E246" s="241" t="s">
        <v>1404</v>
      </c>
      <c r="F246" s="241"/>
      <c r="G246" s="241" t="s">
        <v>2</v>
      </c>
      <c r="H246" s="240" t="s">
        <v>7</v>
      </c>
      <c r="I246" s="240" t="s">
        <v>1405</v>
      </c>
      <c r="J246" s="235"/>
      <c r="K246" s="225"/>
      <c r="L246" s="236"/>
      <c r="M246" s="236"/>
      <c r="N246" s="236"/>
      <c r="O246" s="236"/>
      <c r="P246" s="124"/>
      <c r="Q246" s="235"/>
      <c r="R246" s="214"/>
      <c r="S246" s="214"/>
      <c r="T246" s="214"/>
      <c r="U246" s="214"/>
      <c r="V246" s="199"/>
    </row>
    <row r="247" spans="1:22" s="109" customFormat="1" ht="57" customHeight="1" x14ac:dyDescent="0.25">
      <c r="A247" s="195"/>
      <c r="B247" s="176" t="s">
        <v>1557</v>
      </c>
      <c r="C247" s="269" t="s">
        <v>1549</v>
      </c>
      <c r="D247" s="242" t="s">
        <v>1558</v>
      </c>
      <c r="E247" s="153"/>
      <c r="F247" s="153"/>
      <c r="G247" s="156"/>
      <c r="H247" s="157"/>
      <c r="I247" s="254">
        <f>+G247*H247</f>
        <v>0</v>
      </c>
      <c r="J247" s="235"/>
      <c r="K247" s="225"/>
      <c r="L247" s="236"/>
      <c r="M247" s="236"/>
      <c r="N247" s="236"/>
      <c r="O247" s="236"/>
      <c r="P247" s="124"/>
      <c r="Q247" s="235"/>
      <c r="R247" s="214"/>
      <c r="S247" s="214"/>
      <c r="T247" s="214"/>
      <c r="U247" s="214"/>
      <c r="V247" s="199"/>
    </row>
    <row r="248" spans="1:22" s="109" customFormat="1" ht="57" customHeight="1" x14ac:dyDescent="0.25">
      <c r="A248" s="195"/>
      <c r="B248" s="176" t="s">
        <v>1583</v>
      </c>
      <c r="C248" s="269" t="s">
        <v>1549</v>
      </c>
      <c r="D248" s="242" t="s">
        <v>1558</v>
      </c>
      <c r="E248" s="153"/>
      <c r="F248" s="153"/>
      <c r="G248" s="156"/>
      <c r="H248" s="157"/>
      <c r="I248" s="254">
        <f>+G248*H248</f>
        <v>0</v>
      </c>
      <c r="J248" s="235"/>
      <c r="K248" s="225"/>
      <c r="L248" s="236"/>
      <c r="M248" s="236"/>
      <c r="N248" s="236"/>
      <c r="O248" s="236"/>
      <c r="P248" s="124"/>
      <c r="Q248" s="235"/>
      <c r="R248" s="214"/>
      <c r="S248" s="214"/>
      <c r="T248" s="214"/>
      <c r="U248" s="214"/>
      <c r="V248" s="199"/>
    </row>
    <row r="249" spans="1:22" s="109" customFormat="1" ht="57" customHeight="1" x14ac:dyDescent="0.25">
      <c r="A249" s="195"/>
      <c r="B249" s="255" t="s">
        <v>5</v>
      </c>
      <c r="C249" s="255"/>
      <c r="D249" s="255"/>
      <c r="E249" s="255"/>
      <c r="F249" s="256"/>
      <c r="G249" s="257">
        <f>SUM(G247:G248)</f>
        <v>0</v>
      </c>
      <c r="H249" s="258">
        <f>SUM(H247:H248)</f>
        <v>0</v>
      </c>
      <c r="I249" s="242">
        <f>SUM(I247:I248)</f>
        <v>0</v>
      </c>
      <c r="J249" s="235"/>
      <c r="K249" s="225"/>
      <c r="L249" s="236"/>
      <c r="M249" s="236"/>
      <c r="N249" s="236"/>
      <c r="O249" s="236"/>
      <c r="P249" s="124"/>
      <c r="Q249" s="235"/>
      <c r="R249" s="214"/>
      <c r="S249" s="214"/>
      <c r="T249" s="214"/>
      <c r="U249" s="214"/>
      <c r="V249" s="199"/>
    </row>
    <row r="250" spans="1:22" s="109" customFormat="1" ht="57" customHeight="1" x14ac:dyDescent="0.25">
      <c r="A250" s="195"/>
      <c r="B250" s="203"/>
      <c r="C250" s="203"/>
      <c r="D250" s="203"/>
      <c r="E250" s="203"/>
      <c r="F250" s="203"/>
      <c r="G250" s="203"/>
      <c r="H250" s="203"/>
      <c r="I250" s="235"/>
      <c r="J250" s="235"/>
      <c r="K250" s="235"/>
      <c r="L250" s="122"/>
      <c r="M250" s="123"/>
      <c r="N250" s="123"/>
      <c r="O250" s="123"/>
      <c r="P250" s="124"/>
      <c r="Q250" s="235"/>
      <c r="R250" s="214"/>
      <c r="S250" s="214"/>
      <c r="T250" s="214"/>
      <c r="U250" s="214"/>
      <c r="V250" s="199"/>
    </row>
    <row r="251" spans="1:22" s="148" customFormat="1" ht="57" customHeight="1" x14ac:dyDescent="0.25">
      <c r="A251" s="301">
        <v>8</v>
      </c>
      <c r="B251" s="302" t="s">
        <v>1420</v>
      </c>
      <c r="C251" s="231"/>
      <c r="D251" s="231"/>
      <c r="E251" s="231"/>
      <c r="F251" s="231"/>
      <c r="G251" s="231"/>
      <c r="H251" s="235"/>
      <c r="I251" s="235"/>
      <c r="J251" s="235"/>
      <c r="K251" s="206"/>
      <c r="L251" s="143"/>
      <c r="M251" s="111"/>
      <c r="N251" s="111"/>
      <c r="O251" s="111"/>
      <c r="P251" s="149"/>
      <c r="Q251" s="204"/>
      <c r="R251" s="215"/>
      <c r="S251" s="215"/>
      <c r="T251" s="215"/>
      <c r="U251" s="215"/>
      <c r="V251" s="216"/>
    </row>
    <row r="252" spans="1:22" s="109" customFormat="1" ht="11.25" customHeight="1" thickBot="1" x14ac:dyDescent="0.3">
      <c r="A252" s="195"/>
      <c r="B252" s="206"/>
      <c r="C252" s="232"/>
      <c r="D252" s="232"/>
      <c r="E252" s="206"/>
      <c r="F252" s="206"/>
      <c r="G252" s="206"/>
      <c r="H252" s="202"/>
      <c r="I252" s="235"/>
      <c r="J252" s="235"/>
      <c r="K252" s="203"/>
      <c r="L252" s="134"/>
      <c r="M252" s="118"/>
      <c r="N252" s="118"/>
      <c r="O252" s="118"/>
      <c r="P252" s="125"/>
      <c r="Q252" s="203"/>
      <c r="R252" s="214"/>
      <c r="S252" s="214"/>
      <c r="T252" s="214"/>
      <c r="U252" s="214"/>
      <c r="V252" s="199"/>
    </row>
    <row r="253" spans="1:22" s="109" customFormat="1" ht="67.5" customHeight="1" x14ac:dyDescent="0.25">
      <c r="A253" s="195" t="s">
        <v>1588</v>
      </c>
      <c r="B253" s="447" t="s">
        <v>1420</v>
      </c>
      <c r="C253" s="291" t="s">
        <v>1393</v>
      </c>
      <c r="D253" s="291" t="s">
        <v>1394</v>
      </c>
      <c r="E253" s="416" t="s">
        <v>1395</v>
      </c>
      <c r="F253" s="118"/>
      <c r="G253" s="203"/>
      <c r="H253" s="214"/>
      <c r="I253" s="235"/>
      <c r="J253" s="235"/>
      <c r="K253" s="235"/>
      <c r="L253" s="110" t="s">
        <v>1562</v>
      </c>
      <c r="M253" s="115"/>
      <c r="N253" s="115"/>
      <c r="O253" s="115"/>
      <c r="P253" s="124"/>
      <c r="Q253" s="235"/>
      <c r="R253" s="214"/>
      <c r="S253" s="214"/>
      <c r="T253" s="214"/>
      <c r="U253" s="214"/>
      <c r="V253" s="199"/>
    </row>
    <row r="254" spans="1:22" s="109" customFormat="1" ht="44.25" customHeight="1" thickBot="1" x14ac:dyDescent="0.3">
      <c r="A254" s="195"/>
      <c r="B254" s="448"/>
      <c r="C254" s="414">
        <f>+I227+E182+H21+I249</f>
        <v>378.69822485207101</v>
      </c>
      <c r="D254" s="415">
        <f>IF(L254&gt;50000,0.13,IF(L254&lt;50000,0.17))</f>
        <v>0.17</v>
      </c>
      <c r="E254" s="413">
        <f>+(D254*C254)+('GASTO AUX '!G199)</f>
        <v>112.84023668639054</v>
      </c>
      <c r="F254" s="118"/>
      <c r="G254" s="203"/>
      <c r="H254" s="206"/>
      <c r="I254" s="199"/>
      <c r="J254" s="235"/>
      <c r="K254" s="235"/>
      <c r="L254" s="132">
        <f>+'GASTO AUX '!G195+'HOJA D TRABAJO'!I249+'HOJA D TRABAJO'!I242+'HOJA D TRABAJO'!I235+'HOJA D TRABAJO'!I227+'HOJA D TRABAJO'!H21+'HOJA D TRABAJO'!E182</f>
        <v>420.11834319526628</v>
      </c>
      <c r="M254" s="115"/>
      <c r="N254" s="115"/>
      <c r="O254" s="115"/>
      <c r="P254" s="124"/>
      <c r="Q254" s="235"/>
      <c r="R254" s="214"/>
      <c r="S254" s="214"/>
      <c r="T254" s="214"/>
      <c r="U254" s="214"/>
      <c r="V254" s="199"/>
    </row>
    <row r="255" spans="1:22" s="109" customFormat="1" ht="16.5" thickBot="1" x14ac:dyDescent="0.3">
      <c r="A255" s="195"/>
      <c r="B255" s="203"/>
      <c r="C255" s="203"/>
      <c r="D255" s="203"/>
      <c r="E255" s="203"/>
      <c r="F255" s="125"/>
      <c r="G255" s="203"/>
      <c r="H255" s="203"/>
      <c r="I255" s="202"/>
      <c r="J255" s="202"/>
      <c r="K255" s="202"/>
      <c r="L255" s="117"/>
      <c r="M255" s="112"/>
      <c r="N255" s="112"/>
      <c r="O255" s="136"/>
      <c r="P255" s="150"/>
      <c r="Q255" s="205"/>
      <c r="R255" s="199"/>
      <c r="S255" s="199"/>
      <c r="T255" s="199"/>
      <c r="U255" s="199"/>
      <c r="V255" s="199"/>
    </row>
    <row r="256" spans="1:22" s="109" customFormat="1" ht="77.25" customHeight="1" x14ac:dyDescent="0.25">
      <c r="A256" s="195" t="s">
        <v>1589</v>
      </c>
      <c r="B256" s="449" t="s">
        <v>19</v>
      </c>
      <c r="C256" s="291" t="s">
        <v>11</v>
      </c>
      <c r="D256" s="291" t="s">
        <v>31</v>
      </c>
      <c r="E256" s="292" t="s">
        <v>25</v>
      </c>
      <c r="F256" s="138"/>
      <c r="G256" s="203"/>
      <c r="H256" s="211"/>
      <c r="I256" s="211"/>
      <c r="J256" s="211"/>
      <c r="K256" s="211"/>
      <c r="L256" s="128"/>
      <c r="M256" s="114"/>
      <c r="N256" s="114"/>
      <c r="O256" s="111"/>
      <c r="P256" s="147"/>
      <c r="Q256" s="206"/>
      <c r="R256" s="199"/>
      <c r="S256" s="199"/>
      <c r="T256" s="199"/>
      <c r="U256" s="199"/>
      <c r="V256" s="199"/>
    </row>
    <row r="257" spans="1:22" s="109" customFormat="1" ht="42" customHeight="1" thickBot="1" x14ac:dyDescent="0.3">
      <c r="A257" s="195"/>
      <c r="B257" s="450"/>
      <c r="C257" s="411">
        <f>+C15</f>
        <v>30</v>
      </c>
      <c r="D257" s="412">
        <f>+Hoja2!F27</f>
        <v>5.4487179487179495E-4</v>
      </c>
      <c r="E257" s="413">
        <f>+D257*C257*(C254+'GASTO AUX '!$G$195+E254)</f>
        <v>8.7118229403732368</v>
      </c>
      <c r="F257" s="182"/>
      <c r="G257" s="203"/>
      <c r="H257" s="206"/>
      <c r="I257" s="229"/>
      <c r="J257" s="226"/>
      <c r="K257" s="237"/>
      <c r="L257" s="158"/>
      <c r="M257" s="155"/>
      <c r="N257" s="155"/>
      <c r="O257" s="133"/>
      <c r="P257" s="135"/>
      <c r="Q257" s="237"/>
      <c r="R257" s="199"/>
      <c r="S257" s="199"/>
      <c r="T257" s="199"/>
      <c r="U257" s="199"/>
      <c r="V257" s="199"/>
    </row>
    <row r="258" spans="1:22" s="109" customFormat="1" x14ac:dyDescent="0.25">
      <c r="A258" s="195"/>
      <c r="B258" s="199"/>
      <c r="C258" s="199"/>
      <c r="D258" s="199"/>
      <c r="E258" s="199"/>
      <c r="F258" s="121"/>
      <c r="G258" s="199"/>
      <c r="H258" s="199"/>
      <c r="I258" s="214"/>
      <c r="J258" s="214"/>
      <c r="K258" s="214"/>
      <c r="L258" s="120"/>
      <c r="M258" s="119"/>
      <c r="N258" s="119"/>
      <c r="O258" s="159"/>
      <c r="P258" s="160"/>
      <c r="Q258" s="207"/>
      <c r="R258" s="199"/>
      <c r="S258" s="199"/>
      <c r="T258" s="199"/>
      <c r="U258" s="199"/>
      <c r="V258" s="199"/>
    </row>
    <row r="259" spans="1:22" s="109" customFormat="1" x14ac:dyDescent="0.25">
      <c r="A259" s="195"/>
      <c r="B259" s="199"/>
      <c r="C259" s="199"/>
      <c r="D259" s="199"/>
      <c r="E259" s="199"/>
      <c r="F259" s="121"/>
      <c r="G259" s="199"/>
      <c r="H259" s="199"/>
      <c r="I259" s="214"/>
      <c r="J259" s="214"/>
      <c r="K259" s="214"/>
      <c r="L259" s="120"/>
      <c r="M259" s="119"/>
      <c r="N259" s="119"/>
      <c r="O259" s="159"/>
      <c r="P259" s="160"/>
      <c r="Q259" s="207"/>
      <c r="R259" s="199"/>
      <c r="S259" s="199"/>
      <c r="T259" s="199"/>
      <c r="U259" s="199"/>
      <c r="V259" s="199"/>
    </row>
    <row r="260" spans="1:22" s="109" customFormat="1" ht="30" customHeight="1" x14ac:dyDescent="0.25">
      <c r="A260" s="195"/>
      <c r="B260" s="282" t="s">
        <v>1578</v>
      </c>
      <c r="C260" s="283">
        <f>+IF(C267&lt;50000,0.16,IF(C267&gt;50000,0.15,))</f>
        <v>0.16</v>
      </c>
      <c r="D260" s="285"/>
      <c r="E260" s="441" t="s">
        <v>1579</v>
      </c>
      <c r="F260" s="441"/>
      <c r="G260" s="441"/>
      <c r="H260" s="284">
        <v>0.13</v>
      </c>
      <c r="I260" s="214"/>
      <c r="J260" s="214"/>
      <c r="K260" s="214"/>
      <c r="L260" s="120"/>
      <c r="M260" s="119"/>
      <c r="N260" s="119"/>
      <c r="O260" s="159"/>
      <c r="P260" s="160"/>
      <c r="Q260" s="207"/>
      <c r="R260" s="199"/>
      <c r="S260" s="199"/>
      <c r="T260" s="199"/>
      <c r="U260" s="199"/>
      <c r="V260" s="199"/>
    </row>
    <row r="261" spans="1:22" s="109" customFormat="1" x14ac:dyDescent="0.25">
      <c r="A261" s="195"/>
      <c r="B261" s="199"/>
      <c r="C261" s="199"/>
      <c r="D261" s="199"/>
      <c r="E261" s="199"/>
      <c r="F261" s="121"/>
      <c r="G261" s="199"/>
      <c r="H261" s="199"/>
      <c r="I261" s="214"/>
      <c r="J261" s="214"/>
      <c r="K261" s="214"/>
      <c r="L261" s="120"/>
      <c r="M261" s="119"/>
      <c r="N261" s="119"/>
      <c r="O261" s="159"/>
      <c r="P261" s="160"/>
      <c r="Q261" s="207"/>
      <c r="R261" s="199"/>
      <c r="S261" s="199"/>
      <c r="T261" s="199"/>
      <c r="U261" s="199"/>
      <c r="V261" s="199"/>
    </row>
    <row r="262" spans="1:22" s="109" customFormat="1" x14ac:dyDescent="0.25">
      <c r="A262" s="195"/>
      <c r="B262" s="199"/>
      <c r="C262" s="199"/>
      <c r="D262" s="199"/>
      <c r="E262" s="199"/>
      <c r="F262" s="121"/>
      <c r="G262" s="199"/>
      <c r="H262" s="199"/>
      <c r="I262" s="214"/>
      <c r="J262" s="214"/>
      <c r="K262" s="214"/>
      <c r="L262" s="120"/>
      <c r="M262" s="119"/>
      <c r="N262" s="119"/>
      <c r="O262" s="159"/>
      <c r="P262" s="160"/>
      <c r="Q262" s="207"/>
      <c r="R262" s="199"/>
      <c r="S262" s="199"/>
      <c r="T262" s="199"/>
      <c r="U262" s="199"/>
      <c r="V262" s="199"/>
    </row>
    <row r="263" spans="1:22" s="109" customFormat="1" x14ac:dyDescent="0.25">
      <c r="A263" s="195"/>
      <c r="B263" s="199"/>
      <c r="C263" s="199"/>
      <c r="D263" s="199"/>
      <c r="E263" s="199"/>
      <c r="F263" s="121"/>
      <c r="G263" s="199"/>
      <c r="H263" s="199"/>
      <c r="I263" s="214"/>
      <c r="J263" s="214"/>
      <c r="K263" s="214"/>
      <c r="L263" s="120"/>
      <c r="M263" s="119"/>
      <c r="N263" s="119"/>
      <c r="O263" s="159"/>
      <c r="P263" s="160"/>
      <c r="Q263" s="207"/>
      <c r="R263" s="199"/>
      <c r="S263" s="199"/>
      <c r="T263" s="199"/>
      <c r="U263" s="199"/>
      <c r="V263" s="199"/>
    </row>
    <row r="264" spans="1:22" s="109" customFormat="1" x14ac:dyDescent="0.25">
      <c r="A264" s="195"/>
      <c r="B264" s="199"/>
      <c r="C264" s="199"/>
      <c r="D264" s="199"/>
      <c r="E264" s="199"/>
      <c r="F264" s="121"/>
      <c r="G264" s="199"/>
      <c r="H264" s="199"/>
      <c r="I264" s="214"/>
      <c r="J264" s="214"/>
      <c r="K264" s="214"/>
      <c r="L264" s="120"/>
      <c r="M264" s="119"/>
      <c r="N264" s="119"/>
      <c r="O264" s="159"/>
      <c r="P264" s="160"/>
      <c r="Q264" s="207"/>
      <c r="R264" s="199"/>
      <c r="S264" s="199"/>
      <c r="T264" s="199"/>
      <c r="U264" s="199"/>
      <c r="V264" s="199"/>
    </row>
    <row r="265" spans="1:22" s="109" customFormat="1" ht="16.5" thickBot="1" x14ac:dyDescent="0.3">
      <c r="A265" s="199"/>
      <c r="B265" s="199"/>
      <c r="C265" s="199"/>
      <c r="D265" s="199"/>
      <c r="E265" s="199"/>
      <c r="F265" s="121"/>
      <c r="G265" s="199"/>
      <c r="H265" s="199"/>
      <c r="I265" s="214"/>
      <c r="J265" s="214"/>
      <c r="K265" s="214"/>
      <c r="L265" s="120"/>
      <c r="M265" s="119"/>
      <c r="N265" s="119"/>
      <c r="O265" s="159"/>
      <c r="P265" s="160"/>
      <c r="Q265" s="207"/>
      <c r="R265" s="199"/>
      <c r="S265" s="199"/>
      <c r="T265" s="199"/>
      <c r="U265" s="199"/>
      <c r="V265" s="199"/>
    </row>
    <row r="266" spans="1:22" s="109" customFormat="1" ht="21" x14ac:dyDescent="0.35">
      <c r="A266" s="410">
        <v>9</v>
      </c>
      <c r="B266" s="287" t="s">
        <v>8</v>
      </c>
      <c r="C266" s="433" t="s">
        <v>8</v>
      </c>
      <c r="D266" s="434"/>
      <c r="E266" s="228"/>
      <c r="F266" s="228"/>
      <c r="G266" s="199"/>
      <c r="H266" s="442" t="s">
        <v>1521</v>
      </c>
      <c r="I266" s="443"/>
      <c r="J266" s="286"/>
      <c r="K266" s="214"/>
      <c r="L266" s="120"/>
      <c r="M266" s="119"/>
      <c r="N266" s="119"/>
      <c r="O266" s="159"/>
      <c r="P266" s="160"/>
      <c r="Q266" s="207"/>
      <c r="R266" s="199"/>
      <c r="S266" s="199"/>
      <c r="T266" s="199"/>
      <c r="U266" s="199"/>
      <c r="V266" s="199"/>
    </row>
    <row r="267" spans="1:22" s="109" customFormat="1" ht="27" customHeight="1" x14ac:dyDescent="0.25">
      <c r="A267" s="195"/>
      <c r="B267" s="288" t="s">
        <v>15</v>
      </c>
      <c r="C267" s="437">
        <f>+E257+E254+I249+I242+I235+I227+H21+E182</f>
        <v>500.25028447883477</v>
      </c>
      <c r="D267" s="438"/>
      <c r="E267" s="199"/>
      <c r="F267" s="199"/>
      <c r="G267" s="199"/>
      <c r="H267" s="290" t="s">
        <v>1522</v>
      </c>
      <c r="I267" s="290">
        <f>+'Carta PDF'!F128</f>
        <v>672.95573983462293</v>
      </c>
      <c r="J267" s="214"/>
      <c r="K267" s="199"/>
      <c r="L267" s="161"/>
      <c r="O267" s="159"/>
      <c r="P267" s="160"/>
      <c r="Q267" s="207"/>
      <c r="R267" s="199"/>
      <c r="S267" s="199"/>
      <c r="T267" s="199"/>
      <c r="U267" s="199"/>
      <c r="V267" s="199"/>
    </row>
    <row r="268" spans="1:22" s="109" customFormat="1" ht="27" customHeight="1" x14ac:dyDescent="0.25">
      <c r="A268" s="195"/>
      <c r="B268" s="289" t="s">
        <v>1391</v>
      </c>
      <c r="C268" s="439">
        <f>IF(I15="EXTERNO",IF(OR($H$260="",$H$260=0),$C$267*$C$260,$H$260*$C$267),IF(I15="INTERNO",C267,))</f>
        <v>65.032536982248516</v>
      </c>
      <c r="D268" s="440"/>
      <c r="E268" s="199"/>
      <c r="F268" s="199"/>
      <c r="G268" s="199"/>
      <c r="H268" s="290" t="s">
        <v>1523</v>
      </c>
      <c r="I268" s="290">
        <f>+'Carta PDF'!E172</f>
        <v>0</v>
      </c>
      <c r="J268" s="199"/>
      <c r="K268" s="199"/>
      <c r="L268" s="161"/>
      <c r="O268" s="159"/>
      <c r="P268" s="160"/>
      <c r="Q268" s="207"/>
      <c r="R268" s="199"/>
      <c r="S268" s="199"/>
      <c r="T268" s="199"/>
      <c r="U268" s="199"/>
      <c r="V268" s="199"/>
    </row>
    <row r="269" spans="1:22" s="109" customFormat="1" ht="27" customHeight="1" x14ac:dyDescent="0.25">
      <c r="A269" s="195"/>
      <c r="B269" s="289" t="s">
        <v>17</v>
      </c>
      <c r="C269" s="437">
        <f>IF(I15="EXTERNO",C268+C267,IF(I15="INTERNO",C267,))</f>
        <v>565.28282146108324</v>
      </c>
      <c r="D269" s="438"/>
      <c r="E269" s="199"/>
      <c r="F269" s="199"/>
      <c r="G269" s="214"/>
      <c r="H269" s="290"/>
      <c r="I269" s="290"/>
      <c r="J269" s="199"/>
      <c r="K269" s="199"/>
      <c r="L269" s="161"/>
      <c r="O269" s="159"/>
      <c r="P269" s="160"/>
      <c r="Q269" s="207"/>
      <c r="R269" s="199"/>
      <c r="S269" s="199"/>
      <c r="T269" s="199"/>
      <c r="U269" s="199"/>
      <c r="V269" s="199"/>
    </row>
    <row r="270" spans="1:22" s="109" customFormat="1" ht="27" customHeight="1" thickBot="1" x14ac:dyDescent="0.4">
      <c r="A270" s="195"/>
      <c r="B270" s="259" t="s">
        <v>16</v>
      </c>
      <c r="C270" s="431">
        <f>IF(I15="EXTERNO",C269/0.84,IF(I15="INTERNO",C267))</f>
        <v>672.95573983462293</v>
      </c>
      <c r="D270" s="432"/>
      <c r="E270" s="230"/>
      <c r="F270" s="230"/>
      <c r="G270" s="199"/>
      <c r="H270" s="290" t="s">
        <v>5</v>
      </c>
      <c r="I270" s="290">
        <f>+I267+I268</f>
        <v>672.95573983462293</v>
      </c>
      <c r="J270" s="214"/>
      <c r="K270" s="199"/>
      <c r="L270" s="161"/>
      <c r="Q270" s="199"/>
      <c r="R270" s="199"/>
      <c r="S270" s="199"/>
      <c r="T270" s="199"/>
      <c r="U270" s="199"/>
      <c r="V270" s="199"/>
    </row>
    <row r="271" spans="1:22" s="109" customFormat="1" ht="27.75" customHeight="1" x14ac:dyDescent="0.25">
      <c r="A271" s="195"/>
      <c r="B271" s="199"/>
      <c r="C271" s="471" t="str">
        <f>+IF(H260=0,"",IF(H260=0,"",IF(H260&gt;=0.15,"",IF(H260&lt;0.15,"PARA COBRAR ESTE  F.E.E. NESESITA AUTORIZACION "))))</f>
        <v xml:space="preserve">PARA COBRAR ESTE  F.E.E. NESESITA AUTORIZACION </v>
      </c>
      <c r="D271" s="471"/>
      <c r="E271" s="233"/>
      <c r="F271" s="221"/>
      <c r="G271" s="221"/>
      <c r="H271" s="221"/>
      <c r="I271" s="221"/>
      <c r="J271" s="221"/>
      <c r="K271" s="221"/>
      <c r="L271" s="162"/>
      <c r="M271" s="152"/>
      <c r="N271" s="152"/>
      <c r="Q271" s="199"/>
      <c r="R271" s="199"/>
      <c r="S271" s="199"/>
      <c r="T271" s="199"/>
      <c r="U271" s="199"/>
      <c r="V271" s="199"/>
    </row>
    <row r="272" spans="1:22" s="109" customFormat="1" ht="27.75" customHeight="1" x14ac:dyDescent="0.25">
      <c r="A272" s="199"/>
      <c r="B272" s="199"/>
      <c r="C272" s="472"/>
      <c r="D272" s="472"/>
      <c r="E272" s="233"/>
      <c r="F272" s="227"/>
      <c r="G272" s="227"/>
      <c r="H272" s="227"/>
      <c r="I272" s="227"/>
      <c r="J272" s="227"/>
      <c r="K272" s="227"/>
      <c r="L272" s="164"/>
      <c r="M272" s="163"/>
      <c r="N272" s="163"/>
      <c r="Q272" s="199"/>
      <c r="R272" s="199"/>
      <c r="S272" s="199"/>
      <c r="T272" s="199"/>
      <c r="U272" s="199"/>
      <c r="V272" s="199"/>
    </row>
    <row r="273" spans="1:22" s="109" customFormat="1" ht="27.75" customHeight="1" x14ac:dyDescent="0.25">
      <c r="A273" s="195"/>
      <c r="B273" s="199"/>
      <c r="C273" s="233"/>
      <c r="D273" s="233"/>
      <c r="E273" s="233"/>
      <c r="F273" s="221"/>
      <c r="G273" s="221"/>
      <c r="H273" s="230"/>
      <c r="I273" s="230"/>
      <c r="J273" s="221"/>
      <c r="K273" s="221"/>
      <c r="L273" s="162"/>
      <c r="M273" s="152"/>
      <c r="N273" s="152"/>
      <c r="Q273" s="199"/>
      <c r="R273" s="199"/>
      <c r="S273" s="199"/>
      <c r="T273" s="199"/>
      <c r="U273" s="199"/>
      <c r="V273" s="199"/>
    </row>
    <row r="274" spans="1:22" s="109" customFormat="1" ht="27.75" customHeight="1" x14ac:dyDescent="0.25">
      <c r="A274" s="195"/>
      <c r="B274" s="199"/>
      <c r="C274" s="199"/>
      <c r="D274" s="199"/>
      <c r="E274" s="199"/>
      <c r="F274" s="234"/>
      <c r="G274" s="228"/>
      <c r="H274" s="228"/>
      <c r="I274" s="228"/>
      <c r="J274" s="228"/>
      <c r="K274" s="221"/>
      <c r="L274" s="162"/>
      <c r="M274" s="152"/>
      <c r="N274" s="152"/>
      <c r="Q274" s="199"/>
      <c r="R274" s="199"/>
      <c r="S274" s="199"/>
      <c r="T274" s="199"/>
      <c r="U274" s="199"/>
      <c r="V274" s="199"/>
    </row>
    <row r="275" spans="1:22" x14ac:dyDescent="0.25">
      <c r="A275" s="194"/>
      <c r="B275" s="310"/>
      <c r="C275" s="310"/>
      <c r="D275" s="310"/>
      <c r="E275" s="310"/>
      <c r="F275" s="310"/>
      <c r="G275" s="310"/>
      <c r="H275" s="310"/>
      <c r="I275" s="310"/>
      <c r="J275" s="310"/>
      <c r="K275" s="310"/>
      <c r="Q275" s="309"/>
      <c r="R275" s="310"/>
      <c r="S275" s="310"/>
      <c r="T275" s="310"/>
      <c r="U275" s="310"/>
      <c r="V275" s="310"/>
    </row>
    <row r="276" spans="1:22" x14ac:dyDescent="0.25">
      <c r="A276" s="194"/>
      <c r="B276" s="310"/>
      <c r="C276" s="310"/>
      <c r="D276" s="310"/>
      <c r="E276" s="310"/>
      <c r="F276" s="310"/>
      <c r="G276" s="310"/>
      <c r="H276" s="310"/>
      <c r="I276" s="310"/>
      <c r="J276" s="310"/>
      <c r="K276" s="310"/>
      <c r="Q276" s="309"/>
      <c r="R276" s="310"/>
      <c r="S276" s="310"/>
      <c r="T276" s="310"/>
      <c r="U276" s="310"/>
      <c r="V276" s="310"/>
    </row>
    <row r="277" spans="1:22" hidden="1" x14ac:dyDescent="0.25">
      <c r="A277" s="194"/>
      <c r="B277" s="310"/>
      <c r="C277" s="310"/>
      <c r="D277" s="310"/>
      <c r="E277" s="310"/>
      <c r="F277" s="310"/>
      <c r="G277" s="310"/>
      <c r="H277" s="310"/>
      <c r="I277" s="310"/>
      <c r="J277" s="310"/>
      <c r="K277" s="310"/>
      <c r="Q277" s="309"/>
      <c r="R277" s="310"/>
      <c r="S277" s="310"/>
      <c r="T277" s="310"/>
      <c r="U277" s="310"/>
      <c r="V277" s="310"/>
    </row>
    <row r="278" spans="1:22" x14ac:dyDescent="0.25">
      <c r="A278" s="194"/>
      <c r="B278" s="310"/>
      <c r="C278" s="310"/>
      <c r="D278" s="310"/>
      <c r="E278" s="310"/>
      <c r="F278" s="310"/>
      <c r="G278" s="310"/>
      <c r="H278" s="310"/>
      <c r="I278" s="310"/>
      <c r="J278" s="310"/>
      <c r="K278" s="310"/>
      <c r="P278" s="308" t="e">
        <f>+C270-#REF!</f>
        <v>#REF!</v>
      </c>
      <c r="Q278" s="309"/>
      <c r="R278" s="310"/>
      <c r="S278" s="310"/>
      <c r="T278" s="310"/>
      <c r="U278" s="310"/>
      <c r="V278" s="310"/>
    </row>
    <row r="279" spans="1:22" x14ac:dyDescent="0.25">
      <c r="A279" s="194"/>
      <c r="B279" s="310"/>
      <c r="C279" s="310"/>
      <c r="D279" s="310"/>
      <c r="E279" s="310"/>
      <c r="F279" s="310"/>
      <c r="G279" s="310"/>
      <c r="H279" s="310"/>
      <c r="I279" s="310"/>
      <c r="J279" s="310"/>
      <c r="K279" s="310"/>
      <c r="Q279" s="309"/>
      <c r="R279" s="310"/>
      <c r="S279" s="310"/>
      <c r="T279" s="310"/>
      <c r="U279" s="310"/>
      <c r="V279" s="310"/>
    </row>
    <row r="280" spans="1:22" x14ac:dyDescent="0.25">
      <c r="A280" s="65"/>
    </row>
    <row r="281" spans="1:22" x14ac:dyDescent="0.25">
      <c r="A281" s="65"/>
    </row>
    <row r="282" spans="1:22" x14ac:dyDescent="0.25">
      <c r="A282" s="65"/>
    </row>
  </sheetData>
  <protectedRanges>
    <protectedRange sqref="N188:N201" name="Rango5"/>
    <protectedRange sqref="C251:G251" name="Rango3_1"/>
    <protectedRange sqref="C9 I11 C13 C15 I9 I13 O188:O201 N210:N224 C260 J188:K201 J210:K224 I15 D41 D153:G153 C188:C202 D188:H201 D210:H224 B27:B37 L25 B188:B201 B210:C225 B143:B149 B139:B141 B43:B54 B59:B70 B75:B86 B91:B102 B107:B118 B123:B134 B155:B166 D25:H25 D121:H121 D105:H105 D89:H89 D73:H73 D57:H57 D137:H137 D27:E38 D43:E54 D59:E70 D75:E86 D91:E102 D107:E118 D123:E134 D139:E150 D155:E166" name="Rango3"/>
    <protectedRange sqref="C27:C38 C43:C54 C59:C70 C75:C86 C91:C102 C107:C118 C123:C134 C139:C150 C155:C166" name="Rango4"/>
    <protectedRange sqref="D19:D20" name="Rango4_1"/>
    <protectedRange sqref="D19:D20" name="Rango3_1_1"/>
    <protectedRange sqref="G233:G234 H247:H248 C233:D235 G240:G241 C240:D242 B247:D249 B233:B236 B240:B243" name="Rango3_2"/>
  </protectedRanges>
  <mergeCells count="95">
    <mergeCell ref="B2:B3"/>
    <mergeCell ref="C2:D2"/>
    <mergeCell ref="C3:D3"/>
    <mergeCell ref="B229:I229"/>
    <mergeCell ref="E169:G169"/>
    <mergeCell ref="E170:G170"/>
    <mergeCell ref="E171:G171"/>
    <mergeCell ref="E172:G172"/>
    <mergeCell ref="E173:G173"/>
    <mergeCell ref="E174:G174"/>
    <mergeCell ref="E175:G175"/>
    <mergeCell ref="E176:G176"/>
    <mergeCell ref="E181:G181"/>
    <mergeCell ref="D41:E41"/>
    <mergeCell ref="E182:G182"/>
    <mergeCell ref="E3:G3"/>
    <mergeCell ref="E2:G2"/>
    <mergeCell ref="C271:D272"/>
    <mergeCell ref="B23:G23"/>
    <mergeCell ref="B184:I184"/>
    <mergeCell ref="C236:G236"/>
    <mergeCell ref="B25:B26"/>
    <mergeCell ref="B41:B42"/>
    <mergeCell ref="B57:B58"/>
    <mergeCell ref="B73:B74"/>
    <mergeCell ref="B89:B90"/>
    <mergeCell ref="B105:B106"/>
    <mergeCell ref="B121:B122"/>
    <mergeCell ref="B137:B138"/>
    <mergeCell ref="B153:B154"/>
    <mergeCell ref="B6:N6"/>
    <mergeCell ref="B7:N7"/>
    <mergeCell ref="B24:G24"/>
    <mergeCell ref="I9:J9"/>
    <mergeCell ref="I11:J11"/>
    <mergeCell ref="I13:J13"/>
    <mergeCell ref="I15:J15"/>
    <mergeCell ref="C9:D9"/>
    <mergeCell ref="C11:D11"/>
    <mergeCell ref="C13:D13"/>
    <mergeCell ref="G9:H9"/>
    <mergeCell ref="G11:H11"/>
    <mergeCell ref="G13:H13"/>
    <mergeCell ref="G15:H15"/>
    <mergeCell ref="C270:D270"/>
    <mergeCell ref="C266:D266"/>
    <mergeCell ref="J186:O186"/>
    <mergeCell ref="D228:J228"/>
    <mergeCell ref="K228:O228"/>
    <mergeCell ref="C267:D267"/>
    <mergeCell ref="C268:D268"/>
    <mergeCell ref="E260:G260"/>
    <mergeCell ref="H266:I266"/>
    <mergeCell ref="B208:C208"/>
    <mergeCell ref="D208:I208"/>
    <mergeCell ref="B186:C186"/>
    <mergeCell ref="D186:I186"/>
    <mergeCell ref="C269:D269"/>
    <mergeCell ref="B253:B254"/>
    <mergeCell ref="B256:B257"/>
    <mergeCell ref="D25:E25"/>
    <mergeCell ref="D57:E57"/>
    <mergeCell ref="D73:E73"/>
    <mergeCell ref="D89:E89"/>
    <mergeCell ref="D105:E105"/>
    <mergeCell ref="E177:G177"/>
    <mergeCell ref="E178:G178"/>
    <mergeCell ref="E179:G179"/>
    <mergeCell ref="E180:G180"/>
    <mergeCell ref="D121:E121"/>
    <mergeCell ref="D137:E137"/>
    <mergeCell ref="D153:E153"/>
    <mergeCell ref="C169:D169"/>
    <mergeCell ref="C170:D170"/>
    <mergeCell ref="C171:D171"/>
    <mergeCell ref="C172:D172"/>
    <mergeCell ref="C173:D173"/>
    <mergeCell ref="C174:D174"/>
    <mergeCell ref="C175:D175"/>
    <mergeCell ref="C176:D176"/>
    <mergeCell ref="C177:D177"/>
    <mergeCell ref="C178:D178"/>
    <mergeCell ref="C179:D179"/>
    <mergeCell ref="C180:D180"/>
    <mergeCell ref="C181:D181"/>
    <mergeCell ref="C182:D182"/>
    <mergeCell ref="G137:H137"/>
    <mergeCell ref="G153:H153"/>
    <mergeCell ref="G41:H41"/>
    <mergeCell ref="G89:H89"/>
    <mergeCell ref="G25:H25"/>
    <mergeCell ref="G57:H57"/>
    <mergeCell ref="G73:H73"/>
    <mergeCell ref="G105:H105"/>
    <mergeCell ref="G121:H121"/>
  </mergeCells>
  <conditionalFormatting sqref="H236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3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9:D20">
      <formula1>"DIAS,HRS"</formula1>
    </dataValidation>
    <dataValidation type="list" allowBlank="1" showInputMessage="1" showErrorMessage="1" sqref="L15:N15 I15">
      <formula1>"INTERNO,EXTERNO"</formula1>
    </dataValidation>
  </dataValidations>
  <pageMargins left="0.70866141732283472" right="0.70866141732283472" top="0.74803149606299213" bottom="0.74803149606299213" header="0.31496062992125984" footer="0.31496062992125984"/>
  <pageSetup scale="2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autoPict="0" r:id="rId5">
            <anchor moveWithCells="1">
              <from>
                <xdr:col>8</xdr:col>
                <xdr:colOff>409575</xdr:colOff>
                <xdr:row>0</xdr:row>
                <xdr:rowOff>133350</xdr:rowOff>
              </from>
              <to>
                <xdr:col>8</xdr:col>
                <xdr:colOff>1114425</xdr:colOff>
                <xdr:row>3</xdr:row>
                <xdr:rowOff>66675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Hoja2!$H$2:$H$4</xm:f>
          </x14:formula1>
          <xm:sqref>N188:N201</xm:sqref>
        </x14:dataValidation>
        <x14:dataValidation type="list" allowBlank="1" showInputMessage="1" showErrorMessage="1">
          <x14:formula1>
            <xm:f>Hoja2!$H$7:$H$11</xm:f>
          </x14:formula1>
          <xm:sqref>N210:N224 H210:H224</xm:sqref>
        </x14:dataValidation>
        <x14:dataValidation type="list" allowBlank="1" showInputMessage="1" showErrorMessage="1">
          <x14:formula1>
            <xm:f>Hoja2!$H$2:$H$5</xm:f>
          </x14:formula1>
          <xm:sqref>H188:H201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3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7"/>
      <c r="D3">
        <v>120</v>
      </c>
      <c r="E3">
        <v>30</v>
      </c>
      <c r="H3" t="s">
        <v>28</v>
      </c>
      <c r="J3" t="s">
        <v>30</v>
      </c>
      <c r="L3" s="3">
        <v>0.05</v>
      </c>
      <c r="N3" t="s">
        <v>33</v>
      </c>
      <c r="O3">
        <v>1.5</v>
      </c>
    </row>
    <row r="4" spans="2:16" x14ac:dyDescent="0.25">
      <c r="C4" s="18"/>
      <c r="E4">
        <v>45</v>
      </c>
      <c r="H4" t="s">
        <v>18</v>
      </c>
      <c r="L4" s="3">
        <v>0.1</v>
      </c>
      <c r="O4">
        <v>2</v>
      </c>
    </row>
    <row r="5" spans="2:16" x14ac:dyDescent="0.25">
      <c r="E5">
        <v>60</v>
      </c>
      <c r="L5" s="3">
        <v>0.15</v>
      </c>
      <c r="O5">
        <v>2.5</v>
      </c>
    </row>
    <row r="6" spans="2:16" x14ac:dyDescent="0.25">
      <c r="E6">
        <v>75</v>
      </c>
      <c r="L6" s="3">
        <v>0.2</v>
      </c>
      <c r="O6">
        <v>3</v>
      </c>
    </row>
    <row r="7" spans="2:16" x14ac:dyDescent="0.25">
      <c r="E7">
        <v>90</v>
      </c>
      <c r="H7" t="s">
        <v>14</v>
      </c>
      <c r="L7" s="3">
        <v>0.25</v>
      </c>
      <c r="O7">
        <v>3.5</v>
      </c>
    </row>
    <row r="8" spans="2:16" x14ac:dyDescent="0.25">
      <c r="E8">
        <v>120</v>
      </c>
      <c r="H8" t="s">
        <v>1354</v>
      </c>
      <c r="L8" s="3">
        <v>0.3</v>
      </c>
      <c r="O8">
        <v>4</v>
      </c>
    </row>
    <row r="9" spans="2:16" x14ac:dyDescent="0.25">
      <c r="H9" t="s">
        <v>1355</v>
      </c>
      <c r="L9" s="3">
        <v>0.35</v>
      </c>
      <c r="O9">
        <v>4.5</v>
      </c>
    </row>
    <row r="10" spans="2:16" x14ac:dyDescent="0.25">
      <c r="H10" t="s">
        <v>1358</v>
      </c>
      <c r="L10" s="3">
        <v>0.4</v>
      </c>
      <c r="O10">
        <v>5</v>
      </c>
    </row>
    <row r="11" spans="2:16" x14ac:dyDescent="0.25">
      <c r="C11" t="s">
        <v>33</v>
      </c>
      <c r="H11" t="s">
        <v>1357</v>
      </c>
      <c r="L11" s="3">
        <v>0.5</v>
      </c>
      <c r="O11">
        <v>5.5</v>
      </c>
    </row>
    <row r="12" spans="2:16" s="97" customFormat="1" x14ac:dyDescent="0.25">
      <c r="B12" s="97" t="s">
        <v>1541</v>
      </c>
      <c r="C12" s="97">
        <v>26</v>
      </c>
      <c r="D12" s="97">
        <f>+C12*8</f>
        <v>208</v>
      </c>
      <c r="L12" s="3"/>
    </row>
    <row r="13" spans="2:16" s="97" customFormat="1" x14ac:dyDescent="0.25">
      <c r="L13" s="3"/>
    </row>
    <row r="14" spans="2:16" s="97" customFormat="1" x14ac:dyDescent="0.25">
      <c r="L14" s="3"/>
    </row>
    <row r="15" spans="2:16" s="97" customFormat="1" x14ac:dyDescent="0.25">
      <c r="L15" s="3"/>
    </row>
    <row r="16" spans="2:16" s="97" customFormat="1" x14ac:dyDescent="0.25">
      <c r="L16" s="3"/>
    </row>
    <row r="19" spans="2:13" ht="45" x14ac:dyDescent="0.25">
      <c r="B19" s="4" t="s">
        <v>1365</v>
      </c>
      <c r="C19" s="5"/>
      <c r="D19" s="5" t="s">
        <v>1366</v>
      </c>
      <c r="E19" s="5"/>
      <c r="F19" s="5" t="s">
        <v>1367</v>
      </c>
      <c r="G19" s="5" t="s">
        <v>1368</v>
      </c>
      <c r="H19" s="5"/>
      <c r="I19" s="5"/>
      <c r="J19" s="5"/>
      <c r="K19" s="5"/>
    </row>
    <row r="21" spans="2:13" ht="36.75" customHeight="1" x14ac:dyDescent="0.25">
      <c r="B21" s="20">
        <v>12810942.899442106</v>
      </c>
      <c r="C21" s="2"/>
      <c r="D21" s="2">
        <v>2179769.7994421064</v>
      </c>
      <c r="E21" s="20">
        <f>+D21+B21</f>
        <v>14990712.698884213</v>
      </c>
      <c r="F21" s="2">
        <f>+D21/B21</f>
        <v>0.17014905277089568</v>
      </c>
      <c r="G21" s="2">
        <v>0.2</v>
      </c>
      <c r="H21" s="2"/>
      <c r="I21" s="2"/>
      <c r="J21" s="2"/>
      <c r="K21" s="2"/>
    </row>
    <row r="26" spans="2:13" ht="42.75" customHeight="1" x14ac:dyDescent="0.25">
      <c r="B26" s="8" t="s">
        <v>20</v>
      </c>
      <c r="C26" s="8" t="s">
        <v>21</v>
      </c>
      <c r="D26" s="8" t="s">
        <v>22</v>
      </c>
      <c r="E26" s="8" t="s">
        <v>23</v>
      </c>
      <c r="F26" s="8" t="s">
        <v>24</v>
      </c>
    </row>
    <row r="27" spans="2:13" ht="24.75" customHeight="1" x14ac:dyDescent="0.25">
      <c r="B27" s="7">
        <v>0.17</v>
      </c>
      <c r="C27" s="6">
        <v>208</v>
      </c>
      <c r="D27" s="6">
        <f>+C27*12</f>
        <v>2496</v>
      </c>
      <c r="E27" s="10">
        <f>+B27/D27</f>
        <v>6.8108974358974369E-5</v>
      </c>
      <c r="F27" s="9">
        <f>+E27*8</f>
        <v>5.4487179487179495E-4</v>
      </c>
    </row>
    <row r="30" spans="2:13" x14ac:dyDescent="0.25">
      <c r="B30" s="11"/>
      <c r="F30" s="11"/>
    </row>
    <row r="32" spans="2:13" x14ac:dyDescent="0.25">
      <c r="B32" t="str">
        <f>CONCATENATE(C32,"*",D32)</f>
        <v>01*TIGO</v>
      </c>
      <c r="C32" s="12" t="s">
        <v>34</v>
      </c>
      <c r="D32" s="13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2" t="s">
        <v>36</v>
      </c>
      <c r="D33" s="13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2" t="s">
        <v>38</v>
      </c>
      <c r="D34" s="13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2" t="s">
        <v>40</v>
      </c>
      <c r="D35" s="13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2" t="s">
        <v>42</v>
      </c>
      <c r="D36" s="13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2" t="s">
        <v>44</v>
      </c>
      <c r="D37" s="13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2" t="s">
        <v>46</v>
      </c>
      <c r="D38" s="13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2" t="s">
        <v>48</v>
      </c>
      <c r="D39" s="13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2" t="s">
        <v>50</v>
      </c>
      <c r="D40" s="13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2" t="s">
        <v>52</v>
      </c>
      <c r="D41" s="13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2" t="s">
        <v>54</v>
      </c>
      <c r="D42" s="13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2" t="s">
        <v>56</v>
      </c>
      <c r="D43" s="13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2" t="s">
        <v>58</v>
      </c>
      <c r="D44" s="13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2" t="s">
        <v>60</v>
      </c>
      <c r="D45" s="13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2" t="s">
        <v>62</v>
      </c>
      <c r="D46" s="13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2" t="s">
        <v>64</v>
      </c>
      <c r="D47" s="13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2" t="s">
        <v>66</v>
      </c>
      <c r="D48" s="13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2" t="s">
        <v>68</v>
      </c>
      <c r="D49" s="13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2" t="s">
        <v>70</v>
      </c>
      <c r="D50" s="13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2" t="s">
        <v>72</v>
      </c>
      <c r="D51" s="13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2" t="s">
        <v>74</v>
      </c>
      <c r="D52" s="13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2" t="s">
        <v>76</v>
      </c>
      <c r="D53" s="13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2" t="s">
        <v>78</v>
      </c>
      <c r="D54" s="13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2" t="s">
        <v>80</v>
      </c>
      <c r="D55" s="13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2" t="s">
        <v>82</v>
      </c>
      <c r="D56" s="13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2" t="s">
        <v>84</v>
      </c>
      <c r="D57" s="13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2" t="s">
        <v>86</v>
      </c>
      <c r="D58" s="13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2" t="s">
        <v>88</v>
      </c>
      <c r="D59" s="13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2" t="s">
        <v>90</v>
      </c>
      <c r="D60" s="13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2" t="s">
        <v>92</v>
      </c>
      <c r="D61" s="13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2" t="s">
        <v>94</v>
      </c>
      <c r="D62" s="13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2" t="s">
        <v>96</v>
      </c>
      <c r="D63" s="13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2" t="s">
        <v>98</v>
      </c>
      <c r="D64" s="13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2" t="s">
        <v>100</v>
      </c>
      <c r="D65" s="13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2" t="s">
        <v>102</v>
      </c>
      <c r="D66" s="14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2" t="s">
        <v>104</v>
      </c>
      <c r="D67" s="14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2" t="s">
        <v>106</v>
      </c>
      <c r="D68" s="14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2" t="s">
        <v>108</v>
      </c>
      <c r="D69" s="14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2" t="s">
        <v>109</v>
      </c>
      <c r="D70" s="14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2" t="s">
        <v>111</v>
      </c>
      <c r="D71" s="14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2" t="s">
        <v>113</v>
      </c>
      <c r="D72" s="14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2" t="s">
        <v>115</v>
      </c>
      <c r="D73" s="14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2" t="s">
        <v>116</v>
      </c>
      <c r="D74" s="14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2" t="s">
        <v>118</v>
      </c>
      <c r="D75" s="14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2" t="s">
        <v>120</v>
      </c>
      <c r="D76" s="14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2" t="s">
        <v>122</v>
      </c>
      <c r="D77" s="14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2" t="s">
        <v>124</v>
      </c>
      <c r="D78" s="14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2" t="s">
        <v>126</v>
      </c>
      <c r="D79" s="14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2" t="s">
        <v>128</v>
      </c>
      <c r="D80" s="14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2" t="s">
        <v>130</v>
      </c>
      <c r="D81" s="14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2" t="s">
        <v>132</v>
      </c>
      <c r="D82" s="14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2" t="s">
        <v>134</v>
      </c>
      <c r="D83" s="14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2" t="s">
        <v>136</v>
      </c>
      <c r="D84" s="14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2" t="s">
        <v>138</v>
      </c>
      <c r="D85" s="14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2" t="s">
        <v>140</v>
      </c>
      <c r="D86" s="14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2" t="s">
        <v>142</v>
      </c>
      <c r="D87" s="15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2" t="s">
        <v>143</v>
      </c>
      <c r="D88" s="15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2" t="s">
        <v>144</v>
      </c>
      <c r="D89" s="15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2" t="s">
        <v>145</v>
      </c>
      <c r="D90" s="15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2" t="s">
        <v>146</v>
      </c>
      <c r="D91" s="15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2" t="s">
        <v>147</v>
      </c>
      <c r="D92" s="15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2" t="s">
        <v>148</v>
      </c>
      <c r="D93" s="15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2" t="s">
        <v>149</v>
      </c>
      <c r="D94" s="15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2" t="s">
        <v>150</v>
      </c>
      <c r="D95" s="15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2" t="s">
        <v>151</v>
      </c>
      <c r="D96" s="15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2" t="s">
        <v>152</v>
      </c>
      <c r="D97" s="15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2" t="s">
        <v>153</v>
      </c>
      <c r="D98" s="15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2" t="s">
        <v>154</v>
      </c>
      <c r="D99" s="15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2" t="s">
        <v>155</v>
      </c>
      <c r="D100" s="15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2" t="s">
        <v>156</v>
      </c>
      <c r="D101" s="15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2" t="s">
        <v>157</v>
      </c>
      <c r="D102" s="15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2" t="s">
        <v>158</v>
      </c>
      <c r="D103" s="15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2" t="s">
        <v>159</v>
      </c>
      <c r="D104" s="15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2" t="s">
        <v>160</v>
      </c>
      <c r="D105" s="15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2" t="s">
        <v>161</v>
      </c>
      <c r="D106" s="15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2" t="s">
        <v>162</v>
      </c>
      <c r="D107" s="15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2" t="s">
        <v>163</v>
      </c>
      <c r="D108" s="15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2" t="s">
        <v>164</v>
      </c>
      <c r="D109" s="15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2" t="s">
        <v>165</v>
      </c>
      <c r="D110" s="15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2" t="s">
        <v>166</v>
      </c>
      <c r="D111" s="15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2" t="s">
        <v>167</v>
      </c>
      <c r="D112" s="15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2" t="s">
        <v>168</v>
      </c>
      <c r="D113" s="15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2" t="s">
        <v>169</v>
      </c>
      <c r="D114" s="15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2" t="s">
        <v>170</v>
      </c>
      <c r="D115" s="15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2" t="s">
        <v>171</v>
      </c>
      <c r="D116" s="15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2" t="s">
        <v>172</v>
      </c>
      <c r="D117" s="15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2" t="s">
        <v>173</v>
      </c>
      <c r="D118" s="15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2" t="s">
        <v>174</v>
      </c>
      <c r="D119" s="15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2" t="s">
        <v>175</v>
      </c>
      <c r="D120" s="15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2" t="s">
        <v>176</v>
      </c>
      <c r="D121" s="15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2" t="s">
        <v>177</v>
      </c>
      <c r="D122" s="15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2" t="s">
        <v>178</v>
      </c>
      <c r="D123" s="15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2" t="s">
        <v>179</v>
      </c>
      <c r="D124" s="15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2" t="s">
        <v>180</v>
      </c>
      <c r="D125" s="15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2" t="s">
        <v>181</v>
      </c>
      <c r="D126" s="15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2" t="s">
        <v>182</v>
      </c>
      <c r="D127" s="15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2" t="s">
        <v>183</v>
      </c>
      <c r="D128" s="15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2" t="s">
        <v>184</v>
      </c>
      <c r="D129" s="15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2" t="s">
        <v>185</v>
      </c>
      <c r="D130" s="15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2" t="s">
        <v>186</v>
      </c>
      <c r="D131" s="15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6" t="s">
        <v>187</v>
      </c>
      <c r="D132" s="16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09"/>
  <sheetViews>
    <sheetView showGridLines="0" view="pageLayout" topLeftCell="A14" zoomScale="80" zoomScaleNormal="100" zoomScaleSheetLayoutView="106" zoomScalePageLayoutView="80" workbookViewId="0">
      <selection activeCell="A177" sqref="A177:G177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1" bestFit="1" customWidth="1"/>
    <col min="6" max="6" width="14.7109375" customWidth="1"/>
    <col min="7" max="7" width="15.85546875" customWidth="1"/>
  </cols>
  <sheetData>
    <row r="3" spans="1:7" ht="15.75" x14ac:dyDescent="0.25">
      <c r="A3" s="55"/>
      <c r="B3" s="55"/>
      <c r="C3" s="55"/>
      <c r="D3" s="55"/>
      <c r="E3" s="23"/>
      <c r="F3" s="55"/>
      <c r="G3" s="55"/>
    </row>
    <row r="4" spans="1:7" ht="15.75" x14ac:dyDescent="0.25">
      <c r="A4" s="55"/>
      <c r="B4" s="55"/>
      <c r="C4" s="55"/>
      <c r="D4" s="55"/>
      <c r="E4" s="23"/>
      <c r="F4" s="55"/>
      <c r="G4" s="55"/>
    </row>
    <row r="5" spans="1:7" ht="15.75" x14ac:dyDescent="0.25">
      <c r="A5" s="499">
        <f ca="1">TODAY()</f>
        <v>43482</v>
      </c>
      <c r="B5" s="499"/>
      <c r="C5" s="499"/>
      <c r="D5" s="499"/>
      <c r="E5" s="499"/>
      <c r="F5" s="499"/>
      <c r="G5" s="499"/>
    </row>
    <row r="6" spans="1:7" ht="15.75" x14ac:dyDescent="0.25">
      <c r="A6" s="55"/>
      <c r="B6" s="55"/>
      <c r="C6" s="55"/>
      <c r="D6" s="55"/>
      <c r="E6" s="23"/>
      <c r="F6" s="55"/>
      <c r="G6" s="55"/>
    </row>
    <row r="7" spans="1:7" ht="15.75" x14ac:dyDescent="0.25">
      <c r="A7" s="491" t="s">
        <v>1415</v>
      </c>
      <c r="B7" s="491"/>
      <c r="C7" s="491"/>
      <c r="D7" s="491"/>
      <c r="E7" s="491"/>
      <c r="F7" s="491"/>
      <c r="G7" s="491"/>
    </row>
    <row r="8" spans="1:7" ht="15.75" x14ac:dyDescent="0.25">
      <c r="A8" s="491" t="str">
        <f>IF('HOJA D TRABAJO'!I15="EXTERNO",'HOJA D TRABAJO'!C9,IF('HOJA D TRABAJO'!I15="INTERNO","GRUPO REGIONAL SRL "))</f>
        <v>Maira Crespo Aidisa</v>
      </c>
      <c r="B8" s="491"/>
      <c r="C8" s="491"/>
      <c r="D8" s="491"/>
      <c r="E8" s="491"/>
      <c r="F8" s="491"/>
      <c r="G8" s="491"/>
    </row>
    <row r="9" spans="1:7" ht="15.75" x14ac:dyDescent="0.25">
      <c r="A9" s="491" t="s">
        <v>1416</v>
      </c>
      <c r="B9" s="491"/>
      <c r="C9" s="491"/>
      <c r="D9" s="491"/>
      <c r="E9" s="491"/>
      <c r="F9" s="491"/>
      <c r="G9" s="491"/>
    </row>
    <row r="10" spans="1:7" ht="15.75" x14ac:dyDescent="0.25">
      <c r="A10" s="55"/>
      <c r="B10" s="55"/>
      <c r="C10" s="55"/>
      <c r="D10" s="55"/>
      <c r="E10" s="23"/>
      <c r="F10" s="55"/>
      <c r="G10" s="55"/>
    </row>
    <row r="11" spans="1:7" ht="15.75" x14ac:dyDescent="0.25">
      <c r="A11" s="55"/>
      <c r="B11" s="500" t="s">
        <v>1594</v>
      </c>
      <c r="C11" s="500"/>
      <c r="D11" s="500"/>
      <c r="E11" s="500"/>
      <c r="F11" s="500"/>
      <c r="G11" s="500"/>
    </row>
    <row r="12" spans="1:7" ht="15.75" x14ac:dyDescent="0.25">
      <c r="A12" s="55"/>
      <c r="B12" s="55"/>
      <c r="C12" s="55"/>
      <c r="D12" s="55"/>
      <c r="E12" s="23"/>
      <c r="F12" s="55"/>
      <c r="G12" s="55"/>
    </row>
    <row r="13" spans="1:7" ht="15.75" x14ac:dyDescent="0.25">
      <c r="A13" s="498" t="s">
        <v>1595</v>
      </c>
      <c r="B13" s="498"/>
      <c r="C13" s="498"/>
      <c r="D13" s="498"/>
      <c r="E13" s="498"/>
      <c r="F13" s="498"/>
      <c r="G13" s="498"/>
    </row>
    <row r="14" spans="1:7" ht="15.75" x14ac:dyDescent="0.25">
      <c r="A14" s="55"/>
      <c r="B14" s="55"/>
      <c r="C14" s="55"/>
      <c r="D14" s="55"/>
      <c r="E14" s="23"/>
      <c r="F14" s="55"/>
      <c r="G14" s="55"/>
    </row>
    <row r="15" spans="1:7" ht="48" customHeight="1" x14ac:dyDescent="0.25">
      <c r="A15" s="493" t="s">
        <v>1596</v>
      </c>
      <c r="B15" s="493"/>
      <c r="C15" s="493"/>
      <c r="D15" s="493"/>
      <c r="E15" s="493"/>
      <c r="F15" s="493"/>
      <c r="G15" s="493"/>
    </row>
    <row r="16" spans="1:7" ht="15.75" x14ac:dyDescent="0.25">
      <c r="A16" s="55"/>
      <c r="B16" s="55"/>
      <c r="C16" s="55"/>
      <c r="D16" s="55"/>
      <c r="E16" s="23"/>
      <c r="F16" s="55"/>
      <c r="G16" s="55"/>
    </row>
    <row r="17" spans="1:7" ht="15.75" x14ac:dyDescent="0.25">
      <c r="A17" s="494" t="s">
        <v>1427</v>
      </c>
      <c r="B17" s="495"/>
      <c r="C17" s="495"/>
      <c r="D17" s="495"/>
      <c r="E17" s="495"/>
      <c r="F17" s="495"/>
      <c r="G17" s="495"/>
    </row>
    <row r="18" spans="1:7" ht="15.75" x14ac:dyDescent="0.25">
      <c r="A18" s="55"/>
      <c r="B18" s="62"/>
      <c r="C18" s="62"/>
      <c r="D18" s="62"/>
      <c r="E18" s="104"/>
      <c r="F18" s="62"/>
      <c r="G18" s="55"/>
    </row>
    <row r="19" spans="1:7" ht="15.75" x14ac:dyDescent="0.25">
      <c r="A19" s="55"/>
      <c r="B19" s="260" t="s">
        <v>3</v>
      </c>
      <c r="C19" s="260" t="s">
        <v>2</v>
      </c>
      <c r="D19" s="260" t="s">
        <v>1428</v>
      </c>
      <c r="E19" s="261" t="s">
        <v>1425</v>
      </c>
      <c r="F19" s="260" t="s">
        <v>1405</v>
      </c>
      <c r="G19" s="55"/>
    </row>
    <row r="20" spans="1:7" s="57" customFormat="1" ht="44.25" customHeight="1" x14ac:dyDescent="0.25">
      <c r="A20" s="24"/>
      <c r="B20" s="183" t="str">
        <f>+'HOJA D TRABAJO'!B27&amp;" "&amp;'HOJA D TRABAJO'!$D$25</f>
        <v xml:space="preserve">IMPULSADORA SUPERMERCADO HIPERMAXI JUAN DE LA ROSA COCHABAMBA </v>
      </c>
      <c r="C20" s="184">
        <f>+'HOJA D TRABAJO'!C27</f>
        <v>1</v>
      </c>
      <c r="D20" s="184">
        <f>+'HOJA D TRABAJO'!D27</f>
        <v>4</v>
      </c>
      <c r="E20" s="185">
        <f>IF('HOJA D TRABAJO'!$I$15="EXTERNO",'HOJA 1 AUX'!$G$20,IF('HOJA D TRABAJO'!$I$15="INTERNO",SUM('HOJA 1 AUX'!$G$10:$G$14)))</f>
        <v>168.23893495865573</v>
      </c>
      <c r="F20" s="185">
        <f>+(C20*D20)*E20</f>
        <v>672.95573983462293</v>
      </c>
      <c r="G20" s="21"/>
    </row>
    <row r="21" spans="1:7" s="57" customFormat="1" ht="20.25" hidden="1" customHeight="1" x14ac:dyDescent="0.25">
      <c r="A21" s="24"/>
      <c r="B21" s="183" t="str">
        <f>+'HOJA D TRABAJO'!B28&amp;" "&amp;'HOJA D TRABAJO'!$D$25</f>
        <v xml:space="preserve"> COCHABAMBA </v>
      </c>
      <c r="C21" s="184">
        <f>+'HOJA D TRABAJO'!C28</f>
        <v>0</v>
      </c>
      <c r="D21" s="184">
        <f>+'HOJA D TRABAJO'!D28</f>
        <v>0</v>
      </c>
      <c r="E21" s="185">
        <f>IF('HOJA D TRABAJO'!$I$15="EXTERNO",'HOJA 1 AUX'!$O$20,IF('HOJA D TRABAJO'!$I$15="INTERNO",SUM('HOJA 1 AUX'!$O$10:$O$14)))</f>
        <v>0</v>
      </c>
      <c r="F21" s="185">
        <f t="shared" ref="F21:F84" si="0">+(C21*D21)*E21</f>
        <v>0</v>
      </c>
      <c r="G21" s="21"/>
    </row>
    <row r="22" spans="1:7" s="57" customFormat="1" ht="20.25" hidden="1" customHeight="1" x14ac:dyDescent="0.25">
      <c r="A22" s="24"/>
      <c r="B22" s="183" t="str">
        <f>+'HOJA D TRABAJO'!B29&amp;" "&amp;'HOJA D TRABAJO'!$D$25</f>
        <v xml:space="preserve"> COCHABAMBA </v>
      </c>
      <c r="C22" s="184">
        <f>+'HOJA D TRABAJO'!C29</f>
        <v>0</v>
      </c>
      <c r="D22" s="184">
        <f>+'HOJA D TRABAJO'!D29</f>
        <v>0</v>
      </c>
      <c r="E22" s="185">
        <f>IF('HOJA D TRABAJO'!$I$15="EXTERNO",'HOJA 1 AUX'!$G$38,IF('HOJA D TRABAJO'!$I$15="INTERNO",SUM('HOJA 1 AUX'!$G$28:$G$32)))</f>
        <v>0</v>
      </c>
      <c r="F22" s="185">
        <f t="shared" si="0"/>
        <v>0</v>
      </c>
      <c r="G22" s="21"/>
    </row>
    <row r="23" spans="1:7" s="57" customFormat="1" ht="20.25" hidden="1" customHeight="1" x14ac:dyDescent="0.25">
      <c r="A23" s="24"/>
      <c r="B23" s="183" t="str">
        <f>+'HOJA D TRABAJO'!B30&amp;" "&amp;'HOJA D TRABAJO'!$D$25</f>
        <v xml:space="preserve"> COCHABAMBA </v>
      </c>
      <c r="C23" s="184">
        <f>+'HOJA D TRABAJO'!C30</f>
        <v>0</v>
      </c>
      <c r="D23" s="184">
        <f>+'HOJA D TRABAJO'!D30</f>
        <v>0</v>
      </c>
      <c r="E23" s="185">
        <f>IF('HOJA D TRABAJO'!$I$15="EXTERNO",'HOJA 1 AUX'!$O$38,IF('HOJA D TRABAJO'!$I$15="INTERNO",SUM('HOJA 1 AUX'!$O$28:$O$32)))</f>
        <v>0</v>
      </c>
      <c r="F23" s="185">
        <f t="shared" si="0"/>
        <v>0</v>
      </c>
      <c r="G23" s="21"/>
    </row>
    <row r="24" spans="1:7" s="57" customFormat="1" ht="20.25" hidden="1" customHeight="1" x14ac:dyDescent="0.25">
      <c r="A24" s="24"/>
      <c r="B24" s="183" t="str">
        <f>+'HOJA D TRABAJO'!B31&amp;" "&amp;'HOJA D TRABAJO'!$D$25</f>
        <v xml:space="preserve"> COCHABAMBA </v>
      </c>
      <c r="C24" s="184">
        <f>+'HOJA D TRABAJO'!C31</f>
        <v>0</v>
      </c>
      <c r="D24" s="184">
        <f>+'HOJA D TRABAJO'!D31</f>
        <v>0</v>
      </c>
      <c r="E24" s="185">
        <f>IF('HOJA D TRABAJO'!$I$15="EXTERNO",'HOJA 1 AUX'!$G$58,IF('HOJA D TRABAJO'!$I$15="INTERNO",SUM('HOJA 1 AUX'!$G$48:$G$52)))</f>
        <v>0</v>
      </c>
      <c r="F24" s="185">
        <f t="shared" si="0"/>
        <v>0</v>
      </c>
      <c r="G24" s="21"/>
    </row>
    <row r="25" spans="1:7" s="57" customFormat="1" ht="20.25" hidden="1" customHeight="1" x14ac:dyDescent="0.25">
      <c r="A25" s="24"/>
      <c r="B25" s="183" t="str">
        <f>+'HOJA D TRABAJO'!B32&amp;" "&amp;'HOJA D TRABAJO'!$D$25</f>
        <v xml:space="preserve"> COCHABAMBA </v>
      </c>
      <c r="C25" s="184">
        <f>+'HOJA D TRABAJO'!C32</f>
        <v>0</v>
      </c>
      <c r="D25" s="184">
        <f>+'HOJA D TRABAJO'!D32</f>
        <v>0</v>
      </c>
      <c r="E25" s="185">
        <f>IF('HOJA D TRABAJO'!$I$15="EXTERNO",'HOJA 1 AUX'!$O$58,IF('HOJA D TRABAJO'!$I$15="INTERNO",SUM('HOJA 1 AUX'!$O$48:$O$52)))</f>
        <v>0</v>
      </c>
      <c r="F25" s="185">
        <f t="shared" si="0"/>
        <v>0</v>
      </c>
      <c r="G25" s="21"/>
    </row>
    <row r="26" spans="1:7" s="57" customFormat="1" ht="20.25" hidden="1" customHeight="1" x14ac:dyDescent="0.25">
      <c r="A26" s="24"/>
      <c r="B26" s="183" t="str">
        <f>+'HOJA D TRABAJO'!B33&amp;" "&amp;'HOJA D TRABAJO'!$D$25</f>
        <v xml:space="preserve"> COCHABAMBA </v>
      </c>
      <c r="C26" s="184">
        <f>+'HOJA D TRABAJO'!C33</f>
        <v>0</v>
      </c>
      <c r="D26" s="184">
        <f>+'HOJA D TRABAJO'!D33</f>
        <v>0</v>
      </c>
      <c r="E26" s="185">
        <f>IF('HOJA D TRABAJO'!$I$15="EXTERNO",'HOJA 1 AUX'!$G$77,IF('HOJA D TRABAJO'!$I$15="INTERNO",SUM('HOJA 1 AUX'!$G$67:$G$71)))</f>
        <v>0</v>
      </c>
      <c r="F26" s="185">
        <f t="shared" si="0"/>
        <v>0</v>
      </c>
      <c r="G26" s="21"/>
    </row>
    <row r="27" spans="1:7" s="57" customFormat="1" ht="20.25" hidden="1" customHeight="1" x14ac:dyDescent="0.25">
      <c r="A27" s="24"/>
      <c r="B27" s="183" t="str">
        <f>+'HOJA D TRABAJO'!B34&amp;" "&amp;'HOJA D TRABAJO'!$D$25</f>
        <v xml:space="preserve"> COCHABAMBA </v>
      </c>
      <c r="C27" s="184">
        <f>+'HOJA D TRABAJO'!C34</f>
        <v>0</v>
      </c>
      <c r="D27" s="184">
        <f>+'HOJA D TRABAJO'!D34</f>
        <v>0</v>
      </c>
      <c r="E27" s="185">
        <f>IF('HOJA D TRABAJO'!$I$15="EXTERNO",'HOJA 1 AUX'!$O$77,IF('HOJA D TRABAJO'!$I$15="INTERNO",SUM('HOJA 1 AUX'!$O$67:$O$71)))</f>
        <v>0</v>
      </c>
      <c r="F27" s="185">
        <f t="shared" si="0"/>
        <v>0</v>
      </c>
      <c r="G27" s="21"/>
    </row>
    <row r="28" spans="1:7" s="57" customFormat="1" ht="20.25" hidden="1" customHeight="1" x14ac:dyDescent="0.25">
      <c r="A28" s="24"/>
      <c r="B28" s="183" t="str">
        <f>+'HOJA D TRABAJO'!B35&amp;" "&amp;'HOJA D TRABAJO'!$D$25</f>
        <v xml:space="preserve"> COCHABAMBA </v>
      </c>
      <c r="C28" s="184">
        <f>+'HOJA D TRABAJO'!C35</f>
        <v>0</v>
      </c>
      <c r="D28" s="184">
        <f>+'HOJA D TRABAJO'!D35</f>
        <v>0</v>
      </c>
      <c r="E28" s="185">
        <f>IF('HOJA D TRABAJO'!$I$15="EXTERNO",'HOJA 1 AUX'!$G$97,IF('HOJA D TRABAJO'!$I$15="INTERNO",SUM('HOJA 1 AUX'!$G$87:$G$91)))</f>
        <v>0</v>
      </c>
      <c r="F28" s="185">
        <f t="shared" si="0"/>
        <v>0</v>
      </c>
      <c r="G28" s="21"/>
    </row>
    <row r="29" spans="1:7" s="57" customFormat="1" ht="20.25" hidden="1" customHeight="1" x14ac:dyDescent="0.25">
      <c r="A29" s="24"/>
      <c r="B29" s="183" t="str">
        <f>+'HOJA D TRABAJO'!B36&amp;" "&amp;'HOJA D TRABAJO'!$D$25</f>
        <v xml:space="preserve"> COCHABAMBA </v>
      </c>
      <c r="C29" s="184">
        <f>+'HOJA D TRABAJO'!C36</f>
        <v>0</v>
      </c>
      <c r="D29" s="184">
        <f>+'HOJA D TRABAJO'!D36</f>
        <v>0</v>
      </c>
      <c r="E29" s="185">
        <f>IF('HOJA D TRABAJO'!$I$15="EXTERNO",'HOJA 1 AUX'!$O$97,IF('HOJA D TRABAJO'!$I$15="INTERNO",SUM('HOJA 1 AUX'!$O$87:$O$91)))</f>
        <v>0</v>
      </c>
      <c r="F29" s="185">
        <f t="shared" si="0"/>
        <v>0</v>
      </c>
      <c r="G29" s="21"/>
    </row>
    <row r="30" spans="1:7" s="57" customFormat="1" ht="20.25" hidden="1" customHeight="1" x14ac:dyDescent="0.25">
      <c r="A30" s="24"/>
      <c r="B30" s="183" t="str">
        <f>+'HOJA D TRABAJO'!B37&amp;" "&amp;'HOJA D TRABAJO'!$D$25</f>
        <v xml:space="preserve"> COCHABAMBA </v>
      </c>
      <c r="C30" s="184">
        <f>+'HOJA D TRABAJO'!C37</f>
        <v>0</v>
      </c>
      <c r="D30" s="184">
        <f>+'HOJA D TRABAJO'!D37</f>
        <v>0</v>
      </c>
      <c r="E30" s="185">
        <f>IF('HOJA D TRABAJO'!$I$15="EXTERNO",'HOJA 1 AUX'!$G$116,IF('HOJA D TRABAJO'!$I$15="INTERNO",SUM('HOJA 1 AUX'!$G$106:$G$110)))</f>
        <v>0</v>
      </c>
      <c r="F30" s="185">
        <f t="shared" si="0"/>
        <v>0</v>
      </c>
      <c r="G30" s="21"/>
    </row>
    <row r="31" spans="1:7" s="57" customFormat="1" ht="20.25" hidden="1" customHeight="1" x14ac:dyDescent="0.25">
      <c r="A31" s="24"/>
      <c r="B31" s="183" t="str">
        <f>+'HOJA D TRABAJO'!B38&amp;" "&amp;'HOJA D TRABAJO'!$D$25</f>
        <v xml:space="preserve"> COCHABAMBA </v>
      </c>
      <c r="C31" s="184">
        <f>+'HOJA D TRABAJO'!C38</f>
        <v>0</v>
      </c>
      <c r="D31" s="184">
        <f>+'HOJA D TRABAJO'!D38</f>
        <v>0</v>
      </c>
      <c r="E31" s="185">
        <f>IF('HOJA D TRABAJO'!$I$15="EXTERNO",'HOJA 1 AUX'!$O$116,IF('HOJA D TRABAJO'!$I$15="INTERNO",SUM('HOJA 1 AUX'!$O$106:$O$110)))</f>
        <v>0</v>
      </c>
      <c r="F31" s="185">
        <f t="shared" si="0"/>
        <v>0</v>
      </c>
      <c r="G31" s="21"/>
    </row>
    <row r="32" spans="1:7" s="57" customFormat="1" ht="33.75" hidden="1" customHeight="1" x14ac:dyDescent="0.25">
      <c r="A32" s="24"/>
      <c r="B32" s="183" t="str">
        <f>+'HOJA D TRABAJO'!B27 &amp; " " &amp;'HOJA D TRABAJO'!$D$41</f>
        <v>IMPULSADORA SUPERMERCADO HIPERMAXI JUAN DE LA ROSA SANTA CRUZ</v>
      </c>
      <c r="C32" s="184">
        <f>+'HOJA D TRABAJO'!C43</f>
        <v>0</v>
      </c>
      <c r="D32" s="184">
        <f>+'HOJA D TRABAJO'!D43</f>
        <v>0</v>
      </c>
      <c r="E32" s="185">
        <f>IF('HOJA D TRABAJO'!$I$15="EXTERNO",'HOJA 2 AUX'!$G$20,IF('HOJA D TRABAJO'!$I$15="INTERNO",SUM('HOJA 2 AUX'!$G$10:$G$14)))</f>
        <v>0</v>
      </c>
      <c r="F32" s="185">
        <f t="shared" si="0"/>
        <v>0</v>
      </c>
      <c r="G32" s="21"/>
    </row>
    <row r="33" spans="1:7" s="57" customFormat="1" ht="20.25" hidden="1" customHeight="1" x14ac:dyDescent="0.25">
      <c r="A33" s="24"/>
      <c r="B33" s="183" t="str">
        <f>+'HOJA D TRABAJO'!B28 &amp; " " &amp;'HOJA D TRABAJO'!$D$41</f>
        <v xml:space="preserve"> SANTA CRUZ</v>
      </c>
      <c r="C33" s="184">
        <f>+'HOJA D TRABAJO'!C44</f>
        <v>0</v>
      </c>
      <c r="D33" s="184">
        <f>+'HOJA D TRABAJO'!D44</f>
        <v>0</v>
      </c>
      <c r="E33" s="185">
        <f>IF('HOJA D TRABAJO'!$I$15="EXTERNO",'HOJA 2 AUX'!$O$20,IF('HOJA D TRABAJO'!$I$15="INTERNO",SUM('HOJA 2 AUX'!$O$10:$O$14)))</f>
        <v>0</v>
      </c>
      <c r="F33" s="185">
        <f t="shared" si="0"/>
        <v>0</v>
      </c>
      <c r="G33" s="21"/>
    </row>
    <row r="34" spans="1:7" s="57" customFormat="1" ht="20.25" hidden="1" customHeight="1" x14ac:dyDescent="0.25">
      <c r="A34" s="24"/>
      <c r="B34" s="183" t="str">
        <f>+'HOJA D TRABAJO'!B29 &amp; " " &amp;'HOJA D TRABAJO'!$D$41</f>
        <v xml:space="preserve"> SANTA CRUZ</v>
      </c>
      <c r="C34" s="184">
        <f>+'HOJA D TRABAJO'!C45</f>
        <v>0</v>
      </c>
      <c r="D34" s="184">
        <f>+'HOJA D TRABAJO'!D45</f>
        <v>0</v>
      </c>
      <c r="E34" s="185">
        <f>IF('HOJA D TRABAJO'!$I$15="EXTERNO",'HOJA 2 AUX'!$G$38,IF('HOJA D TRABAJO'!$I$15="INTERNO",SUM('HOJA 2 AUX'!$G$28:$G$32)))</f>
        <v>0</v>
      </c>
      <c r="F34" s="185">
        <f t="shared" si="0"/>
        <v>0</v>
      </c>
      <c r="G34" s="21"/>
    </row>
    <row r="35" spans="1:7" s="57" customFormat="1" ht="20.25" hidden="1" customHeight="1" x14ac:dyDescent="0.25">
      <c r="A35" s="24"/>
      <c r="B35" s="183" t="str">
        <f>+'HOJA D TRABAJO'!B30 &amp; " " &amp;'HOJA D TRABAJO'!$D$41</f>
        <v xml:space="preserve"> SANTA CRUZ</v>
      </c>
      <c r="C35" s="184">
        <f>+'HOJA D TRABAJO'!C46</f>
        <v>0</v>
      </c>
      <c r="D35" s="184">
        <f>+'HOJA D TRABAJO'!D46</f>
        <v>0</v>
      </c>
      <c r="E35" s="185">
        <f>IF('HOJA D TRABAJO'!$I$15="EXTERNO",'HOJA 2 AUX'!$O$38,IF('HOJA D TRABAJO'!$I$15="INTERNO",SUM('HOJA 2 AUX'!$O$28:$O$32)))</f>
        <v>0</v>
      </c>
      <c r="F35" s="185">
        <f t="shared" si="0"/>
        <v>0</v>
      </c>
      <c r="G35" s="21"/>
    </row>
    <row r="36" spans="1:7" s="57" customFormat="1" ht="20.25" hidden="1" customHeight="1" x14ac:dyDescent="0.25">
      <c r="A36" s="24"/>
      <c r="B36" s="183" t="str">
        <f>+'HOJA D TRABAJO'!B31 &amp; " " &amp;'HOJA D TRABAJO'!$D$41</f>
        <v xml:space="preserve"> SANTA CRUZ</v>
      </c>
      <c r="C36" s="184">
        <f>+'HOJA D TRABAJO'!C47</f>
        <v>0</v>
      </c>
      <c r="D36" s="184">
        <f>+'HOJA D TRABAJO'!D47</f>
        <v>0</v>
      </c>
      <c r="E36" s="185">
        <f>IF('HOJA D TRABAJO'!$I$15="EXTERNO",'HOJA 2 AUX'!$G$58,IF('HOJA D TRABAJO'!$I$15="INTERNO",SUM('HOJA 2 AUX'!$G$48:$G$52)))</f>
        <v>0</v>
      </c>
      <c r="F36" s="185">
        <f t="shared" si="0"/>
        <v>0</v>
      </c>
      <c r="G36" s="21"/>
    </row>
    <row r="37" spans="1:7" s="57" customFormat="1" ht="20.25" hidden="1" customHeight="1" x14ac:dyDescent="0.25">
      <c r="A37" s="24"/>
      <c r="B37" s="183" t="str">
        <f>+'HOJA D TRABAJO'!B32 &amp; " " &amp;'HOJA D TRABAJO'!$D$41</f>
        <v xml:space="preserve"> SANTA CRUZ</v>
      </c>
      <c r="C37" s="184">
        <f>+'HOJA D TRABAJO'!C48</f>
        <v>0</v>
      </c>
      <c r="D37" s="184">
        <f>+'HOJA D TRABAJO'!D48</f>
        <v>0</v>
      </c>
      <c r="E37" s="185">
        <f>IF('HOJA D TRABAJO'!$I$15="EXTERNO",'HOJA 2 AUX'!$O$58,IF('HOJA D TRABAJO'!$I$15="INTERNO",SUM('HOJA 2 AUX'!$O$48:$O$52)))</f>
        <v>0</v>
      </c>
      <c r="F37" s="185">
        <f t="shared" si="0"/>
        <v>0</v>
      </c>
      <c r="G37" s="21"/>
    </row>
    <row r="38" spans="1:7" s="57" customFormat="1" ht="20.25" hidden="1" customHeight="1" x14ac:dyDescent="0.25">
      <c r="A38" s="24"/>
      <c r="B38" s="183" t="str">
        <f>+'HOJA D TRABAJO'!B33 &amp; " " &amp;'HOJA D TRABAJO'!$D$41</f>
        <v xml:space="preserve"> SANTA CRUZ</v>
      </c>
      <c r="C38" s="184">
        <f>+'HOJA D TRABAJO'!C49</f>
        <v>0</v>
      </c>
      <c r="D38" s="184">
        <f>+'HOJA D TRABAJO'!D49</f>
        <v>0</v>
      </c>
      <c r="E38" s="185">
        <f>IF('HOJA D TRABAJO'!$I$15="EXTERNO",'HOJA 2 AUX'!$G$77,IF('HOJA D TRABAJO'!$I$15="INTERNO",SUM('HOJA 2 AUX'!$G$67:$G$71)))</f>
        <v>0</v>
      </c>
      <c r="F38" s="185">
        <f t="shared" si="0"/>
        <v>0</v>
      </c>
      <c r="G38" s="21"/>
    </row>
    <row r="39" spans="1:7" s="57" customFormat="1" ht="20.25" hidden="1" customHeight="1" x14ac:dyDescent="0.25">
      <c r="A39" s="24"/>
      <c r="B39" s="183" t="str">
        <f>+'HOJA D TRABAJO'!B34 &amp; " " &amp;'HOJA D TRABAJO'!$D$41</f>
        <v xml:space="preserve"> SANTA CRUZ</v>
      </c>
      <c r="C39" s="184">
        <f>+'HOJA D TRABAJO'!C50</f>
        <v>0</v>
      </c>
      <c r="D39" s="184">
        <f>+'HOJA D TRABAJO'!D50</f>
        <v>0</v>
      </c>
      <c r="E39" s="185">
        <f>IF('HOJA D TRABAJO'!$I$15="EXTERNO",'HOJA 2 AUX'!$O$77,IF('HOJA D TRABAJO'!$I$15="INTERNO",SUM('HOJA 2 AUX'!$O$67:$O$71)))</f>
        <v>0</v>
      </c>
      <c r="F39" s="185">
        <f t="shared" si="0"/>
        <v>0</v>
      </c>
      <c r="G39" s="21"/>
    </row>
    <row r="40" spans="1:7" s="57" customFormat="1" ht="20.25" hidden="1" customHeight="1" x14ac:dyDescent="0.25">
      <c r="A40" s="24"/>
      <c r="B40" s="183" t="str">
        <f>+'HOJA D TRABAJO'!B35 &amp; " " &amp;'HOJA D TRABAJO'!$D$41</f>
        <v xml:space="preserve"> SANTA CRUZ</v>
      </c>
      <c r="C40" s="184">
        <f>+'HOJA D TRABAJO'!C51</f>
        <v>0</v>
      </c>
      <c r="D40" s="184">
        <f>+'HOJA D TRABAJO'!D51</f>
        <v>0</v>
      </c>
      <c r="E40" s="185">
        <f>IF('HOJA D TRABAJO'!$I$15="EXTERNO",'HOJA 2 AUX'!$G$95,IF('HOJA D TRABAJO'!$I$15="INTERNO",SUM('HOJA 2 AUX'!$G$85:$G$89)))</f>
        <v>0</v>
      </c>
      <c r="F40" s="185">
        <f t="shared" si="0"/>
        <v>0</v>
      </c>
      <c r="G40" s="21"/>
    </row>
    <row r="41" spans="1:7" s="57" customFormat="1" ht="20.25" hidden="1" customHeight="1" x14ac:dyDescent="0.25">
      <c r="A41" s="24"/>
      <c r="B41" s="183" t="str">
        <f>+'HOJA D TRABAJO'!B36 &amp; " " &amp;'HOJA D TRABAJO'!$D$41</f>
        <v xml:space="preserve"> SANTA CRUZ</v>
      </c>
      <c r="C41" s="184">
        <f>+'HOJA D TRABAJO'!C52</f>
        <v>0</v>
      </c>
      <c r="D41" s="184">
        <f>+'HOJA D TRABAJO'!D52</f>
        <v>0</v>
      </c>
      <c r="E41" s="185">
        <f>IF('HOJA D TRABAJO'!$I$15="EXTERNO",'HOJA 2 AUX'!$O$95,IF('HOJA D TRABAJO'!$I$15="INTERNO",SUM('HOJA 2 AUX'!$O$85:$O$89)))</f>
        <v>0</v>
      </c>
      <c r="F41" s="185">
        <f t="shared" si="0"/>
        <v>0</v>
      </c>
      <c r="G41" s="21"/>
    </row>
    <row r="42" spans="1:7" s="57" customFormat="1" ht="20.25" hidden="1" customHeight="1" x14ac:dyDescent="0.25">
      <c r="A42" s="24"/>
      <c r="B42" s="183" t="str">
        <f>+'HOJA D TRABAJO'!B37 &amp; " " &amp;'HOJA D TRABAJO'!$D$41</f>
        <v xml:space="preserve"> SANTA CRUZ</v>
      </c>
      <c r="C42" s="184">
        <f>+'HOJA D TRABAJO'!C53</f>
        <v>0</v>
      </c>
      <c r="D42" s="184">
        <f>+'HOJA D TRABAJO'!D53</f>
        <v>0</v>
      </c>
      <c r="E42" s="185">
        <f>IF('HOJA D TRABAJO'!$I$15="EXTERNO",'HOJA 2 AUX'!$G$115,IF('HOJA D TRABAJO'!$I$15="INTERNO",SUM('HOJA 2 AUX'!G105:G109)))</f>
        <v>0</v>
      </c>
      <c r="F42" s="185">
        <f t="shared" si="0"/>
        <v>0</v>
      </c>
      <c r="G42" s="21"/>
    </row>
    <row r="43" spans="1:7" s="57" customFormat="1" ht="20.25" hidden="1" customHeight="1" x14ac:dyDescent="0.25">
      <c r="A43" s="24"/>
      <c r="B43" s="183" t="str">
        <f>+'HOJA D TRABAJO'!B38 &amp; " " &amp;'HOJA D TRABAJO'!$D$41</f>
        <v xml:space="preserve"> SANTA CRUZ</v>
      </c>
      <c r="C43" s="184">
        <f>+'HOJA D TRABAJO'!C54</f>
        <v>0</v>
      </c>
      <c r="D43" s="184">
        <f>+'HOJA D TRABAJO'!D54</f>
        <v>0</v>
      </c>
      <c r="E43" s="185">
        <f>IF('HOJA D TRABAJO'!$I$15="EXTERNO",'HOJA 2 AUX'!$O$115,IF('HOJA D TRABAJO'!$I$15="INTERNO",SUM('HOJA 2 AUX'!O105:O109)))</f>
        <v>0</v>
      </c>
      <c r="F43" s="185">
        <f t="shared" si="0"/>
        <v>0</v>
      </c>
      <c r="G43" s="21"/>
    </row>
    <row r="44" spans="1:7" s="57" customFormat="1" ht="20.25" hidden="1" customHeight="1" x14ac:dyDescent="0.25">
      <c r="A44" s="24"/>
      <c r="B44" s="183" t="str">
        <f>+'HOJA D TRABAJO'!B27&amp;" "&amp;'HOJA D TRABAJO'!$D$57</f>
        <v>IMPULSADORA SUPERMERCADO HIPERMAXI JUAN DE LA ROSA LA PAZ</v>
      </c>
      <c r="C44" s="184">
        <f>+'HOJA D TRABAJO'!C59</f>
        <v>0</v>
      </c>
      <c r="D44" s="184">
        <f>+'HOJA D TRABAJO'!D59</f>
        <v>0</v>
      </c>
      <c r="E44" s="185">
        <f>IF('HOJA D TRABAJO'!$I$15="EXTERNO",'HOJA 3 AUX'!$G$20,IF('HOJA D TRABAJO'!$I$15="INTERNO",SUM('HOJA 3 AUX'!$G$10:$G$14)))</f>
        <v>0</v>
      </c>
      <c r="F44" s="185">
        <f t="shared" si="0"/>
        <v>0</v>
      </c>
      <c r="G44" s="21"/>
    </row>
    <row r="45" spans="1:7" s="57" customFormat="1" ht="20.25" hidden="1" customHeight="1" x14ac:dyDescent="0.25">
      <c r="A45" s="24"/>
      <c r="B45" s="183" t="str">
        <f>+'HOJA D TRABAJO'!B28&amp;" "&amp;'HOJA D TRABAJO'!$D$57</f>
        <v xml:space="preserve"> LA PAZ</v>
      </c>
      <c r="C45" s="184">
        <f>+'HOJA D TRABAJO'!C60</f>
        <v>0</v>
      </c>
      <c r="D45" s="184">
        <f>+'HOJA D TRABAJO'!D60</f>
        <v>0</v>
      </c>
      <c r="E45" s="185">
        <f>IF('HOJA D TRABAJO'!$I$15="EXTERNO",'HOJA 3 AUX'!$O$20,IF('HOJA D TRABAJO'!$I$15="INTERNO",SUM('HOJA 3 AUX'!$O$10:$O$14)))</f>
        <v>0</v>
      </c>
      <c r="F45" s="185">
        <f t="shared" si="0"/>
        <v>0</v>
      </c>
      <c r="G45" s="21"/>
    </row>
    <row r="46" spans="1:7" s="57" customFormat="1" ht="20.25" hidden="1" customHeight="1" x14ac:dyDescent="0.25">
      <c r="A46" s="24"/>
      <c r="B46" s="183" t="str">
        <f>+'HOJA D TRABAJO'!B29&amp;" "&amp;'HOJA D TRABAJO'!$D$57</f>
        <v xml:space="preserve"> LA PAZ</v>
      </c>
      <c r="C46" s="184">
        <f>+'HOJA D TRABAJO'!C61</f>
        <v>0</v>
      </c>
      <c r="D46" s="184">
        <f>+'HOJA D TRABAJO'!D61</f>
        <v>0</v>
      </c>
      <c r="E46" s="185">
        <f>IF('HOJA D TRABAJO'!$I$15="EXTERNO",'HOJA 3 AUX'!$G$38,IF('HOJA D TRABAJO'!$I$15="INTERNO",SUM('HOJA 3 AUX'!$G$28:$G$32)))</f>
        <v>0</v>
      </c>
      <c r="F46" s="185">
        <f t="shared" si="0"/>
        <v>0</v>
      </c>
      <c r="G46" s="21"/>
    </row>
    <row r="47" spans="1:7" s="57" customFormat="1" ht="20.25" hidden="1" customHeight="1" x14ac:dyDescent="0.25">
      <c r="A47" s="24"/>
      <c r="B47" s="183" t="str">
        <f>+'HOJA D TRABAJO'!B30&amp;" "&amp;'HOJA D TRABAJO'!$D$57</f>
        <v xml:space="preserve"> LA PAZ</v>
      </c>
      <c r="C47" s="184">
        <f>+'HOJA D TRABAJO'!C62</f>
        <v>0</v>
      </c>
      <c r="D47" s="184">
        <f>+'HOJA D TRABAJO'!D62</f>
        <v>0</v>
      </c>
      <c r="E47" s="185">
        <f>IF('HOJA D TRABAJO'!$I$15="EXTERNO",'HOJA 3 AUX'!$O$38,IF('HOJA D TRABAJO'!$I$15="INTERNO",SUM('HOJA 3 AUX'!$O$28:$O$32)))</f>
        <v>0</v>
      </c>
      <c r="F47" s="185">
        <f t="shared" si="0"/>
        <v>0</v>
      </c>
      <c r="G47" s="21"/>
    </row>
    <row r="48" spans="1:7" s="57" customFormat="1" ht="20.25" hidden="1" customHeight="1" x14ac:dyDescent="0.25">
      <c r="A48" s="24"/>
      <c r="B48" s="183" t="str">
        <f>+'HOJA D TRABAJO'!B31&amp;" "&amp;'HOJA D TRABAJO'!$D$57</f>
        <v xml:space="preserve"> LA PAZ</v>
      </c>
      <c r="C48" s="184">
        <f>+'HOJA D TRABAJO'!C63</f>
        <v>0</v>
      </c>
      <c r="D48" s="184">
        <f>+'HOJA D TRABAJO'!D63</f>
        <v>0</v>
      </c>
      <c r="E48" s="185">
        <f>IF('HOJA D TRABAJO'!$I$15="EXTERNO",'HOJA 3 AUX'!$G$58,IF('HOJA D TRABAJO'!$I$15="INTERNO",SUM('HOJA 3 AUX'!$G$48:$G$52)))</f>
        <v>0</v>
      </c>
      <c r="F48" s="185">
        <f t="shared" si="0"/>
        <v>0</v>
      </c>
      <c r="G48" s="21"/>
    </row>
    <row r="49" spans="1:7" s="57" customFormat="1" ht="20.25" hidden="1" customHeight="1" x14ac:dyDescent="0.25">
      <c r="A49" s="24"/>
      <c r="B49" s="183" t="str">
        <f>+'HOJA D TRABAJO'!B32&amp;" "&amp;'HOJA D TRABAJO'!$D$57</f>
        <v xml:space="preserve"> LA PAZ</v>
      </c>
      <c r="C49" s="184">
        <f>+'HOJA D TRABAJO'!C64</f>
        <v>0</v>
      </c>
      <c r="D49" s="184">
        <f>+'HOJA D TRABAJO'!D64</f>
        <v>0</v>
      </c>
      <c r="E49" s="185">
        <f>IF('HOJA D TRABAJO'!$I$15="EXTERNO",'HOJA 3 AUX'!$O$58,IF('HOJA D TRABAJO'!$I$15="INTERNO",SUM('HOJA 3 AUX'!$O$48:$O$52)))</f>
        <v>0</v>
      </c>
      <c r="F49" s="185">
        <f t="shared" si="0"/>
        <v>0</v>
      </c>
      <c r="G49" s="21"/>
    </row>
    <row r="50" spans="1:7" s="57" customFormat="1" ht="20.25" hidden="1" customHeight="1" x14ac:dyDescent="0.25">
      <c r="A50" s="24"/>
      <c r="B50" s="183" t="str">
        <f>+'HOJA D TRABAJO'!B33&amp;" "&amp;'HOJA D TRABAJO'!$D$57</f>
        <v xml:space="preserve"> LA PAZ</v>
      </c>
      <c r="C50" s="184">
        <f>+'HOJA D TRABAJO'!C65</f>
        <v>0</v>
      </c>
      <c r="D50" s="184">
        <f>+'HOJA D TRABAJO'!D65</f>
        <v>0</v>
      </c>
      <c r="E50" s="185">
        <f>IF('HOJA D TRABAJO'!$I$15="EXTERNO",'HOJA 3 AUX'!$G$77,IF('HOJA D TRABAJO'!$I$15="INTERNO",SUM('HOJA 3 AUX'!$G$67:$G$71)))</f>
        <v>0</v>
      </c>
      <c r="F50" s="185">
        <f t="shared" si="0"/>
        <v>0</v>
      </c>
      <c r="G50" s="21"/>
    </row>
    <row r="51" spans="1:7" s="57" customFormat="1" ht="20.25" hidden="1" customHeight="1" x14ac:dyDescent="0.25">
      <c r="A51" s="24"/>
      <c r="B51" s="183" t="str">
        <f>+'HOJA D TRABAJO'!B34&amp;" "&amp;'HOJA D TRABAJO'!$D$57</f>
        <v xml:space="preserve"> LA PAZ</v>
      </c>
      <c r="C51" s="184">
        <f>+'HOJA D TRABAJO'!C66</f>
        <v>0</v>
      </c>
      <c r="D51" s="184">
        <f>+'HOJA D TRABAJO'!D66</f>
        <v>0</v>
      </c>
      <c r="E51" s="185">
        <f>IF('HOJA D TRABAJO'!$I$15="EXTERNO",'HOJA 3 AUX'!$O$77,IF('HOJA D TRABAJO'!$I$15="INTERNO",SUM('HOJA 3 AUX'!$O$67:$O$71)))</f>
        <v>0</v>
      </c>
      <c r="F51" s="185">
        <f t="shared" si="0"/>
        <v>0</v>
      </c>
      <c r="G51" s="21"/>
    </row>
    <row r="52" spans="1:7" s="57" customFormat="1" ht="20.25" hidden="1" customHeight="1" x14ac:dyDescent="0.25">
      <c r="A52" s="24"/>
      <c r="B52" s="183" t="str">
        <f>+'HOJA D TRABAJO'!B35&amp;" "&amp;'HOJA D TRABAJO'!$D$57</f>
        <v xml:space="preserve"> LA PAZ</v>
      </c>
      <c r="C52" s="184">
        <f>+'HOJA D TRABAJO'!C67</f>
        <v>0</v>
      </c>
      <c r="D52" s="184">
        <f>+'HOJA D TRABAJO'!D67</f>
        <v>0</v>
      </c>
      <c r="E52" s="185">
        <f>IF('HOJA D TRABAJO'!$I$15="EXTERNO",'HOJA 3 AUX'!$G$95,IF('HOJA D TRABAJO'!$I$15="INTERNO",SUM('HOJA 3 AUX'!G85:G89)))</f>
        <v>0</v>
      </c>
      <c r="F52" s="185">
        <f t="shared" si="0"/>
        <v>0</v>
      </c>
      <c r="G52" s="21"/>
    </row>
    <row r="53" spans="1:7" s="57" customFormat="1" ht="20.25" hidden="1" customHeight="1" x14ac:dyDescent="0.25">
      <c r="A53" s="24"/>
      <c r="B53" s="183" t="str">
        <f>+'HOJA D TRABAJO'!B36&amp;" "&amp;'HOJA D TRABAJO'!$D$57</f>
        <v xml:space="preserve"> LA PAZ</v>
      </c>
      <c r="C53" s="184">
        <f>+'HOJA D TRABAJO'!C68</f>
        <v>0</v>
      </c>
      <c r="D53" s="184">
        <f>+'HOJA D TRABAJO'!D68</f>
        <v>0</v>
      </c>
      <c r="E53" s="185">
        <f>IF('HOJA D TRABAJO'!$I$15="EXTERNO",'HOJA 3 AUX'!$O$95,IF('HOJA D TRABAJO'!$I$15="INTERNO",SUM('HOJA 3 AUX'!$O$85:$O$89)))</f>
        <v>0</v>
      </c>
      <c r="F53" s="185">
        <f t="shared" si="0"/>
        <v>0</v>
      </c>
      <c r="G53" s="21"/>
    </row>
    <row r="54" spans="1:7" s="57" customFormat="1" ht="20.25" hidden="1" customHeight="1" x14ac:dyDescent="0.25">
      <c r="A54" s="24"/>
      <c r="B54" s="183" t="str">
        <f>+'HOJA D TRABAJO'!B37&amp;" "&amp;'HOJA D TRABAJO'!$D$57</f>
        <v xml:space="preserve"> LA PAZ</v>
      </c>
      <c r="C54" s="184">
        <f>+'HOJA D TRABAJO'!C69</f>
        <v>0</v>
      </c>
      <c r="D54" s="184">
        <f>+'HOJA D TRABAJO'!D69</f>
        <v>0</v>
      </c>
      <c r="E54" s="185">
        <f>IF('HOJA D TRABAJO'!$I$15="EXTERNO",'HOJA 3 AUX'!$G$115,IF('HOJA D TRABAJO'!$I$15="INTERNO",SUM('HOJA 3 AUX'!G105:G109)))</f>
        <v>0</v>
      </c>
      <c r="F54" s="185">
        <f t="shared" si="0"/>
        <v>0</v>
      </c>
      <c r="G54" s="21"/>
    </row>
    <row r="55" spans="1:7" s="57" customFormat="1" ht="20.25" hidden="1" customHeight="1" x14ac:dyDescent="0.25">
      <c r="A55" s="24"/>
      <c r="B55" s="183" t="str">
        <f>+'HOJA D TRABAJO'!B38&amp;" "&amp;'HOJA D TRABAJO'!$D$57</f>
        <v xml:space="preserve"> LA PAZ</v>
      </c>
      <c r="C55" s="184">
        <f>+'HOJA D TRABAJO'!C70</f>
        <v>0</v>
      </c>
      <c r="D55" s="184">
        <f>+'HOJA D TRABAJO'!D70</f>
        <v>0</v>
      </c>
      <c r="E55" s="185">
        <f>IF('HOJA D TRABAJO'!$I$15="EXTERNO",'HOJA 3 AUX'!$O$115,IF('HOJA D TRABAJO'!$I$15="INTERNO",SUM('HOJA 3 AUX'!$O$105:$O$109)))</f>
        <v>0</v>
      </c>
      <c r="F55" s="185">
        <f t="shared" si="0"/>
        <v>0</v>
      </c>
      <c r="G55" s="21"/>
    </row>
    <row r="56" spans="1:7" s="57" customFormat="1" ht="20.25" hidden="1" customHeight="1" x14ac:dyDescent="0.25">
      <c r="A56" s="24"/>
      <c r="B56" s="183" t="str">
        <f>+'HOJA D TRABAJO'!B27&amp;"  "&amp;'HOJA D TRABAJO'!$D$73</f>
        <v>IMPULSADORA SUPERMERCADO HIPERMAXI JUAN DE LA ROSA  TARIJA</v>
      </c>
      <c r="C56" s="184">
        <f>+'HOJA D TRABAJO'!C75</f>
        <v>0</v>
      </c>
      <c r="D56" s="184">
        <f>+'HOJA D TRABAJO'!D75</f>
        <v>0</v>
      </c>
      <c r="E56" s="185">
        <f>IF('HOJA D TRABAJO'!$I$15="EXTERNO",'HOJA 4 AUX'!$G$20,IF('HOJA D TRABAJO'!$I$15="INTERNO",SUM('HOJA 4 AUX'!$G$10:$G$14)))</f>
        <v>0</v>
      </c>
      <c r="F56" s="185">
        <f t="shared" si="0"/>
        <v>0</v>
      </c>
      <c r="G56" s="21"/>
    </row>
    <row r="57" spans="1:7" s="57" customFormat="1" ht="20.25" hidden="1" customHeight="1" x14ac:dyDescent="0.25">
      <c r="A57" s="24"/>
      <c r="B57" s="183" t="str">
        <f>+'HOJA D TRABAJO'!B28&amp;"  "&amp;'HOJA D TRABAJO'!$D$73</f>
        <v xml:space="preserve">  TARIJA</v>
      </c>
      <c r="C57" s="184">
        <f>+'HOJA D TRABAJO'!C76</f>
        <v>0</v>
      </c>
      <c r="D57" s="184">
        <f>+'HOJA D TRABAJO'!D76</f>
        <v>0</v>
      </c>
      <c r="E57" s="185">
        <f>IF('HOJA D TRABAJO'!$I$15="EXTERNO",'HOJA 4 AUX'!$O$20,IF('HOJA D TRABAJO'!$I$15="INTERNO",SUM('HOJA 4 AUX'!$O$10:$O$14)))</f>
        <v>0</v>
      </c>
      <c r="F57" s="185">
        <f t="shared" si="0"/>
        <v>0</v>
      </c>
      <c r="G57" s="21"/>
    </row>
    <row r="58" spans="1:7" s="57" customFormat="1" ht="20.25" hidden="1" customHeight="1" x14ac:dyDescent="0.25">
      <c r="A58" s="24"/>
      <c r="B58" s="183" t="str">
        <f>+'HOJA D TRABAJO'!B29&amp;"  "&amp;'HOJA D TRABAJO'!$D$73</f>
        <v xml:space="preserve">  TARIJA</v>
      </c>
      <c r="C58" s="184">
        <f>+'HOJA D TRABAJO'!C77</f>
        <v>0</v>
      </c>
      <c r="D58" s="184">
        <f>+'HOJA D TRABAJO'!D77</f>
        <v>0</v>
      </c>
      <c r="E58" s="185">
        <f>IF('HOJA D TRABAJO'!$I$15="EXTERNO",'HOJA 4 AUX'!$G$38,IF('HOJA D TRABAJO'!$I$15="INTERNO",SUM('HOJA 4 AUX'!$G$28:$G$32)))</f>
        <v>0</v>
      </c>
      <c r="F58" s="185">
        <f t="shared" si="0"/>
        <v>0</v>
      </c>
      <c r="G58" s="21"/>
    </row>
    <row r="59" spans="1:7" s="57" customFormat="1" ht="20.25" hidden="1" customHeight="1" x14ac:dyDescent="0.25">
      <c r="A59" s="24"/>
      <c r="B59" s="183" t="str">
        <f>+'HOJA D TRABAJO'!B30&amp;"  "&amp;'HOJA D TRABAJO'!$D$73</f>
        <v xml:space="preserve">  TARIJA</v>
      </c>
      <c r="C59" s="184">
        <f>+'HOJA D TRABAJO'!C78</f>
        <v>0</v>
      </c>
      <c r="D59" s="184">
        <f>+'HOJA D TRABAJO'!D78</f>
        <v>0</v>
      </c>
      <c r="E59" s="185">
        <f>IF('HOJA D TRABAJO'!$I$15="EXTERNO",'HOJA 4 AUX'!$O$38,IF('HOJA D TRABAJO'!$I$15="INTERNO",SUM('HOJA 4 AUX'!$O$28:$O$32)))</f>
        <v>0</v>
      </c>
      <c r="F59" s="185">
        <f t="shared" si="0"/>
        <v>0</v>
      </c>
      <c r="G59" s="21"/>
    </row>
    <row r="60" spans="1:7" s="57" customFormat="1" ht="20.25" hidden="1" customHeight="1" x14ac:dyDescent="0.25">
      <c r="A60" s="24"/>
      <c r="B60" s="183" t="str">
        <f>+'HOJA D TRABAJO'!B31&amp;"  "&amp;'HOJA D TRABAJO'!$D$73</f>
        <v xml:space="preserve">  TARIJA</v>
      </c>
      <c r="C60" s="184">
        <f>+'HOJA D TRABAJO'!C79</f>
        <v>0</v>
      </c>
      <c r="D60" s="184">
        <f>+'HOJA D TRABAJO'!D79</f>
        <v>0</v>
      </c>
      <c r="E60" s="185">
        <f>IF('HOJA D TRABAJO'!$I$15="EXTERNO",'HOJA 4 AUX'!$G$58,IF('HOJA D TRABAJO'!$I$15="INTERNO",SUM('HOJA 4 AUX'!$G$48:$G$52)))</f>
        <v>0</v>
      </c>
      <c r="F60" s="185">
        <f t="shared" si="0"/>
        <v>0</v>
      </c>
      <c r="G60" s="21"/>
    </row>
    <row r="61" spans="1:7" s="57" customFormat="1" ht="20.25" hidden="1" customHeight="1" x14ac:dyDescent="0.25">
      <c r="A61" s="24"/>
      <c r="B61" s="183" t="str">
        <f>+'HOJA D TRABAJO'!B32&amp;"  "&amp;'HOJA D TRABAJO'!$D$73</f>
        <v xml:space="preserve">  TARIJA</v>
      </c>
      <c r="C61" s="184">
        <f>+'HOJA D TRABAJO'!C80</f>
        <v>0</v>
      </c>
      <c r="D61" s="184">
        <f>+'HOJA D TRABAJO'!D80</f>
        <v>0</v>
      </c>
      <c r="E61" s="185">
        <f>IF('HOJA D TRABAJO'!$I$15="EXTERNO",'HOJA 4 AUX'!$O$58,IF('HOJA D TRABAJO'!$I$15="INTERNO",SUM('HOJA 4 AUX'!$O$48:$O$52)))</f>
        <v>0</v>
      </c>
      <c r="F61" s="185">
        <f t="shared" si="0"/>
        <v>0</v>
      </c>
      <c r="G61" s="21"/>
    </row>
    <row r="62" spans="1:7" s="57" customFormat="1" ht="20.25" hidden="1" customHeight="1" x14ac:dyDescent="0.25">
      <c r="A62" s="24"/>
      <c r="B62" s="183" t="str">
        <f>+'HOJA D TRABAJO'!B33&amp;"  "&amp;'HOJA D TRABAJO'!$D$73</f>
        <v xml:space="preserve">  TARIJA</v>
      </c>
      <c r="C62" s="184">
        <f>+'HOJA D TRABAJO'!C81</f>
        <v>0</v>
      </c>
      <c r="D62" s="184">
        <f>+'HOJA D TRABAJO'!D81</f>
        <v>0</v>
      </c>
      <c r="E62" s="185">
        <f>IF('HOJA D TRABAJO'!$I$15="EXTERNO",'HOJA 4 AUX'!$G$77,IF('HOJA D TRABAJO'!$I$15="INTERNO",SUM('HOJA 4 AUX'!$G$67:$G$71)))</f>
        <v>0</v>
      </c>
      <c r="F62" s="185">
        <f t="shared" si="0"/>
        <v>0</v>
      </c>
      <c r="G62" s="21"/>
    </row>
    <row r="63" spans="1:7" s="57" customFormat="1" ht="20.25" hidden="1" customHeight="1" x14ac:dyDescent="0.25">
      <c r="A63" s="24"/>
      <c r="B63" s="183" t="str">
        <f>+'HOJA D TRABAJO'!B34&amp;"  "&amp;'HOJA D TRABAJO'!$D$73</f>
        <v xml:space="preserve">  TARIJA</v>
      </c>
      <c r="C63" s="184">
        <f>+'HOJA D TRABAJO'!C82</f>
        <v>0</v>
      </c>
      <c r="D63" s="184">
        <f>+'HOJA D TRABAJO'!D82</f>
        <v>0</v>
      </c>
      <c r="E63" s="185">
        <f>IF('HOJA D TRABAJO'!$I$15="EXTERNO",'HOJA 4 AUX'!$O$77,IF('HOJA D TRABAJO'!$I$15="INTERNO",SUM('HOJA 4 AUX'!$O$67:$O$71)))</f>
        <v>0</v>
      </c>
      <c r="F63" s="185">
        <f t="shared" si="0"/>
        <v>0</v>
      </c>
      <c r="G63" s="21"/>
    </row>
    <row r="64" spans="1:7" s="57" customFormat="1" ht="20.25" hidden="1" customHeight="1" x14ac:dyDescent="0.25">
      <c r="A64" s="24"/>
      <c r="B64" s="183" t="str">
        <f>+'HOJA D TRABAJO'!B35&amp;"  "&amp;'HOJA D TRABAJO'!$D$73</f>
        <v xml:space="preserve">  TARIJA</v>
      </c>
      <c r="C64" s="184">
        <f>+'HOJA D TRABAJO'!C83</f>
        <v>0</v>
      </c>
      <c r="D64" s="184">
        <f>+'HOJA D TRABAJO'!D83</f>
        <v>0</v>
      </c>
      <c r="E64" s="185">
        <f>IF('HOJA D TRABAJO'!$I$15="EXTERNO",'HOJA 4 AUX'!$G$95,IF('HOJA D TRABAJO'!$I$15="INTERNO",SUM('HOJA 4 AUX'!G85:G89)))</f>
        <v>0</v>
      </c>
      <c r="F64" s="185">
        <f t="shared" si="0"/>
        <v>0</v>
      </c>
      <c r="G64" s="21"/>
    </row>
    <row r="65" spans="1:7" s="57" customFormat="1" ht="20.25" hidden="1" customHeight="1" x14ac:dyDescent="0.25">
      <c r="A65" s="24"/>
      <c r="B65" s="183" t="str">
        <f>+'HOJA D TRABAJO'!B36&amp;"  "&amp;'HOJA D TRABAJO'!$D$73</f>
        <v xml:space="preserve">  TARIJA</v>
      </c>
      <c r="C65" s="184">
        <f>+'HOJA D TRABAJO'!C84</f>
        <v>0</v>
      </c>
      <c r="D65" s="184">
        <f>+'HOJA D TRABAJO'!D84</f>
        <v>0</v>
      </c>
      <c r="E65" s="185">
        <f>IF('HOJA D TRABAJO'!$I$15="EXTERNO",'HOJA 4 AUX'!$O$95,IF('HOJA D TRABAJO'!$I$15="INTERNO",SUM('HOJA 4 AUX'!$O$85:$O$89)))</f>
        <v>0</v>
      </c>
      <c r="F65" s="185">
        <f t="shared" si="0"/>
        <v>0</v>
      </c>
      <c r="G65" s="21"/>
    </row>
    <row r="66" spans="1:7" s="57" customFormat="1" ht="20.25" hidden="1" customHeight="1" x14ac:dyDescent="0.25">
      <c r="A66" s="24"/>
      <c r="B66" s="183" t="str">
        <f>+'HOJA D TRABAJO'!B37&amp;"  "&amp;'HOJA D TRABAJO'!$D$73</f>
        <v xml:space="preserve">  TARIJA</v>
      </c>
      <c r="C66" s="184">
        <f>+'HOJA D TRABAJO'!C85</f>
        <v>0</v>
      </c>
      <c r="D66" s="184">
        <f>+'HOJA D TRABAJO'!D85</f>
        <v>0</v>
      </c>
      <c r="E66" s="185">
        <f>IF('HOJA D TRABAJO'!$I$15="EXTERNO",'HOJA 4 AUX'!$G$115,IF('HOJA D TRABAJO'!$I$15="INTERNO",SUM('HOJA 4 AUX'!G105:G109)))</f>
        <v>0</v>
      </c>
      <c r="F66" s="185">
        <f t="shared" si="0"/>
        <v>0</v>
      </c>
      <c r="G66" s="21"/>
    </row>
    <row r="67" spans="1:7" s="57" customFormat="1" ht="20.25" hidden="1" customHeight="1" x14ac:dyDescent="0.25">
      <c r="A67" s="24"/>
      <c r="B67" s="183" t="str">
        <f>+'HOJA D TRABAJO'!B38&amp;"  "&amp;'HOJA D TRABAJO'!$D$73</f>
        <v xml:space="preserve">  TARIJA</v>
      </c>
      <c r="C67" s="184">
        <f>+'HOJA D TRABAJO'!C86</f>
        <v>0</v>
      </c>
      <c r="D67" s="184">
        <f>+'HOJA D TRABAJO'!D86</f>
        <v>0</v>
      </c>
      <c r="E67" s="185">
        <f>IF('HOJA D TRABAJO'!$I$15="EXTERNO",'HOJA 4 AUX'!$O$115,IF('HOJA D TRABAJO'!$I$15="INTERNO",SUM('HOJA 4 AUX'!O105:O109)))</f>
        <v>0</v>
      </c>
      <c r="F67" s="185">
        <f t="shared" si="0"/>
        <v>0</v>
      </c>
      <c r="G67" s="21"/>
    </row>
    <row r="68" spans="1:7" s="57" customFormat="1" ht="20.25" hidden="1" customHeight="1" x14ac:dyDescent="0.25">
      <c r="A68" s="24"/>
      <c r="B68" s="183" t="str">
        <f>+'HOJA D TRABAJO'!B27&amp;" " &amp;'HOJA D TRABAJO'!$D$89</f>
        <v>IMPULSADORA SUPERMERCADO HIPERMAXI JUAN DE LA ROSA POTOSI</v>
      </c>
      <c r="C68" s="184">
        <f>+'HOJA D TRABAJO'!C91</f>
        <v>0</v>
      </c>
      <c r="D68" s="184">
        <f>+'HOJA D TRABAJO'!D91</f>
        <v>0</v>
      </c>
      <c r="E68" s="185">
        <f>IF('HOJA D TRABAJO'!$I$15="EXTERNO",'HOJA 5 AUX'!$G$20,IF('HOJA D TRABAJO'!$I$15="INTERNO",SUM('HOJA 5 AUX'!$G$10:$G$14)))</f>
        <v>0</v>
      </c>
      <c r="F68" s="185">
        <f t="shared" si="0"/>
        <v>0</v>
      </c>
      <c r="G68" s="21"/>
    </row>
    <row r="69" spans="1:7" s="57" customFormat="1" ht="20.25" hidden="1" customHeight="1" x14ac:dyDescent="0.25">
      <c r="A69" s="24"/>
      <c r="B69" s="183" t="str">
        <f>+'HOJA D TRABAJO'!B28&amp;" " &amp;'HOJA D TRABAJO'!$D$89</f>
        <v xml:space="preserve"> POTOSI</v>
      </c>
      <c r="C69" s="184">
        <f>+'HOJA D TRABAJO'!C92</f>
        <v>0</v>
      </c>
      <c r="D69" s="184">
        <f>+'HOJA D TRABAJO'!D92</f>
        <v>0</v>
      </c>
      <c r="E69" s="185">
        <f>IF('HOJA D TRABAJO'!$I$15="EXTERNO",'HOJA 5 AUX'!$O$20,IF('HOJA D TRABAJO'!$I$15="INTERNO",SUM('HOJA 5 AUX'!$O$10:$O$14)))</f>
        <v>0</v>
      </c>
      <c r="F69" s="185">
        <f t="shared" si="0"/>
        <v>0</v>
      </c>
      <c r="G69" s="21"/>
    </row>
    <row r="70" spans="1:7" s="57" customFormat="1" ht="20.25" hidden="1" customHeight="1" x14ac:dyDescent="0.25">
      <c r="A70" s="24"/>
      <c r="B70" s="183" t="str">
        <f>+'HOJA D TRABAJO'!B29&amp;" " &amp;'HOJA D TRABAJO'!$D$89</f>
        <v xml:space="preserve"> POTOSI</v>
      </c>
      <c r="C70" s="184">
        <f>+'HOJA D TRABAJO'!C93</f>
        <v>0</v>
      </c>
      <c r="D70" s="184">
        <f>+'HOJA D TRABAJO'!D93</f>
        <v>0</v>
      </c>
      <c r="E70" s="185">
        <f>IF('HOJA D TRABAJO'!$I$15="EXTERNO",'HOJA 5 AUX'!$G$38,IF('HOJA D TRABAJO'!$I$15="INTERNO",SUM('HOJA 5 AUX'!$G$28:$G$32)))</f>
        <v>0</v>
      </c>
      <c r="F70" s="185">
        <f t="shared" si="0"/>
        <v>0</v>
      </c>
      <c r="G70" s="21"/>
    </row>
    <row r="71" spans="1:7" s="57" customFormat="1" ht="20.25" hidden="1" customHeight="1" x14ac:dyDescent="0.25">
      <c r="A71" s="24"/>
      <c r="B71" s="183" t="str">
        <f>+'HOJA D TRABAJO'!B30&amp;" " &amp;'HOJA D TRABAJO'!$D$89</f>
        <v xml:space="preserve"> POTOSI</v>
      </c>
      <c r="C71" s="184">
        <f>+'HOJA D TRABAJO'!C94</f>
        <v>0</v>
      </c>
      <c r="D71" s="184">
        <f>+'HOJA D TRABAJO'!D94</f>
        <v>0</v>
      </c>
      <c r="E71" s="185">
        <f>IF('HOJA D TRABAJO'!$I$15="EXTERNO",'HOJA 5 AUX'!$O$38,IF('HOJA D TRABAJO'!$I$15="INTERNO",SUM('HOJA 5 AUX'!$O$28:$O$32)))</f>
        <v>0</v>
      </c>
      <c r="F71" s="185">
        <f t="shared" si="0"/>
        <v>0</v>
      </c>
      <c r="G71" s="21"/>
    </row>
    <row r="72" spans="1:7" s="57" customFormat="1" ht="20.25" hidden="1" customHeight="1" x14ac:dyDescent="0.25">
      <c r="A72" s="24"/>
      <c r="B72" s="183" t="str">
        <f>+'HOJA D TRABAJO'!B31&amp;" " &amp;'HOJA D TRABAJO'!$D$89</f>
        <v xml:space="preserve"> POTOSI</v>
      </c>
      <c r="C72" s="184">
        <f>+'HOJA D TRABAJO'!C95</f>
        <v>0</v>
      </c>
      <c r="D72" s="184">
        <f>+'HOJA D TRABAJO'!D95</f>
        <v>0</v>
      </c>
      <c r="E72" s="185">
        <f>IF('HOJA D TRABAJO'!$I$15="EXTERNO",'HOJA 5 AUX'!$G$58,IF('HOJA D TRABAJO'!$I$15="INTERNO",SUM('HOJA 5 AUX'!$G$48:$G$52)))</f>
        <v>0</v>
      </c>
      <c r="F72" s="185">
        <f t="shared" si="0"/>
        <v>0</v>
      </c>
      <c r="G72" s="21"/>
    </row>
    <row r="73" spans="1:7" s="57" customFormat="1" ht="20.25" hidden="1" customHeight="1" x14ac:dyDescent="0.25">
      <c r="A73" s="24"/>
      <c r="B73" s="183" t="str">
        <f>+'HOJA D TRABAJO'!B32&amp;" " &amp;'HOJA D TRABAJO'!$D$89</f>
        <v xml:space="preserve"> POTOSI</v>
      </c>
      <c r="C73" s="184">
        <f>+'HOJA D TRABAJO'!C96</f>
        <v>0</v>
      </c>
      <c r="D73" s="184">
        <f>+'HOJA D TRABAJO'!D96</f>
        <v>0</v>
      </c>
      <c r="E73" s="185">
        <f>IF('HOJA D TRABAJO'!$I$15="EXTERNO",'HOJA 5 AUX'!$O$58,IF('HOJA D TRABAJO'!$I$15="INTERNO",SUM('HOJA 5 AUX'!$O$48:$O$52)))</f>
        <v>0</v>
      </c>
      <c r="F73" s="185">
        <f t="shared" si="0"/>
        <v>0</v>
      </c>
      <c r="G73" s="21"/>
    </row>
    <row r="74" spans="1:7" s="57" customFormat="1" ht="20.25" hidden="1" customHeight="1" x14ac:dyDescent="0.25">
      <c r="A74" s="24"/>
      <c r="B74" s="183" t="str">
        <f>+'HOJA D TRABAJO'!B33&amp;" " &amp;'HOJA D TRABAJO'!$D$89</f>
        <v xml:space="preserve"> POTOSI</v>
      </c>
      <c r="C74" s="184">
        <f>+'HOJA D TRABAJO'!C97</f>
        <v>0</v>
      </c>
      <c r="D74" s="184">
        <f>+'HOJA D TRABAJO'!D97</f>
        <v>0</v>
      </c>
      <c r="E74" s="185">
        <f>IF('HOJA D TRABAJO'!$I$15="EXTERNO",'HOJA 5 AUX'!$G$77,IF('HOJA D TRABAJO'!$I$15="INTERNO",SUM('HOJA 5 AUX'!$G$67:$G$71)))</f>
        <v>0</v>
      </c>
      <c r="F74" s="185">
        <f t="shared" si="0"/>
        <v>0</v>
      </c>
      <c r="G74" s="21"/>
    </row>
    <row r="75" spans="1:7" s="57" customFormat="1" ht="20.25" hidden="1" customHeight="1" x14ac:dyDescent="0.25">
      <c r="A75" s="24"/>
      <c r="B75" s="183" t="str">
        <f>+'HOJA D TRABAJO'!B34&amp;" " &amp;'HOJA D TRABAJO'!$D$89</f>
        <v xml:space="preserve"> POTOSI</v>
      </c>
      <c r="C75" s="184">
        <f>+'HOJA D TRABAJO'!C98</f>
        <v>0</v>
      </c>
      <c r="D75" s="184">
        <f>+'HOJA D TRABAJO'!D98</f>
        <v>0</v>
      </c>
      <c r="E75" s="185">
        <f>IF('HOJA D TRABAJO'!$I$15="EXTERNO",'HOJA 5 AUX'!$O$77,IF('HOJA D TRABAJO'!$I$15="INTERNO",SUM('HOJA 5 AUX'!$O$67:$O$71)))</f>
        <v>0</v>
      </c>
      <c r="F75" s="185">
        <f t="shared" si="0"/>
        <v>0</v>
      </c>
      <c r="G75" s="21"/>
    </row>
    <row r="76" spans="1:7" s="57" customFormat="1" ht="20.25" hidden="1" customHeight="1" x14ac:dyDescent="0.25">
      <c r="A76" s="24"/>
      <c r="B76" s="183" t="str">
        <f>+'HOJA D TRABAJO'!B35&amp;" " &amp;'HOJA D TRABAJO'!$D$89</f>
        <v xml:space="preserve"> POTOSI</v>
      </c>
      <c r="C76" s="184">
        <f>+'HOJA D TRABAJO'!C99</f>
        <v>0</v>
      </c>
      <c r="D76" s="184">
        <f>+'HOJA D TRABAJO'!D99</f>
        <v>0</v>
      </c>
      <c r="E76" s="185">
        <f>IF('HOJA D TRABAJO'!$I$15="EXTERNO",'HOJA 5 AUX'!$G$95,IF('HOJA D TRABAJO'!$I$15="INTERNO",SUM('HOJA 5 AUX'!$G$85:$G$89)))</f>
        <v>0</v>
      </c>
      <c r="F76" s="185">
        <f t="shared" si="0"/>
        <v>0</v>
      </c>
      <c r="G76" s="21"/>
    </row>
    <row r="77" spans="1:7" s="57" customFormat="1" ht="20.25" hidden="1" customHeight="1" x14ac:dyDescent="0.25">
      <c r="A77" s="24"/>
      <c r="B77" s="183" t="str">
        <f>+'HOJA D TRABAJO'!B36&amp;" " &amp;'HOJA D TRABAJO'!$D$89</f>
        <v xml:space="preserve"> POTOSI</v>
      </c>
      <c r="C77" s="184">
        <f>+'HOJA D TRABAJO'!C100</f>
        <v>0</v>
      </c>
      <c r="D77" s="184">
        <f>+'HOJA D TRABAJO'!D100</f>
        <v>0</v>
      </c>
      <c r="E77" s="185">
        <f>IF('HOJA D TRABAJO'!$I$15="EXTERNO",'HOJA 5 AUX'!$O$95,IF('HOJA D TRABAJO'!$I$15="INTERNO",SUM('HOJA 5 AUX'!$O$85:$O$89)))</f>
        <v>0</v>
      </c>
      <c r="F77" s="185">
        <f t="shared" si="0"/>
        <v>0</v>
      </c>
      <c r="G77" s="21"/>
    </row>
    <row r="78" spans="1:7" s="57" customFormat="1" ht="20.25" hidden="1" customHeight="1" x14ac:dyDescent="0.25">
      <c r="A78" s="24"/>
      <c r="B78" s="183" t="str">
        <f>+'HOJA D TRABAJO'!B37&amp;" " &amp;'HOJA D TRABAJO'!$D$89</f>
        <v xml:space="preserve"> POTOSI</v>
      </c>
      <c r="C78" s="184">
        <f>+'HOJA D TRABAJO'!C101</f>
        <v>0</v>
      </c>
      <c r="D78" s="184">
        <f>+'HOJA D TRABAJO'!D101</f>
        <v>0</v>
      </c>
      <c r="E78" s="185">
        <f>IF('HOJA D TRABAJO'!$I$15="EXTERNO",'HOJA 5 AUX'!$G$115,IF('HOJA D TRABAJO'!$I$15="INTERNO",SUM('HOJA 5 AUX'!$G$105:$G$109)))</f>
        <v>0</v>
      </c>
      <c r="F78" s="185">
        <f t="shared" si="0"/>
        <v>0</v>
      </c>
      <c r="G78" s="21"/>
    </row>
    <row r="79" spans="1:7" s="57" customFormat="1" ht="20.25" hidden="1" customHeight="1" x14ac:dyDescent="0.25">
      <c r="A79" s="24"/>
      <c r="B79" s="183" t="str">
        <f>+'HOJA D TRABAJO'!B38&amp;" " &amp;'HOJA D TRABAJO'!$D$89</f>
        <v xml:space="preserve"> POTOSI</v>
      </c>
      <c r="C79" s="184">
        <f>+'HOJA D TRABAJO'!C102</f>
        <v>0</v>
      </c>
      <c r="D79" s="184">
        <f>+'HOJA D TRABAJO'!D102</f>
        <v>0</v>
      </c>
      <c r="E79" s="185">
        <f>IF('HOJA D TRABAJO'!$I$15="EXTERNO",'HOJA 5 AUX'!$O$115,IF('HOJA D TRABAJO'!$I$15="INTERNO",SUM('HOJA 5 AUX'!$O$105:$O$109)))</f>
        <v>0</v>
      </c>
      <c r="F79" s="185">
        <f t="shared" si="0"/>
        <v>0</v>
      </c>
      <c r="G79" s="21"/>
    </row>
    <row r="80" spans="1:7" s="57" customFormat="1" ht="20.25" hidden="1" customHeight="1" x14ac:dyDescent="0.25">
      <c r="A80" s="24"/>
      <c r="B80" s="183" t="str">
        <f>+'HOJA D TRABAJO'!B27&amp;"  " &amp;'HOJA D TRABAJO'!$D$105</f>
        <v>IMPULSADORA SUPERMERCADO HIPERMAXI JUAN DE LA ROSA  SUCRE</v>
      </c>
      <c r="C80" s="184">
        <f>+'HOJA D TRABAJO'!C107</f>
        <v>0</v>
      </c>
      <c r="D80" s="184">
        <f>+'HOJA D TRABAJO'!D107</f>
        <v>0</v>
      </c>
      <c r="E80" s="185">
        <f>IF('HOJA D TRABAJO'!$I$15="EXTERNO",'HOJA 6 AUX'!$G$20,IF('HOJA D TRABAJO'!$I$15="INTERNO",SUM('HOJA 6 AUX'!$G$10:$G$14)))</f>
        <v>0</v>
      </c>
      <c r="F80" s="185">
        <f t="shared" si="0"/>
        <v>0</v>
      </c>
      <c r="G80" s="21"/>
    </row>
    <row r="81" spans="1:7" s="57" customFormat="1" ht="20.25" hidden="1" customHeight="1" x14ac:dyDescent="0.25">
      <c r="A81" s="24"/>
      <c r="B81" s="183" t="str">
        <f>+'HOJA D TRABAJO'!B28&amp;"  " &amp;'HOJA D TRABAJO'!$D$105</f>
        <v xml:space="preserve">  SUCRE</v>
      </c>
      <c r="C81" s="184">
        <f>+'HOJA D TRABAJO'!C108</f>
        <v>0</v>
      </c>
      <c r="D81" s="184">
        <f>+'HOJA D TRABAJO'!D108</f>
        <v>0</v>
      </c>
      <c r="E81" s="185">
        <f>IF('HOJA D TRABAJO'!$I$15="EXTERNO",'HOJA 6 AUX'!$O$20,IF('HOJA D TRABAJO'!$I$15="INTERNO",SUM('HOJA 6 AUX'!$O$10:$O$14)))</f>
        <v>0</v>
      </c>
      <c r="F81" s="185">
        <f t="shared" si="0"/>
        <v>0</v>
      </c>
      <c r="G81" s="21"/>
    </row>
    <row r="82" spans="1:7" s="57" customFormat="1" ht="20.25" hidden="1" customHeight="1" x14ac:dyDescent="0.25">
      <c r="A82" s="24"/>
      <c r="B82" s="183" t="str">
        <f>+'HOJA D TRABAJO'!B29&amp;"  " &amp;'HOJA D TRABAJO'!$D$105</f>
        <v xml:space="preserve">  SUCRE</v>
      </c>
      <c r="C82" s="184">
        <f>+'HOJA D TRABAJO'!C109</f>
        <v>0</v>
      </c>
      <c r="D82" s="184">
        <f>+'HOJA D TRABAJO'!D109</f>
        <v>0</v>
      </c>
      <c r="E82" s="185">
        <f>IF('HOJA D TRABAJO'!$I$15="EXTERNO",'HOJA 6 AUX'!$G$38,IF('HOJA D TRABAJO'!$I$15="INTERNO",SUM('HOJA 6 AUX'!$G$28:$G$32)))</f>
        <v>0</v>
      </c>
      <c r="F82" s="185">
        <f t="shared" si="0"/>
        <v>0</v>
      </c>
      <c r="G82" s="21"/>
    </row>
    <row r="83" spans="1:7" s="57" customFormat="1" ht="20.25" hidden="1" customHeight="1" x14ac:dyDescent="0.25">
      <c r="A83" s="24"/>
      <c r="B83" s="183" t="str">
        <f>+'HOJA D TRABAJO'!B30&amp;"  " &amp;'HOJA D TRABAJO'!$D$105</f>
        <v xml:space="preserve">  SUCRE</v>
      </c>
      <c r="C83" s="184">
        <f>+'HOJA D TRABAJO'!C110</f>
        <v>0</v>
      </c>
      <c r="D83" s="184">
        <f>+'HOJA D TRABAJO'!D110</f>
        <v>0</v>
      </c>
      <c r="E83" s="185">
        <f>IF('HOJA D TRABAJO'!$I$15="EXTERNO",'HOJA 6 AUX'!$O$38,IF('HOJA D TRABAJO'!$I$15="INTERNO",SUM('HOJA 6 AUX'!$O$28:$O$32)))</f>
        <v>0</v>
      </c>
      <c r="F83" s="185">
        <f t="shared" si="0"/>
        <v>0</v>
      </c>
      <c r="G83" s="21"/>
    </row>
    <row r="84" spans="1:7" s="57" customFormat="1" ht="20.25" hidden="1" customHeight="1" x14ac:dyDescent="0.25">
      <c r="A84" s="24"/>
      <c r="B84" s="183" t="str">
        <f>+'HOJA D TRABAJO'!B31&amp;"  " &amp;'HOJA D TRABAJO'!$D$105</f>
        <v xml:space="preserve">  SUCRE</v>
      </c>
      <c r="C84" s="184">
        <f>+'HOJA D TRABAJO'!C111</f>
        <v>0</v>
      </c>
      <c r="D84" s="184">
        <f>+'HOJA D TRABAJO'!D111</f>
        <v>0</v>
      </c>
      <c r="E84" s="185">
        <f>IF('HOJA D TRABAJO'!$I$15="EXTERNO",'HOJA 6 AUX'!$G$58,IF('HOJA D TRABAJO'!$I$15="INTERNO",SUM('HOJA 6 AUX'!$G$48:$G$52)))</f>
        <v>0</v>
      </c>
      <c r="F84" s="185">
        <f t="shared" si="0"/>
        <v>0</v>
      </c>
      <c r="G84" s="21"/>
    </row>
    <row r="85" spans="1:7" s="57" customFormat="1" ht="20.25" hidden="1" customHeight="1" x14ac:dyDescent="0.25">
      <c r="A85" s="24"/>
      <c r="B85" s="183" t="str">
        <f>+'HOJA D TRABAJO'!B32&amp;"  " &amp;'HOJA D TRABAJO'!$D$105</f>
        <v xml:space="preserve">  SUCRE</v>
      </c>
      <c r="C85" s="184">
        <f>+'HOJA D TRABAJO'!C112</f>
        <v>0</v>
      </c>
      <c r="D85" s="184">
        <f>+'HOJA D TRABAJO'!D112</f>
        <v>0</v>
      </c>
      <c r="E85" s="185">
        <f>IF('HOJA D TRABAJO'!$I$15="EXTERNO",'HOJA 6 AUX'!$O$58,IF('HOJA D TRABAJO'!$I$15="INTERNO",SUM('HOJA 6 AUX'!$O$48:$O$52)))</f>
        <v>0</v>
      </c>
      <c r="F85" s="185">
        <f t="shared" ref="F85:F127" si="1">+(C85*D85)*E85</f>
        <v>0</v>
      </c>
      <c r="G85" s="21"/>
    </row>
    <row r="86" spans="1:7" s="57" customFormat="1" ht="20.25" hidden="1" customHeight="1" x14ac:dyDescent="0.25">
      <c r="A86" s="24"/>
      <c r="B86" s="183" t="str">
        <f>+'HOJA D TRABAJO'!B33&amp;"  " &amp;'HOJA D TRABAJO'!$D$105</f>
        <v xml:space="preserve">  SUCRE</v>
      </c>
      <c r="C86" s="184">
        <f>+'HOJA D TRABAJO'!C113</f>
        <v>0</v>
      </c>
      <c r="D86" s="184">
        <f>+'HOJA D TRABAJO'!D113</f>
        <v>0</v>
      </c>
      <c r="E86" s="185">
        <f>IF('HOJA D TRABAJO'!$I$15="EXTERNO",'HOJA 6 AUX'!$G$77,IF('HOJA D TRABAJO'!$I$15="INTERNO",SUM('HOJA 6 AUX'!$G$67:$G$71)))</f>
        <v>0</v>
      </c>
      <c r="F86" s="185">
        <f t="shared" si="1"/>
        <v>0</v>
      </c>
      <c r="G86" s="21"/>
    </row>
    <row r="87" spans="1:7" s="57" customFormat="1" ht="20.25" hidden="1" customHeight="1" x14ac:dyDescent="0.25">
      <c r="A87" s="24"/>
      <c r="B87" s="183" t="str">
        <f>+'HOJA D TRABAJO'!B34&amp;"  " &amp;'HOJA D TRABAJO'!$D$105</f>
        <v xml:space="preserve">  SUCRE</v>
      </c>
      <c r="C87" s="184">
        <f>+'HOJA D TRABAJO'!C114</f>
        <v>0</v>
      </c>
      <c r="D87" s="184">
        <f>+'HOJA D TRABAJO'!D114</f>
        <v>0</v>
      </c>
      <c r="E87" s="185">
        <f>IF('HOJA D TRABAJO'!$I$15="EXTERNO",'HOJA 6 AUX'!$O$77,IF('HOJA D TRABAJO'!$I$15="INTERNO",SUM('HOJA 6 AUX'!$O$67:$O$71)))</f>
        <v>0</v>
      </c>
      <c r="F87" s="185">
        <f t="shared" si="1"/>
        <v>0</v>
      </c>
      <c r="G87" s="21"/>
    </row>
    <row r="88" spans="1:7" s="57" customFormat="1" ht="20.25" hidden="1" customHeight="1" x14ac:dyDescent="0.25">
      <c r="A88" s="24"/>
      <c r="B88" s="183" t="str">
        <f>+'HOJA D TRABAJO'!B35&amp;"  " &amp;'HOJA D TRABAJO'!$D$105</f>
        <v xml:space="preserve">  SUCRE</v>
      </c>
      <c r="C88" s="184">
        <f>+'HOJA D TRABAJO'!C115</f>
        <v>0</v>
      </c>
      <c r="D88" s="184">
        <f>+'HOJA D TRABAJO'!D115</f>
        <v>0</v>
      </c>
      <c r="E88" s="185">
        <f>IF('HOJA D TRABAJO'!$I$15="EXTERNO",'HOJA 6 AUX'!$G$95,IF('HOJA D TRABAJO'!$I$15="INTERNO",SUM('HOJA 6 AUX'!$G$85:$G$89)))</f>
        <v>0</v>
      </c>
      <c r="F88" s="185">
        <f t="shared" si="1"/>
        <v>0</v>
      </c>
      <c r="G88" s="21"/>
    </row>
    <row r="89" spans="1:7" s="57" customFormat="1" ht="20.25" hidden="1" customHeight="1" x14ac:dyDescent="0.25">
      <c r="A89" s="24"/>
      <c r="B89" s="183" t="str">
        <f>+'HOJA D TRABAJO'!B36&amp;"  " &amp;'HOJA D TRABAJO'!$D$105</f>
        <v xml:space="preserve">  SUCRE</v>
      </c>
      <c r="C89" s="184">
        <f>+'HOJA D TRABAJO'!C116</f>
        <v>0</v>
      </c>
      <c r="D89" s="184">
        <f>+'HOJA D TRABAJO'!D116</f>
        <v>0</v>
      </c>
      <c r="E89" s="185">
        <f>IF('HOJA D TRABAJO'!$I$15="EXTERNO",'HOJA 6 AUX'!$O$95,IF('HOJA D TRABAJO'!$I$15="INTERNO",SUM('HOJA 6 AUX'!$O$85:$O$89)))</f>
        <v>0</v>
      </c>
      <c r="F89" s="185">
        <f t="shared" si="1"/>
        <v>0</v>
      </c>
      <c r="G89" s="21"/>
    </row>
    <row r="90" spans="1:7" s="57" customFormat="1" ht="20.25" hidden="1" customHeight="1" x14ac:dyDescent="0.25">
      <c r="A90" s="24"/>
      <c r="B90" s="183" t="str">
        <f>+'HOJA D TRABAJO'!B37&amp;"  " &amp;'HOJA D TRABAJO'!$D$105</f>
        <v xml:space="preserve">  SUCRE</v>
      </c>
      <c r="C90" s="184">
        <f>+'HOJA D TRABAJO'!C117</f>
        <v>0</v>
      </c>
      <c r="D90" s="184">
        <f>+'HOJA D TRABAJO'!D117</f>
        <v>0</v>
      </c>
      <c r="E90" s="185">
        <f>IF('HOJA D TRABAJO'!$I$15="EXTERNO",'HOJA 6 AUX'!$G$115,IF('HOJA D TRABAJO'!$I$15="INTERNO",SUM('HOJA 6 AUX'!$G$105:$G$109)))</f>
        <v>0</v>
      </c>
      <c r="F90" s="185">
        <f t="shared" si="1"/>
        <v>0</v>
      </c>
      <c r="G90" s="21"/>
    </row>
    <row r="91" spans="1:7" s="57" customFormat="1" ht="20.25" hidden="1" customHeight="1" x14ac:dyDescent="0.25">
      <c r="A91" s="24"/>
      <c r="B91" s="183" t="str">
        <f>+'HOJA D TRABAJO'!B38&amp;"  " &amp;'HOJA D TRABAJO'!$D$105</f>
        <v xml:space="preserve">  SUCRE</v>
      </c>
      <c r="C91" s="184">
        <f>+'HOJA D TRABAJO'!C118</f>
        <v>0</v>
      </c>
      <c r="D91" s="184">
        <f>+'HOJA D TRABAJO'!D118</f>
        <v>0</v>
      </c>
      <c r="E91" s="185">
        <f>IF('HOJA D TRABAJO'!$I$15="EXTERNO",'HOJA 6 AUX'!$O$115,IF('HOJA D TRABAJO'!$I$15="INTERNO",SUM('HOJA 6 AUX'!$O$105:$O$109)))</f>
        <v>0</v>
      </c>
      <c r="F91" s="185">
        <f t="shared" si="1"/>
        <v>0</v>
      </c>
      <c r="G91" s="21"/>
    </row>
    <row r="92" spans="1:7" s="57" customFormat="1" ht="20.25" hidden="1" customHeight="1" x14ac:dyDescent="0.25">
      <c r="A92" s="24"/>
      <c r="B92" s="183" t="str">
        <f>+'HOJA D TRABAJO'!B27&amp;" "&amp;'HOJA D TRABAJO'!$D$121</f>
        <v>IMPULSADORA SUPERMERCADO HIPERMAXI JUAN DE LA ROSA ORURO</v>
      </c>
      <c r="C92" s="184">
        <f>+'HOJA D TRABAJO'!C123</f>
        <v>0</v>
      </c>
      <c r="D92" s="184">
        <f>+'HOJA D TRABAJO'!D123</f>
        <v>0</v>
      </c>
      <c r="E92" s="185">
        <f>IF('HOJA D TRABAJO'!$I$15="EXTERNO",'HOJA 7 AUX'!$G$20,IF('HOJA D TRABAJO'!$I$15="INTERNO",SUM('HOJA 7 AUX'!$G$10:$G$14)))</f>
        <v>0</v>
      </c>
      <c r="F92" s="185">
        <f t="shared" si="1"/>
        <v>0</v>
      </c>
      <c r="G92" s="21"/>
    </row>
    <row r="93" spans="1:7" s="57" customFormat="1" ht="20.25" hidden="1" customHeight="1" x14ac:dyDescent="0.25">
      <c r="A93" s="24"/>
      <c r="B93" s="183" t="str">
        <f>+'HOJA D TRABAJO'!B28&amp;" "&amp;'HOJA D TRABAJO'!$D$121</f>
        <v xml:space="preserve"> ORURO</v>
      </c>
      <c r="C93" s="184">
        <f>+'HOJA D TRABAJO'!C124</f>
        <v>0</v>
      </c>
      <c r="D93" s="184">
        <f>+'HOJA D TRABAJO'!D124</f>
        <v>0</v>
      </c>
      <c r="E93" s="185">
        <f>IF('HOJA D TRABAJO'!$I$15="EXTERNO",'HOJA 7 AUX'!$O$20,IF('HOJA D TRABAJO'!$I$15="INTERNO",SUM('HOJA 7 AUX'!$O$10:$O$14)))</f>
        <v>0</v>
      </c>
      <c r="F93" s="185">
        <f t="shared" si="1"/>
        <v>0</v>
      </c>
      <c r="G93" s="21"/>
    </row>
    <row r="94" spans="1:7" s="57" customFormat="1" ht="20.25" hidden="1" customHeight="1" x14ac:dyDescent="0.25">
      <c r="A94" s="24"/>
      <c r="B94" s="183" t="str">
        <f>+'HOJA D TRABAJO'!B29&amp;" "&amp;'HOJA D TRABAJO'!$D$121</f>
        <v xml:space="preserve"> ORURO</v>
      </c>
      <c r="C94" s="184">
        <f>+'HOJA D TRABAJO'!C125</f>
        <v>0</v>
      </c>
      <c r="D94" s="184">
        <f>+'HOJA D TRABAJO'!D125</f>
        <v>0</v>
      </c>
      <c r="E94" s="185">
        <f>IF('HOJA D TRABAJO'!$I$15="EXTERNO",'HOJA 7 AUX'!$G$38,IF('HOJA D TRABAJO'!$I$15="INTERNO",SUM('HOJA 7 AUX'!$G$28:$G$32)))</f>
        <v>0</v>
      </c>
      <c r="F94" s="185">
        <f t="shared" si="1"/>
        <v>0</v>
      </c>
      <c r="G94" s="21"/>
    </row>
    <row r="95" spans="1:7" s="57" customFormat="1" ht="20.25" hidden="1" customHeight="1" x14ac:dyDescent="0.25">
      <c r="A95" s="24"/>
      <c r="B95" s="183" t="str">
        <f>+'HOJA D TRABAJO'!B30&amp;" "&amp;'HOJA D TRABAJO'!$D$121</f>
        <v xml:space="preserve"> ORURO</v>
      </c>
      <c r="C95" s="184">
        <f>+'HOJA D TRABAJO'!C126</f>
        <v>0</v>
      </c>
      <c r="D95" s="184">
        <f>+'HOJA D TRABAJO'!D126</f>
        <v>0</v>
      </c>
      <c r="E95" s="185">
        <f>IF('HOJA D TRABAJO'!$I$15="EXTERNO",'HOJA 7 AUX'!$O$38,IF('HOJA D TRABAJO'!$I$15="INTERNO",SUM('HOJA 7 AUX'!$O$28:$O$32)))</f>
        <v>0</v>
      </c>
      <c r="F95" s="185">
        <f t="shared" si="1"/>
        <v>0</v>
      </c>
      <c r="G95" s="21"/>
    </row>
    <row r="96" spans="1:7" s="57" customFormat="1" ht="20.25" hidden="1" customHeight="1" x14ac:dyDescent="0.25">
      <c r="A96" s="24"/>
      <c r="B96" s="183" t="str">
        <f>+'HOJA D TRABAJO'!B31&amp;" "&amp;'HOJA D TRABAJO'!$D$121</f>
        <v xml:space="preserve"> ORURO</v>
      </c>
      <c r="C96" s="184">
        <f>+'HOJA D TRABAJO'!C127</f>
        <v>0</v>
      </c>
      <c r="D96" s="184">
        <f>+'HOJA D TRABAJO'!D127</f>
        <v>0</v>
      </c>
      <c r="E96" s="185">
        <f>IF('HOJA D TRABAJO'!$I$15="EXTERNO",'HOJA 7 AUX'!$G$58,IF('HOJA D TRABAJO'!$I$15="INTERNO",SUM('HOJA 7 AUX'!$G$48:$G$52)))</f>
        <v>0</v>
      </c>
      <c r="F96" s="185">
        <f t="shared" si="1"/>
        <v>0</v>
      </c>
      <c r="G96" s="21"/>
    </row>
    <row r="97" spans="1:7" s="57" customFormat="1" ht="20.25" hidden="1" customHeight="1" x14ac:dyDescent="0.25">
      <c r="A97" s="24"/>
      <c r="B97" s="183" t="str">
        <f>+'HOJA D TRABAJO'!B32&amp;" "&amp;'HOJA D TRABAJO'!$D$121</f>
        <v xml:space="preserve"> ORURO</v>
      </c>
      <c r="C97" s="184">
        <f>+'HOJA D TRABAJO'!C128</f>
        <v>0</v>
      </c>
      <c r="D97" s="184">
        <f>+'HOJA D TRABAJO'!D128</f>
        <v>0</v>
      </c>
      <c r="E97" s="185">
        <f>IF('HOJA D TRABAJO'!$I$15="EXTERNO",'HOJA 7 AUX'!$O$58,IF('HOJA D TRABAJO'!$I$15="INTERNO",SUM('HOJA 7 AUX'!$O$48:$O$52)))</f>
        <v>0</v>
      </c>
      <c r="F97" s="185">
        <f t="shared" si="1"/>
        <v>0</v>
      </c>
      <c r="G97" s="21"/>
    </row>
    <row r="98" spans="1:7" s="57" customFormat="1" ht="20.25" hidden="1" customHeight="1" x14ac:dyDescent="0.25">
      <c r="A98" s="24"/>
      <c r="B98" s="183" t="str">
        <f>+'HOJA D TRABAJO'!B33&amp;" "&amp;'HOJA D TRABAJO'!$D$121</f>
        <v xml:space="preserve"> ORURO</v>
      </c>
      <c r="C98" s="184">
        <f>+'HOJA D TRABAJO'!C129</f>
        <v>0</v>
      </c>
      <c r="D98" s="184">
        <f>+'HOJA D TRABAJO'!D129</f>
        <v>0</v>
      </c>
      <c r="E98" s="185">
        <f>IF('HOJA D TRABAJO'!$I$15="EXTERNO",'HOJA 7 AUX'!$G$77,IF('HOJA D TRABAJO'!$I$15="INTERNO",SUM('HOJA 7 AUX'!$G$67:$G$71)))</f>
        <v>0</v>
      </c>
      <c r="F98" s="185">
        <f t="shared" si="1"/>
        <v>0</v>
      </c>
      <c r="G98" s="21"/>
    </row>
    <row r="99" spans="1:7" s="57" customFormat="1" ht="20.25" hidden="1" customHeight="1" x14ac:dyDescent="0.25">
      <c r="A99" s="24"/>
      <c r="B99" s="183" t="str">
        <f>+'HOJA D TRABAJO'!B34&amp;" "&amp;'HOJA D TRABAJO'!$D$121</f>
        <v xml:space="preserve"> ORURO</v>
      </c>
      <c r="C99" s="184">
        <f>+'HOJA D TRABAJO'!C130</f>
        <v>0</v>
      </c>
      <c r="D99" s="184">
        <f>+'HOJA D TRABAJO'!D130</f>
        <v>0</v>
      </c>
      <c r="E99" s="185">
        <f>IF('HOJA D TRABAJO'!$I$15="EXTERNO",'HOJA 7 AUX'!$O$77,IF('HOJA D TRABAJO'!$I$15="INTERNO",SUM('HOJA 7 AUX'!$O$67:$O$71)))</f>
        <v>0</v>
      </c>
      <c r="F99" s="185">
        <f t="shared" si="1"/>
        <v>0</v>
      </c>
      <c r="G99" s="21"/>
    </row>
    <row r="100" spans="1:7" s="57" customFormat="1" ht="20.25" hidden="1" customHeight="1" x14ac:dyDescent="0.25">
      <c r="A100" s="24"/>
      <c r="B100" s="183" t="str">
        <f>+'HOJA D TRABAJO'!B35&amp;" "&amp;'HOJA D TRABAJO'!$D$121</f>
        <v xml:space="preserve"> ORURO</v>
      </c>
      <c r="C100" s="184">
        <f>+'HOJA D TRABAJO'!C131</f>
        <v>0</v>
      </c>
      <c r="D100" s="184">
        <f>+'HOJA D TRABAJO'!D131</f>
        <v>0</v>
      </c>
      <c r="E100" s="185">
        <f>IF('HOJA D TRABAJO'!$I$15="EXTERNO",'HOJA 7 AUX'!$G$95,IF('HOJA D TRABAJO'!$I$15="INTERNO",SUM('HOJA 7 AUX'!$G$85:$G$89)))</f>
        <v>0</v>
      </c>
      <c r="F100" s="185">
        <f t="shared" si="1"/>
        <v>0</v>
      </c>
      <c r="G100" s="21"/>
    </row>
    <row r="101" spans="1:7" s="57" customFormat="1" ht="20.25" hidden="1" customHeight="1" x14ac:dyDescent="0.25">
      <c r="A101" s="24"/>
      <c r="B101" s="183" t="str">
        <f>+'HOJA D TRABAJO'!B36&amp;" "&amp;'HOJA D TRABAJO'!$D$121</f>
        <v xml:space="preserve"> ORURO</v>
      </c>
      <c r="C101" s="184">
        <f>+'HOJA D TRABAJO'!C132</f>
        <v>0</v>
      </c>
      <c r="D101" s="184">
        <f>+'HOJA D TRABAJO'!D132</f>
        <v>0</v>
      </c>
      <c r="E101" s="185">
        <f>IF('HOJA D TRABAJO'!$I$15="EXTERNO",'HOJA 7 AUX'!$O$95,IF('HOJA D TRABAJO'!$I$15="INTERNO",SUM('HOJA 7 AUX'!$O$85:$O$89)))</f>
        <v>0</v>
      </c>
      <c r="F101" s="185">
        <f t="shared" si="1"/>
        <v>0</v>
      </c>
      <c r="G101" s="21"/>
    </row>
    <row r="102" spans="1:7" s="57" customFormat="1" ht="20.25" hidden="1" customHeight="1" x14ac:dyDescent="0.25">
      <c r="A102" s="24"/>
      <c r="B102" s="183" t="str">
        <f>+'HOJA D TRABAJO'!B37&amp;" "&amp;'HOJA D TRABAJO'!$D$121</f>
        <v xml:space="preserve"> ORURO</v>
      </c>
      <c r="C102" s="184">
        <f>+'HOJA D TRABAJO'!C133</f>
        <v>0</v>
      </c>
      <c r="D102" s="184">
        <f>+'HOJA D TRABAJO'!D133</f>
        <v>0</v>
      </c>
      <c r="E102" s="185">
        <f>IF('HOJA D TRABAJO'!$I$15="EXTERNO",'HOJA 7 AUX'!$G$115,IF('HOJA D TRABAJO'!$I$15="INTERNO",SUM('HOJA 7 AUX'!$G$105:$G$109)))</f>
        <v>0</v>
      </c>
      <c r="F102" s="185">
        <f t="shared" si="1"/>
        <v>0</v>
      </c>
      <c r="G102" s="21"/>
    </row>
    <row r="103" spans="1:7" s="57" customFormat="1" ht="20.25" hidden="1" customHeight="1" x14ac:dyDescent="0.25">
      <c r="A103" s="24"/>
      <c r="B103" s="183" t="str">
        <f>+'HOJA D TRABAJO'!B38&amp;" "&amp;'HOJA D TRABAJO'!$D$121</f>
        <v xml:space="preserve"> ORURO</v>
      </c>
      <c r="C103" s="184">
        <f>+'HOJA D TRABAJO'!C134</f>
        <v>0</v>
      </c>
      <c r="D103" s="184">
        <f>+'HOJA D TRABAJO'!D134</f>
        <v>0</v>
      </c>
      <c r="E103" s="185">
        <f>IF('HOJA D TRABAJO'!$I$15="EXTERNO",'HOJA 7 AUX'!$O$115,IF('HOJA D TRABAJO'!$I$15="INTERNO",SUM('HOJA 7 AUX'!$O$105:$O$109)))</f>
        <v>0</v>
      </c>
      <c r="F103" s="185">
        <f t="shared" si="1"/>
        <v>0</v>
      </c>
      <c r="G103" s="21"/>
    </row>
    <row r="104" spans="1:7" s="57" customFormat="1" ht="20.25" hidden="1" customHeight="1" x14ac:dyDescent="0.25">
      <c r="A104" s="24"/>
      <c r="B104" s="183" t="str">
        <f>+'HOJA D TRABAJO'!B27&amp; "  "&amp;'HOJA D TRABAJO'!$D$137</f>
        <v>IMPULSADORA SUPERMERCADO HIPERMAXI JUAN DE LA ROSA  EL ALTO</v>
      </c>
      <c r="C104" s="184">
        <f>+'HOJA D TRABAJO'!C139</f>
        <v>0</v>
      </c>
      <c r="D104" s="184">
        <f>+'HOJA D TRABAJO'!D139</f>
        <v>0</v>
      </c>
      <c r="E104" s="185">
        <f>IF('HOJA D TRABAJO'!$I$15="EXTERNO",'HOJA 8 AUX'!$G$20,IF('HOJA D TRABAJO'!$I$15="INTERNO",SUM('HOJA 8 AUX'!$G$10:$G$14)))</f>
        <v>0</v>
      </c>
      <c r="F104" s="185">
        <f t="shared" si="1"/>
        <v>0</v>
      </c>
      <c r="G104" s="21"/>
    </row>
    <row r="105" spans="1:7" s="57" customFormat="1" ht="20.25" hidden="1" customHeight="1" x14ac:dyDescent="0.25">
      <c r="A105" s="24"/>
      <c r="B105" s="183" t="str">
        <f>+'HOJA D TRABAJO'!B28&amp; "  "&amp;'HOJA D TRABAJO'!$D$137</f>
        <v xml:space="preserve">  EL ALTO</v>
      </c>
      <c r="C105" s="184">
        <f>+'HOJA D TRABAJO'!C140</f>
        <v>0</v>
      </c>
      <c r="D105" s="184">
        <f>+'HOJA D TRABAJO'!D140</f>
        <v>0</v>
      </c>
      <c r="E105" s="185">
        <f>IF('HOJA D TRABAJO'!$I$15="EXTERNO",'HOJA 8 AUX'!$O$20,IF('HOJA D TRABAJO'!$I$15="INTERNO",SUM('HOJA 8 AUX'!$O$10:$O$14)))</f>
        <v>0</v>
      </c>
      <c r="F105" s="185">
        <f t="shared" si="1"/>
        <v>0</v>
      </c>
      <c r="G105" s="21"/>
    </row>
    <row r="106" spans="1:7" s="57" customFormat="1" ht="20.25" hidden="1" customHeight="1" x14ac:dyDescent="0.25">
      <c r="A106" s="24"/>
      <c r="B106" s="183" t="str">
        <f>+'HOJA D TRABAJO'!B29&amp; "  "&amp;'HOJA D TRABAJO'!$D$137</f>
        <v xml:space="preserve">  EL ALTO</v>
      </c>
      <c r="C106" s="184">
        <f>+'HOJA D TRABAJO'!C141</f>
        <v>0</v>
      </c>
      <c r="D106" s="184">
        <f>+'HOJA D TRABAJO'!D141</f>
        <v>0</v>
      </c>
      <c r="E106" s="185">
        <f>IF('HOJA D TRABAJO'!$I$15="EXTERNO",'HOJA 8 AUX'!$G$38,IF('HOJA D TRABAJO'!$I$15="INTERNO",SUM('HOJA 8 AUX'!$G$28:$G$32)))</f>
        <v>0</v>
      </c>
      <c r="F106" s="185">
        <f t="shared" si="1"/>
        <v>0</v>
      </c>
      <c r="G106" s="21"/>
    </row>
    <row r="107" spans="1:7" s="57" customFormat="1" ht="20.25" hidden="1" customHeight="1" x14ac:dyDescent="0.25">
      <c r="A107" s="24"/>
      <c r="B107" s="183" t="str">
        <f>+'HOJA D TRABAJO'!B30&amp; "  "&amp;'HOJA D TRABAJO'!$D$137</f>
        <v xml:space="preserve">  EL ALTO</v>
      </c>
      <c r="C107" s="184">
        <f>+'HOJA D TRABAJO'!C142</f>
        <v>0</v>
      </c>
      <c r="D107" s="184">
        <f>+'HOJA D TRABAJO'!D142</f>
        <v>0</v>
      </c>
      <c r="E107" s="185">
        <f>IF('HOJA D TRABAJO'!$I$15="EXTERNO",'HOJA 8 AUX'!$O$38,IF('HOJA D TRABAJO'!$I$15="INTERNO",SUM('HOJA 8 AUX'!$O$28:$O$32)))</f>
        <v>0</v>
      </c>
      <c r="F107" s="185">
        <f t="shared" si="1"/>
        <v>0</v>
      </c>
      <c r="G107" s="21"/>
    </row>
    <row r="108" spans="1:7" s="57" customFormat="1" ht="20.25" hidden="1" customHeight="1" x14ac:dyDescent="0.25">
      <c r="A108" s="24"/>
      <c r="B108" s="183" t="str">
        <f>+'HOJA D TRABAJO'!B31&amp; "  "&amp;'HOJA D TRABAJO'!$D$137</f>
        <v xml:space="preserve">  EL ALTO</v>
      </c>
      <c r="C108" s="184">
        <f>+'HOJA D TRABAJO'!C143</f>
        <v>0</v>
      </c>
      <c r="D108" s="184">
        <f>+'HOJA D TRABAJO'!D143</f>
        <v>0</v>
      </c>
      <c r="E108" s="185">
        <f>IF('HOJA D TRABAJO'!$I$15="EXTERNO",'HOJA 8 AUX'!$G$58,IF('HOJA D TRABAJO'!$I$15="INTERNO",SUM('HOJA 8 AUX'!$G$48:$G$52)))</f>
        <v>0</v>
      </c>
      <c r="F108" s="185">
        <f t="shared" si="1"/>
        <v>0</v>
      </c>
      <c r="G108" s="21"/>
    </row>
    <row r="109" spans="1:7" s="57" customFormat="1" ht="20.25" hidden="1" customHeight="1" x14ac:dyDescent="0.25">
      <c r="A109" s="24"/>
      <c r="B109" s="183" t="str">
        <f>+'HOJA D TRABAJO'!B32&amp; "  "&amp;'HOJA D TRABAJO'!$D$137</f>
        <v xml:space="preserve">  EL ALTO</v>
      </c>
      <c r="C109" s="184">
        <f>+'HOJA D TRABAJO'!C144</f>
        <v>0</v>
      </c>
      <c r="D109" s="184">
        <f>+'HOJA D TRABAJO'!D144</f>
        <v>0</v>
      </c>
      <c r="E109" s="185">
        <f>IF('HOJA D TRABAJO'!$I$15="EXTERNO",'HOJA 8 AUX'!$O$58,IF('HOJA D TRABAJO'!$I$15="INTERNO",SUM('HOJA 8 AUX'!$O$48:$O$52)))</f>
        <v>0</v>
      </c>
      <c r="F109" s="185">
        <f t="shared" si="1"/>
        <v>0</v>
      </c>
      <c r="G109" s="21"/>
    </row>
    <row r="110" spans="1:7" s="57" customFormat="1" ht="20.25" hidden="1" customHeight="1" x14ac:dyDescent="0.25">
      <c r="A110" s="24"/>
      <c r="B110" s="183" t="str">
        <f>+'HOJA D TRABAJO'!B33&amp; "  "&amp;'HOJA D TRABAJO'!$D$137</f>
        <v xml:space="preserve">  EL ALTO</v>
      </c>
      <c r="C110" s="184">
        <f>+'HOJA D TRABAJO'!C145</f>
        <v>0</v>
      </c>
      <c r="D110" s="184">
        <f>+'HOJA D TRABAJO'!D145</f>
        <v>0</v>
      </c>
      <c r="E110" s="185">
        <f>IF('HOJA D TRABAJO'!$I$15="EXTERNO",'HOJA 8 AUX'!$G$77,IF('HOJA D TRABAJO'!$I$15="INTERNO",SUM('HOJA 8 AUX'!$G$67:$G$71)))</f>
        <v>0</v>
      </c>
      <c r="F110" s="185">
        <f t="shared" si="1"/>
        <v>0</v>
      </c>
      <c r="G110" s="21"/>
    </row>
    <row r="111" spans="1:7" s="57" customFormat="1" ht="20.25" hidden="1" customHeight="1" x14ac:dyDescent="0.25">
      <c r="A111" s="24"/>
      <c r="B111" s="183" t="str">
        <f>+'HOJA D TRABAJO'!B34&amp; "  "&amp;'HOJA D TRABAJO'!$D$137</f>
        <v xml:space="preserve">  EL ALTO</v>
      </c>
      <c r="C111" s="184">
        <f>+'HOJA D TRABAJO'!C146</f>
        <v>0</v>
      </c>
      <c r="D111" s="184">
        <f>+'HOJA D TRABAJO'!D146</f>
        <v>0</v>
      </c>
      <c r="E111" s="185">
        <f>IF('HOJA D TRABAJO'!$I$15="EXTERNO",'HOJA 8 AUX'!$O$77,IF('HOJA D TRABAJO'!$I$15="INTERNO",SUM('HOJA 8 AUX'!$O$67:$O$71)))</f>
        <v>0</v>
      </c>
      <c r="F111" s="185">
        <f t="shared" si="1"/>
        <v>0</v>
      </c>
      <c r="G111" s="21"/>
    </row>
    <row r="112" spans="1:7" s="57" customFormat="1" ht="20.25" hidden="1" customHeight="1" x14ac:dyDescent="0.25">
      <c r="A112" s="24"/>
      <c r="B112" s="183" t="str">
        <f>+'HOJA D TRABAJO'!B35&amp; "  "&amp;'HOJA D TRABAJO'!$D$137</f>
        <v xml:space="preserve">  EL ALTO</v>
      </c>
      <c r="C112" s="184">
        <f>+'HOJA D TRABAJO'!C147</f>
        <v>0</v>
      </c>
      <c r="D112" s="184">
        <f>+'HOJA D TRABAJO'!D147</f>
        <v>0</v>
      </c>
      <c r="E112" s="185">
        <f>IF('HOJA D TRABAJO'!$I$15="EXTERNO",'HOJA 8 AUX'!$G$95,IF('HOJA D TRABAJO'!$I$15="INTERNO",SUM('HOJA 8 AUX'!$G$85:$G$89)))</f>
        <v>0</v>
      </c>
      <c r="F112" s="185">
        <f t="shared" si="1"/>
        <v>0</v>
      </c>
      <c r="G112" s="21"/>
    </row>
    <row r="113" spans="1:7" s="57" customFormat="1" ht="20.25" hidden="1" customHeight="1" x14ac:dyDescent="0.25">
      <c r="A113" s="24"/>
      <c r="B113" s="183" t="str">
        <f>+'HOJA D TRABAJO'!B36&amp; "  "&amp;'HOJA D TRABAJO'!$D$137</f>
        <v xml:space="preserve">  EL ALTO</v>
      </c>
      <c r="C113" s="184">
        <f>+'HOJA D TRABAJO'!C148</f>
        <v>0</v>
      </c>
      <c r="D113" s="184">
        <f>+'HOJA D TRABAJO'!D148</f>
        <v>0</v>
      </c>
      <c r="E113" s="185">
        <f>IF('HOJA D TRABAJO'!$I$15="EXTERNO",'HOJA 8 AUX'!$O$95,IF('HOJA D TRABAJO'!$I$15="INTERNO",SUM('HOJA 8 AUX'!$O$85:$O$89)))</f>
        <v>0</v>
      </c>
      <c r="F113" s="185">
        <f t="shared" si="1"/>
        <v>0</v>
      </c>
      <c r="G113" s="21"/>
    </row>
    <row r="114" spans="1:7" s="57" customFormat="1" ht="20.25" hidden="1" customHeight="1" x14ac:dyDescent="0.25">
      <c r="A114" s="24"/>
      <c r="B114" s="183" t="str">
        <f>+'HOJA D TRABAJO'!B37&amp; "  "&amp;'HOJA D TRABAJO'!$D$137</f>
        <v xml:space="preserve">  EL ALTO</v>
      </c>
      <c r="C114" s="184">
        <f>+'HOJA D TRABAJO'!C149</f>
        <v>0</v>
      </c>
      <c r="D114" s="184">
        <f>+'HOJA D TRABAJO'!D149</f>
        <v>0</v>
      </c>
      <c r="E114" s="185">
        <f>IF('HOJA D TRABAJO'!$I$15="EXTERNO",'HOJA 8 AUX'!$G$115,IF('HOJA D TRABAJO'!$I$15="INTERNO",SUM('HOJA 8 AUX'!$G$105:$G$109)))</f>
        <v>0</v>
      </c>
      <c r="F114" s="185">
        <f t="shared" si="1"/>
        <v>0</v>
      </c>
      <c r="G114" s="21"/>
    </row>
    <row r="115" spans="1:7" s="57" customFormat="1" ht="20.25" hidden="1" customHeight="1" x14ac:dyDescent="0.25">
      <c r="A115" s="24"/>
      <c r="B115" s="183" t="str">
        <f>+'HOJA D TRABAJO'!B38&amp; "  "&amp;'HOJA D TRABAJO'!$D$137</f>
        <v xml:space="preserve">  EL ALTO</v>
      </c>
      <c r="C115" s="184">
        <f>+'HOJA D TRABAJO'!C150</f>
        <v>0</v>
      </c>
      <c r="D115" s="184">
        <f>+'HOJA D TRABAJO'!D150</f>
        <v>0</v>
      </c>
      <c r="E115" s="185">
        <f>IF('HOJA D TRABAJO'!$I$15="EXTERNO",'HOJA 8 AUX'!$O$115,IF('HOJA D TRABAJO'!$I$15="INTERNO",SUM('HOJA 8 AUX'!$O$105:$O$109)))</f>
        <v>0</v>
      </c>
      <c r="F115" s="185">
        <f t="shared" si="1"/>
        <v>0</v>
      </c>
      <c r="G115" s="21"/>
    </row>
    <row r="116" spans="1:7" s="57" customFormat="1" ht="20.25" hidden="1" customHeight="1" x14ac:dyDescent="0.25">
      <c r="A116" s="24"/>
      <c r="B116" s="183" t="str">
        <f>+'HOJA D TRABAJO'!B27&amp; " "&amp;'HOJA D TRABAJO'!$D$153</f>
        <v>IMPULSADORA SUPERMERCADO HIPERMAXI JUAN DE LA ROSA PANDO</v>
      </c>
      <c r="C116" s="184">
        <f>+'HOJA D TRABAJO'!C155</f>
        <v>0</v>
      </c>
      <c r="D116" s="184">
        <f>+'HOJA D TRABAJO'!D155</f>
        <v>0</v>
      </c>
      <c r="E116" s="185">
        <f>IF('HOJA D TRABAJO'!$I$15="EXTERNO",'HOJA 9 AUX'!$G$20,IF('HOJA D TRABAJO'!$I$15="INTERNO",SUM('HOJA 9 AUX'!$G$10:$G$14)))</f>
        <v>0</v>
      </c>
      <c r="F116" s="185">
        <f t="shared" si="1"/>
        <v>0</v>
      </c>
      <c r="G116" s="21"/>
    </row>
    <row r="117" spans="1:7" s="57" customFormat="1" ht="20.25" hidden="1" customHeight="1" x14ac:dyDescent="0.25">
      <c r="A117" s="24"/>
      <c r="B117" s="183" t="str">
        <f>+'HOJA D TRABAJO'!B28&amp; " "&amp;'HOJA D TRABAJO'!$D$153</f>
        <v xml:space="preserve"> PANDO</v>
      </c>
      <c r="C117" s="184">
        <f>+'HOJA D TRABAJO'!C156</f>
        <v>0</v>
      </c>
      <c r="D117" s="184">
        <f>+'HOJA D TRABAJO'!D156</f>
        <v>0</v>
      </c>
      <c r="E117" s="185">
        <f>IF('HOJA D TRABAJO'!$I$15="EXTERNO",'HOJA 9 AUX'!$O$20,IF('HOJA D TRABAJO'!$I$15="INTERNO",SUM('HOJA 9 AUX'!$O$10:$O$14)))</f>
        <v>0</v>
      </c>
      <c r="F117" s="185">
        <f t="shared" si="1"/>
        <v>0</v>
      </c>
      <c r="G117" s="21"/>
    </row>
    <row r="118" spans="1:7" s="57" customFormat="1" ht="20.25" hidden="1" customHeight="1" x14ac:dyDescent="0.25">
      <c r="A118" s="24"/>
      <c r="B118" s="183" t="str">
        <f>+'HOJA D TRABAJO'!B29&amp; " "&amp;'HOJA D TRABAJO'!$D$153</f>
        <v xml:space="preserve"> PANDO</v>
      </c>
      <c r="C118" s="184">
        <f>+'HOJA D TRABAJO'!C157</f>
        <v>0</v>
      </c>
      <c r="D118" s="184">
        <f>+'HOJA D TRABAJO'!D157</f>
        <v>0</v>
      </c>
      <c r="E118" s="185">
        <f>IF('HOJA D TRABAJO'!$I$15="EXTERNO",'HOJA 9 AUX'!$G$38,IF('HOJA D TRABAJO'!$I$15="INTERNO",SUM('HOJA 9 AUX'!$G$28:$G$32)))</f>
        <v>0</v>
      </c>
      <c r="F118" s="185">
        <f t="shared" si="1"/>
        <v>0</v>
      </c>
      <c r="G118" s="21"/>
    </row>
    <row r="119" spans="1:7" s="57" customFormat="1" ht="20.25" hidden="1" customHeight="1" x14ac:dyDescent="0.25">
      <c r="A119" s="24"/>
      <c r="B119" s="183" t="str">
        <f>+'HOJA D TRABAJO'!B30&amp; " "&amp;'HOJA D TRABAJO'!$D$153</f>
        <v xml:space="preserve"> PANDO</v>
      </c>
      <c r="C119" s="184">
        <f>+'HOJA D TRABAJO'!C158</f>
        <v>0</v>
      </c>
      <c r="D119" s="184">
        <f>+'HOJA D TRABAJO'!D158</f>
        <v>0</v>
      </c>
      <c r="E119" s="185">
        <f>IF('HOJA D TRABAJO'!$I$15="EXTERNO",'HOJA 9 AUX'!$O$38,IF('HOJA D TRABAJO'!$I$15="INTERNO",SUM('HOJA 9 AUX'!$O$28:$O$32)))</f>
        <v>0</v>
      </c>
      <c r="F119" s="185">
        <f t="shared" si="1"/>
        <v>0</v>
      </c>
      <c r="G119" s="21"/>
    </row>
    <row r="120" spans="1:7" s="57" customFormat="1" ht="20.25" hidden="1" customHeight="1" x14ac:dyDescent="0.25">
      <c r="A120" s="24"/>
      <c r="B120" s="183" t="str">
        <f>+'HOJA D TRABAJO'!B31&amp; " "&amp;'HOJA D TRABAJO'!$D$153</f>
        <v xml:space="preserve"> PANDO</v>
      </c>
      <c r="C120" s="184">
        <f>+'HOJA D TRABAJO'!C159</f>
        <v>0</v>
      </c>
      <c r="D120" s="184">
        <f>+'HOJA D TRABAJO'!D159</f>
        <v>0</v>
      </c>
      <c r="E120" s="185">
        <f>IF('HOJA D TRABAJO'!$I$15="EXTERNO",'HOJA 9 AUX'!$G$58,IF('HOJA D TRABAJO'!$I$15="INTERNO",SUM('HOJA 9 AUX'!$G$48:$G$52)))</f>
        <v>0</v>
      </c>
      <c r="F120" s="185">
        <f t="shared" si="1"/>
        <v>0</v>
      </c>
      <c r="G120" s="21"/>
    </row>
    <row r="121" spans="1:7" s="57" customFormat="1" ht="20.25" hidden="1" customHeight="1" x14ac:dyDescent="0.25">
      <c r="A121" s="24"/>
      <c r="B121" s="183" t="str">
        <f>+'HOJA D TRABAJO'!B32&amp; " "&amp;'HOJA D TRABAJO'!$D$153</f>
        <v xml:space="preserve"> PANDO</v>
      </c>
      <c r="C121" s="184">
        <f>+'HOJA D TRABAJO'!C160</f>
        <v>0</v>
      </c>
      <c r="D121" s="184">
        <f>+'HOJA D TRABAJO'!D160</f>
        <v>0</v>
      </c>
      <c r="E121" s="185">
        <f>IF('HOJA D TRABAJO'!$I$15="EXTERNO",'HOJA 9 AUX'!$O$58,IF('HOJA D TRABAJO'!$I$15="INTERNO",SUM('HOJA 9 AUX'!$O$48:$O$52)))</f>
        <v>0</v>
      </c>
      <c r="F121" s="185">
        <f t="shared" si="1"/>
        <v>0</v>
      </c>
      <c r="G121" s="21"/>
    </row>
    <row r="122" spans="1:7" s="57" customFormat="1" ht="20.25" hidden="1" customHeight="1" x14ac:dyDescent="0.25">
      <c r="A122" s="24"/>
      <c r="B122" s="183" t="str">
        <f>+'HOJA D TRABAJO'!B33&amp; " "&amp;'HOJA D TRABAJO'!$D$153</f>
        <v xml:space="preserve"> PANDO</v>
      </c>
      <c r="C122" s="184">
        <f>+'HOJA D TRABAJO'!C161</f>
        <v>0</v>
      </c>
      <c r="D122" s="184">
        <f>+'HOJA D TRABAJO'!D161</f>
        <v>0</v>
      </c>
      <c r="E122" s="185">
        <f>IF('HOJA D TRABAJO'!$I$15="EXTERNO",'HOJA 9 AUX'!$G$77,IF('HOJA D TRABAJO'!$I$15="INTERNO",SUM('HOJA 9 AUX'!$G$67:$G$71)))</f>
        <v>0</v>
      </c>
      <c r="F122" s="185">
        <f t="shared" si="1"/>
        <v>0</v>
      </c>
      <c r="G122" s="21"/>
    </row>
    <row r="123" spans="1:7" s="57" customFormat="1" ht="20.25" hidden="1" customHeight="1" x14ac:dyDescent="0.25">
      <c r="A123" s="24"/>
      <c r="B123" s="183" t="str">
        <f>+'HOJA D TRABAJO'!B34&amp; " "&amp;'HOJA D TRABAJO'!$D$153</f>
        <v xml:space="preserve"> PANDO</v>
      </c>
      <c r="C123" s="184">
        <f>+'HOJA D TRABAJO'!C162</f>
        <v>0</v>
      </c>
      <c r="D123" s="184">
        <f>+'HOJA D TRABAJO'!D162</f>
        <v>0</v>
      </c>
      <c r="E123" s="185">
        <f>IF('HOJA D TRABAJO'!$I$15="EXTERNO",'HOJA 9 AUX'!$O$77,IF('HOJA D TRABAJO'!$I$15="INTERNO",SUM('HOJA 9 AUX'!$O$67:$O$71)))</f>
        <v>0</v>
      </c>
      <c r="F123" s="185">
        <f t="shared" si="1"/>
        <v>0</v>
      </c>
      <c r="G123" s="21"/>
    </row>
    <row r="124" spans="1:7" s="57" customFormat="1" ht="20.25" hidden="1" customHeight="1" x14ac:dyDescent="0.25">
      <c r="A124" s="24"/>
      <c r="B124" s="183" t="str">
        <f>+'HOJA D TRABAJO'!B35&amp; " "&amp;'HOJA D TRABAJO'!$D$153</f>
        <v xml:space="preserve"> PANDO</v>
      </c>
      <c r="C124" s="184">
        <f>+'HOJA D TRABAJO'!C163</f>
        <v>0</v>
      </c>
      <c r="D124" s="184">
        <f>+'HOJA D TRABAJO'!D163</f>
        <v>0</v>
      </c>
      <c r="E124" s="185">
        <f>IF('HOJA D TRABAJO'!$I$15="EXTERNO",'HOJA 9 AUX'!$G$95,IF('HOJA D TRABAJO'!$I$15="INTERNO",SUM('HOJA 9 AUX'!$G$85:$G$89)))</f>
        <v>0</v>
      </c>
      <c r="F124" s="185">
        <f t="shared" si="1"/>
        <v>0</v>
      </c>
      <c r="G124" s="21"/>
    </row>
    <row r="125" spans="1:7" s="57" customFormat="1" ht="20.25" hidden="1" customHeight="1" x14ac:dyDescent="0.25">
      <c r="A125" s="24"/>
      <c r="B125" s="183" t="str">
        <f>+'HOJA D TRABAJO'!B36&amp; " "&amp;'HOJA D TRABAJO'!$D$153</f>
        <v xml:space="preserve"> PANDO</v>
      </c>
      <c r="C125" s="184">
        <f>+'HOJA D TRABAJO'!C164</f>
        <v>0</v>
      </c>
      <c r="D125" s="184">
        <f>+'HOJA D TRABAJO'!D164</f>
        <v>0</v>
      </c>
      <c r="E125" s="185">
        <f>IF('HOJA D TRABAJO'!$I$15="EXTERNO",'HOJA 9 AUX'!$O$95,IF('HOJA D TRABAJO'!$I$15="INTERNO",SUM('HOJA 9 AUX'!$O$85:$O$89)))</f>
        <v>0</v>
      </c>
      <c r="F125" s="185">
        <f t="shared" si="1"/>
        <v>0</v>
      </c>
      <c r="G125" s="21"/>
    </row>
    <row r="126" spans="1:7" s="57" customFormat="1" ht="20.25" hidden="1" customHeight="1" x14ac:dyDescent="0.25">
      <c r="A126" s="24"/>
      <c r="B126" s="183" t="str">
        <f>+'HOJA D TRABAJO'!B37&amp; " "&amp;'HOJA D TRABAJO'!$D$153</f>
        <v xml:space="preserve"> PANDO</v>
      </c>
      <c r="C126" s="184">
        <f>+'HOJA D TRABAJO'!C165</f>
        <v>0</v>
      </c>
      <c r="D126" s="184">
        <f>+'HOJA D TRABAJO'!D165</f>
        <v>0</v>
      </c>
      <c r="E126" s="185">
        <f>IF('HOJA D TRABAJO'!$I$15="EXTERNO",'HOJA 9 AUX'!$G$115,IF('HOJA D TRABAJO'!$I$15="INTERNO",SUM('HOJA 9 AUX'!$G$105:$G$109)))</f>
        <v>0</v>
      </c>
      <c r="F126" s="185">
        <f t="shared" si="1"/>
        <v>0</v>
      </c>
      <c r="G126" s="21"/>
    </row>
    <row r="127" spans="1:7" s="57" customFormat="1" ht="20.25" hidden="1" customHeight="1" x14ac:dyDescent="0.25">
      <c r="A127" s="24"/>
      <c r="B127" s="183" t="str">
        <f>+'HOJA D TRABAJO'!B38&amp; " "&amp;'HOJA D TRABAJO'!$D$153</f>
        <v xml:space="preserve"> PANDO</v>
      </c>
      <c r="C127" s="184">
        <f>+'HOJA D TRABAJO'!C166</f>
        <v>0</v>
      </c>
      <c r="D127" s="184">
        <f>+'HOJA D TRABAJO'!D166</f>
        <v>0</v>
      </c>
      <c r="E127" s="185">
        <f>IF('HOJA D TRABAJO'!$I$15="EXTERNO",'HOJA 9 AUX'!$O$115,IF('HOJA D TRABAJO'!$I$15="INTERNO",SUM('HOJA 9 AUX'!$O$105:$O$109)))</f>
        <v>0</v>
      </c>
      <c r="F127" s="185">
        <f t="shared" si="1"/>
        <v>0</v>
      </c>
      <c r="G127" s="21"/>
    </row>
    <row r="128" spans="1:7" ht="15.75" x14ac:dyDescent="0.25">
      <c r="A128" s="55"/>
      <c r="B128" s="260" t="s">
        <v>1369</v>
      </c>
      <c r="C128" s="186">
        <f>SUM(C20:C127)</f>
        <v>1</v>
      </c>
      <c r="D128" s="187">
        <f>SUM(D20:D127)</f>
        <v>4</v>
      </c>
      <c r="E128" s="188">
        <f>SUM(E20:E127)</f>
        <v>168.23893495865573</v>
      </c>
      <c r="F128" s="188">
        <f>SUM(F20:F127)</f>
        <v>672.95573983462293</v>
      </c>
      <c r="G128" s="55"/>
    </row>
    <row r="129" spans="1:7" ht="15.75" hidden="1" x14ac:dyDescent="0.25">
      <c r="A129" s="488" t="s">
        <v>1429</v>
      </c>
      <c r="B129" s="488"/>
      <c r="C129" s="488"/>
      <c r="D129" s="488"/>
      <c r="E129" s="488"/>
      <c r="F129" s="488"/>
      <c r="G129" s="488"/>
    </row>
    <row r="130" spans="1:7" ht="15.75" hidden="1" x14ac:dyDescent="0.25">
      <c r="A130" s="55"/>
      <c r="B130" s="55"/>
      <c r="C130" s="55"/>
      <c r="D130" s="55"/>
      <c r="E130" s="23"/>
      <c r="F130" s="55"/>
      <c r="G130" s="55"/>
    </row>
    <row r="131" spans="1:7" ht="15.75" hidden="1" x14ac:dyDescent="0.25">
      <c r="A131" s="494" t="s">
        <v>1430</v>
      </c>
      <c r="B131" s="495"/>
      <c r="C131" s="495"/>
      <c r="D131" s="495"/>
      <c r="E131" s="495"/>
      <c r="F131" s="495"/>
      <c r="G131" s="55"/>
    </row>
    <row r="132" spans="1:7" ht="15.75" hidden="1" x14ac:dyDescent="0.25">
      <c r="A132" s="55"/>
      <c r="B132" s="55"/>
      <c r="C132" s="55"/>
      <c r="D132" s="55"/>
      <c r="E132" s="23"/>
      <c r="F132" s="55"/>
      <c r="G132" s="55"/>
    </row>
    <row r="133" spans="1:7" ht="15.75" hidden="1" x14ac:dyDescent="0.25">
      <c r="A133" s="55"/>
      <c r="B133" s="260" t="s">
        <v>3</v>
      </c>
      <c r="C133" s="260" t="s">
        <v>2</v>
      </c>
      <c r="D133" s="260" t="s">
        <v>1431</v>
      </c>
      <c r="E133" s="261" t="s">
        <v>1432</v>
      </c>
      <c r="F133" s="55"/>
      <c r="G133" s="55"/>
    </row>
    <row r="134" spans="1:7" ht="15.75" hidden="1" x14ac:dyDescent="0.25">
      <c r="A134" s="55"/>
      <c r="B134" s="189" t="str">
        <f>+'HOJA D TRABAJO'!B188:C188</f>
        <v>chisitos</v>
      </c>
      <c r="C134" s="293">
        <f>+'HOJA D TRABAJO'!E188</f>
        <v>0</v>
      </c>
      <c r="D134" s="293">
        <f>IFERROR(('HOJA D TRABAJO'!I188/'HOJA D TRABAJO'!E188),0)</f>
        <v>0</v>
      </c>
      <c r="E134" s="190">
        <f>+D134*C134</f>
        <v>0</v>
      </c>
      <c r="F134" s="55"/>
      <c r="G134" s="55"/>
    </row>
    <row r="135" spans="1:7" s="66" customFormat="1" ht="15.75" hidden="1" x14ac:dyDescent="0.25">
      <c r="A135" s="55"/>
      <c r="B135" s="189" t="str">
        <f>+'HOJA D TRABAJO'!B189:C189</f>
        <v>Uniformes 2</v>
      </c>
      <c r="C135" s="293">
        <f>+'HOJA D TRABAJO'!E189</f>
        <v>0</v>
      </c>
      <c r="D135" s="293">
        <f>IFERROR(('HOJA D TRABAJO'!I189/'HOJA D TRABAJO'!E189),0)</f>
        <v>0</v>
      </c>
      <c r="E135" s="190">
        <f t="shared" ref="E135:E147" si="2">+D135*C135</f>
        <v>0</v>
      </c>
      <c r="F135" s="55"/>
      <c r="G135" s="55"/>
    </row>
    <row r="136" spans="1:7" s="66" customFormat="1" ht="15.75" hidden="1" x14ac:dyDescent="0.25">
      <c r="A136" s="55"/>
      <c r="B136" s="189" t="str">
        <f>+'HOJA D TRABAJO'!B190:C190</f>
        <v>Uniformes 3</v>
      </c>
      <c r="C136" s="293">
        <f>+'HOJA D TRABAJO'!E190</f>
        <v>0</v>
      </c>
      <c r="D136" s="293">
        <f>IFERROR(('HOJA D TRABAJO'!I190/'HOJA D TRABAJO'!E190),0)</f>
        <v>0</v>
      </c>
      <c r="E136" s="190">
        <f t="shared" si="2"/>
        <v>0</v>
      </c>
      <c r="F136" s="55"/>
      <c r="G136" s="55"/>
    </row>
    <row r="137" spans="1:7" s="66" customFormat="1" ht="15.75" hidden="1" x14ac:dyDescent="0.25">
      <c r="A137" s="55"/>
      <c r="B137" s="189" t="str">
        <f>+'HOJA D TRABAJO'!B191:C191</f>
        <v>Uniformes 4</v>
      </c>
      <c r="C137" s="293">
        <f>+'HOJA D TRABAJO'!E191</f>
        <v>0</v>
      </c>
      <c r="D137" s="293">
        <f>IFERROR(('HOJA D TRABAJO'!I191/'HOJA D TRABAJO'!E191),0)</f>
        <v>0</v>
      </c>
      <c r="E137" s="190">
        <f t="shared" si="2"/>
        <v>0</v>
      </c>
      <c r="F137" s="55"/>
      <c r="G137" s="55"/>
    </row>
    <row r="138" spans="1:7" s="66" customFormat="1" ht="15.75" hidden="1" x14ac:dyDescent="0.25">
      <c r="A138" s="55"/>
      <c r="B138" s="189" t="str">
        <f>+'HOJA D TRABAJO'!B192:C192</f>
        <v>Uniformes 5</v>
      </c>
      <c r="C138" s="293">
        <f>+'HOJA D TRABAJO'!E192</f>
        <v>0</v>
      </c>
      <c r="D138" s="293">
        <f>IFERROR(('HOJA D TRABAJO'!I192/'HOJA D TRABAJO'!E192),0)</f>
        <v>0</v>
      </c>
      <c r="E138" s="190">
        <f t="shared" si="2"/>
        <v>0</v>
      </c>
      <c r="F138" s="55"/>
      <c r="G138" s="55"/>
    </row>
    <row r="139" spans="1:7" s="66" customFormat="1" ht="15.75" hidden="1" x14ac:dyDescent="0.25">
      <c r="A139" s="55"/>
      <c r="B139" s="189" t="str">
        <f>+'HOJA D TRABAJO'!B193:C193</f>
        <v>Uniformes 6</v>
      </c>
      <c r="C139" s="293">
        <f>+'HOJA D TRABAJO'!E193</f>
        <v>0</v>
      </c>
      <c r="D139" s="293">
        <f>IFERROR(('HOJA D TRABAJO'!I193/'HOJA D TRABAJO'!E193),0)</f>
        <v>0</v>
      </c>
      <c r="E139" s="190">
        <f t="shared" si="2"/>
        <v>0</v>
      </c>
      <c r="F139" s="55"/>
      <c r="G139" s="55"/>
    </row>
    <row r="140" spans="1:7" s="66" customFormat="1" ht="15.75" hidden="1" x14ac:dyDescent="0.25">
      <c r="A140" s="55"/>
      <c r="B140" s="189" t="str">
        <f>+'HOJA D TRABAJO'!B194:C194</f>
        <v>Uniformes 7</v>
      </c>
      <c r="C140" s="293">
        <f>+'HOJA D TRABAJO'!E194</f>
        <v>0</v>
      </c>
      <c r="D140" s="293">
        <f>IFERROR(('HOJA D TRABAJO'!I194/'HOJA D TRABAJO'!E194),0)</f>
        <v>0</v>
      </c>
      <c r="E140" s="190">
        <f t="shared" si="2"/>
        <v>0</v>
      </c>
      <c r="F140" s="55"/>
      <c r="G140" s="55"/>
    </row>
    <row r="141" spans="1:7" s="66" customFormat="1" ht="15.75" hidden="1" x14ac:dyDescent="0.25">
      <c r="A141" s="55"/>
      <c r="B141" s="189" t="str">
        <f>+'HOJA D TRABAJO'!B195:C195</f>
        <v>Uniformes 8</v>
      </c>
      <c r="C141" s="293">
        <f>+'HOJA D TRABAJO'!E195</f>
        <v>0</v>
      </c>
      <c r="D141" s="293">
        <f>IFERROR(('HOJA D TRABAJO'!I195/'HOJA D TRABAJO'!E195),0)</f>
        <v>0</v>
      </c>
      <c r="E141" s="190">
        <f t="shared" si="2"/>
        <v>0</v>
      </c>
      <c r="F141" s="55"/>
      <c r="G141" s="55"/>
    </row>
    <row r="142" spans="1:7" s="66" customFormat="1" ht="15.75" hidden="1" x14ac:dyDescent="0.25">
      <c r="A142" s="55"/>
      <c r="B142" s="189" t="str">
        <f>+'HOJA D TRABAJO'!B196:C196</f>
        <v>Uniformes 9</v>
      </c>
      <c r="C142" s="293">
        <f>+'HOJA D TRABAJO'!E196</f>
        <v>0</v>
      </c>
      <c r="D142" s="293">
        <f>IFERROR(('HOJA D TRABAJO'!I196/'HOJA D TRABAJO'!E196),0)</f>
        <v>0</v>
      </c>
      <c r="E142" s="190">
        <f t="shared" si="2"/>
        <v>0</v>
      </c>
      <c r="F142" s="55"/>
      <c r="G142" s="55"/>
    </row>
    <row r="143" spans="1:7" s="66" customFormat="1" ht="15.75" hidden="1" x14ac:dyDescent="0.25">
      <c r="A143" s="55"/>
      <c r="B143" s="189" t="str">
        <f>+'HOJA D TRABAJO'!B197:C197</f>
        <v>Uniformes 10</v>
      </c>
      <c r="C143" s="293">
        <f>+'HOJA D TRABAJO'!E197</f>
        <v>0</v>
      </c>
      <c r="D143" s="293">
        <f>IFERROR(('HOJA D TRABAJO'!I197/'HOJA D TRABAJO'!E197),0)</f>
        <v>0</v>
      </c>
      <c r="E143" s="190">
        <f t="shared" si="2"/>
        <v>0</v>
      </c>
      <c r="F143" s="55"/>
      <c r="G143" s="55"/>
    </row>
    <row r="144" spans="1:7" s="66" customFormat="1" ht="15.75" hidden="1" x14ac:dyDescent="0.25">
      <c r="A144" s="55"/>
      <c r="B144" s="189" t="str">
        <f>+'HOJA D TRABAJO'!B198:C198</f>
        <v>Uniformes 11</v>
      </c>
      <c r="C144" s="293">
        <f>+'HOJA D TRABAJO'!E198</f>
        <v>0</v>
      </c>
      <c r="D144" s="293">
        <f>IFERROR(('HOJA D TRABAJO'!I198/'HOJA D TRABAJO'!E198),0)</f>
        <v>0</v>
      </c>
      <c r="E144" s="190">
        <f t="shared" si="2"/>
        <v>0</v>
      </c>
      <c r="F144" s="55"/>
      <c r="G144" s="55"/>
    </row>
    <row r="145" spans="1:7" s="66" customFormat="1" ht="15.75" hidden="1" x14ac:dyDescent="0.25">
      <c r="A145" s="55"/>
      <c r="B145" s="189" t="str">
        <f>+'HOJA D TRABAJO'!B199:C199</f>
        <v>Uniformes 12</v>
      </c>
      <c r="C145" s="293">
        <f>+'HOJA D TRABAJO'!E199</f>
        <v>0</v>
      </c>
      <c r="D145" s="293">
        <f>IFERROR(('HOJA D TRABAJO'!I199/'HOJA D TRABAJO'!E199),0)</f>
        <v>0</v>
      </c>
      <c r="E145" s="190">
        <f t="shared" si="2"/>
        <v>0</v>
      </c>
      <c r="F145" s="55"/>
      <c r="G145" s="55"/>
    </row>
    <row r="146" spans="1:7" s="66" customFormat="1" ht="15.75" hidden="1" x14ac:dyDescent="0.25">
      <c r="A146" s="55"/>
      <c r="B146" s="189" t="str">
        <f>+'HOJA D TRABAJO'!B200:C200</f>
        <v>Uniformes 13</v>
      </c>
      <c r="C146" s="293">
        <f>+'HOJA D TRABAJO'!E200</f>
        <v>0</v>
      </c>
      <c r="D146" s="293">
        <f>IFERROR(('HOJA D TRABAJO'!I200/'HOJA D TRABAJO'!E200),0)</f>
        <v>0</v>
      </c>
      <c r="E146" s="190">
        <f t="shared" si="2"/>
        <v>0</v>
      </c>
      <c r="F146" s="55"/>
      <c r="G146" s="55"/>
    </row>
    <row r="147" spans="1:7" s="66" customFormat="1" ht="15.75" hidden="1" x14ac:dyDescent="0.25">
      <c r="A147" s="55"/>
      <c r="B147" s="189" t="str">
        <f>+'HOJA D TRABAJO'!B201:C201</f>
        <v>Uniformes 14</v>
      </c>
      <c r="C147" s="293">
        <f>+'HOJA D TRABAJO'!E201</f>
        <v>0</v>
      </c>
      <c r="D147" s="293">
        <f>IFERROR(('HOJA D TRABAJO'!I201/'HOJA D TRABAJO'!E201),0)</f>
        <v>0</v>
      </c>
      <c r="E147" s="190">
        <f t="shared" si="2"/>
        <v>0</v>
      </c>
      <c r="F147" s="55"/>
      <c r="G147" s="55"/>
    </row>
    <row r="148" spans="1:7" s="66" customFormat="1" ht="15.75" hidden="1" x14ac:dyDescent="0.25">
      <c r="A148" s="55"/>
      <c r="B148" s="189" t="str">
        <f>+'HOJA D TRABAJO'!B210:C210</f>
        <v>SERVICIOS 1</v>
      </c>
      <c r="C148" s="293">
        <f>+'HOJA D TRABAJO'!E210</f>
        <v>0</v>
      </c>
      <c r="D148" s="293">
        <f>IFERROR(('HOJA D TRABAJO'!I210/'HOJA D TRABAJO'!E210),0)</f>
        <v>0</v>
      </c>
      <c r="E148" s="190">
        <f>+D148*C148</f>
        <v>0</v>
      </c>
      <c r="F148" s="55"/>
      <c r="G148" s="55"/>
    </row>
    <row r="149" spans="1:7" s="66" customFormat="1" ht="15.75" hidden="1" x14ac:dyDescent="0.25">
      <c r="A149" s="55"/>
      <c r="B149" s="189" t="str">
        <f>+'HOJA D TRABAJO'!B211:C211</f>
        <v>SERVICIOS 2</v>
      </c>
      <c r="C149" s="293">
        <f>+'HOJA D TRABAJO'!E211</f>
        <v>0</v>
      </c>
      <c r="D149" s="293">
        <f>IFERROR(('HOJA D TRABAJO'!I211/'HOJA D TRABAJO'!E211),0)</f>
        <v>0</v>
      </c>
      <c r="E149" s="190">
        <f t="shared" ref="E149:E162" si="3">+D149*C149</f>
        <v>0</v>
      </c>
      <c r="F149" s="55"/>
      <c r="G149" s="55"/>
    </row>
    <row r="150" spans="1:7" s="66" customFormat="1" ht="15.75" hidden="1" x14ac:dyDescent="0.25">
      <c r="A150" s="55"/>
      <c r="B150" s="189" t="str">
        <f>+'HOJA D TRABAJO'!B212:C212</f>
        <v>SERVICIOS 3</v>
      </c>
      <c r="C150" s="293">
        <f>+'HOJA D TRABAJO'!E212</f>
        <v>0</v>
      </c>
      <c r="D150" s="293">
        <f>IFERROR(('HOJA D TRABAJO'!I212/'HOJA D TRABAJO'!E212),0)</f>
        <v>0</v>
      </c>
      <c r="E150" s="190">
        <f t="shared" si="3"/>
        <v>0</v>
      </c>
      <c r="F150" s="55"/>
      <c r="G150" s="55"/>
    </row>
    <row r="151" spans="1:7" s="66" customFormat="1" ht="15.75" hidden="1" x14ac:dyDescent="0.25">
      <c r="A151" s="55"/>
      <c r="B151" s="189" t="str">
        <f>+'HOJA D TRABAJO'!B213:C213</f>
        <v>SERVICIOS 4</v>
      </c>
      <c r="C151" s="293">
        <f>+'HOJA D TRABAJO'!E213</f>
        <v>0</v>
      </c>
      <c r="D151" s="293">
        <f>IFERROR(('HOJA D TRABAJO'!I213/'HOJA D TRABAJO'!E213),0)</f>
        <v>0</v>
      </c>
      <c r="E151" s="190">
        <f t="shared" si="3"/>
        <v>0</v>
      </c>
      <c r="F151" s="55"/>
      <c r="G151" s="55"/>
    </row>
    <row r="152" spans="1:7" s="66" customFormat="1" ht="15.75" hidden="1" x14ac:dyDescent="0.25">
      <c r="A152" s="55"/>
      <c r="B152" s="189" t="str">
        <f>+'HOJA D TRABAJO'!B214:C214</f>
        <v>SERVICIOS 5</v>
      </c>
      <c r="C152" s="293">
        <f>+'HOJA D TRABAJO'!E214</f>
        <v>0</v>
      </c>
      <c r="D152" s="293">
        <f>IFERROR(('HOJA D TRABAJO'!I214/'HOJA D TRABAJO'!E214),0)</f>
        <v>0</v>
      </c>
      <c r="E152" s="190">
        <f t="shared" si="3"/>
        <v>0</v>
      </c>
      <c r="F152" s="55"/>
      <c r="G152" s="55"/>
    </row>
    <row r="153" spans="1:7" s="66" customFormat="1" ht="15.75" hidden="1" x14ac:dyDescent="0.25">
      <c r="A153" s="55"/>
      <c r="B153" s="189" t="str">
        <f>+'HOJA D TRABAJO'!B215:C215</f>
        <v>SERVICIOS 6</v>
      </c>
      <c r="C153" s="293">
        <f>+'HOJA D TRABAJO'!E215</f>
        <v>0</v>
      </c>
      <c r="D153" s="293">
        <f>IFERROR(('HOJA D TRABAJO'!I215/'HOJA D TRABAJO'!E215),0)</f>
        <v>0</v>
      </c>
      <c r="E153" s="190">
        <f t="shared" si="3"/>
        <v>0</v>
      </c>
      <c r="F153" s="55"/>
      <c r="G153" s="55"/>
    </row>
    <row r="154" spans="1:7" s="66" customFormat="1" ht="15.75" hidden="1" x14ac:dyDescent="0.25">
      <c r="A154" s="55"/>
      <c r="B154" s="189" t="str">
        <f>+'HOJA D TRABAJO'!B216:C216</f>
        <v>SERVICIOS 7</v>
      </c>
      <c r="C154" s="293">
        <f>+'HOJA D TRABAJO'!E216</f>
        <v>0</v>
      </c>
      <c r="D154" s="293">
        <f>IFERROR(('HOJA D TRABAJO'!I216/'HOJA D TRABAJO'!E216),0)</f>
        <v>0</v>
      </c>
      <c r="E154" s="190">
        <f t="shared" si="3"/>
        <v>0</v>
      </c>
      <c r="F154" s="55"/>
      <c r="G154" s="55"/>
    </row>
    <row r="155" spans="1:7" s="66" customFormat="1" ht="15.75" hidden="1" x14ac:dyDescent="0.25">
      <c r="A155" s="55"/>
      <c r="B155" s="189" t="str">
        <f>+'HOJA D TRABAJO'!B217:C217</f>
        <v>SERVICIOS 8</v>
      </c>
      <c r="C155" s="293">
        <f>+'HOJA D TRABAJO'!E217</f>
        <v>0</v>
      </c>
      <c r="D155" s="293">
        <f>IFERROR(('HOJA D TRABAJO'!I217/'HOJA D TRABAJO'!E217),0)</f>
        <v>0</v>
      </c>
      <c r="E155" s="190">
        <f t="shared" si="3"/>
        <v>0</v>
      </c>
      <c r="F155" s="55"/>
      <c r="G155" s="55"/>
    </row>
    <row r="156" spans="1:7" s="66" customFormat="1" ht="15.75" hidden="1" x14ac:dyDescent="0.25">
      <c r="A156" s="55"/>
      <c r="B156" s="189" t="str">
        <f>+'HOJA D TRABAJO'!B218:C218</f>
        <v>SERVICIOS 9</v>
      </c>
      <c r="C156" s="293">
        <f>+'HOJA D TRABAJO'!E218</f>
        <v>0</v>
      </c>
      <c r="D156" s="293">
        <f>IFERROR(('HOJA D TRABAJO'!I218/'HOJA D TRABAJO'!E218),0)</f>
        <v>0</v>
      </c>
      <c r="E156" s="190">
        <f t="shared" si="3"/>
        <v>0</v>
      </c>
      <c r="F156" s="55"/>
      <c r="G156" s="55"/>
    </row>
    <row r="157" spans="1:7" s="66" customFormat="1" ht="15.75" hidden="1" x14ac:dyDescent="0.25">
      <c r="A157" s="55"/>
      <c r="B157" s="189" t="str">
        <f>+'HOJA D TRABAJO'!B219:C219</f>
        <v>SERVICIOS 10</v>
      </c>
      <c r="C157" s="293">
        <f>+'HOJA D TRABAJO'!E219</f>
        <v>0</v>
      </c>
      <c r="D157" s="293">
        <f>IFERROR(('HOJA D TRABAJO'!I219/'HOJA D TRABAJO'!E219),0)</f>
        <v>0</v>
      </c>
      <c r="E157" s="190">
        <f t="shared" si="3"/>
        <v>0</v>
      </c>
      <c r="F157" s="55"/>
      <c r="G157" s="55"/>
    </row>
    <row r="158" spans="1:7" s="66" customFormat="1" ht="15.75" hidden="1" x14ac:dyDescent="0.25">
      <c r="A158" s="55"/>
      <c r="B158" s="189" t="str">
        <f>+'HOJA D TRABAJO'!B220:C220</f>
        <v>SERVICIOS 11</v>
      </c>
      <c r="C158" s="293">
        <f>+'HOJA D TRABAJO'!E220</f>
        <v>0</v>
      </c>
      <c r="D158" s="293">
        <f>IFERROR(('HOJA D TRABAJO'!I220/'HOJA D TRABAJO'!E220),0)</f>
        <v>0</v>
      </c>
      <c r="E158" s="190">
        <f t="shared" si="3"/>
        <v>0</v>
      </c>
      <c r="F158" s="55"/>
      <c r="G158" s="55"/>
    </row>
    <row r="159" spans="1:7" s="66" customFormat="1" ht="15.75" hidden="1" x14ac:dyDescent="0.25">
      <c r="A159" s="55"/>
      <c r="B159" s="189" t="str">
        <f>+'HOJA D TRABAJO'!B221:C221</f>
        <v>SERVICIOS 12</v>
      </c>
      <c r="C159" s="293">
        <f>+'HOJA D TRABAJO'!E221</f>
        <v>0</v>
      </c>
      <c r="D159" s="293">
        <f>IFERROR(('HOJA D TRABAJO'!I221/'HOJA D TRABAJO'!E221),0)</f>
        <v>0</v>
      </c>
      <c r="E159" s="190">
        <f t="shared" si="3"/>
        <v>0</v>
      </c>
      <c r="F159" s="55"/>
      <c r="G159" s="55"/>
    </row>
    <row r="160" spans="1:7" s="66" customFormat="1" ht="15.75" hidden="1" x14ac:dyDescent="0.25">
      <c r="A160" s="55"/>
      <c r="B160" s="189" t="str">
        <f>+'HOJA D TRABAJO'!B222:C222</f>
        <v>SERVICIOS 13</v>
      </c>
      <c r="C160" s="293">
        <f>+'HOJA D TRABAJO'!E222</f>
        <v>0</v>
      </c>
      <c r="D160" s="293">
        <f>IFERROR(('HOJA D TRABAJO'!I222/'HOJA D TRABAJO'!E222),0)</f>
        <v>0</v>
      </c>
      <c r="E160" s="190">
        <f t="shared" si="3"/>
        <v>0</v>
      </c>
      <c r="F160" s="55"/>
      <c r="G160" s="55"/>
    </row>
    <row r="161" spans="1:7" s="66" customFormat="1" ht="15.75" hidden="1" x14ac:dyDescent="0.25">
      <c r="A161" s="55"/>
      <c r="B161" s="189" t="str">
        <f>+'HOJA D TRABAJO'!B223:C223</f>
        <v>SERVICIOS 14</v>
      </c>
      <c r="C161" s="293">
        <f>+'HOJA D TRABAJO'!E223</f>
        <v>0</v>
      </c>
      <c r="D161" s="293">
        <f>IFERROR(('HOJA D TRABAJO'!I223/'HOJA D TRABAJO'!E223),0)</f>
        <v>0</v>
      </c>
      <c r="E161" s="190">
        <f t="shared" si="3"/>
        <v>0</v>
      </c>
      <c r="F161" s="55"/>
      <c r="G161" s="55"/>
    </row>
    <row r="162" spans="1:7" s="66" customFormat="1" ht="15.75" hidden="1" x14ac:dyDescent="0.25">
      <c r="A162" s="55"/>
      <c r="B162" s="189" t="str">
        <f>+'HOJA D TRABAJO'!B224:C224</f>
        <v>SERVICIOS 15</v>
      </c>
      <c r="C162" s="293">
        <f>+'HOJA D TRABAJO'!E224</f>
        <v>0</v>
      </c>
      <c r="D162" s="293">
        <f>IFERROR(('HOJA D TRABAJO'!I224/'HOJA D TRABAJO'!E224),0)</f>
        <v>0</v>
      </c>
      <c r="E162" s="190">
        <f t="shared" si="3"/>
        <v>0</v>
      </c>
      <c r="F162" s="55"/>
      <c r="G162" s="55"/>
    </row>
    <row r="163" spans="1:7" s="97" customFormat="1" ht="15.75" hidden="1" x14ac:dyDescent="0.25">
      <c r="A163" s="168"/>
      <c r="B163" s="191">
        <f>+'HOJA D TRABAJO'!B233</f>
        <v>0</v>
      </c>
      <c r="C163" s="293">
        <f>+'HOJA D TRABAJO'!G233</f>
        <v>0</v>
      </c>
      <c r="D163" s="293">
        <f>IFERROR((E163/C163),0)</f>
        <v>0</v>
      </c>
      <c r="E163" s="190">
        <f>+'HOJA D TRABAJO'!I233</f>
        <v>0</v>
      </c>
      <c r="F163" s="168"/>
      <c r="G163" s="168"/>
    </row>
    <row r="164" spans="1:7" s="97" customFormat="1" ht="15.75" hidden="1" x14ac:dyDescent="0.25">
      <c r="A164" s="168"/>
      <c r="B164" s="191">
        <f>+'HOJA D TRABAJO'!B234</f>
        <v>0</v>
      </c>
      <c r="C164" s="293">
        <f>+'HOJA D TRABAJO'!G234</f>
        <v>0</v>
      </c>
      <c r="D164" s="293">
        <f>IFERROR((E164/C164),0)</f>
        <v>0</v>
      </c>
      <c r="E164" s="190">
        <f>+'HOJA D TRABAJO'!I234</f>
        <v>0</v>
      </c>
      <c r="F164" s="168"/>
      <c r="G164" s="168"/>
    </row>
    <row r="165" spans="1:7" s="97" customFormat="1" ht="15.75" hidden="1" x14ac:dyDescent="0.25">
      <c r="A165" s="168"/>
      <c r="B165" s="191" t="str">
        <f>+'HOJA D TRABAJO'!B240</f>
        <v>ARMADO DE IMAGEN</v>
      </c>
      <c r="C165" s="293">
        <f>+'HOJA D TRABAJO'!G240</f>
        <v>0</v>
      </c>
      <c r="D165" s="293">
        <f>IFERROR((E165/C165),0)</f>
        <v>0</v>
      </c>
      <c r="E165" s="190">
        <f>+'HOJA D TRABAJO'!I240</f>
        <v>0</v>
      </c>
      <c r="F165" s="168"/>
      <c r="G165" s="168"/>
    </row>
    <row r="166" spans="1:7" s="97" customFormat="1" ht="15.75" hidden="1" x14ac:dyDescent="0.25">
      <c r="A166" s="238"/>
      <c r="B166" s="191" t="str">
        <f>+'HOJA D TRABAJO'!B241</f>
        <v>ARMADO DE IMAGEN B</v>
      </c>
      <c r="C166" s="293">
        <f>+'HOJA D TRABAJO'!G241</f>
        <v>0</v>
      </c>
      <c r="D166" s="293">
        <f>IFERROR((E166/C166),0)</f>
        <v>0</v>
      </c>
      <c r="E166" s="190">
        <f>+'HOJA D TRABAJO'!I241</f>
        <v>0</v>
      </c>
      <c r="F166" s="238"/>
      <c r="G166" s="238"/>
    </row>
    <row r="167" spans="1:7" s="97" customFormat="1" ht="15.75" hidden="1" x14ac:dyDescent="0.25">
      <c r="A167" s="238"/>
      <c r="B167" s="191" t="str">
        <f>+'HOJA D TRABAJO'!$B$247</f>
        <v>SERVICIOS DE TRANSPORTE</v>
      </c>
      <c r="C167" s="293">
        <f>+'HOJA D TRABAJO'!G247</f>
        <v>0</v>
      </c>
      <c r="D167" s="293">
        <f t="shared" ref="D167:D168" si="4">IFERROR((E167/C167),0)</f>
        <v>0</v>
      </c>
      <c r="E167" s="190">
        <f>+'HOJA D TRABAJO'!I247</f>
        <v>0</v>
      </c>
      <c r="F167" s="238"/>
      <c r="G167" s="238"/>
    </row>
    <row r="168" spans="1:7" s="97" customFormat="1" ht="15.75" hidden="1" x14ac:dyDescent="0.25">
      <c r="A168" s="238"/>
      <c r="B168" s="191" t="str">
        <f>+'HOJA D TRABAJO'!$B$248</f>
        <v>SERVICIOS DE TRANSPORTEB</v>
      </c>
      <c r="C168" s="293">
        <f>+'HOJA D TRABAJO'!G248</f>
        <v>0</v>
      </c>
      <c r="D168" s="293">
        <f t="shared" si="4"/>
        <v>0</v>
      </c>
      <c r="E168" s="190">
        <f>+'HOJA D TRABAJO'!I248</f>
        <v>0</v>
      </c>
      <c r="F168" s="238"/>
      <c r="G168" s="238"/>
    </row>
    <row r="169" spans="1:7" ht="15.75" hidden="1" x14ac:dyDescent="0.25">
      <c r="A169" s="55"/>
      <c r="B169" s="55"/>
      <c r="C169" s="55"/>
      <c r="D169" s="260" t="s">
        <v>1433</v>
      </c>
      <c r="E169" s="262">
        <f>SUM(E134:E168)</f>
        <v>0</v>
      </c>
      <c r="F169" s="23"/>
      <c r="G169" s="55"/>
    </row>
    <row r="170" spans="1:7" ht="15.75" hidden="1" x14ac:dyDescent="0.25">
      <c r="A170" s="55"/>
      <c r="B170" s="55"/>
      <c r="C170" s="55"/>
      <c r="D170" s="260" t="s">
        <v>1434</v>
      </c>
      <c r="E170" s="262">
        <f>+E169*'HOJA D TRABAJO'!C260</f>
        <v>0</v>
      </c>
      <c r="F170" s="55"/>
      <c r="G170" s="55"/>
    </row>
    <row r="171" spans="1:7" ht="15.75" hidden="1" x14ac:dyDescent="0.25">
      <c r="A171" s="55"/>
      <c r="B171" s="55"/>
      <c r="C171" s="55"/>
      <c r="D171" s="263" t="s">
        <v>1475</v>
      </c>
      <c r="E171" s="262">
        <f>+E172-E169-E170</f>
        <v>0</v>
      </c>
      <c r="F171" s="55"/>
      <c r="G171" s="55"/>
    </row>
    <row r="172" spans="1:7" ht="15.75" hidden="1" x14ac:dyDescent="0.25">
      <c r="A172" s="55"/>
      <c r="B172" s="55"/>
      <c r="C172" s="55"/>
      <c r="D172" s="260" t="s">
        <v>1435</v>
      </c>
      <c r="E172" s="262">
        <f>(E169+E170)/0.84</f>
        <v>0</v>
      </c>
      <c r="F172" s="105"/>
      <c r="G172" s="55"/>
    </row>
    <row r="173" spans="1:7" s="97" customFormat="1" ht="15.75" hidden="1" customHeight="1" x14ac:dyDescent="0.25">
      <c r="A173" s="497" t="str">
        <f>IF('HOJA D TRABAJO'!I15="EXTERNO","",IF('HOJA D TRABAJO'!I15="INTERNO","ESTE PRECIO COTIZADO ES SOLO PARA UNIDADES INTERNAS DE GRUPO REGIONAL SRL"))</f>
        <v/>
      </c>
      <c r="B173" s="497"/>
      <c r="C173" s="497"/>
      <c r="D173" s="497"/>
      <c r="E173" s="497"/>
      <c r="F173" s="497"/>
      <c r="G173" s="497"/>
    </row>
    <row r="174" spans="1:7" s="97" customFormat="1" ht="15.75" hidden="1" customHeight="1" x14ac:dyDescent="0.25">
      <c r="A174" s="497"/>
      <c r="B174" s="497"/>
      <c r="C174" s="497"/>
      <c r="D174" s="497"/>
      <c r="E174" s="497"/>
      <c r="F174" s="497"/>
      <c r="G174" s="497"/>
    </row>
    <row r="175" spans="1:7" s="97" customFormat="1" ht="15.75" hidden="1" customHeight="1" x14ac:dyDescent="0.25">
      <c r="A175" s="497"/>
      <c r="B175" s="497"/>
      <c r="C175" s="497"/>
      <c r="D175" s="497"/>
      <c r="E175" s="497"/>
      <c r="F175" s="497"/>
      <c r="G175" s="497"/>
    </row>
    <row r="176" spans="1:7" ht="15.75" hidden="1" x14ac:dyDescent="0.25">
      <c r="A176" s="488" t="s">
        <v>1436</v>
      </c>
      <c r="B176" s="488"/>
      <c r="C176" s="488"/>
      <c r="D176" s="488"/>
      <c r="E176" s="488"/>
      <c r="F176" s="488"/>
      <c r="G176" s="488"/>
    </row>
    <row r="177" spans="1:7" ht="15.75" x14ac:dyDescent="0.25">
      <c r="A177" s="496" t="s">
        <v>1600</v>
      </c>
      <c r="B177" s="496"/>
      <c r="C177" s="496"/>
      <c r="D177" s="496"/>
      <c r="E177" s="496"/>
      <c r="F177" s="496"/>
      <c r="G177" s="496"/>
    </row>
    <row r="178" spans="1:7" ht="15.75" x14ac:dyDescent="0.25">
      <c r="A178" s="488" t="s">
        <v>1437</v>
      </c>
      <c r="B178" s="488"/>
      <c r="C178" s="488"/>
      <c r="D178" s="488"/>
      <c r="E178" s="488"/>
      <c r="F178" s="488"/>
      <c r="G178" s="488"/>
    </row>
    <row r="179" spans="1:7" ht="15.75" x14ac:dyDescent="0.25">
      <c r="A179" s="55"/>
      <c r="B179" s="488" t="s">
        <v>1592</v>
      </c>
      <c r="C179" s="488"/>
      <c r="D179" s="488"/>
      <c r="E179" s="488"/>
      <c r="F179" s="488"/>
      <c r="G179" s="488"/>
    </row>
    <row r="180" spans="1:7" ht="15.75" x14ac:dyDescent="0.25">
      <c r="A180" s="55"/>
      <c r="B180" s="488" t="s">
        <v>1599</v>
      </c>
      <c r="C180" s="488"/>
      <c r="D180" s="488"/>
      <c r="E180" s="488"/>
      <c r="F180" s="488"/>
      <c r="G180" s="488"/>
    </row>
    <row r="181" spans="1:7" ht="15.75" x14ac:dyDescent="0.25">
      <c r="A181" s="55"/>
      <c r="B181" s="491" t="s">
        <v>1593</v>
      </c>
      <c r="C181" s="491"/>
      <c r="D181" s="491"/>
      <c r="E181" s="491"/>
      <c r="F181" s="491"/>
      <c r="G181" s="491"/>
    </row>
    <row r="182" spans="1:7" ht="15.75" hidden="1" x14ac:dyDescent="0.25">
      <c r="A182" s="55"/>
      <c r="B182" s="491" t="s">
        <v>1438</v>
      </c>
      <c r="C182" s="491"/>
      <c r="D182" s="491"/>
      <c r="E182" s="491"/>
      <c r="F182" s="491"/>
      <c r="G182" s="491"/>
    </row>
    <row r="183" spans="1:7" ht="15.75" hidden="1" x14ac:dyDescent="0.25">
      <c r="A183" s="55"/>
      <c r="B183" s="491" t="s">
        <v>1439</v>
      </c>
      <c r="C183" s="491"/>
      <c r="D183" s="491"/>
      <c r="E183" s="491"/>
      <c r="F183" s="491"/>
      <c r="G183" s="491"/>
    </row>
    <row r="184" spans="1:7" ht="15.75" hidden="1" x14ac:dyDescent="0.25">
      <c r="A184" s="55"/>
      <c r="B184" s="488" t="s">
        <v>1440</v>
      </c>
      <c r="C184" s="488"/>
      <c r="D184" s="488"/>
      <c r="E184" s="488"/>
      <c r="F184" s="488"/>
      <c r="G184" s="55"/>
    </row>
    <row r="185" spans="1:7" ht="15.75" hidden="1" x14ac:dyDescent="0.25">
      <c r="A185" s="55"/>
      <c r="B185" s="491" t="s">
        <v>1441</v>
      </c>
      <c r="C185" s="491"/>
      <c r="D185" s="491"/>
      <c r="E185" s="491"/>
      <c r="F185" s="491"/>
      <c r="G185" s="491"/>
    </row>
    <row r="186" spans="1:7" ht="15.75" hidden="1" x14ac:dyDescent="0.25">
      <c r="A186" s="55"/>
      <c r="B186" s="492" t="s">
        <v>1442</v>
      </c>
      <c r="C186" s="492"/>
      <c r="D186" s="492"/>
      <c r="E186" s="492"/>
      <c r="F186" s="492"/>
      <c r="G186" s="492"/>
    </row>
    <row r="187" spans="1:7" ht="15" hidden="1" customHeight="1" x14ac:dyDescent="0.25">
      <c r="A187" s="55"/>
      <c r="B187" s="492" t="s">
        <v>1443</v>
      </c>
      <c r="C187" s="492"/>
      <c r="D187" s="492"/>
      <c r="E187" s="492"/>
      <c r="F187" s="492"/>
      <c r="G187" s="492"/>
    </row>
    <row r="188" spans="1:7" ht="15.75" hidden="1" x14ac:dyDescent="0.25">
      <c r="A188" s="55"/>
      <c r="B188" s="492" t="s">
        <v>1444</v>
      </c>
      <c r="C188" s="492"/>
      <c r="D188" s="492"/>
      <c r="E188" s="492"/>
      <c r="F188" s="492"/>
      <c r="G188" s="492"/>
    </row>
    <row r="189" spans="1:7" ht="15.75" x14ac:dyDescent="0.25">
      <c r="A189" s="55"/>
      <c r="B189" s="488" t="s">
        <v>1445</v>
      </c>
      <c r="C189" s="488"/>
      <c r="D189" s="488"/>
      <c r="E189" s="488"/>
      <c r="F189" s="488"/>
      <c r="G189" s="488"/>
    </row>
    <row r="190" spans="1:7" ht="15.75" x14ac:dyDescent="0.25">
      <c r="A190" s="55"/>
      <c r="B190" s="55"/>
      <c r="C190" s="55"/>
      <c r="D190" s="55"/>
      <c r="E190" s="23"/>
      <c r="F190" s="55"/>
      <c r="G190" s="55"/>
    </row>
    <row r="191" spans="1:7" ht="15.75" x14ac:dyDescent="0.25">
      <c r="A191" s="55"/>
      <c r="B191" s="55"/>
      <c r="C191" s="55"/>
      <c r="D191" s="55"/>
      <c r="E191" s="23"/>
      <c r="F191" s="55"/>
      <c r="G191" s="55"/>
    </row>
    <row r="192" spans="1:7" ht="15" customHeight="1" x14ac:dyDescent="0.25">
      <c r="A192" s="489" t="s">
        <v>1417</v>
      </c>
      <c r="B192" s="489"/>
      <c r="C192" s="489"/>
      <c r="D192" s="489"/>
      <c r="E192" s="489"/>
      <c r="F192" s="489"/>
      <c r="G192" s="489"/>
    </row>
    <row r="193" spans="1:7" x14ac:dyDescent="0.25">
      <c r="A193" s="489"/>
      <c r="B193" s="489"/>
      <c r="C193" s="489"/>
      <c r="D193" s="489"/>
      <c r="E193" s="489"/>
      <c r="F193" s="489"/>
      <c r="G193" s="489"/>
    </row>
    <row r="194" spans="1:7" ht="15.75" x14ac:dyDescent="0.25">
      <c r="A194" s="55"/>
      <c r="B194" s="55"/>
      <c r="C194" s="55"/>
      <c r="D194" s="55"/>
      <c r="E194" s="23"/>
      <c r="F194" s="55"/>
      <c r="G194" s="55"/>
    </row>
    <row r="195" spans="1:7" ht="15.75" x14ac:dyDescent="0.25">
      <c r="A195" s="55"/>
      <c r="B195" s="55"/>
      <c r="C195" s="55"/>
      <c r="D195" s="55"/>
      <c r="E195" s="23"/>
      <c r="F195" s="55"/>
      <c r="G195" s="55"/>
    </row>
    <row r="196" spans="1:7" ht="15.75" x14ac:dyDescent="0.25">
      <c r="A196" s="55"/>
      <c r="B196" s="55"/>
      <c r="C196" s="55"/>
      <c r="D196" s="55"/>
      <c r="E196" s="23"/>
      <c r="F196" s="55"/>
      <c r="G196" s="55"/>
    </row>
    <row r="197" spans="1:7" ht="15.75" x14ac:dyDescent="0.25">
      <c r="A197" s="55"/>
      <c r="B197" s="55"/>
      <c r="C197" s="55"/>
      <c r="D197" s="55"/>
      <c r="E197" s="23"/>
      <c r="F197" s="55"/>
      <c r="G197" s="55"/>
    </row>
    <row r="198" spans="1:7" ht="15.75" x14ac:dyDescent="0.25">
      <c r="A198" s="55"/>
      <c r="B198" s="55"/>
      <c r="C198" s="55"/>
      <c r="D198" s="55"/>
      <c r="E198" s="23"/>
      <c r="F198" s="55"/>
      <c r="G198" s="55"/>
    </row>
    <row r="199" spans="1:7" ht="15.75" x14ac:dyDescent="0.25">
      <c r="A199" s="55"/>
      <c r="B199" s="55"/>
      <c r="C199" s="55"/>
      <c r="D199" s="55"/>
      <c r="E199" s="23"/>
      <c r="F199" s="55"/>
      <c r="G199" s="55"/>
    </row>
    <row r="200" spans="1:7" ht="15.75" x14ac:dyDescent="0.25">
      <c r="A200" s="55"/>
      <c r="B200" s="55"/>
      <c r="C200" s="55"/>
      <c r="D200" s="55"/>
      <c r="E200" s="23"/>
      <c r="F200" s="55"/>
      <c r="G200" s="55"/>
    </row>
    <row r="201" spans="1:7" ht="15.75" x14ac:dyDescent="0.25">
      <c r="A201" s="55"/>
      <c r="B201" s="55"/>
      <c r="C201" s="55"/>
      <c r="D201" s="55"/>
      <c r="E201" s="23"/>
      <c r="F201" s="55"/>
      <c r="G201" s="55"/>
    </row>
    <row r="202" spans="1:7" ht="15" customHeight="1" x14ac:dyDescent="0.25">
      <c r="A202" s="490" t="s">
        <v>1446</v>
      </c>
      <c r="B202" s="490"/>
      <c r="C202" s="490"/>
      <c r="D202" s="490"/>
      <c r="E202" s="490"/>
      <c r="F202" s="490"/>
      <c r="G202" s="490"/>
    </row>
    <row r="203" spans="1:7" x14ac:dyDescent="0.25">
      <c r="A203" s="490"/>
      <c r="B203" s="490"/>
      <c r="C203" s="490"/>
      <c r="D203" s="490"/>
      <c r="E203" s="490"/>
      <c r="F203" s="490"/>
      <c r="G203" s="490"/>
    </row>
    <row r="204" spans="1:7" x14ac:dyDescent="0.25">
      <c r="A204" s="490"/>
      <c r="B204" s="490"/>
      <c r="C204" s="490"/>
      <c r="D204" s="490"/>
      <c r="E204" s="490"/>
      <c r="F204" s="490"/>
      <c r="G204" s="490"/>
    </row>
    <row r="205" spans="1:7" x14ac:dyDescent="0.25">
      <c r="A205" s="490"/>
      <c r="B205" s="490"/>
      <c r="C205" s="490"/>
      <c r="D205" s="490"/>
      <c r="E205" s="490"/>
      <c r="F205" s="490"/>
      <c r="G205" s="490"/>
    </row>
    <row r="206" spans="1:7" x14ac:dyDescent="0.25">
      <c r="A206" s="490"/>
      <c r="B206" s="490"/>
      <c r="C206" s="490"/>
      <c r="D206" s="490"/>
      <c r="E206" s="490"/>
      <c r="F206" s="490"/>
      <c r="G206" s="490"/>
    </row>
    <row r="209" ht="15" customHeight="1" x14ac:dyDescent="0.25"/>
  </sheetData>
  <mergeCells count="27">
    <mergeCell ref="A13:G13"/>
    <mergeCell ref="A5:G5"/>
    <mergeCell ref="A7:G7"/>
    <mergeCell ref="A8:G8"/>
    <mergeCell ref="A9:G9"/>
    <mergeCell ref="B11:G11"/>
    <mergeCell ref="B182:G182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  <mergeCell ref="A173:G175"/>
    <mergeCell ref="B189:G189"/>
    <mergeCell ref="A192:G193"/>
    <mergeCell ref="A202:G206"/>
    <mergeCell ref="B183:G183"/>
    <mergeCell ref="B184:F184"/>
    <mergeCell ref="B185:G185"/>
    <mergeCell ref="B186:G186"/>
    <mergeCell ref="B187:G187"/>
    <mergeCell ref="B188:G188"/>
  </mergeCell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exportar">
                <anchor moveWithCells="1">
                  <from>
                    <xdr:col>7</xdr:col>
                    <xdr:colOff>742950</xdr:colOff>
                    <xdr:row>4</xdr:row>
                    <xdr:rowOff>19050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199"/>
  <sheetViews>
    <sheetView topLeftCell="A13" workbookViewId="0">
      <selection activeCell="F23" sqref="F23"/>
    </sheetView>
  </sheetViews>
  <sheetFormatPr baseColWidth="10" defaultRowHeight="15" x14ac:dyDescent="0.25"/>
  <cols>
    <col min="2" max="2" width="30" customWidth="1"/>
    <col min="5" max="5" width="11.42578125" style="97"/>
    <col min="6" max="6" width="18.28515625" customWidth="1"/>
    <col min="7" max="7" width="13.42578125" style="57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1525</v>
      </c>
    </row>
    <row r="4" spans="1:9" ht="28.5" x14ac:dyDescent="0.45">
      <c r="B4" s="507" t="s">
        <v>1527</v>
      </c>
      <c r="C4" s="507"/>
      <c r="D4" s="507"/>
      <c r="E4" s="507"/>
      <c r="F4" s="507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81" t="s">
        <v>1476</v>
      </c>
      <c r="B7" s="82" t="s">
        <v>1477</v>
      </c>
      <c r="C7" s="82" t="s">
        <v>4</v>
      </c>
      <c r="D7" s="83" t="s">
        <v>7</v>
      </c>
      <c r="E7" s="83" t="s">
        <v>5</v>
      </c>
      <c r="F7" s="83" t="s">
        <v>1524</v>
      </c>
      <c r="G7" s="83" t="s">
        <v>1478</v>
      </c>
    </row>
    <row r="8" spans="1:9" ht="15.75" thickBot="1" x14ac:dyDescent="0.3">
      <c r="A8" s="67">
        <v>1</v>
      </c>
      <c r="B8" s="504" t="s">
        <v>1479</v>
      </c>
      <c r="C8" s="505"/>
      <c r="D8" s="505"/>
      <c r="E8" s="505"/>
      <c r="F8" s="506"/>
      <c r="G8" s="68">
        <f>G9</f>
        <v>0</v>
      </c>
    </row>
    <row r="9" spans="1:9" ht="15.75" thickBot="1" x14ac:dyDescent="0.3">
      <c r="A9" s="69">
        <v>1.2</v>
      </c>
      <c r="B9" s="501" t="s">
        <v>1480</v>
      </c>
      <c r="C9" s="502"/>
      <c r="D9" s="502"/>
      <c r="E9" s="502"/>
      <c r="F9" s="503"/>
      <c r="G9" s="70">
        <f>SUM(G10:G14)</f>
        <v>0</v>
      </c>
    </row>
    <row r="10" spans="1:9" x14ac:dyDescent="0.25">
      <c r="A10" s="71"/>
      <c r="B10" s="84"/>
      <c r="C10" s="85"/>
      <c r="D10" s="86"/>
      <c r="E10" s="100">
        <f t="shared" ref="E10:E74" si="0">+D10*C10</f>
        <v>0</v>
      </c>
      <c r="F10" s="101" t="s">
        <v>14</v>
      </c>
      <c r="G10" s="99">
        <f>IF(F10="FACTURA",E10*1,IF(F10=$I$3,E10/0.845,))</f>
        <v>0</v>
      </c>
    </row>
    <row r="11" spans="1:9" x14ac:dyDescent="0.25">
      <c r="A11" s="71"/>
      <c r="B11" s="84"/>
      <c r="C11" s="85"/>
      <c r="D11" s="86"/>
      <c r="E11" s="100">
        <f t="shared" si="0"/>
        <v>0</v>
      </c>
      <c r="F11" s="1" t="s">
        <v>1525</v>
      </c>
      <c r="G11" s="99">
        <f>IF(F11="FACTURA",E11*1,IF(F11=$I$3,E11/0.845,))</f>
        <v>0</v>
      </c>
    </row>
    <row r="12" spans="1:9" x14ac:dyDescent="0.25">
      <c r="A12" s="71"/>
      <c r="B12" s="84"/>
      <c r="C12" s="85"/>
      <c r="D12" s="86"/>
      <c r="E12" s="100">
        <f t="shared" si="0"/>
        <v>0</v>
      </c>
      <c r="F12" s="1" t="s">
        <v>1525</v>
      </c>
      <c r="G12" s="99">
        <f>IF(F12="FACTURA",E12*1,IF(F12=$I$3,E12/0.845,))</f>
        <v>0</v>
      </c>
    </row>
    <row r="13" spans="1:9" x14ac:dyDescent="0.25">
      <c r="A13" s="71"/>
      <c r="B13" s="84"/>
      <c r="C13" s="85"/>
      <c r="D13" s="86"/>
      <c r="E13" s="100">
        <f t="shared" si="0"/>
        <v>0</v>
      </c>
      <c r="F13" s="1" t="s">
        <v>1525</v>
      </c>
      <c r="G13" s="99">
        <f>IF(F13="FACTURA",E13*1,IF(F13=$I$3,E13/0.845,))</f>
        <v>0</v>
      </c>
    </row>
    <row r="14" spans="1:9" ht="15.75" thickBot="1" x14ac:dyDescent="0.3">
      <c r="A14" s="72"/>
      <c r="B14" s="87"/>
      <c r="C14" s="85"/>
      <c r="D14" s="86"/>
      <c r="E14" s="94">
        <f t="shared" si="0"/>
        <v>0</v>
      </c>
      <c r="F14" s="102" t="s">
        <v>1525</v>
      </c>
      <c r="G14" s="99">
        <f>IF(F14="FACTURA",E14*1,IF(F14=$I$3,E14/0.845,))</f>
        <v>0</v>
      </c>
    </row>
    <row r="15" spans="1:9" ht="15.75" thickBot="1" x14ac:dyDescent="0.3">
      <c r="A15" s="67">
        <v>2</v>
      </c>
      <c r="B15" s="504" t="s">
        <v>1343</v>
      </c>
      <c r="C15" s="505"/>
      <c r="D15" s="505"/>
      <c r="E15" s="505"/>
      <c r="F15" s="506"/>
      <c r="G15" s="68">
        <f>G16+G22+G28</f>
        <v>41.42011834319527</v>
      </c>
    </row>
    <row r="16" spans="1:9" ht="15.75" thickBot="1" x14ac:dyDescent="0.3">
      <c r="A16" s="73">
        <v>2.1</v>
      </c>
      <c r="B16" s="501" t="s">
        <v>1481</v>
      </c>
      <c r="C16" s="502"/>
      <c r="D16" s="502"/>
      <c r="E16" s="502"/>
      <c r="F16" s="503"/>
      <c r="G16" s="68">
        <f>SUM(G17:G21)</f>
        <v>0</v>
      </c>
    </row>
    <row r="17" spans="1:10" x14ac:dyDescent="0.25">
      <c r="A17" s="71"/>
      <c r="B17" s="84" t="s">
        <v>1482</v>
      </c>
      <c r="C17" s="85"/>
      <c r="D17" s="86"/>
      <c r="E17" s="86">
        <f t="shared" si="0"/>
        <v>0</v>
      </c>
      <c r="F17" s="101" t="s">
        <v>1525</v>
      </c>
      <c r="G17" s="99">
        <f>IF(F17="FACTURA",E17*1,IF(F17=$I$3,E17/0.845,))</f>
        <v>0</v>
      </c>
    </row>
    <row r="18" spans="1:10" x14ac:dyDescent="0.25">
      <c r="A18" s="74"/>
      <c r="B18" s="84"/>
      <c r="C18" s="85"/>
      <c r="D18" s="86"/>
      <c r="E18" s="100">
        <f t="shared" si="0"/>
        <v>0</v>
      </c>
      <c r="F18" s="1" t="s">
        <v>1525</v>
      </c>
      <c r="G18" s="99">
        <f>IF(F18="FACTURA",E18*1,IF(F18=$I$3,E18/0.845,))</f>
        <v>0</v>
      </c>
    </row>
    <row r="19" spans="1:10" x14ac:dyDescent="0.25">
      <c r="A19" s="74"/>
      <c r="B19" s="84"/>
      <c r="C19" s="85"/>
      <c r="D19" s="86"/>
      <c r="E19" s="100">
        <f t="shared" si="0"/>
        <v>0</v>
      </c>
      <c r="F19" s="1" t="s">
        <v>1525</v>
      </c>
      <c r="G19" s="99">
        <f>IF(F19="FACTURA",E19*1,IF(F19=$I$3,E19/0.845,))</f>
        <v>0</v>
      </c>
    </row>
    <row r="20" spans="1:10" x14ac:dyDescent="0.25">
      <c r="A20" s="74"/>
      <c r="B20" s="84"/>
      <c r="C20" s="85"/>
      <c r="D20" s="86"/>
      <c r="E20" s="100">
        <f t="shared" si="0"/>
        <v>0</v>
      </c>
      <c r="F20" s="1" t="s">
        <v>1525</v>
      </c>
      <c r="G20" s="99">
        <f>IF(F20="FACTURA",E20*1,IF(F20=$I$3,E20/0.845,))</f>
        <v>0</v>
      </c>
      <c r="J20" s="11">
        <f>+'Carta PDF'!E20</f>
        <v>168.23893495865573</v>
      </c>
    </row>
    <row r="21" spans="1:10" ht="15.75" thickBot="1" x14ac:dyDescent="0.3">
      <c r="A21" s="75"/>
      <c r="B21" s="87"/>
      <c r="C21" s="85"/>
      <c r="D21" s="86"/>
      <c r="E21" s="94">
        <f t="shared" si="0"/>
        <v>0</v>
      </c>
      <c r="F21" s="102" t="s">
        <v>1525</v>
      </c>
      <c r="G21" s="99">
        <f>IF(F21="FACTURA",E21*1,IF(F21=$I$3,E21/0.845,))</f>
        <v>0</v>
      </c>
    </row>
    <row r="22" spans="1:10" ht="15.75" thickBot="1" x14ac:dyDescent="0.3">
      <c r="A22" s="73">
        <v>2.2000000000000002</v>
      </c>
      <c r="B22" s="501" t="s">
        <v>1483</v>
      </c>
      <c r="C22" s="502"/>
      <c r="D22" s="502"/>
      <c r="E22" s="502"/>
      <c r="F22" s="503"/>
      <c r="G22" s="98">
        <f>SUM(G23:G27)</f>
        <v>41.42011834319527</v>
      </c>
    </row>
    <row r="23" spans="1:10" x14ac:dyDescent="0.25">
      <c r="A23" s="71"/>
      <c r="B23" s="84" t="s">
        <v>1484</v>
      </c>
      <c r="C23" s="85">
        <v>1</v>
      </c>
      <c r="D23" s="86">
        <v>35</v>
      </c>
      <c r="E23" s="86">
        <v>35</v>
      </c>
      <c r="F23" s="101" t="s">
        <v>1525</v>
      </c>
      <c r="G23" s="103">
        <f>IF(F23="FACTURA",E23*0.1,IF(F23=$I$3,E23/0.845,))</f>
        <v>41.42011834319527</v>
      </c>
    </row>
    <row r="24" spans="1:10" x14ac:dyDescent="0.25">
      <c r="A24" s="74"/>
      <c r="B24" s="84"/>
      <c r="C24" s="85"/>
      <c r="D24" s="86"/>
      <c r="E24" s="100">
        <f t="shared" si="0"/>
        <v>0</v>
      </c>
      <c r="F24" s="1" t="s">
        <v>1525</v>
      </c>
      <c r="G24" s="103">
        <f>IF(F24="FACTURA",E24*0.1,IF(F24=$I$3,E24/0.845,))</f>
        <v>0</v>
      </c>
    </row>
    <row r="25" spans="1:10" x14ac:dyDescent="0.25">
      <c r="A25" s="74"/>
      <c r="B25" s="84"/>
      <c r="C25" s="85"/>
      <c r="D25" s="86"/>
      <c r="E25" s="100">
        <f t="shared" si="0"/>
        <v>0</v>
      </c>
      <c r="F25" s="1" t="s">
        <v>1525</v>
      </c>
      <c r="G25" s="103">
        <f>IF(F25="FACTURA",E25*0.1,IF(F25=$I$3,E25/0.845,))</f>
        <v>0</v>
      </c>
    </row>
    <row r="26" spans="1:10" x14ac:dyDescent="0.25">
      <c r="A26" s="74"/>
      <c r="B26" s="84"/>
      <c r="C26" s="85"/>
      <c r="D26" s="86"/>
      <c r="E26" s="100">
        <f t="shared" si="0"/>
        <v>0</v>
      </c>
      <c r="F26" s="1" t="s">
        <v>1525</v>
      </c>
      <c r="G26" s="103">
        <f>IF(F26="FACTURA",E26*0.1,IF(F26=$I$3,E26/0.845,))</f>
        <v>0</v>
      </c>
    </row>
    <row r="27" spans="1:10" ht="15.75" thickBot="1" x14ac:dyDescent="0.3">
      <c r="A27" s="75"/>
      <c r="B27" s="87"/>
      <c r="C27" s="85"/>
      <c r="D27" s="86"/>
      <c r="E27" s="94">
        <f t="shared" si="0"/>
        <v>0</v>
      </c>
      <c r="F27" s="102" t="s">
        <v>1525</v>
      </c>
      <c r="G27" s="103">
        <f>IF(F27="FACTURA",E27*0.1,IF(F27=$I$3,E27/0.845,))</f>
        <v>0</v>
      </c>
    </row>
    <row r="28" spans="1:10" ht="15.75" thickBot="1" x14ac:dyDescent="0.3">
      <c r="A28" s="73">
        <v>2.2999999999999998</v>
      </c>
      <c r="B28" s="501" t="s">
        <v>1526</v>
      </c>
      <c r="C28" s="502"/>
      <c r="D28" s="502"/>
      <c r="E28" s="502"/>
      <c r="F28" s="503"/>
      <c r="G28" s="70">
        <f>SUM(G29:G33)</f>
        <v>0</v>
      </c>
    </row>
    <row r="29" spans="1:10" x14ac:dyDescent="0.25">
      <c r="A29" s="76"/>
      <c r="B29" s="84"/>
      <c r="C29" s="85"/>
      <c r="D29" s="86"/>
      <c r="E29" s="86">
        <f t="shared" si="0"/>
        <v>0</v>
      </c>
      <c r="F29" s="101" t="s">
        <v>1525</v>
      </c>
      <c r="G29" s="99">
        <f>IF(F29="FACTURA",E29*1,IF(F29=$I$3,E29/0.845,))</f>
        <v>0</v>
      </c>
    </row>
    <row r="30" spans="1:10" x14ac:dyDescent="0.25">
      <c r="A30" s="77"/>
      <c r="B30" s="84"/>
      <c r="C30" s="85"/>
      <c r="D30" s="86"/>
      <c r="E30" s="100">
        <f t="shared" si="0"/>
        <v>0</v>
      </c>
      <c r="F30" s="1" t="s">
        <v>1525</v>
      </c>
      <c r="G30" s="99">
        <f>IF(F30="FACTURA",E30*1,IF(F30=$I$3,E30/0.845,))</f>
        <v>0</v>
      </c>
    </row>
    <row r="31" spans="1:10" x14ac:dyDescent="0.25">
      <c r="A31" s="77"/>
      <c r="B31" s="84"/>
      <c r="C31" s="85"/>
      <c r="D31" s="86"/>
      <c r="E31" s="100">
        <f t="shared" si="0"/>
        <v>0</v>
      </c>
      <c r="F31" s="1" t="s">
        <v>1525</v>
      </c>
      <c r="G31" s="99">
        <f>IF(F31="FACTURA",E31*1,IF(F31=$I$3,E31/0.845,))</f>
        <v>0</v>
      </c>
    </row>
    <row r="32" spans="1:10" x14ac:dyDescent="0.25">
      <c r="A32" s="77"/>
      <c r="B32" s="84"/>
      <c r="C32" s="85"/>
      <c r="D32" s="86"/>
      <c r="E32" s="100">
        <f t="shared" si="0"/>
        <v>0</v>
      </c>
      <c r="F32" s="1" t="s">
        <v>1525</v>
      </c>
      <c r="G32" s="99">
        <f>IF(F32="FACTURA",E32*1,IF(F32=$I$3,E32/0.845,))</f>
        <v>0</v>
      </c>
    </row>
    <row r="33" spans="1:7" ht="15.75" thickBot="1" x14ac:dyDescent="0.3">
      <c r="A33" s="78"/>
      <c r="B33" s="87"/>
      <c r="C33" s="85"/>
      <c r="D33" s="86"/>
      <c r="E33" s="94">
        <f t="shared" si="0"/>
        <v>0</v>
      </c>
      <c r="F33" s="102" t="s">
        <v>1525</v>
      </c>
      <c r="G33" s="99">
        <f>IF(F33="FACTURA",E33*1,IF(F33=$I$3,E33/0.845,))</f>
        <v>0</v>
      </c>
    </row>
    <row r="34" spans="1:7" ht="15.75" thickBot="1" x14ac:dyDescent="0.3">
      <c r="A34" s="67">
        <v>3</v>
      </c>
      <c r="B34" s="504" t="s">
        <v>1357</v>
      </c>
      <c r="C34" s="505"/>
      <c r="D34" s="505"/>
      <c r="E34" s="505"/>
      <c r="F34" s="506"/>
      <c r="G34" s="68">
        <f>G35+G41+G47+G53</f>
        <v>0</v>
      </c>
    </row>
    <row r="35" spans="1:7" ht="15.75" thickBot="1" x14ac:dyDescent="0.3">
      <c r="A35" s="73">
        <v>3.1</v>
      </c>
      <c r="B35" s="501" t="s">
        <v>1485</v>
      </c>
      <c r="C35" s="502"/>
      <c r="D35" s="502"/>
      <c r="E35" s="502"/>
      <c r="F35" s="503"/>
      <c r="G35" s="68">
        <f>SUM(G36:G40)</f>
        <v>0</v>
      </c>
    </row>
    <row r="36" spans="1:7" x14ac:dyDescent="0.25">
      <c r="A36" s="71"/>
      <c r="B36" s="84" t="s">
        <v>1486</v>
      </c>
      <c r="C36" s="85"/>
      <c r="D36" s="86"/>
      <c r="E36" s="86">
        <f t="shared" si="0"/>
        <v>0</v>
      </c>
      <c r="F36" s="101" t="s">
        <v>14</v>
      </c>
      <c r="G36" s="99">
        <f>IF(F36="FACTURA",E36*1,IF(F36=$I$3,E36/0.845,))</f>
        <v>0</v>
      </c>
    </row>
    <row r="37" spans="1:7" x14ac:dyDescent="0.25">
      <c r="A37" s="74"/>
      <c r="B37" s="84" t="s">
        <v>1487</v>
      </c>
      <c r="C37" s="85"/>
      <c r="D37" s="86"/>
      <c r="E37" s="100">
        <f t="shared" si="0"/>
        <v>0</v>
      </c>
      <c r="F37" s="1" t="s">
        <v>14</v>
      </c>
      <c r="G37" s="99">
        <f>IF(F37="FACTURA",E37*1,IF(F37=$I$3,E37/0.845,))</f>
        <v>0</v>
      </c>
    </row>
    <row r="38" spans="1:7" x14ac:dyDescent="0.25">
      <c r="A38" s="74"/>
      <c r="B38" s="84"/>
      <c r="C38" s="85"/>
      <c r="D38" s="86"/>
      <c r="E38" s="100">
        <f t="shared" si="0"/>
        <v>0</v>
      </c>
      <c r="F38" s="1" t="s">
        <v>14</v>
      </c>
      <c r="G38" s="99">
        <f>IF(F38="FACTURA",E38*1,IF(F38=$I$3,E38/0.845,))</f>
        <v>0</v>
      </c>
    </row>
    <row r="39" spans="1:7" x14ac:dyDescent="0.25">
      <c r="A39" s="74"/>
      <c r="B39" s="84"/>
      <c r="C39" s="85"/>
      <c r="D39" s="86"/>
      <c r="E39" s="100">
        <f t="shared" si="0"/>
        <v>0</v>
      </c>
      <c r="F39" s="1" t="s">
        <v>1525</v>
      </c>
      <c r="G39" s="99">
        <f>IF(F39="FACTURA",E39*1,IF(F39=$I$3,E39/0.845,))</f>
        <v>0</v>
      </c>
    </row>
    <row r="40" spans="1:7" ht="15.75" thickBot="1" x14ac:dyDescent="0.3">
      <c r="A40" s="75"/>
      <c r="B40" s="87"/>
      <c r="C40" s="85"/>
      <c r="D40" s="86"/>
      <c r="E40" s="94">
        <f t="shared" si="0"/>
        <v>0</v>
      </c>
      <c r="F40" s="102" t="s">
        <v>14</v>
      </c>
      <c r="G40" s="99">
        <f>IF(F40="FACTURA",E40*1,IF(F40=$I$3,E40/0.845,))</f>
        <v>0</v>
      </c>
    </row>
    <row r="41" spans="1:7" ht="15.75" thickBot="1" x14ac:dyDescent="0.3">
      <c r="A41" s="73">
        <v>3.2</v>
      </c>
      <c r="B41" s="501" t="s">
        <v>1488</v>
      </c>
      <c r="C41" s="502"/>
      <c r="D41" s="502"/>
      <c r="E41" s="502"/>
      <c r="F41" s="503"/>
      <c r="G41" s="68">
        <f>SUM(G42:G46)</f>
        <v>0</v>
      </c>
    </row>
    <row r="42" spans="1:7" x14ac:dyDescent="0.25">
      <c r="A42" s="71"/>
      <c r="B42" s="84"/>
      <c r="C42" s="85"/>
      <c r="D42" s="86"/>
      <c r="E42" s="86">
        <f t="shared" si="0"/>
        <v>0</v>
      </c>
      <c r="F42" s="101" t="s">
        <v>14</v>
      </c>
      <c r="G42" s="99">
        <f>IF(F42="FACTURA",E42*1,IF(F42=$I$3,E42/0.845,))</f>
        <v>0</v>
      </c>
    </row>
    <row r="43" spans="1:7" x14ac:dyDescent="0.25">
      <c r="A43" s="74"/>
      <c r="B43" s="84"/>
      <c r="C43" s="85"/>
      <c r="D43" s="86"/>
      <c r="E43" s="100">
        <f t="shared" si="0"/>
        <v>0</v>
      </c>
      <c r="F43" s="1" t="s">
        <v>14</v>
      </c>
      <c r="G43" s="99">
        <f>IF(F43="FACTURA",E43*1,IF(F43=$I$3,E43/0.845,))</f>
        <v>0</v>
      </c>
    </row>
    <row r="44" spans="1:7" x14ac:dyDescent="0.25">
      <c r="A44" s="74"/>
      <c r="B44" s="84"/>
      <c r="C44" s="85"/>
      <c r="D44" s="86"/>
      <c r="E44" s="100">
        <f t="shared" si="0"/>
        <v>0</v>
      </c>
      <c r="F44" s="1" t="s">
        <v>1525</v>
      </c>
      <c r="G44" s="99">
        <f>IF(F44="FACTURA",E44*1,IF(F44=$I$3,E44/0.845,))</f>
        <v>0</v>
      </c>
    </row>
    <row r="45" spans="1:7" x14ac:dyDescent="0.25">
      <c r="A45" s="74"/>
      <c r="B45" s="84"/>
      <c r="C45" s="85"/>
      <c r="D45" s="86"/>
      <c r="E45" s="100">
        <f t="shared" si="0"/>
        <v>0</v>
      </c>
      <c r="F45" s="1" t="s">
        <v>14</v>
      </c>
      <c r="G45" s="99">
        <f>IF(F45="FACTURA",E45*1,IF(F45=$I$3,E45/0.845,))</f>
        <v>0</v>
      </c>
    </row>
    <row r="46" spans="1:7" ht="15.75" thickBot="1" x14ac:dyDescent="0.3">
      <c r="A46" s="75"/>
      <c r="B46" s="87"/>
      <c r="C46" s="85"/>
      <c r="D46" s="86"/>
      <c r="E46" s="94">
        <f t="shared" si="0"/>
        <v>0</v>
      </c>
      <c r="F46" s="102" t="s">
        <v>14</v>
      </c>
      <c r="G46" s="99">
        <f>IF(F46="FACTURA",E46*1,IF(F46=$I$3,E46/0.845,))</f>
        <v>0</v>
      </c>
    </row>
    <row r="47" spans="1:7" ht="15.75" thickBot="1" x14ac:dyDescent="0.3">
      <c r="A47" s="73">
        <v>3.3</v>
      </c>
      <c r="B47" s="501" t="s">
        <v>1489</v>
      </c>
      <c r="C47" s="502"/>
      <c r="D47" s="502"/>
      <c r="E47" s="502"/>
      <c r="F47" s="503"/>
      <c r="G47" s="68">
        <f>SUM(G48:G52)</f>
        <v>0</v>
      </c>
    </row>
    <row r="48" spans="1:7" x14ac:dyDescent="0.25">
      <c r="A48" s="71"/>
      <c r="B48" s="84"/>
      <c r="C48" s="85"/>
      <c r="D48" s="86"/>
      <c r="E48" s="86">
        <f t="shared" si="0"/>
        <v>0</v>
      </c>
      <c r="F48" s="101" t="s">
        <v>14</v>
      </c>
      <c r="G48" s="99">
        <f>IF(F48="FACTURA",E48*1,IF(F48=$I$3,E48/0.845,))</f>
        <v>0</v>
      </c>
    </row>
    <row r="49" spans="1:7" x14ac:dyDescent="0.25">
      <c r="A49" s="74"/>
      <c r="B49" s="84"/>
      <c r="C49" s="85"/>
      <c r="D49" s="86"/>
      <c r="E49" s="100">
        <f t="shared" si="0"/>
        <v>0</v>
      </c>
      <c r="F49" s="1" t="s">
        <v>14</v>
      </c>
      <c r="G49" s="99">
        <f>IF(F49="FACTURA",E49*1,IF(F49=$I$3,E49/0.845,))</f>
        <v>0</v>
      </c>
    </row>
    <row r="50" spans="1:7" x14ac:dyDescent="0.25">
      <c r="A50" s="74"/>
      <c r="B50" s="84"/>
      <c r="C50" s="85"/>
      <c r="D50" s="86"/>
      <c r="E50" s="100">
        <f t="shared" si="0"/>
        <v>0</v>
      </c>
      <c r="F50" s="1" t="s">
        <v>1525</v>
      </c>
      <c r="G50" s="99">
        <f>IF(F50="FACTURA",E50*1,IF(F50=$I$3,E50/0.845,))</f>
        <v>0</v>
      </c>
    </row>
    <row r="51" spans="1:7" x14ac:dyDescent="0.25">
      <c r="A51" s="74"/>
      <c r="B51" s="84"/>
      <c r="C51" s="85"/>
      <c r="D51" s="86"/>
      <c r="E51" s="100">
        <f t="shared" si="0"/>
        <v>0</v>
      </c>
      <c r="F51" s="1" t="s">
        <v>14</v>
      </c>
      <c r="G51" s="99">
        <f>IF(F51="FACTURA",E51*1,IF(F51=$I$3,E51/0.845,))</f>
        <v>0</v>
      </c>
    </row>
    <row r="52" spans="1:7" ht="15.75" thickBot="1" x14ac:dyDescent="0.3">
      <c r="A52" s="75"/>
      <c r="B52" s="87"/>
      <c r="C52" s="85"/>
      <c r="D52" s="86"/>
      <c r="E52" s="94">
        <f t="shared" si="0"/>
        <v>0</v>
      </c>
      <c r="F52" s="102" t="s">
        <v>14</v>
      </c>
      <c r="G52" s="99">
        <f>IF(F52="FACTURA",E52*1,IF(F52=$I$3,E52/0.845,))</f>
        <v>0</v>
      </c>
    </row>
    <row r="53" spans="1:7" ht="15.75" thickBot="1" x14ac:dyDescent="0.3">
      <c r="A53" s="73">
        <v>3.4</v>
      </c>
      <c r="B53" s="501" t="s">
        <v>1490</v>
      </c>
      <c r="C53" s="502"/>
      <c r="D53" s="502"/>
      <c r="E53" s="502"/>
      <c r="F53" s="503"/>
      <c r="G53" s="68">
        <f>SUM(G54:G58)</f>
        <v>0</v>
      </c>
    </row>
    <row r="54" spans="1:7" x14ac:dyDescent="0.25">
      <c r="A54" s="76"/>
      <c r="B54" s="89" t="s">
        <v>1491</v>
      </c>
      <c r="C54" s="90"/>
      <c r="D54" s="91"/>
      <c r="E54" s="86">
        <f t="shared" si="0"/>
        <v>0</v>
      </c>
      <c r="F54" s="101" t="s">
        <v>14</v>
      </c>
      <c r="G54" s="99">
        <f>IF(F54="FACTURA",E54*1,IF(F54=$I$3,E54/0.845,))</f>
        <v>0</v>
      </c>
    </row>
    <row r="55" spans="1:7" x14ac:dyDescent="0.25">
      <c r="A55" s="77"/>
      <c r="B55" s="92" t="s">
        <v>1492</v>
      </c>
      <c r="C55" s="90"/>
      <c r="D55" s="91"/>
      <c r="E55" s="100">
        <f t="shared" si="0"/>
        <v>0</v>
      </c>
      <c r="F55" s="1" t="s">
        <v>1525</v>
      </c>
      <c r="G55" s="99">
        <f>IF(F55="FACTURA",E55*1,IF(F55=$I$3,E55/0.845,))</f>
        <v>0</v>
      </c>
    </row>
    <row r="56" spans="1:7" x14ac:dyDescent="0.25">
      <c r="A56" s="77"/>
      <c r="B56" s="92"/>
      <c r="C56" s="90"/>
      <c r="D56" s="91"/>
      <c r="E56" s="100">
        <f t="shared" si="0"/>
        <v>0</v>
      </c>
      <c r="F56" s="1" t="s">
        <v>14</v>
      </c>
      <c r="G56" s="99">
        <f>IF(F56="FACTURA",E56*1,IF(F56=$I$3,E56/0.845,))</f>
        <v>0</v>
      </c>
    </row>
    <row r="57" spans="1:7" x14ac:dyDescent="0.25">
      <c r="A57" s="77"/>
      <c r="B57" s="92"/>
      <c r="C57" s="90"/>
      <c r="D57" s="91"/>
      <c r="E57" s="100">
        <f t="shared" si="0"/>
        <v>0</v>
      </c>
      <c r="F57" s="1" t="s">
        <v>1525</v>
      </c>
      <c r="G57" s="99">
        <f>IF(F57="FACTURA",E57*1,IF(F57=$I$3,E57/0.845,))</f>
        <v>0</v>
      </c>
    </row>
    <row r="58" spans="1:7" ht="15.75" thickBot="1" x14ac:dyDescent="0.3">
      <c r="A58" s="78"/>
      <c r="B58" s="93"/>
      <c r="C58" s="90"/>
      <c r="D58" s="91"/>
      <c r="E58" s="94">
        <f t="shared" si="0"/>
        <v>0</v>
      </c>
      <c r="F58" s="102" t="s">
        <v>14</v>
      </c>
      <c r="G58" s="99">
        <f>IF(F58="FACTURA",E58*1,IF(F58=$I$3,E58/0.845,))</f>
        <v>0</v>
      </c>
    </row>
    <row r="59" spans="1:7" ht="15.75" thickBot="1" x14ac:dyDescent="0.3">
      <c r="A59" s="67">
        <v>4</v>
      </c>
      <c r="B59" s="504" t="s">
        <v>1493</v>
      </c>
      <c r="C59" s="505"/>
      <c r="D59" s="505"/>
      <c r="E59" s="505"/>
      <c r="F59" s="506"/>
      <c r="G59" s="68">
        <f>G60+G66+G72+G78+G84</f>
        <v>0</v>
      </c>
    </row>
    <row r="60" spans="1:7" ht="15.75" thickBot="1" x14ac:dyDescent="0.3">
      <c r="A60" s="73">
        <v>4.0999999999999996</v>
      </c>
      <c r="B60" s="501" t="s">
        <v>1494</v>
      </c>
      <c r="C60" s="502"/>
      <c r="D60" s="502"/>
      <c r="E60" s="502"/>
      <c r="F60" s="503"/>
      <c r="G60" s="68">
        <f>SUM(G61:G65)</f>
        <v>0</v>
      </c>
    </row>
    <row r="61" spans="1:7" x14ac:dyDescent="0.25">
      <c r="A61" s="71"/>
      <c r="B61" s="84"/>
      <c r="C61" s="85"/>
      <c r="D61" s="86"/>
      <c r="E61" s="86">
        <f t="shared" si="0"/>
        <v>0</v>
      </c>
      <c r="F61" s="101" t="s">
        <v>14</v>
      </c>
      <c r="G61" s="99">
        <f>IF(F61="FACTURA",E61*1,IF(F61=$I$3,E61/0.845,))</f>
        <v>0</v>
      </c>
    </row>
    <row r="62" spans="1:7" x14ac:dyDescent="0.25">
      <c r="A62" s="74"/>
      <c r="B62" s="84"/>
      <c r="C62" s="85"/>
      <c r="D62" s="86"/>
      <c r="E62" s="100">
        <f t="shared" si="0"/>
        <v>0</v>
      </c>
      <c r="F62" s="1" t="s">
        <v>14</v>
      </c>
      <c r="G62" s="99">
        <f>IF(F62="FACTURA",E62*1,IF(F62=$I$3,E62/0.845,))</f>
        <v>0</v>
      </c>
    </row>
    <row r="63" spans="1:7" x14ac:dyDescent="0.25">
      <c r="A63" s="74"/>
      <c r="B63" s="84"/>
      <c r="C63" s="85"/>
      <c r="D63" s="86"/>
      <c r="E63" s="100">
        <f t="shared" si="0"/>
        <v>0</v>
      </c>
      <c r="F63" s="1" t="s">
        <v>1525</v>
      </c>
      <c r="G63" s="99">
        <f>IF(F63="FACTURA",E63*1,IF(F63=$I$3,E63/0.845,))</f>
        <v>0</v>
      </c>
    </row>
    <row r="64" spans="1:7" x14ac:dyDescent="0.25">
      <c r="A64" s="74"/>
      <c r="B64" s="84"/>
      <c r="C64" s="85"/>
      <c r="D64" s="86"/>
      <c r="E64" s="100">
        <f t="shared" si="0"/>
        <v>0</v>
      </c>
      <c r="F64" s="1" t="s">
        <v>14</v>
      </c>
      <c r="G64" s="99">
        <f>IF(F64="FACTURA",E64*1,IF(F64=$I$3,E64/0.845,))</f>
        <v>0</v>
      </c>
    </row>
    <row r="65" spans="1:7" ht="15.75" thickBot="1" x14ac:dyDescent="0.3">
      <c r="A65" s="75"/>
      <c r="B65" s="87"/>
      <c r="C65" s="85"/>
      <c r="D65" s="86"/>
      <c r="E65" s="94">
        <f t="shared" si="0"/>
        <v>0</v>
      </c>
      <c r="F65" s="102" t="s">
        <v>14</v>
      </c>
      <c r="G65" s="99">
        <f>IF(F65="FACTURA",E65*1,IF(F65=$I$3,E65/0.845,))</f>
        <v>0</v>
      </c>
    </row>
    <row r="66" spans="1:7" ht="15.75" thickBot="1" x14ac:dyDescent="0.3">
      <c r="A66" s="73">
        <v>4.2</v>
      </c>
      <c r="B66" s="501" t="s">
        <v>1495</v>
      </c>
      <c r="C66" s="502"/>
      <c r="D66" s="502"/>
      <c r="E66" s="502"/>
      <c r="F66" s="503"/>
      <c r="G66" s="68">
        <f>SUM(G67:G71)</f>
        <v>0</v>
      </c>
    </row>
    <row r="67" spans="1:7" x14ac:dyDescent="0.25">
      <c r="A67" s="71"/>
      <c r="B67" s="84"/>
      <c r="C67" s="85"/>
      <c r="D67" s="86"/>
      <c r="E67" s="86">
        <f t="shared" si="0"/>
        <v>0</v>
      </c>
      <c r="F67" s="101" t="s">
        <v>14</v>
      </c>
      <c r="G67" s="99">
        <f>IF(F67="FACTURA",E67*1,IF(F67=$I$3,E67/0.845,))</f>
        <v>0</v>
      </c>
    </row>
    <row r="68" spans="1:7" x14ac:dyDescent="0.25">
      <c r="A68" s="74"/>
      <c r="B68" s="84"/>
      <c r="C68" s="85"/>
      <c r="D68" s="86"/>
      <c r="E68" s="100">
        <f t="shared" si="0"/>
        <v>0</v>
      </c>
      <c r="F68" s="1" t="s">
        <v>14</v>
      </c>
      <c r="G68" s="99">
        <f>IF(F68="FACTURA",E68*1,IF(F68=$I$3,E68/0.845,))</f>
        <v>0</v>
      </c>
    </row>
    <row r="69" spans="1:7" x14ac:dyDescent="0.25">
      <c r="A69" s="74"/>
      <c r="B69" s="84"/>
      <c r="C69" s="85"/>
      <c r="D69" s="86"/>
      <c r="E69" s="100">
        <f t="shared" si="0"/>
        <v>0</v>
      </c>
      <c r="F69" s="1" t="s">
        <v>1525</v>
      </c>
      <c r="G69" s="99">
        <f>IF(F69="FACTURA",E69*1,IF(F69=$I$3,E69/0.845,))</f>
        <v>0</v>
      </c>
    </row>
    <row r="70" spans="1:7" x14ac:dyDescent="0.25">
      <c r="A70" s="74"/>
      <c r="B70" s="84"/>
      <c r="C70" s="85"/>
      <c r="D70" s="86"/>
      <c r="E70" s="100">
        <f t="shared" si="0"/>
        <v>0</v>
      </c>
      <c r="F70" s="1" t="s">
        <v>14</v>
      </c>
      <c r="G70" s="99">
        <f>IF(F70="FACTURA",E70*1,IF(F70=$I$3,E70/0.845,))</f>
        <v>0</v>
      </c>
    </row>
    <row r="71" spans="1:7" ht="15.75" thickBot="1" x14ac:dyDescent="0.3">
      <c r="A71" s="75"/>
      <c r="B71" s="87"/>
      <c r="C71" s="85"/>
      <c r="D71" s="86"/>
      <c r="E71" s="94">
        <f t="shared" si="0"/>
        <v>0</v>
      </c>
      <c r="F71" s="102" t="s">
        <v>14</v>
      </c>
      <c r="G71" s="99">
        <f>IF(F71="FACTURA",E71*1,IF(F71=$I$3,E71/0.845,))</f>
        <v>0</v>
      </c>
    </row>
    <row r="72" spans="1:7" ht="15.75" thickBot="1" x14ac:dyDescent="0.3">
      <c r="A72" s="73">
        <v>4.3</v>
      </c>
      <c r="B72" s="501" t="s">
        <v>1496</v>
      </c>
      <c r="C72" s="502"/>
      <c r="D72" s="502"/>
      <c r="E72" s="502"/>
      <c r="F72" s="503"/>
      <c r="G72" s="68">
        <f>SUM(G73:G77)</f>
        <v>0</v>
      </c>
    </row>
    <row r="73" spans="1:7" x14ac:dyDescent="0.25">
      <c r="A73" s="71"/>
      <c r="B73" s="84"/>
      <c r="C73" s="85"/>
      <c r="D73" s="86"/>
      <c r="E73" s="86">
        <f t="shared" si="0"/>
        <v>0</v>
      </c>
      <c r="F73" s="101" t="s">
        <v>14</v>
      </c>
      <c r="G73" s="99">
        <f>IF(F73="FACTURA",E73*1,IF(F73=$I$3,E73/0.845,))</f>
        <v>0</v>
      </c>
    </row>
    <row r="74" spans="1:7" x14ac:dyDescent="0.25">
      <c r="A74" s="74"/>
      <c r="B74" s="84"/>
      <c r="C74" s="85"/>
      <c r="D74" s="86"/>
      <c r="E74" s="100">
        <f t="shared" si="0"/>
        <v>0</v>
      </c>
      <c r="F74" s="1" t="s">
        <v>1525</v>
      </c>
      <c r="G74" s="99">
        <f>IF(F74="FACTURA",E74*1,IF(F74=$I$3,E74/0.845,))</f>
        <v>0</v>
      </c>
    </row>
    <row r="75" spans="1:7" x14ac:dyDescent="0.25">
      <c r="A75" s="74"/>
      <c r="B75" s="84"/>
      <c r="C75" s="85"/>
      <c r="D75" s="86"/>
      <c r="E75" s="100">
        <f t="shared" ref="E75:E138" si="1">+D75*C75</f>
        <v>0</v>
      </c>
      <c r="F75" s="1" t="s">
        <v>14</v>
      </c>
      <c r="G75" s="99">
        <f>IF(F75="FACTURA",E75*1,IF(F75=$I$3,E75/0.845,))</f>
        <v>0</v>
      </c>
    </row>
    <row r="76" spans="1:7" x14ac:dyDescent="0.25">
      <c r="A76" s="74"/>
      <c r="B76" s="84"/>
      <c r="C76" s="85"/>
      <c r="D76" s="86"/>
      <c r="E76" s="100">
        <f t="shared" si="1"/>
        <v>0</v>
      </c>
      <c r="F76" s="1" t="s">
        <v>1525</v>
      </c>
      <c r="G76" s="99">
        <f>IF(F76="FACTURA",E76*1,IF(F76=$I$3,E76/0.845,))</f>
        <v>0</v>
      </c>
    </row>
    <row r="77" spans="1:7" ht="15.75" thickBot="1" x14ac:dyDescent="0.3">
      <c r="A77" s="75"/>
      <c r="B77" s="87"/>
      <c r="C77" s="85"/>
      <c r="D77" s="86"/>
      <c r="E77" s="94">
        <f t="shared" si="1"/>
        <v>0</v>
      </c>
      <c r="F77" s="102" t="s">
        <v>14</v>
      </c>
      <c r="G77" s="99">
        <f>IF(F77="FACTURA",E77*1,IF(F77=$I$3,E77/0.845,))</f>
        <v>0</v>
      </c>
    </row>
    <row r="78" spans="1:7" ht="15.75" thickBot="1" x14ac:dyDescent="0.3">
      <c r="A78" s="73">
        <v>4.4000000000000004</v>
      </c>
      <c r="B78" s="501" t="s">
        <v>1497</v>
      </c>
      <c r="C78" s="502"/>
      <c r="D78" s="502"/>
      <c r="E78" s="502"/>
      <c r="F78" s="503"/>
      <c r="G78" s="68">
        <f>SUM(G79:G83)</f>
        <v>0</v>
      </c>
    </row>
    <row r="79" spans="1:7" x14ac:dyDescent="0.25">
      <c r="A79" s="71"/>
      <c r="B79" s="84"/>
      <c r="C79" s="85"/>
      <c r="D79" s="86"/>
      <c r="E79" s="86">
        <f t="shared" si="1"/>
        <v>0</v>
      </c>
      <c r="F79" s="101" t="s">
        <v>1525</v>
      </c>
      <c r="G79" s="99">
        <f>IF(F79="FACTURA",E79*1,IF(F79=$I$3,E79/0.845,))</f>
        <v>0</v>
      </c>
    </row>
    <row r="80" spans="1:7" x14ac:dyDescent="0.25">
      <c r="A80" s="74"/>
      <c r="B80" s="84"/>
      <c r="C80" s="85"/>
      <c r="D80" s="86"/>
      <c r="E80" s="100">
        <f t="shared" si="1"/>
        <v>0</v>
      </c>
      <c r="F80" s="1" t="s">
        <v>14</v>
      </c>
      <c r="G80" s="99">
        <f>IF(F80="FACTURA",E80*1,IF(F80=$I$3,E80/0.845,))</f>
        <v>0</v>
      </c>
    </row>
    <row r="81" spans="1:7" x14ac:dyDescent="0.25">
      <c r="A81" s="74"/>
      <c r="B81" s="84"/>
      <c r="C81" s="85"/>
      <c r="D81" s="86"/>
      <c r="E81" s="100">
        <f t="shared" si="1"/>
        <v>0</v>
      </c>
      <c r="F81" s="1" t="s">
        <v>14</v>
      </c>
      <c r="G81" s="99">
        <f>IF(F81="FACTURA",E81*1,IF(F81=$I$3,E81/0.845,))</f>
        <v>0</v>
      </c>
    </row>
    <row r="82" spans="1:7" x14ac:dyDescent="0.25">
      <c r="A82" s="74"/>
      <c r="B82" s="84"/>
      <c r="C82" s="85"/>
      <c r="D82" s="86"/>
      <c r="E82" s="100">
        <f t="shared" si="1"/>
        <v>0</v>
      </c>
      <c r="F82" s="1" t="s">
        <v>1525</v>
      </c>
      <c r="G82" s="99">
        <f>IF(F82="FACTURA",E82*1,IF(F82=$I$3,E82/0.845,))</f>
        <v>0</v>
      </c>
    </row>
    <row r="83" spans="1:7" ht="15.75" thickBot="1" x14ac:dyDescent="0.3">
      <c r="A83" s="75"/>
      <c r="B83" s="87"/>
      <c r="C83" s="85"/>
      <c r="D83" s="86"/>
      <c r="E83" s="94">
        <f t="shared" si="1"/>
        <v>0</v>
      </c>
      <c r="F83" s="102" t="s">
        <v>14</v>
      </c>
      <c r="G83" s="99">
        <f>IF(F83="FACTURA",E83*1,IF(F83=$I$3,E83/0.845,))</f>
        <v>0</v>
      </c>
    </row>
    <row r="84" spans="1:7" ht="15.75" thickBot="1" x14ac:dyDescent="0.3">
      <c r="A84" s="73">
        <v>4.5</v>
      </c>
      <c r="B84" s="501" t="s">
        <v>1498</v>
      </c>
      <c r="C84" s="502"/>
      <c r="D84" s="502"/>
      <c r="E84" s="502"/>
      <c r="F84" s="503"/>
      <c r="G84" s="68">
        <f>SUM(G85:G89)</f>
        <v>0</v>
      </c>
    </row>
    <row r="85" spans="1:7" x14ac:dyDescent="0.25">
      <c r="A85" s="76"/>
      <c r="B85" s="84"/>
      <c r="C85" s="85"/>
      <c r="D85" s="86"/>
      <c r="E85" s="86">
        <f t="shared" si="1"/>
        <v>0</v>
      </c>
      <c r="F85" s="101" t="s">
        <v>14</v>
      </c>
      <c r="G85" s="99">
        <f>IF(F85="FACTURA",E85*1,IF(F85=$I$3,E85/0.845,))</f>
        <v>0</v>
      </c>
    </row>
    <row r="86" spans="1:7" x14ac:dyDescent="0.25">
      <c r="A86" s="77"/>
      <c r="B86" s="84"/>
      <c r="C86" s="85"/>
      <c r="D86" s="86"/>
      <c r="E86" s="100">
        <f t="shared" si="1"/>
        <v>0</v>
      </c>
      <c r="F86" s="1" t="s">
        <v>1525</v>
      </c>
      <c r="G86" s="99">
        <f>IF(F86="FACTURA",E86*1,IF(F86=$I$3,E86/0.845,))</f>
        <v>0</v>
      </c>
    </row>
    <row r="87" spans="1:7" x14ac:dyDescent="0.25">
      <c r="A87" s="77"/>
      <c r="B87" s="84"/>
      <c r="C87" s="85"/>
      <c r="D87" s="86"/>
      <c r="E87" s="100">
        <f t="shared" si="1"/>
        <v>0</v>
      </c>
      <c r="F87" s="1" t="s">
        <v>14</v>
      </c>
      <c r="G87" s="99">
        <f>IF(F87="FACTURA",E87*1,IF(F87=$I$3,E87/0.845,))</f>
        <v>0</v>
      </c>
    </row>
    <row r="88" spans="1:7" x14ac:dyDescent="0.25">
      <c r="A88" s="77"/>
      <c r="B88" s="84"/>
      <c r="C88" s="85"/>
      <c r="D88" s="86"/>
      <c r="E88" s="100">
        <f t="shared" si="1"/>
        <v>0</v>
      </c>
      <c r="F88" s="1" t="s">
        <v>1525</v>
      </c>
      <c r="G88" s="99">
        <f>IF(F88="FACTURA",E88*1,IF(F88=$I$3,E88/0.845,))</f>
        <v>0</v>
      </c>
    </row>
    <row r="89" spans="1:7" ht="15.75" thickBot="1" x14ac:dyDescent="0.3">
      <c r="A89" s="78"/>
      <c r="B89" s="87"/>
      <c r="C89" s="85"/>
      <c r="D89" s="86"/>
      <c r="E89" s="94">
        <f t="shared" si="1"/>
        <v>0</v>
      </c>
      <c r="F89" s="102" t="s">
        <v>14</v>
      </c>
      <c r="G89" s="99">
        <f>IF(F89="FACTURA",E89*1,IF(F89=$I$3,E89/0.845,))</f>
        <v>0</v>
      </c>
    </row>
    <row r="90" spans="1:7" ht="15.75" thickBot="1" x14ac:dyDescent="0.3">
      <c r="A90" s="67">
        <v>5</v>
      </c>
      <c r="B90" s="504" t="s">
        <v>1499</v>
      </c>
      <c r="C90" s="505"/>
      <c r="D90" s="505"/>
      <c r="E90" s="505"/>
      <c r="F90" s="506"/>
      <c r="G90" s="68">
        <f>G91</f>
        <v>0</v>
      </c>
    </row>
    <row r="91" spans="1:7" ht="15.75" thickBot="1" x14ac:dyDescent="0.3">
      <c r="A91" s="73">
        <v>5.0999999999999996</v>
      </c>
      <c r="B91" s="501" t="s">
        <v>1500</v>
      </c>
      <c r="C91" s="502"/>
      <c r="D91" s="502"/>
      <c r="E91" s="502"/>
      <c r="F91" s="503"/>
      <c r="G91" s="68">
        <f>SUM(G92:G96)</f>
        <v>0</v>
      </c>
    </row>
    <row r="92" spans="1:7" x14ac:dyDescent="0.25">
      <c r="A92" s="76"/>
      <c r="B92" s="84"/>
      <c r="C92" s="85"/>
      <c r="D92" s="86"/>
      <c r="E92" s="86">
        <f t="shared" si="1"/>
        <v>0</v>
      </c>
      <c r="F92" s="101" t="s">
        <v>14</v>
      </c>
      <c r="G92" s="99">
        <f>IF(F92="FACTURA",E92*1,IF(F92=$I$3,E92/0.845,))</f>
        <v>0</v>
      </c>
    </row>
    <row r="93" spans="1:7" x14ac:dyDescent="0.25">
      <c r="A93" s="77"/>
      <c r="B93" s="84"/>
      <c r="C93" s="85"/>
      <c r="D93" s="86"/>
      <c r="E93" s="100">
        <f t="shared" si="1"/>
        <v>0</v>
      </c>
      <c r="F93" s="1" t="s">
        <v>14</v>
      </c>
      <c r="G93" s="99">
        <f>IF(F93="FACTURA",E93*1,IF(F93=$I$3,E93/0.845,))</f>
        <v>0</v>
      </c>
    </row>
    <row r="94" spans="1:7" x14ac:dyDescent="0.25">
      <c r="A94" s="77"/>
      <c r="B94" s="84"/>
      <c r="C94" s="85"/>
      <c r="D94" s="86"/>
      <c r="E94" s="100">
        <f t="shared" si="1"/>
        <v>0</v>
      </c>
      <c r="F94" s="1" t="s">
        <v>1525</v>
      </c>
      <c r="G94" s="99">
        <f>IF(F94="FACTURA",E94*1,IF(F94=$I$3,E94/0.845,))</f>
        <v>0</v>
      </c>
    </row>
    <row r="95" spans="1:7" x14ac:dyDescent="0.25">
      <c r="A95" s="77"/>
      <c r="B95" s="84"/>
      <c r="C95" s="85"/>
      <c r="D95" s="86"/>
      <c r="E95" s="100">
        <f t="shared" si="1"/>
        <v>0</v>
      </c>
      <c r="F95" s="1" t="s">
        <v>14</v>
      </c>
      <c r="G95" s="99">
        <f>IF(F95="FACTURA",E95*1,IF(F95=$I$3,E95/0.845,))</f>
        <v>0</v>
      </c>
    </row>
    <row r="96" spans="1:7" ht="15.75" thickBot="1" x14ac:dyDescent="0.3">
      <c r="A96" s="78"/>
      <c r="B96" s="87"/>
      <c r="C96" s="85"/>
      <c r="D96" s="86"/>
      <c r="E96" s="94">
        <f t="shared" si="1"/>
        <v>0</v>
      </c>
      <c r="F96" s="102" t="s">
        <v>14</v>
      </c>
      <c r="G96" s="99">
        <f>IF(F96="FACTURA",E96*1,IF(F96=$I$3,E96/0.845,))</f>
        <v>0</v>
      </c>
    </row>
    <row r="97" spans="1:7" ht="15.75" thickBot="1" x14ac:dyDescent="0.3">
      <c r="A97" s="67">
        <v>6</v>
      </c>
      <c r="B97" s="504" t="s">
        <v>1</v>
      </c>
      <c r="C97" s="505"/>
      <c r="D97" s="505"/>
      <c r="E97" s="505"/>
      <c r="F97" s="506"/>
      <c r="G97" s="68">
        <f>G98+G104+G110+G116+G122+G128+G134</f>
        <v>0</v>
      </c>
    </row>
    <row r="98" spans="1:7" ht="15.75" thickBot="1" x14ac:dyDescent="0.3">
      <c r="A98" s="73">
        <v>6.1</v>
      </c>
      <c r="B98" s="501" t="s">
        <v>1501</v>
      </c>
      <c r="C98" s="502"/>
      <c r="D98" s="502"/>
      <c r="E98" s="502"/>
      <c r="F98" s="503"/>
      <c r="G98" s="68">
        <f>SUM(G99:G103)</f>
        <v>0</v>
      </c>
    </row>
    <row r="99" spans="1:7" x14ac:dyDescent="0.25">
      <c r="A99" s="71"/>
      <c r="B99" s="84" t="s">
        <v>1502</v>
      </c>
      <c r="C99" s="85"/>
      <c r="D99" s="86"/>
      <c r="E99" s="86">
        <f t="shared" si="1"/>
        <v>0</v>
      </c>
      <c r="F99" s="101" t="s">
        <v>14</v>
      </c>
      <c r="G99" s="99">
        <f>IF(F99="FACTURA",E99*1,IF(F99=$I$3,E99/0.92,))</f>
        <v>0</v>
      </c>
    </row>
    <row r="100" spans="1:7" x14ac:dyDescent="0.25">
      <c r="A100" s="74"/>
      <c r="B100" s="84"/>
      <c r="C100" s="85"/>
      <c r="D100" s="86"/>
      <c r="E100" s="100">
        <f t="shared" si="1"/>
        <v>0</v>
      </c>
      <c r="F100" s="1" t="s">
        <v>14</v>
      </c>
      <c r="G100" s="99">
        <f>IF(F100="FACTURA",E100*1,IF(F100=$I$3,E100/0.92,))</f>
        <v>0</v>
      </c>
    </row>
    <row r="101" spans="1:7" x14ac:dyDescent="0.25">
      <c r="A101" s="74"/>
      <c r="B101" s="84"/>
      <c r="C101" s="85"/>
      <c r="D101" s="86"/>
      <c r="E101" s="100">
        <f t="shared" si="1"/>
        <v>0</v>
      </c>
      <c r="F101" s="1" t="s">
        <v>1525</v>
      </c>
      <c r="G101" s="99">
        <f>IF(F101="FACTURA",E101*1,IF(F101=$I$3,E101/0.92,))</f>
        <v>0</v>
      </c>
    </row>
    <row r="102" spans="1:7" x14ac:dyDescent="0.25">
      <c r="A102" s="74"/>
      <c r="B102" s="84"/>
      <c r="C102" s="85"/>
      <c r="D102" s="86"/>
      <c r="E102" s="100">
        <f t="shared" si="1"/>
        <v>0</v>
      </c>
      <c r="F102" s="1" t="s">
        <v>14</v>
      </c>
      <c r="G102" s="99">
        <f>IF(F102="FACTURA",E102*1,IF(F102=$I$3,E102/0.92,))</f>
        <v>0</v>
      </c>
    </row>
    <row r="103" spans="1:7" ht="15.75" thickBot="1" x14ac:dyDescent="0.3">
      <c r="A103" s="75"/>
      <c r="B103" s="87"/>
      <c r="C103" s="85"/>
      <c r="D103" s="86"/>
      <c r="E103" s="94">
        <f t="shared" si="1"/>
        <v>0</v>
      </c>
      <c r="F103" s="102" t="s">
        <v>14</v>
      </c>
      <c r="G103" s="99">
        <f>IF(F103="FACTURA",E103*1,IF(F103=$I$3,E103/0.92,))</f>
        <v>0</v>
      </c>
    </row>
    <row r="104" spans="1:7" ht="15.75" thickBot="1" x14ac:dyDescent="0.3">
      <c r="A104" s="73">
        <v>6.2</v>
      </c>
      <c r="B104" s="501" t="s">
        <v>1503</v>
      </c>
      <c r="C104" s="502"/>
      <c r="D104" s="502"/>
      <c r="E104" s="502"/>
      <c r="F104" s="503"/>
      <c r="G104" s="68">
        <f>SUM(G105:G109)</f>
        <v>0</v>
      </c>
    </row>
    <row r="105" spans="1:7" x14ac:dyDescent="0.25">
      <c r="A105" s="71"/>
      <c r="B105" s="84" t="s">
        <v>1504</v>
      </c>
      <c r="C105" s="85"/>
      <c r="D105" s="86"/>
      <c r="E105" s="86">
        <f t="shared" si="1"/>
        <v>0</v>
      </c>
      <c r="F105" s="101" t="s">
        <v>14</v>
      </c>
      <c r="G105" s="99">
        <f>IF(F105="FACTURA",E105*1,IF(F105=$I$3,E105/0.92,))</f>
        <v>0</v>
      </c>
    </row>
    <row r="106" spans="1:7" x14ac:dyDescent="0.25">
      <c r="A106" s="74"/>
      <c r="B106" s="84"/>
      <c r="C106" s="85"/>
      <c r="D106" s="86"/>
      <c r="E106" s="100">
        <f t="shared" si="1"/>
        <v>0</v>
      </c>
      <c r="F106" s="1" t="s">
        <v>14</v>
      </c>
      <c r="G106" s="99">
        <f>IF(F106="FACTURA",E106*1,IF(F106=$I$3,E106/0.92,))</f>
        <v>0</v>
      </c>
    </row>
    <row r="107" spans="1:7" x14ac:dyDescent="0.25">
      <c r="A107" s="74"/>
      <c r="B107" s="84"/>
      <c r="C107" s="85"/>
      <c r="D107" s="86"/>
      <c r="E107" s="100">
        <f t="shared" si="1"/>
        <v>0</v>
      </c>
      <c r="F107" s="1" t="s">
        <v>14</v>
      </c>
      <c r="G107" s="99">
        <f>IF(F107="FACTURA",E107*1,IF(F107=$I$3,E107/0.92,))</f>
        <v>0</v>
      </c>
    </row>
    <row r="108" spans="1:7" x14ac:dyDescent="0.25">
      <c r="A108" s="74"/>
      <c r="B108" s="84"/>
      <c r="C108" s="85"/>
      <c r="D108" s="86"/>
      <c r="E108" s="100">
        <f t="shared" si="1"/>
        <v>0</v>
      </c>
      <c r="F108" s="1" t="s">
        <v>1525</v>
      </c>
      <c r="G108" s="99">
        <f>IF(F108="FACTURA",E108*1,IF(F108=$I$3,E108/0.92,))</f>
        <v>0</v>
      </c>
    </row>
    <row r="109" spans="1:7" ht="15.75" thickBot="1" x14ac:dyDescent="0.3">
      <c r="A109" s="75"/>
      <c r="B109" s="87"/>
      <c r="C109" s="85"/>
      <c r="D109" s="86"/>
      <c r="E109" s="94">
        <f t="shared" si="1"/>
        <v>0</v>
      </c>
      <c r="F109" s="102" t="s">
        <v>14</v>
      </c>
      <c r="G109" s="99">
        <f>IF(F109="FACTURA",E109*1,IF(F109=$I$3,E109/0.92,))</f>
        <v>0</v>
      </c>
    </row>
    <row r="110" spans="1:7" ht="15.75" thickBot="1" x14ac:dyDescent="0.3">
      <c r="A110" s="73">
        <v>6.3</v>
      </c>
      <c r="B110" s="501" t="s">
        <v>1403</v>
      </c>
      <c r="C110" s="502"/>
      <c r="D110" s="502"/>
      <c r="E110" s="502"/>
      <c r="F110" s="503"/>
      <c r="G110" s="68">
        <f>SUM(G111:G115)</f>
        <v>0</v>
      </c>
    </row>
    <row r="111" spans="1:7" x14ac:dyDescent="0.25">
      <c r="A111" s="71"/>
      <c r="B111" s="84"/>
      <c r="C111" s="85"/>
      <c r="D111" s="86"/>
      <c r="E111" s="86">
        <f t="shared" si="1"/>
        <v>0</v>
      </c>
      <c r="F111" s="101" t="s">
        <v>14</v>
      </c>
      <c r="G111" s="99">
        <f>IF(F111="FACTURA",E111*1,IF(F111=$I$3,E111/0.92,))</f>
        <v>0</v>
      </c>
    </row>
    <row r="112" spans="1:7" x14ac:dyDescent="0.25">
      <c r="A112" s="74"/>
      <c r="B112" s="84"/>
      <c r="C112" s="85"/>
      <c r="D112" s="86"/>
      <c r="E112" s="100">
        <f t="shared" si="1"/>
        <v>0</v>
      </c>
      <c r="F112" s="1" t="s">
        <v>14</v>
      </c>
      <c r="G112" s="99">
        <f>IF(F112="FACTURA",E112*1,IF(F112=$I$3,E112/0.92,))</f>
        <v>0</v>
      </c>
    </row>
    <row r="113" spans="1:7" x14ac:dyDescent="0.25">
      <c r="A113" s="74"/>
      <c r="B113" s="84"/>
      <c r="C113" s="85"/>
      <c r="D113" s="86"/>
      <c r="E113" s="100">
        <f t="shared" si="1"/>
        <v>0</v>
      </c>
      <c r="F113" s="1" t="s">
        <v>1525</v>
      </c>
      <c r="G113" s="99">
        <f>IF(F113="FACTURA",E113*1,IF(F113=$I$3,E113/0.92,))</f>
        <v>0</v>
      </c>
    </row>
    <row r="114" spans="1:7" x14ac:dyDescent="0.25">
      <c r="A114" s="74"/>
      <c r="B114" s="84"/>
      <c r="C114" s="85"/>
      <c r="D114" s="86"/>
      <c r="E114" s="100">
        <f t="shared" si="1"/>
        <v>0</v>
      </c>
      <c r="F114" s="1" t="s">
        <v>14</v>
      </c>
      <c r="G114" s="99">
        <f>IF(F114="FACTURA",E114*1,IF(F114=$I$3,E114/0.92,))</f>
        <v>0</v>
      </c>
    </row>
    <row r="115" spans="1:7" ht="15.75" thickBot="1" x14ac:dyDescent="0.3">
      <c r="A115" s="75"/>
      <c r="B115" s="87"/>
      <c r="C115" s="85"/>
      <c r="D115" s="86"/>
      <c r="E115" s="94">
        <f t="shared" si="1"/>
        <v>0</v>
      </c>
      <c r="F115" s="102" t="s">
        <v>14</v>
      </c>
      <c r="G115" s="99">
        <f>IF(F115="FACTURA",E115*1,IF(F115=$I$3,E115/0.92,))</f>
        <v>0</v>
      </c>
    </row>
    <row r="116" spans="1:7" ht="15.75" thickBot="1" x14ac:dyDescent="0.3">
      <c r="A116" s="73">
        <v>6.4</v>
      </c>
      <c r="B116" s="501" t="s">
        <v>1505</v>
      </c>
      <c r="C116" s="502"/>
      <c r="D116" s="502"/>
      <c r="E116" s="502"/>
      <c r="F116" s="503"/>
      <c r="G116" s="68">
        <f>SUM(G117:G121)</f>
        <v>0</v>
      </c>
    </row>
    <row r="117" spans="1:7" x14ac:dyDescent="0.25">
      <c r="A117" s="71"/>
      <c r="B117" s="84"/>
      <c r="C117" s="85"/>
      <c r="D117" s="86"/>
      <c r="E117" s="86">
        <f t="shared" si="1"/>
        <v>0</v>
      </c>
      <c r="F117" s="101" t="s">
        <v>14</v>
      </c>
      <c r="G117" s="99">
        <f>IF(F117="FACTURA",E117*1,IF(F117=$I$3,E117/0.92,))</f>
        <v>0</v>
      </c>
    </row>
    <row r="118" spans="1:7" x14ac:dyDescent="0.25">
      <c r="A118" s="74"/>
      <c r="B118" s="84"/>
      <c r="C118" s="85"/>
      <c r="D118" s="86"/>
      <c r="E118" s="100">
        <f t="shared" si="1"/>
        <v>0</v>
      </c>
      <c r="F118" s="1" t="s">
        <v>14</v>
      </c>
      <c r="G118" s="99">
        <f>IF(F118="FACTURA",E118*1,IF(F118=$I$3,E118/0.92,))</f>
        <v>0</v>
      </c>
    </row>
    <row r="119" spans="1:7" x14ac:dyDescent="0.25">
      <c r="A119" s="74"/>
      <c r="B119" s="84"/>
      <c r="C119" s="85"/>
      <c r="D119" s="86"/>
      <c r="E119" s="100">
        <f t="shared" si="1"/>
        <v>0</v>
      </c>
      <c r="F119" s="1" t="s">
        <v>1525</v>
      </c>
      <c r="G119" s="99">
        <f>IF(F119="FACTURA",E119*1,IF(F119=$I$3,E119/0.92,))</f>
        <v>0</v>
      </c>
    </row>
    <row r="120" spans="1:7" x14ac:dyDescent="0.25">
      <c r="A120" s="74"/>
      <c r="B120" s="84"/>
      <c r="C120" s="85"/>
      <c r="D120" s="86"/>
      <c r="E120" s="100">
        <f t="shared" si="1"/>
        <v>0</v>
      </c>
      <c r="F120" s="1" t="s">
        <v>14</v>
      </c>
      <c r="G120" s="99">
        <f>IF(F120="FACTURA",E120*1,IF(F120=$I$3,E120/0.92,))</f>
        <v>0</v>
      </c>
    </row>
    <row r="121" spans="1:7" ht="15.75" thickBot="1" x14ac:dyDescent="0.3">
      <c r="A121" s="75"/>
      <c r="B121" s="87"/>
      <c r="C121" s="88"/>
      <c r="D121" s="86"/>
      <c r="E121" s="94">
        <f t="shared" si="1"/>
        <v>0</v>
      </c>
      <c r="F121" s="102" t="s">
        <v>14</v>
      </c>
      <c r="G121" s="99">
        <f>IF(F121="FACTURA",E121*1,IF(F121=$I$3,E121/0.92,))</f>
        <v>0</v>
      </c>
    </row>
    <row r="122" spans="1:7" ht="15.75" thickBot="1" x14ac:dyDescent="0.3">
      <c r="A122" s="73">
        <v>6.5</v>
      </c>
      <c r="B122" s="501" t="s">
        <v>1506</v>
      </c>
      <c r="C122" s="502"/>
      <c r="D122" s="502"/>
      <c r="E122" s="502"/>
      <c r="F122" s="503"/>
      <c r="G122" s="68">
        <f>SUM(G123:G127)</f>
        <v>0</v>
      </c>
    </row>
    <row r="123" spans="1:7" x14ac:dyDescent="0.25">
      <c r="A123" s="71"/>
      <c r="B123" s="84" t="s">
        <v>1507</v>
      </c>
      <c r="C123" s="85"/>
      <c r="D123" s="86"/>
      <c r="E123" s="86">
        <f t="shared" si="1"/>
        <v>0</v>
      </c>
      <c r="F123" s="101" t="s">
        <v>14</v>
      </c>
      <c r="G123" s="99">
        <f>IF(F123="FACTURA",E123*1,IF(F123=$I$3,E123/0.92,))</f>
        <v>0</v>
      </c>
    </row>
    <row r="124" spans="1:7" x14ac:dyDescent="0.25">
      <c r="A124" s="74"/>
      <c r="B124" s="84"/>
      <c r="C124" s="85"/>
      <c r="D124" s="86"/>
      <c r="E124" s="100">
        <f t="shared" si="1"/>
        <v>0</v>
      </c>
      <c r="F124" s="1" t="s">
        <v>14</v>
      </c>
      <c r="G124" s="99">
        <f>IF(F124="FACTURA",E124*1,IF(F124=$I$3,E124/0.92,))</f>
        <v>0</v>
      </c>
    </row>
    <row r="125" spans="1:7" x14ac:dyDescent="0.25">
      <c r="A125" s="74"/>
      <c r="B125" s="84"/>
      <c r="C125" s="85"/>
      <c r="D125" s="86"/>
      <c r="E125" s="100">
        <f t="shared" si="1"/>
        <v>0</v>
      </c>
      <c r="F125" s="1" t="s">
        <v>1525</v>
      </c>
      <c r="G125" s="99">
        <f>IF(F125="FACTURA",E125*1,IF(F125=$I$3,E125/0.92,))</f>
        <v>0</v>
      </c>
    </row>
    <row r="126" spans="1:7" x14ac:dyDescent="0.25">
      <c r="A126" s="74"/>
      <c r="B126" s="84"/>
      <c r="C126" s="85"/>
      <c r="D126" s="86"/>
      <c r="E126" s="100">
        <f t="shared" si="1"/>
        <v>0</v>
      </c>
      <c r="F126" s="1" t="s">
        <v>14</v>
      </c>
      <c r="G126" s="99">
        <f>IF(F126="FACTURA",E126*1,IF(F126=$I$3,E126/0.92,))</f>
        <v>0</v>
      </c>
    </row>
    <row r="127" spans="1:7" ht="15.75" thickBot="1" x14ac:dyDescent="0.3">
      <c r="A127" s="75"/>
      <c r="B127" s="87"/>
      <c r="C127" s="85"/>
      <c r="D127" s="86"/>
      <c r="E127" s="94">
        <f t="shared" si="1"/>
        <v>0</v>
      </c>
      <c r="F127" s="102" t="s">
        <v>14</v>
      </c>
      <c r="G127" s="99">
        <f>IF(F127="FACTURA",E127*1,IF(F127=$I$3,E127/0.92,))</f>
        <v>0</v>
      </c>
    </row>
    <row r="128" spans="1:7" ht="15.75" thickBot="1" x14ac:dyDescent="0.3">
      <c r="A128" s="73">
        <v>6.6</v>
      </c>
      <c r="B128" s="501" t="s">
        <v>1508</v>
      </c>
      <c r="C128" s="502"/>
      <c r="D128" s="502"/>
      <c r="E128" s="502"/>
      <c r="F128" s="503"/>
      <c r="G128" s="68">
        <f>SUM(G129:G133)</f>
        <v>0</v>
      </c>
    </row>
    <row r="129" spans="1:7" x14ac:dyDescent="0.25">
      <c r="A129" s="71"/>
      <c r="B129" s="84"/>
      <c r="C129" s="85"/>
      <c r="D129" s="86"/>
      <c r="E129" s="86">
        <f t="shared" si="1"/>
        <v>0</v>
      </c>
      <c r="F129" s="101" t="s">
        <v>14</v>
      </c>
      <c r="G129" s="99">
        <f>IF(F129="FACTURA",E129*1,IF(F129=$I$3,E129/0.92,))</f>
        <v>0</v>
      </c>
    </row>
    <row r="130" spans="1:7" x14ac:dyDescent="0.25">
      <c r="A130" s="74"/>
      <c r="B130" s="84"/>
      <c r="C130" s="85"/>
      <c r="D130" s="86"/>
      <c r="E130" s="100">
        <f t="shared" si="1"/>
        <v>0</v>
      </c>
      <c r="F130" s="1" t="s">
        <v>14</v>
      </c>
      <c r="G130" s="99">
        <f>IF(F130="FACTURA",E130*1,IF(F130=$I$3,E130/0.92,))</f>
        <v>0</v>
      </c>
    </row>
    <row r="131" spans="1:7" x14ac:dyDescent="0.25">
      <c r="A131" s="74"/>
      <c r="B131" s="84"/>
      <c r="C131" s="85"/>
      <c r="D131" s="86"/>
      <c r="E131" s="100">
        <f t="shared" si="1"/>
        <v>0</v>
      </c>
      <c r="F131" s="1" t="s">
        <v>1525</v>
      </c>
      <c r="G131" s="99">
        <f>IF(F131="FACTURA",E131*1,IF(F131=$I$3,E131/0.92,))</f>
        <v>0</v>
      </c>
    </row>
    <row r="132" spans="1:7" x14ac:dyDescent="0.25">
      <c r="A132" s="74"/>
      <c r="B132" s="84"/>
      <c r="C132" s="85"/>
      <c r="D132" s="86"/>
      <c r="E132" s="100">
        <f t="shared" si="1"/>
        <v>0</v>
      </c>
      <c r="F132" s="1" t="s">
        <v>14</v>
      </c>
      <c r="G132" s="99">
        <f>IF(F132="FACTURA",E132*1,IF(F132=$I$3,E132/0.92,))</f>
        <v>0</v>
      </c>
    </row>
    <row r="133" spans="1:7" ht="15.75" thickBot="1" x14ac:dyDescent="0.3">
      <c r="A133" s="75"/>
      <c r="B133" s="87"/>
      <c r="C133" s="85"/>
      <c r="D133" s="86"/>
      <c r="E133" s="94">
        <f t="shared" si="1"/>
        <v>0</v>
      </c>
      <c r="F133" s="102" t="s">
        <v>14</v>
      </c>
      <c r="G133" s="99">
        <f>IF(F133="FACTURA",E133*1,IF(F133=$I$3,E133/0.92,))</f>
        <v>0</v>
      </c>
    </row>
    <row r="134" spans="1:7" ht="15.75" thickBot="1" x14ac:dyDescent="0.3">
      <c r="A134" s="73">
        <v>6.7</v>
      </c>
      <c r="B134" s="501" t="s">
        <v>1509</v>
      </c>
      <c r="C134" s="502"/>
      <c r="D134" s="502"/>
      <c r="E134" s="502"/>
      <c r="F134" s="503"/>
      <c r="G134" s="68">
        <f>SUM(G135:G139)</f>
        <v>0</v>
      </c>
    </row>
    <row r="135" spans="1:7" x14ac:dyDescent="0.25">
      <c r="A135" s="76"/>
      <c r="B135" s="84"/>
      <c r="C135" s="85"/>
      <c r="D135" s="86"/>
      <c r="E135" s="86">
        <f t="shared" si="1"/>
        <v>0</v>
      </c>
      <c r="F135" s="101" t="s">
        <v>14</v>
      </c>
      <c r="G135" s="99">
        <f>IF(F135="FACTURA",E135*1,IF(F135=$I$3,E135/0.92,))</f>
        <v>0</v>
      </c>
    </row>
    <row r="136" spans="1:7" x14ac:dyDescent="0.25">
      <c r="A136" s="77"/>
      <c r="B136" s="84"/>
      <c r="C136" s="85"/>
      <c r="D136" s="86"/>
      <c r="E136" s="100">
        <f t="shared" si="1"/>
        <v>0</v>
      </c>
      <c r="F136" s="1" t="s">
        <v>1525</v>
      </c>
      <c r="G136" s="99">
        <f>IF(F136="FACTURA",E136*1,IF(F136=$I$3,E136/0.92,))</f>
        <v>0</v>
      </c>
    </row>
    <row r="137" spans="1:7" x14ac:dyDescent="0.25">
      <c r="A137" s="77"/>
      <c r="B137" s="84"/>
      <c r="C137" s="85"/>
      <c r="D137" s="86"/>
      <c r="E137" s="100">
        <f t="shared" si="1"/>
        <v>0</v>
      </c>
      <c r="F137" s="1" t="s">
        <v>14</v>
      </c>
      <c r="G137" s="99">
        <f>IF(F137="FACTURA",E137*1,IF(F137=$I$3,E137/0.92,))</f>
        <v>0</v>
      </c>
    </row>
    <row r="138" spans="1:7" x14ac:dyDescent="0.25">
      <c r="A138" s="77"/>
      <c r="B138" s="84"/>
      <c r="C138" s="85"/>
      <c r="D138" s="86"/>
      <c r="E138" s="100">
        <f t="shared" si="1"/>
        <v>0</v>
      </c>
      <c r="F138" s="1" t="s">
        <v>14</v>
      </c>
      <c r="G138" s="99">
        <f>IF(F138="FACTURA",E138*1,IF(F138=$I$3,E138/0.92,))</f>
        <v>0</v>
      </c>
    </row>
    <row r="139" spans="1:7" ht="15.75" thickBot="1" x14ac:dyDescent="0.3">
      <c r="A139" s="78"/>
      <c r="B139" s="87"/>
      <c r="C139" s="85"/>
      <c r="D139" s="86"/>
      <c r="E139" s="94">
        <f t="shared" ref="E139:E194" si="2">+D139*C139</f>
        <v>0</v>
      </c>
      <c r="F139" s="102" t="s">
        <v>14</v>
      </c>
      <c r="G139" s="99">
        <f>IF(F139="FACTURA",E139*1,IF(F139=$I$3,E139/0.92,))</f>
        <v>0</v>
      </c>
    </row>
    <row r="140" spans="1:7" ht="15.75" thickBot="1" x14ac:dyDescent="0.3">
      <c r="A140" s="67">
        <v>7</v>
      </c>
      <c r="B140" s="504" t="s">
        <v>1510</v>
      </c>
      <c r="C140" s="505"/>
      <c r="D140" s="505"/>
      <c r="E140" s="505"/>
      <c r="F140" s="506"/>
      <c r="G140" s="68">
        <f>G141+G147+G153+G159+G165+G171+G177+G183+G189</f>
        <v>0</v>
      </c>
    </row>
    <row r="141" spans="1:7" ht="15.75" thickBot="1" x14ac:dyDescent="0.3">
      <c r="A141" s="73">
        <v>7.1</v>
      </c>
      <c r="B141" s="501" t="s">
        <v>1511</v>
      </c>
      <c r="C141" s="502"/>
      <c r="D141" s="502"/>
      <c r="E141" s="502"/>
      <c r="F141" s="503"/>
      <c r="G141" s="68">
        <f>SUM(G142:G146)</f>
        <v>0</v>
      </c>
    </row>
    <row r="142" spans="1:7" x14ac:dyDescent="0.25">
      <c r="A142" s="71"/>
      <c r="B142" s="84"/>
      <c r="C142" s="85"/>
      <c r="D142" s="86"/>
      <c r="E142" s="86">
        <f t="shared" si="2"/>
        <v>0</v>
      </c>
      <c r="F142" s="101" t="s">
        <v>14</v>
      </c>
      <c r="G142" s="99">
        <f>IF(F142="FACTURA",E142*1,IF(F142=$I$3,E142/0.845,))</f>
        <v>0</v>
      </c>
    </row>
    <row r="143" spans="1:7" x14ac:dyDescent="0.25">
      <c r="A143" s="74"/>
      <c r="B143" s="84"/>
      <c r="C143" s="85"/>
      <c r="D143" s="86"/>
      <c r="E143" s="100">
        <f t="shared" si="2"/>
        <v>0</v>
      </c>
      <c r="F143" s="1" t="s">
        <v>14</v>
      </c>
      <c r="G143" s="99">
        <f>IF(F143="FACTURA",E143*1,IF(F143=$I$3,E143/0.845,))</f>
        <v>0</v>
      </c>
    </row>
    <row r="144" spans="1:7" x14ac:dyDescent="0.25">
      <c r="A144" s="74"/>
      <c r="B144" s="84"/>
      <c r="C144" s="85"/>
      <c r="D144" s="86"/>
      <c r="E144" s="100">
        <f t="shared" si="2"/>
        <v>0</v>
      </c>
      <c r="F144" s="1" t="s">
        <v>1525</v>
      </c>
      <c r="G144" s="99">
        <f>IF(F144="FACTURA",E144*1,IF(F144=$I$3,E144/0.845,))</f>
        <v>0</v>
      </c>
    </row>
    <row r="145" spans="1:7" x14ac:dyDescent="0.25">
      <c r="A145" s="74"/>
      <c r="B145" s="84"/>
      <c r="C145" s="85"/>
      <c r="D145" s="86"/>
      <c r="E145" s="100">
        <f t="shared" si="2"/>
        <v>0</v>
      </c>
      <c r="F145" s="1" t="s">
        <v>14</v>
      </c>
      <c r="G145" s="99">
        <f>IF(F145="FACTURA",E145*1,IF(F145=$I$3,E145/0.845,))</f>
        <v>0</v>
      </c>
    </row>
    <row r="146" spans="1:7" ht="15.75" thickBot="1" x14ac:dyDescent="0.3">
      <c r="A146" s="75"/>
      <c r="B146" s="87"/>
      <c r="C146" s="85"/>
      <c r="D146" s="86"/>
      <c r="E146" s="94">
        <f t="shared" si="2"/>
        <v>0</v>
      </c>
      <c r="F146" s="102" t="s">
        <v>14</v>
      </c>
      <c r="G146" s="99">
        <f>IF(F146="FACTURA",E146*1,IF(F146=$I$3,E146/0.845,))</f>
        <v>0</v>
      </c>
    </row>
    <row r="147" spans="1:7" ht="15.75" thickBot="1" x14ac:dyDescent="0.3">
      <c r="A147" s="73">
        <v>7.2</v>
      </c>
      <c r="B147" s="501" t="s">
        <v>1512</v>
      </c>
      <c r="C147" s="502"/>
      <c r="D147" s="502"/>
      <c r="E147" s="502"/>
      <c r="F147" s="503"/>
      <c r="G147" s="68">
        <f>SUM(G148:G152)</f>
        <v>0</v>
      </c>
    </row>
    <row r="148" spans="1:7" x14ac:dyDescent="0.25">
      <c r="A148" s="71"/>
      <c r="B148" s="84"/>
      <c r="C148" s="85"/>
      <c r="D148" s="86"/>
      <c r="E148" s="86">
        <f t="shared" si="2"/>
        <v>0</v>
      </c>
      <c r="F148" s="101" t="s">
        <v>14</v>
      </c>
      <c r="G148" s="99">
        <f>IF(F148="FACTURA",E148*1,IF(F148=$I$3,E148/0.845,))</f>
        <v>0</v>
      </c>
    </row>
    <row r="149" spans="1:7" x14ac:dyDescent="0.25">
      <c r="A149" s="74"/>
      <c r="B149" s="84"/>
      <c r="C149" s="85"/>
      <c r="D149" s="86"/>
      <c r="E149" s="100">
        <f t="shared" si="2"/>
        <v>0</v>
      </c>
      <c r="F149" s="1" t="s">
        <v>14</v>
      </c>
      <c r="G149" s="99">
        <f>IF(F149="FACTURA",E149*1,IF(F149=$I$3,E149/0.845,))</f>
        <v>0</v>
      </c>
    </row>
    <row r="150" spans="1:7" x14ac:dyDescent="0.25">
      <c r="A150" s="74"/>
      <c r="B150" s="84"/>
      <c r="C150" s="85"/>
      <c r="D150" s="86"/>
      <c r="E150" s="100">
        <f t="shared" si="2"/>
        <v>0</v>
      </c>
      <c r="F150" s="1" t="s">
        <v>14</v>
      </c>
      <c r="G150" s="99">
        <f>IF(F150="FACTURA",E150*1,IF(F150=$I$3,E150/0.845,))</f>
        <v>0</v>
      </c>
    </row>
    <row r="151" spans="1:7" x14ac:dyDescent="0.25">
      <c r="A151" s="74"/>
      <c r="B151" s="84"/>
      <c r="C151" s="85"/>
      <c r="D151" s="86"/>
      <c r="E151" s="100">
        <f t="shared" si="2"/>
        <v>0</v>
      </c>
      <c r="F151" s="1" t="s">
        <v>1525</v>
      </c>
      <c r="G151" s="99">
        <f>IF(F151="FACTURA",E151*1,IF(F151=$I$3,E151/0.845,))</f>
        <v>0</v>
      </c>
    </row>
    <row r="152" spans="1:7" ht="15.75" thickBot="1" x14ac:dyDescent="0.3">
      <c r="A152" s="75"/>
      <c r="B152" s="87"/>
      <c r="C152" s="85"/>
      <c r="D152" s="86"/>
      <c r="E152" s="94">
        <f t="shared" si="2"/>
        <v>0</v>
      </c>
      <c r="F152" s="102" t="s">
        <v>14</v>
      </c>
      <c r="G152" s="99">
        <f>IF(F152="FACTURA",E152*1,IF(F152=$I$3,E152/0.845,))</f>
        <v>0</v>
      </c>
    </row>
    <row r="153" spans="1:7" ht="15.75" thickBot="1" x14ac:dyDescent="0.3">
      <c r="A153" s="73">
        <v>7.3</v>
      </c>
      <c r="B153" s="501" t="s">
        <v>1513</v>
      </c>
      <c r="C153" s="502"/>
      <c r="D153" s="502"/>
      <c r="E153" s="502"/>
      <c r="F153" s="503"/>
      <c r="G153" s="68">
        <f>SUM(G154:G158)</f>
        <v>0</v>
      </c>
    </row>
    <row r="154" spans="1:7" x14ac:dyDescent="0.25">
      <c r="A154" s="71"/>
      <c r="B154" s="84"/>
      <c r="C154" s="85"/>
      <c r="D154" s="86"/>
      <c r="E154" s="86">
        <f t="shared" si="2"/>
        <v>0</v>
      </c>
      <c r="F154" s="101" t="s">
        <v>14</v>
      </c>
      <c r="G154" s="99">
        <f>IF(F154="FACTURA",E154*1,IF(F154=$I$3,E154/0.845,))</f>
        <v>0</v>
      </c>
    </row>
    <row r="155" spans="1:7" x14ac:dyDescent="0.25">
      <c r="A155" s="74"/>
      <c r="B155" s="84"/>
      <c r="C155" s="85"/>
      <c r="D155" s="86"/>
      <c r="E155" s="100">
        <f t="shared" si="2"/>
        <v>0</v>
      </c>
      <c r="F155" s="1" t="s">
        <v>14</v>
      </c>
      <c r="G155" s="99">
        <f>IF(F155="FACTURA",E155*1,IF(F155=$I$3,E155/0.845,))</f>
        <v>0</v>
      </c>
    </row>
    <row r="156" spans="1:7" x14ac:dyDescent="0.25">
      <c r="A156" s="74"/>
      <c r="B156" s="84"/>
      <c r="C156" s="85"/>
      <c r="D156" s="86"/>
      <c r="E156" s="100">
        <f t="shared" si="2"/>
        <v>0</v>
      </c>
      <c r="F156" s="1" t="s">
        <v>1525</v>
      </c>
      <c r="G156" s="99">
        <f>IF(F156="FACTURA",E156*1,IF(F156=$I$3,E156/0.845,))</f>
        <v>0</v>
      </c>
    </row>
    <row r="157" spans="1:7" x14ac:dyDescent="0.25">
      <c r="A157" s="74"/>
      <c r="B157" s="84"/>
      <c r="C157" s="85"/>
      <c r="D157" s="86"/>
      <c r="E157" s="100">
        <f t="shared" si="2"/>
        <v>0</v>
      </c>
      <c r="F157" s="1" t="s">
        <v>14</v>
      </c>
      <c r="G157" s="99">
        <f>IF(F157="FACTURA",E157*1,IF(F157=$I$3,E157/0.845,))</f>
        <v>0</v>
      </c>
    </row>
    <row r="158" spans="1:7" ht="15.75" thickBot="1" x14ac:dyDescent="0.3">
      <c r="A158" s="75"/>
      <c r="B158" s="87"/>
      <c r="C158" s="85"/>
      <c r="D158" s="86"/>
      <c r="E158" s="94">
        <f t="shared" si="2"/>
        <v>0</v>
      </c>
      <c r="F158" s="102" t="s">
        <v>14</v>
      </c>
      <c r="G158" s="99">
        <f>IF(F158="FACTURA",E158*1,IF(F158=$I$3,E158/0.845,))</f>
        <v>0</v>
      </c>
    </row>
    <row r="159" spans="1:7" ht="15.75" thickBot="1" x14ac:dyDescent="0.3">
      <c r="A159" s="73">
        <v>7.4</v>
      </c>
      <c r="B159" s="501" t="s">
        <v>1514</v>
      </c>
      <c r="C159" s="502"/>
      <c r="D159" s="502"/>
      <c r="E159" s="502"/>
      <c r="F159" s="503"/>
      <c r="G159" s="68">
        <f>SUM(G160:G164)</f>
        <v>0</v>
      </c>
    </row>
    <row r="160" spans="1:7" x14ac:dyDescent="0.25">
      <c r="A160" s="71"/>
      <c r="B160" s="84"/>
      <c r="C160" s="85"/>
      <c r="D160" s="86"/>
      <c r="E160" s="86">
        <f t="shared" si="2"/>
        <v>0</v>
      </c>
      <c r="F160" s="101" t="s">
        <v>14</v>
      </c>
      <c r="G160" s="99">
        <f>IF(F160="FACTURA",E160*1,IF(F160=$I$3,E160/0.845,))</f>
        <v>0</v>
      </c>
    </row>
    <row r="161" spans="1:7" x14ac:dyDescent="0.25">
      <c r="A161" s="74"/>
      <c r="B161" s="84"/>
      <c r="C161" s="85"/>
      <c r="D161" s="86"/>
      <c r="E161" s="100">
        <f t="shared" si="2"/>
        <v>0</v>
      </c>
      <c r="F161" s="1" t="s">
        <v>14</v>
      </c>
      <c r="G161" s="99">
        <f>IF(F161="FACTURA",E161*1,IF(F161=$I$3,E161/0.845,))</f>
        <v>0</v>
      </c>
    </row>
    <row r="162" spans="1:7" x14ac:dyDescent="0.25">
      <c r="A162" s="74"/>
      <c r="B162" s="84"/>
      <c r="C162" s="85"/>
      <c r="D162" s="86"/>
      <c r="E162" s="100">
        <f t="shared" si="2"/>
        <v>0</v>
      </c>
      <c r="F162" s="1" t="s">
        <v>14</v>
      </c>
      <c r="G162" s="99">
        <f>IF(F162="FACTURA",E162*1,IF(F162=$I$3,E162/0.845,))</f>
        <v>0</v>
      </c>
    </row>
    <row r="163" spans="1:7" x14ac:dyDescent="0.25">
      <c r="A163" s="74"/>
      <c r="B163" s="84"/>
      <c r="C163" s="85"/>
      <c r="D163" s="86"/>
      <c r="E163" s="100">
        <f t="shared" si="2"/>
        <v>0</v>
      </c>
      <c r="F163" s="1" t="s">
        <v>14</v>
      </c>
      <c r="G163" s="99">
        <f>IF(F163="FACTURA",E163*1,IF(F163=$I$3,E163/0.845,))</f>
        <v>0</v>
      </c>
    </row>
    <row r="164" spans="1:7" ht="15.75" thickBot="1" x14ac:dyDescent="0.3">
      <c r="A164" s="75"/>
      <c r="B164" s="87"/>
      <c r="C164" s="85"/>
      <c r="D164" s="86"/>
      <c r="E164" s="94">
        <f t="shared" si="2"/>
        <v>0</v>
      </c>
      <c r="F164" s="102" t="s">
        <v>1525</v>
      </c>
      <c r="G164" s="99">
        <f>IF(F164="FACTURA",E164*1,IF(F164=$I$3,E164/0.845,))</f>
        <v>0</v>
      </c>
    </row>
    <row r="165" spans="1:7" ht="15.75" thickBot="1" x14ac:dyDescent="0.3">
      <c r="A165" s="73">
        <v>7.5</v>
      </c>
      <c r="B165" s="501" t="s">
        <v>1515</v>
      </c>
      <c r="C165" s="502"/>
      <c r="D165" s="502"/>
      <c r="E165" s="502"/>
      <c r="F165" s="503"/>
      <c r="G165" s="68">
        <f>SUM(G166:G170)</f>
        <v>0</v>
      </c>
    </row>
    <row r="166" spans="1:7" x14ac:dyDescent="0.25">
      <c r="A166" s="71"/>
      <c r="B166" s="84"/>
      <c r="C166" s="85"/>
      <c r="D166" s="86"/>
      <c r="E166" s="86">
        <f t="shared" si="2"/>
        <v>0</v>
      </c>
      <c r="F166" s="101" t="s">
        <v>14</v>
      </c>
      <c r="G166" s="99">
        <f>IF(F166="FACTURA",E166*1,IF(F166=$I$3,E166/0.845,))</f>
        <v>0</v>
      </c>
    </row>
    <row r="167" spans="1:7" x14ac:dyDescent="0.25">
      <c r="A167" s="74"/>
      <c r="B167" s="84"/>
      <c r="C167" s="85"/>
      <c r="D167" s="86"/>
      <c r="E167" s="100">
        <f t="shared" si="2"/>
        <v>0</v>
      </c>
      <c r="F167" s="1" t="s">
        <v>14</v>
      </c>
      <c r="G167" s="99">
        <f>IF(F167="FACTURA",E167*1,IF(F167=$I$3,E167/0.845,))</f>
        <v>0</v>
      </c>
    </row>
    <row r="168" spans="1:7" x14ac:dyDescent="0.25">
      <c r="A168" s="74"/>
      <c r="B168" s="84"/>
      <c r="C168" s="85"/>
      <c r="D168" s="86"/>
      <c r="E168" s="100">
        <f t="shared" si="2"/>
        <v>0</v>
      </c>
      <c r="F168" s="1" t="s">
        <v>1525</v>
      </c>
      <c r="G168" s="99">
        <f>IF(F168="FACTURA",E168*1,IF(F168=$I$3,E168/0.845,))</f>
        <v>0</v>
      </c>
    </row>
    <row r="169" spans="1:7" x14ac:dyDescent="0.25">
      <c r="A169" s="74"/>
      <c r="B169" s="84"/>
      <c r="C169" s="85"/>
      <c r="D169" s="86"/>
      <c r="E169" s="100">
        <f t="shared" si="2"/>
        <v>0</v>
      </c>
      <c r="F169" s="1" t="s">
        <v>14</v>
      </c>
      <c r="G169" s="99">
        <f>IF(F169="FACTURA",E169*1,IF(F169=$I$3,E169/0.845,))</f>
        <v>0</v>
      </c>
    </row>
    <row r="170" spans="1:7" ht="15.75" thickBot="1" x14ac:dyDescent="0.3">
      <c r="A170" s="75"/>
      <c r="B170" s="87"/>
      <c r="C170" s="85"/>
      <c r="D170" s="86"/>
      <c r="E170" s="94">
        <f t="shared" si="2"/>
        <v>0</v>
      </c>
      <c r="F170" s="102" t="s">
        <v>14</v>
      </c>
      <c r="G170" s="99">
        <f>IF(F170="FACTURA",E170*1,IF(F170=$I$3,E170/0.845,))</f>
        <v>0</v>
      </c>
    </row>
    <row r="171" spans="1:7" ht="15.75" thickBot="1" x14ac:dyDescent="0.3">
      <c r="A171" s="73">
        <v>7.6</v>
      </c>
      <c r="B171" s="501" t="s">
        <v>1516</v>
      </c>
      <c r="C171" s="502"/>
      <c r="D171" s="502"/>
      <c r="E171" s="502"/>
      <c r="F171" s="503"/>
      <c r="G171" s="68">
        <f>SUM(G172:G176)</f>
        <v>0</v>
      </c>
    </row>
    <row r="172" spans="1:7" x14ac:dyDescent="0.25">
      <c r="A172" s="71"/>
      <c r="B172" s="84"/>
      <c r="C172" s="85"/>
      <c r="D172" s="86"/>
      <c r="E172" s="86">
        <f t="shared" si="2"/>
        <v>0</v>
      </c>
      <c r="F172" s="101" t="s">
        <v>14</v>
      </c>
      <c r="G172" s="99">
        <f>IF(F172="FACTURA",E172*1,IF(F172=$I$3,E172/0.845,))</f>
        <v>0</v>
      </c>
    </row>
    <row r="173" spans="1:7" x14ac:dyDescent="0.25">
      <c r="A173" s="74"/>
      <c r="B173" s="84"/>
      <c r="C173" s="85"/>
      <c r="D173" s="86"/>
      <c r="E173" s="100">
        <f t="shared" si="2"/>
        <v>0</v>
      </c>
      <c r="F173" s="1" t="s">
        <v>14</v>
      </c>
      <c r="G173" s="99">
        <f>IF(F173="FACTURA",E173*1,IF(F173=$I$3,E173/0.845,))</f>
        <v>0</v>
      </c>
    </row>
    <row r="174" spans="1:7" x14ac:dyDescent="0.25">
      <c r="A174" s="74"/>
      <c r="B174" s="84"/>
      <c r="C174" s="85"/>
      <c r="D174" s="86"/>
      <c r="E174" s="100">
        <f t="shared" si="2"/>
        <v>0</v>
      </c>
      <c r="F174" s="1" t="s">
        <v>1525</v>
      </c>
      <c r="G174" s="99">
        <f>IF(F174="FACTURA",E174*1,IF(F174=$I$3,E174/0.845,))</f>
        <v>0</v>
      </c>
    </row>
    <row r="175" spans="1:7" x14ac:dyDescent="0.25">
      <c r="A175" s="74"/>
      <c r="B175" s="84"/>
      <c r="C175" s="85"/>
      <c r="D175" s="86"/>
      <c r="E175" s="100">
        <f t="shared" si="2"/>
        <v>0</v>
      </c>
      <c r="F175" s="1" t="s">
        <v>14</v>
      </c>
      <c r="G175" s="99">
        <f>IF(F175="FACTURA",E175*1,IF(F175=$I$3,E175/0.845,))</f>
        <v>0</v>
      </c>
    </row>
    <row r="176" spans="1:7" ht="15.75" thickBot="1" x14ac:dyDescent="0.3">
      <c r="A176" s="75"/>
      <c r="B176" s="87"/>
      <c r="C176" s="85"/>
      <c r="D176" s="86"/>
      <c r="E176" s="94">
        <f t="shared" si="2"/>
        <v>0</v>
      </c>
      <c r="F176" s="102" t="s">
        <v>14</v>
      </c>
      <c r="G176" s="99">
        <f>IF(F176="FACTURA",E176*1,IF(F176=$I$3,E176/0.845,))</f>
        <v>0</v>
      </c>
    </row>
    <row r="177" spans="1:7" ht="15.75" thickBot="1" x14ac:dyDescent="0.3">
      <c r="A177" s="73">
        <v>7.7</v>
      </c>
      <c r="B177" s="501" t="s">
        <v>1517</v>
      </c>
      <c r="C177" s="502"/>
      <c r="D177" s="502"/>
      <c r="E177" s="502"/>
      <c r="F177" s="503"/>
      <c r="G177" s="68">
        <f>SUM(G178:G182)</f>
        <v>0</v>
      </c>
    </row>
    <row r="178" spans="1:7" x14ac:dyDescent="0.25">
      <c r="A178" s="71"/>
      <c r="B178" s="84"/>
      <c r="C178" s="85"/>
      <c r="D178" s="86"/>
      <c r="E178" s="86">
        <f t="shared" si="2"/>
        <v>0</v>
      </c>
      <c r="F178" s="101" t="s">
        <v>14</v>
      </c>
      <c r="G178" s="99">
        <f>IF(F178="FACTURA",E178*1,IF(F178=$I$3,E178/0.845,))</f>
        <v>0</v>
      </c>
    </row>
    <row r="179" spans="1:7" x14ac:dyDescent="0.25">
      <c r="A179" s="74"/>
      <c r="B179" s="84"/>
      <c r="C179" s="85"/>
      <c r="D179" s="86"/>
      <c r="E179" s="100">
        <f t="shared" si="2"/>
        <v>0</v>
      </c>
      <c r="F179" s="1" t="s">
        <v>14</v>
      </c>
      <c r="G179" s="99">
        <f>IF(F179="FACTURA",E179*1,IF(F179=$I$3,E179/0.845,))</f>
        <v>0</v>
      </c>
    </row>
    <row r="180" spans="1:7" x14ac:dyDescent="0.25">
      <c r="A180" s="74"/>
      <c r="B180" s="84"/>
      <c r="C180" s="85"/>
      <c r="D180" s="86"/>
      <c r="E180" s="100">
        <f t="shared" si="2"/>
        <v>0</v>
      </c>
      <c r="F180" s="1" t="s">
        <v>1525</v>
      </c>
      <c r="G180" s="99">
        <f>IF(F180="FACTURA",E180*1,IF(F180=$I$3,E180/0.845,))</f>
        <v>0</v>
      </c>
    </row>
    <row r="181" spans="1:7" x14ac:dyDescent="0.25">
      <c r="A181" s="74"/>
      <c r="B181" s="84"/>
      <c r="C181" s="85"/>
      <c r="D181" s="86"/>
      <c r="E181" s="100">
        <f t="shared" si="2"/>
        <v>0</v>
      </c>
      <c r="F181" s="1" t="s">
        <v>14</v>
      </c>
      <c r="G181" s="99">
        <f>IF(F181="FACTURA",E181*1,IF(F181=$I$3,E181/0.845,))</f>
        <v>0</v>
      </c>
    </row>
    <row r="182" spans="1:7" ht="15.75" thickBot="1" x14ac:dyDescent="0.3">
      <c r="A182" s="75"/>
      <c r="B182" s="87"/>
      <c r="C182" s="85"/>
      <c r="D182" s="86"/>
      <c r="E182" s="94">
        <f t="shared" si="2"/>
        <v>0</v>
      </c>
      <c r="F182" s="102" t="s">
        <v>14</v>
      </c>
      <c r="G182" s="99">
        <f>IF(F182="FACTURA",E182*1,IF(F182=$I$3,E182/0.845,))</f>
        <v>0</v>
      </c>
    </row>
    <row r="183" spans="1:7" ht="15.75" thickBot="1" x14ac:dyDescent="0.3">
      <c r="A183" s="73">
        <v>7.8</v>
      </c>
      <c r="B183" s="501" t="s">
        <v>1518</v>
      </c>
      <c r="C183" s="502"/>
      <c r="D183" s="502"/>
      <c r="E183" s="502"/>
      <c r="F183" s="503"/>
      <c r="G183" s="68">
        <f>SUM(G184:G188)</f>
        <v>0</v>
      </c>
    </row>
    <row r="184" spans="1:7" x14ac:dyDescent="0.25">
      <c r="A184" s="71"/>
      <c r="B184" s="84"/>
      <c r="C184" s="85"/>
      <c r="D184" s="86"/>
      <c r="E184" s="86">
        <f t="shared" si="2"/>
        <v>0</v>
      </c>
      <c r="F184" s="101" t="s">
        <v>14</v>
      </c>
      <c r="G184" s="99">
        <f>IF(F184="FACTURA",E184*1,IF(F184=$I$3,E184/0.845,))</f>
        <v>0</v>
      </c>
    </row>
    <row r="185" spans="1:7" x14ac:dyDescent="0.25">
      <c r="A185" s="74"/>
      <c r="B185" s="84"/>
      <c r="C185" s="85"/>
      <c r="D185" s="86"/>
      <c r="E185" s="100">
        <f t="shared" si="2"/>
        <v>0</v>
      </c>
      <c r="F185" s="1" t="s">
        <v>14</v>
      </c>
      <c r="G185" s="99">
        <f>IF(F185="FACTURA",E185*1,IF(F185=$I$3,E185/0.845,))</f>
        <v>0</v>
      </c>
    </row>
    <row r="186" spans="1:7" x14ac:dyDescent="0.25">
      <c r="A186" s="74"/>
      <c r="B186" s="84"/>
      <c r="C186" s="85"/>
      <c r="D186" s="86"/>
      <c r="E186" s="100">
        <f t="shared" si="2"/>
        <v>0</v>
      </c>
      <c r="F186" s="1" t="s">
        <v>1525</v>
      </c>
      <c r="G186" s="99">
        <f>IF(F186="FACTURA",E186*1,IF(F186=$I$3,E186/0.845,))</f>
        <v>0</v>
      </c>
    </row>
    <row r="187" spans="1:7" x14ac:dyDescent="0.25">
      <c r="A187" s="74"/>
      <c r="B187" s="84"/>
      <c r="C187" s="85"/>
      <c r="D187" s="86"/>
      <c r="E187" s="100">
        <f t="shared" si="2"/>
        <v>0</v>
      </c>
      <c r="F187" s="1" t="s">
        <v>14</v>
      </c>
      <c r="G187" s="99">
        <f>IF(F187="FACTURA",E187*1,IF(F187=$I$3,E187/0.845,))</f>
        <v>0</v>
      </c>
    </row>
    <row r="188" spans="1:7" ht="15.75" thickBot="1" x14ac:dyDescent="0.3">
      <c r="A188" s="75"/>
      <c r="B188" s="87"/>
      <c r="C188" s="85"/>
      <c r="D188" s="86"/>
      <c r="E188" s="94">
        <f t="shared" si="2"/>
        <v>0</v>
      </c>
      <c r="F188" s="102" t="s">
        <v>14</v>
      </c>
      <c r="G188" s="99">
        <f>IF(F188="FACTURA",E188*1,IF(F188=$I$3,E188/0.845,))</f>
        <v>0</v>
      </c>
    </row>
    <row r="189" spans="1:7" ht="15.75" thickBot="1" x14ac:dyDescent="0.3">
      <c r="A189" s="73">
        <v>7.9</v>
      </c>
      <c r="B189" s="501" t="s">
        <v>1519</v>
      </c>
      <c r="C189" s="502"/>
      <c r="D189" s="502"/>
      <c r="E189" s="502"/>
      <c r="F189" s="503"/>
      <c r="G189" s="68">
        <f>SUM(G190:G194)</f>
        <v>0</v>
      </c>
    </row>
    <row r="190" spans="1:7" x14ac:dyDescent="0.25">
      <c r="A190" s="71"/>
      <c r="B190" s="84" t="s">
        <v>1520</v>
      </c>
      <c r="C190" s="85"/>
      <c r="D190" s="86"/>
      <c r="E190" s="86">
        <f t="shared" si="2"/>
        <v>0</v>
      </c>
      <c r="F190" s="101" t="s">
        <v>14</v>
      </c>
      <c r="G190" s="99">
        <f>IF(F190="FACTURA",E190*1,IF(F190=$I$3,E190/0.845,))</f>
        <v>0</v>
      </c>
    </row>
    <row r="191" spans="1:7" x14ac:dyDescent="0.25">
      <c r="A191" s="74"/>
      <c r="B191" s="84"/>
      <c r="C191" s="85"/>
      <c r="D191" s="86"/>
      <c r="E191" s="100">
        <f t="shared" si="2"/>
        <v>0</v>
      </c>
      <c r="F191" s="1" t="s">
        <v>14</v>
      </c>
      <c r="G191" s="99">
        <f>IF(F191="FACTURA",E191*1,IF(F191=$I$3,E191/0.845,))</f>
        <v>0</v>
      </c>
    </row>
    <row r="192" spans="1:7" x14ac:dyDescent="0.25">
      <c r="A192" s="74"/>
      <c r="B192" s="84"/>
      <c r="C192" s="85"/>
      <c r="D192" s="86"/>
      <c r="E192" s="100">
        <f t="shared" si="2"/>
        <v>0</v>
      </c>
      <c r="F192" s="1" t="s">
        <v>1525</v>
      </c>
      <c r="G192" s="99">
        <f>IF(F192="FACTURA",E192*1,IF(F192=$I$3,E192/0.845,))</f>
        <v>0</v>
      </c>
    </row>
    <row r="193" spans="1:7" x14ac:dyDescent="0.25">
      <c r="A193" s="74"/>
      <c r="B193" s="84"/>
      <c r="C193" s="85"/>
      <c r="D193" s="86"/>
      <c r="E193" s="100">
        <f t="shared" si="2"/>
        <v>0</v>
      </c>
      <c r="F193" s="1" t="s">
        <v>14</v>
      </c>
      <c r="G193" s="99">
        <f>IF(F193="FACTURA",E193*1,IF(F193=$I$3,E193/0.845,))</f>
        <v>0</v>
      </c>
    </row>
    <row r="194" spans="1:7" ht="15.75" thickBot="1" x14ac:dyDescent="0.3">
      <c r="A194" s="79"/>
      <c r="B194" s="95"/>
      <c r="C194" s="96"/>
      <c r="D194" s="86"/>
      <c r="E194" s="100">
        <f t="shared" si="2"/>
        <v>0</v>
      </c>
      <c r="F194" s="1" t="s">
        <v>14</v>
      </c>
      <c r="G194" s="99">
        <f>IF(F194="FACTURA",E194*1,IF(F194=$I$3,E194/0.845,))</f>
        <v>0</v>
      </c>
    </row>
    <row r="195" spans="1:7" ht="15.75" thickBot="1" x14ac:dyDescent="0.3">
      <c r="G195" s="80">
        <f>G8+G15+G34+G59+G90+G97+G140</f>
        <v>41.42011834319527</v>
      </c>
    </row>
    <row r="197" spans="1:7" hidden="1" x14ac:dyDescent="0.25">
      <c r="G197" s="57">
        <f>+'HOJA D TRABAJO'!D254</f>
        <v>0.17</v>
      </c>
    </row>
    <row r="198" spans="1:7" hidden="1" x14ac:dyDescent="0.25">
      <c r="G198" s="57">
        <f>+G195*G197</f>
        <v>7.0414201183431961</v>
      </c>
    </row>
    <row r="199" spans="1:7" hidden="1" x14ac:dyDescent="0.25">
      <c r="G199" s="165">
        <f>+G195+G198</f>
        <v>48.461538461538467</v>
      </c>
    </row>
  </sheetData>
  <mergeCells count="38">
    <mergeCell ref="B8:F8"/>
    <mergeCell ref="B4:F4"/>
    <mergeCell ref="B34:F34"/>
    <mergeCell ref="B28:F28"/>
    <mergeCell ref="B22:F22"/>
    <mergeCell ref="B16:F16"/>
    <mergeCell ref="B15:F15"/>
    <mergeCell ref="B9:F9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122:F122"/>
    <mergeCell ref="B116:F116"/>
    <mergeCell ref="B110:F110"/>
    <mergeCell ref="B104:F104"/>
    <mergeCell ref="B97:F97"/>
    <mergeCell ref="B98:F98"/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G13" sqref="G13"/>
    </sheetView>
  </sheetViews>
  <sheetFormatPr baseColWidth="10" defaultRowHeight="14.25" outlineLevelRow="2" x14ac:dyDescent="0.2"/>
  <cols>
    <col min="1" max="7" width="12.7109375" style="24" customWidth="1"/>
    <col min="8" max="8" width="3.140625" style="29" customWidth="1"/>
    <col min="9" max="15" width="12.7109375" style="24" customWidth="1"/>
    <col min="16" max="16384" width="11.42578125" style="24"/>
  </cols>
  <sheetData>
    <row r="2" spans="1:18" ht="27" x14ac:dyDescent="0.35">
      <c r="E2" s="511" t="str">
        <f>+'HOJA D TRABAJO'!D25</f>
        <v xml:space="preserve">COCHABAMBA </v>
      </c>
      <c r="F2" s="511"/>
      <c r="G2" s="511"/>
      <c r="H2" s="511"/>
      <c r="I2" s="511"/>
      <c r="J2" s="511"/>
      <c r="K2" s="511"/>
    </row>
    <row r="4" spans="1:18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TRABAJO'!D27</f>
        <v>4</v>
      </c>
      <c r="H4" s="58"/>
      <c r="I4" s="59" t="s">
        <v>1422</v>
      </c>
      <c r="J4" s="59"/>
      <c r="K4" s="59"/>
      <c r="L4" s="59"/>
      <c r="M4" s="59"/>
      <c r="N4" s="59" t="s">
        <v>2</v>
      </c>
      <c r="O4" s="59">
        <f>+'HOJA D TRABAJO'!D28</f>
        <v>0</v>
      </c>
    </row>
    <row r="5" spans="1:18" ht="15" x14ac:dyDescent="0.25">
      <c r="A5" s="60"/>
      <c r="B5" s="60" t="s">
        <v>1378</v>
      </c>
      <c r="C5" s="508" t="str">
        <f>+'HOJA D TRABAJO'!B27</f>
        <v>IMPULSADORA SUPERMERCADO HIPERMAXI JUAN DE LA ROSA</v>
      </c>
      <c r="D5" s="508"/>
      <c r="E5" s="508"/>
      <c r="F5" s="60"/>
      <c r="G5" s="60"/>
      <c r="H5" s="58"/>
      <c r="I5" s="60"/>
      <c r="J5" s="60" t="s">
        <v>1378</v>
      </c>
      <c r="K5" s="508">
        <f>+'HOJA D TRABAJO'!B28</f>
        <v>0</v>
      </c>
      <c r="L5" s="508"/>
      <c r="M5" s="508"/>
      <c r="N5" s="60"/>
      <c r="O5" s="60"/>
    </row>
    <row r="6" spans="1:18" x14ac:dyDescent="0.2">
      <c r="A6" s="509" t="s">
        <v>1379</v>
      </c>
      <c r="B6" s="509"/>
      <c r="C6" s="509"/>
      <c r="D6" s="509"/>
      <c r="E6" s="509"/>
      <c r="F6" s="509"/>
      <c r="G6" s="509"/>
      <c r="H6" s="25"/>
      <c r="I6" s="509" t="s">
        <v>1379</v>
      </c>
      <c r="J6" s="509"/>
      <c r="K6" s="509"/>
      <c r="L6" s="509"/>
      <c r="M6" s="509"/>
      <c r="N6" s="509"/>
      <c r="O6" s="509"/>
    </row>
    <row r="7" spans="1:18" x14ac:dyDescent="0.2">
      <c r="A7" s="30"/>
      <c r="B7" s="30"/>
      <c r="C7" s="30"/>
      <c r="D7" s="30"/>
      <c r="E7" s="30"/>
      <c r="F7" s="30"/>
      <c r="G7" s="30"/>
      <c r="H7" s="26"/>
      <c r="I7" s="30"/>
      <c r="J7" s="30"/>
      <c r="K7" s="30"/>
      <c r="L7" s="30"/>
      <c r="M7" s="30"/>
      <c r="N7" s="30"/>
      <c r="O7" s="30"/>
    </row>
    <row r="8" spans="1:18" x14ac:dyDescent="0.2">
      <c r="A8" s="510" t="str">
        <f>+"Costo líquido por " &amp; C5 &amp;  "(líquido pagable Bs.)"</f>
        <v>Costo líquido por IMPULSADORA SUPERMERCADO HIPERMAXI JUAN DE LA ROSA(líquido pagable Bs.)</v>
      </c>
      <c r="B8" s="510"/>
      <c r="C8" s="510"/>
      <c r="D8" s="510"/>
      <c r="E8" s="510"/>
      <c r="F8" s="510"/>
      <c r="G8" s="32">
        <f>+'HOJA D TRABAJO'!E27</f>
        <v>80</v>
      </c>
      <c r="H8" s="27"/>
      <c r="I8" s="510" t="str">
        <f>+"Costo líquido por " &amp; K5 &amp;  "(líquido pagable Bs.)"</f>
        <v>Costo líquido por 0(líquido pagable Bs.)</v>
      </c>
      <c r="J8" s="510"/>
      <c r="K8" s="510"/>
      <c r="L8" s="510"/>
      <c r="M8" s="510"/>
      <c r="N8" s="510"/>
      <c r="O8" s="32">
        <f>+'HOJA D TRABAJO'!E28</f>
        <v>0</v>
      </c>
      <c r="Q8" s="21"/>
    </row>
    <row r="9" spans="1:18" x14ac:dyDescent="0.2">
      <c r="A9" s="34" t="s">
        <v>1406</v>
      </c>
      <c r="B9" s="30"/>
      <c r="C9" s="30"/>
      <c r="D9" s="30"/>
      <c r="E9" s="30"/>
      <c r="F9" s="30"/>
      <c r="G9" s="32"/>
      <c r="H9" s="27"/>
      <c r="I9" s="34" t="s">
        <v>1377</v>
      </c>
      <c r="J9" s="30"/>
      <c r="K9" s="30"/>
      <c r="L9" s="30"/>
      <c r="M9" s="30"/>
      <c r="N9" s="30"/>
      <c r="O9" s="32"/>
      <c r="P9" s="21"/>
      <c r="Q9" s="22"/>
    </row>
    <row r="10" spans="1:18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94.674556213017752</v>
      </c>
      <c r="H10" s="27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  <c r="Q10" s="22"/>
    </row>
    <row r="11" spans="1:18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27"/>
      <c r="I11" s="37" t="s">
        <v>1398</v>
      </c>
      <c r="J11" s="30"/>
      <c r="K11" s="30"/>
      <c r="L11" s="30"/>
      <c r="M11" s="38">
        <v>0.125</v>
      </c>
      <c r="N11" s="30"/>
      <c r="O11" s="32"/>
      <c r="Q11" s="22"/>
    </row>
    <row r="12" spans="1:18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27"/>
      <c r="I12" s="37" t="s">
        <v>1399</v>
      </c>
      <c r="J12" s="30"/>
      <c r="K12" s="30"/>
      <c r="L12" s="30"/>
      <c r="M12" s="38">
        <v>0.03</v>
      </c>
      <c r="N12" s="30"/>
      <c r="O12" s="32"/>
      <c r="Q12" s="22"/>
    </row>
    <row r="13" spans="1:18" x14ac:dyDescent="0.2">
      <c r="A13" s="39" t="s">
        <v>1407</v>
      </c>
      <c r="B13" s="30"/>
      <c r="C13" s="30"/>
      <c r="D13" s="30"/>
      <c r="E13" s="38"/>
      <c r="F13" s="30"/>
      <c r="G13" s="32">
        <f>+(('HOJA D TRABAJO'!$H$21+'HOJA D TRABAJO'!$E$254)*'HOJA D TRABAJO'!F27)</f>
        <v>28.210059171597635</v>
      </c>
      <c r="H13" s="27"/>
      <c r="I13" s="39" t="s">
        <v>1376</v>
      </c>
      <c r="J13" s="30"/>
      <c r="K13" s="30"/>
      <c r="L13" s="30"/>
      <c r="M13" s="38"/>
      <c r="N13" s="30"/>
      <c r="O13" s="32">
        <f>+(('HOJA D TRABAJO'!$H$21+'HOJA D TRABAJO'!$E$254)*'HOJA D TRABAJO'!F28)</f>
        <v>0</v>
      </c>
      <c r="Q13" s="21"/>
    </row>
    <row r="14" spans="1:18" x14ac:dyDescent="0.2">
      <c r="A14" s="39" t="s">
        <v>1389</v>
      </c>
      <c r="B14" s="30"/>
      <c r="C14" s="30"/>
      <c r="D14" s="30"/>
      <c r="E14" s="167">
        <f>('HOJA D TRABAJO'!D257)</f>
        <v>5.4487179487179495E-4</v>
      </c>
      <c r="F14" s="30"/>
      <c r="G14" s="32">
        <f>+'HOJA D TRABAJO'!$E$257*'HOJA D TRABAJO'!$F$27</f>
        <v>2.1779557350933092</v>
      </c>
      <c r="H14" s="27"/>
      <c r="I14" s="39" t="s">
        <v>1388</v>
      </c>
      <c r="J14" s="30"/>
      <c r="K14" s="30"/>
      <c r="L14" s="30"/>
      <c r="M14" s="36">
        <f>$E$14</f>
        <v>5.4487179487179495E-4</v>
      </c>
      <c r="N14" s="30"/>
      <c r="O14" s="32">
        <f>+'HOJA D TRABAJO'!$E$257*'HOJA D TRABAJO'!$F$28</f>
        <v>0</v>
      </c>
      <c r="Q14" s="21"/>
    </row>
    <row r="15" spans="1:18" x14ac:dyDescent="0.2">
      <c r="A15" s="40" t="s">
        <v>1408</v>
      </c>
      <c r="B15" s="41"/>
      <c r="C15" s="41"/>
      <c r="D15" s="41"/>
      <c r="E15" s="42">
        <f>IF(OR('HOJA D TRABAJO'!H260="",'HOJA D TRABAJO'!H260=0),'HOJA D TRABAJO'!C260,'HOJA D TRABAJO'!H260)</f>
        <v>0.13</v>
      </c>
      <c r="F15" s="41"/>
      <c r="G15" s="43">
        <f>+(G10+G13+G14)*E15</f>
        <v>16.258134245562129</v>
      </c>
      <c r="H15" s="27"/>
      <c r="I15" s="40" t="s">
        <v>1375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  <c r="Q15" s="21"/>
      <c r="R15" s="21"/>
    </row>
    <row r="16" spans="1:18" ht="15" x14ac:dyDescent="0.25">
      <c r="A16" s="45" t="s">
        <v>1409</v>
      </c>
      <c r="B16" s="46"/>
      <c r="C16" s="46"/>
      <c r="D16" s="46"/>
      <c r="E16" s="46"/>
      <c r="F16" s="46"/>
      <c r="G16" s="47">
        <f>+SUM(G10:G15)</f>
        <v>141.32070536527081</v>
      </c>
      <c r="H16" s="28"/>
      <c r="I16" s="45" t="s">
        <v>1374</v>
      </c>
      <c r="J16" s="46"/>
      <c r="K16" s="46"/>
      <c r="L16" s="46"/>
      <c r="M16" s="46"/>
      <c r="N16" s="46"/>
      <c r="O16" s="47">
        <f>+SUM(O10:O15)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26.918229593384922</v>
      </c>
      <c r="H17" s="27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27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27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168.23893495865573</v>
      </c>
      <c r="H20" s="2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2" spans="1:15" outlineLevel="1" x14ac:dyDescent="0.2">
      <c r="E22" s="21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TRABAJO'!D29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TRABAJO'!D30</f>
        <v>0</v>
      </c>
    </row>
    <row r="24" spans="1:15" ht="15" outlineLevel="1" x14ac:dyDescent="0.25">
      <c r="A24" s="60"/>
      <c r="B24" s="60" t="s">
        <v>1378</v>
      </c>
      <c r="C24" s="508">
        <f>+'HOJA D TRABAJO'!B29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TRABAJO'!B30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TRABAJO'!E29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TRABAJO'!E30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ht="15" customHeight="1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TRABAJO'!F29)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TRABAJO'!F30)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$E$14</f>
        <v>5.4487179487179495E-4</v>
      </c>
      <c r="F32" s="30"/>
      <c r="G32" s="32">
        <f>+'HOJA D TRABAJO'!$E$257*'HOJA D TRABAJO'!$F$29</f>
        <v>0</v>
      </c>
      <c r="H32" s="33"/>
      <c r="I32" s="39" t="s">
        <v>1388</v>
      </c>
      <c r="J32" s="30"/>
      <c r="K32" s="30"/>
      <c r="L32" s="30"/>
      <c r="M32" s="36">
        <f>$E$14</f>
        <v>5.4487179487179495E-4</v>
      </c>
      <c r="N32" s="30"/>
      <c r="O32" s="32">
        <f>+'HOJA D TRABAJO'!$E$257*'HOJA D TRABAJO'!$F$30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TRABAJO'!D31</f>
        <v>0</v>
      </c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TRABAJO'!D32</f>
        <v>0</v>
      </c>
    </row>
    <row r="43" spans="1:15" ht="15" outlineLevel="2" x14ac:dyDescent="0.25">
      <c r="A43" s="60"/>
      <c r="B43" s="60" t="s">
        <v>1378</v>
      </c>
      <c r="C43" s="508">
        <f>+'HOJA D TRABAJO'!B31</f>
        <v>0</v>
      </c>
      <c r="D43" s="508"/>
      <c r="E43" s="508"/>
      <c r="F43" s="60"/>
      <c r="G43" s="60"/>
      <c r="I43" s="60"/>
      <c r="J43" s="60" t="s">
        <v>1378</v>
      </c>
      <c r="K43" s="508">
        <f>+'HOJA D TRABAJO'!B32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TRABAJO'!E31</f>
        <v>0</v>
      </c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TRABAJO'!E32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8" customHeight="1" outlineLevel="2" x14ac:dyDescent="0.2">
      <c r="A50" s="37" t="s">
        <v>1411</v>
      </c>
      <c r="B50" s="30"/>
      <c r="C50" s="30"/>
      <c r="D50" s="30"/>
      <c r="E50" s="38">
        <v>0.03</v>
      </c>
      <c r="F50" s="30"/>
      <c r="G50" s="32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TRABAJO'!F31)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TRABAJO'!F32)</f>
        <v>0</v>
      </c>
    </row>
    <row r="52" spans="1:15" ht="18" customHeight="1" outlineLevel="2" x14ac:dyDescent="0.2">
      <c r="A52" s="39" t="s">
        <v>1388</v>
      </c>
      <c r="B52" s="30"/>
      <c r="C52" s="30"/>
      <c r="D52" s="30"/>
      <c r="E52" s="36">
        <f>$E$14</f>
        <v>5.4487179487179495E-4</v>
      </c>
      <c r="F52" s="30"/>
      <c r="G52" s="32">
        <f>+'HOJA D TRABAJO'!$E$257*'HOJA D TRABAJO'!$F$31</f>
        <v>0</v>
      </c>
      <c r="I52" s="39" t="s">
        <v>1388</v>
      </c>
      <c r="J52" s="30"/>
      <c r="K52" s="30"/>
      <c r="L52" s="30"/>
      <c r="M52" s="36">
        <f>$E$14</f>
        <v>5.4487179487179495E-4</v>
      </c>
      <c r="N52" s="30"/>
      <c r="O52" s="32">
        <f>+'HOJA D TRABAJO'!$E$257*'HOJA D TRABAJO'!$F$32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"/>
    <row r="60" spans="1:15" outlineLevel="1" x14ac:dyDescent="0.2">
      <c r="H60" s="33"/>
      <c r="I60" s="21"/>
    </row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TRABAJO'!D33</f>
        <v>0</v>
      </c>
      <c r="H61" s="58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TRABAJO'!D34</f>
        <v>0</v>
      </c>
    </row>
    <row r="62" spans="1:15" ht="15" x14ac:dyDescent="0.25">
      <c r="A62" s="166"/>
      <c r="B62" s="166" t="s">
        <v>1378</v>
      </c>
      <c r="C62" s="508">
        <f>+'HOJA D TRABAJO'!B33:B33</f>
        <v>0</v>
      </c>
      <c r="D62" s="508"/>
      <c r="E62" s="508"/>
      <c r="F62" s="166"/>
      <c r="G62" s="166"/>
      <c r="H62" s="58"/>
      <c r="I62" s="166"/>
      <c r="J62" s="166" t="s">
        <v>1378</v>
      </c>
      <c r="K62" s="508">
        <f>+'HOJA D TRABAJO'!B34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25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6"/>
      <c r="I64" s="30"/>
      <c r="J64" s="30"/>
      <c r="K64" s="30"/>
      <c r="L64" s="30"/>
      <c r="M64" s="30"/>
      <c r="N64" s="30"/>
      <c r="O64" s="30"/>
    </row>
    <row r="65" spans="1:16" x14ac:dyDescent="0.2">
      <c r="A65" s="510" t="str">
        <f>+"Costo líquido por " &amp; C62 &amp;  "(líquido pagable Bs.)"</f>
        <v>Costo líquido por 0(líquido pagable Bs.)</v>
      </c>
      <c r="B65" s="510"/>
      <c r="C65" s="510"/>
      <c r="D65" s="510"/>
      <c r="E65" s="510"/>
      <c r="F65" s="510"/>
      <c r="G65" s="32">
        <f>+'HOJA D TRABAJO'!E33</f>
        <v>0</v>
      </c>
      <c r="H65" s="27"/>
      <c r="I65" s="510" t="str">
        <f>+"Costo líquido por " &amp; K62 &amp;  "(líquido pagable Bs.)"</f>
        <v>Costo líquido por 0(líquido pagable Bs.)</v>
      </c>
      <c r="J65" s="510"/>
      <c r="K65" s="510"/>
      <c r="L65" s="510"/>
      <c r="M65" s="510"/>
      <c r="N65" s="510"/>
      <c r="O65" s="32">
        <f>+'HOJA D TRABAJO'!E34</f>
        <v>0</v>
      </c>
    </row>
    <row r="66" spans="1:16" x14ac:dyDescent="0.2">
      <c r="A66" s="34" t="s">
        <v>1406</v>
      </c>
      <c r="B66" s="30"/>
      <c r="C66" s="30"/>
      <c r="D66" s="30"/>
      <c r="E66" s="30"/>
      <c r="F66" s="30"/>
      <c r="G66" s="32"/>
      <c r="H66" s="27"/>
      <c r="I66" s="34" t="s">
        <v>1377</v>
      </c>
      <c r="J66" s="30"/>
      <c r="K66" s="30"/>
      <c r="L66" s="30"/>
      <c r="M66" s="30"/>
      <c r="N66" s="30"/>
      <c r="O66" s="32"/>
      <c r="P66" s="54"/>
    </row>
    <row r="67" spans="1:16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27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6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27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6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27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6" x14ac:dyDescent="0.2">
      <c r="A70" s="39" t="s">
        <v>1407</v>
      </c>
      <c r="B70" s="30"/>
      <c r="C70" s="30"/>
      <c r="D70" s="30"/>
      <c r="E70" s="38"/>
      <c r="F70" s="30"/>
      <c r="G70" s="32">
        <f>+(('HOJA D TRABAJO'!$H$21+'HOJA D TRABAJO'!$E$254)*'HOJA D TRABAJO'!F33)</f>
        <v>0</v>
      </c>
      <c r="H70" s="27"/>
      <c r="I70" s="39" t="s">
        <v>1376</v>
      </c>
      <c r="J70" s="30"/>
      <c r="K70" s="30"/>
      <c r="L70" s="30"/>
      <c r="M70" s="38"/>
      <c r="N70" s="30"/>
      <c r="O70" s="32">
        <f>+(('HOJA D TRABAJO'!$H$21+'HOJA D TRABAJO'!$E$254)*'HOJA D TRABAJO'!F34)</f>
        <v>0</v>
      </c>
    </row>
    <row r="71" spans="1:16" x14ac:dyDescent="0.2">
      <c r="A71" s="39" t="s">
        <v>1389</v>
      </c>
      <c r="B71" s="30"/>
      <c r="C71" s="30"/>
      <c r="D71" s="30"/>
      <c r="E71" s="36">
        <f>$E$14</f>
        <v>5.4487179487179495E-4</v>
      </c>
      <c r="F71" s="30"/>
      <c r="G71" s="32">
        <f>+'HOJA D TRABAJO'!$E$257*'HOJA D TRABAJO'!$F$33</f>
        <v>0</v>
      </c>
      <c r="H71" s="27"/>
      <c r="I71" s="39" t="s">
        <v>1388</v>
      </c>
      <c r="J71" s="30"/>
      <c r="K71" s="30"/>
      <c r="L71" s="30"/>
      <c r="M71" s="36">
        <f>$E$14</f>
        <v>5.4487179487179495E-4</v>
      </c>
      <c r="N71" s="30"/>
      <c r="O71" s="32">
        <f>+'HOJA D TRABAJO'!$E$257*'HOJA D TRABAJO'!$F$34</f>
        <v>0</v>
      </c>
    </row>
    <row r="72" spans="1:16" x14ac:dyDescent="0.2">
      <c r="A72" s="40" t="s">
        <v>1408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27"/>
      <c r="I72" s="40" t="s">
        <v>1375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6" ht="15" x14ac:dyDescent="0.25">
      <c r="A73" s="45" t="s">
        <v>1409</v>
      </c>
      <c r="B73" s="46"/>
      <c r="C73" s="46"/>
      <c r="D73" s="46"/>
      <c r="E73" s="46"/>
      <c r="F73" s="46"/>
      <c r="G73" s="47">
        <f>+SUM(G67:G72)</f>
        <v>0</v>
      </c>
      <c r="H73" s="28"/>
      <c r="I73" s="45" t="s">
        <v>1374</v>
      </c>
      <c r="J73" s="46"/>
      <c r="K73" s="46"/>
      <c r="L73" s="46"/>
      <c r="M73" s="46"/>
      <c r="N73" s="46"/>
      <c r="O73" s="47">
        <f>+SUM(O67:O72)</f>
        <v>0</v>
      </c>
    </row>
    <row r="74" spans="1:16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27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6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27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6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27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6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2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81" spans="1:15" ht="15" x14ac:dyDescent="0.25">
      <c r="A81" s="59" t="s">
        <v>1422</v>
      </c>
      <c r="B81" s="59"/>
      <c r="C81" s="59"/>
      <c r="D81" s="59"/>
      <c r="E81" s="30"/>
      <c r="F81" s="59" t="s">
        <v>2</v>
      </c>
      <c r="G81" s="169">
        <f>+'HOJA D TRABAJO'!D35</f>
        <v>0</v>
      </c>
      <c r="H81" s="58"/>
      <c r="I81" s="59" t="s">
        <v>1422</v>
      </c>
      <c r="J81" s="59"/>
      <c r="K81" s="59"/>
      <c r="L81" s="59"/>
      <c r="M81" s="59"/>
      <c r="N81" s="59" t="s">
        <v>2</v>
      </c>
      <c r="O81" s="169">
        <f>+'HOJA D TRABAJO'!D36</f>
        <v>0</v>
      </c>
    </row>
    <row r="82" spans="1:15" ht="15" x14ac:dyDescent="0.25">
      <c r="A82" s="166"/>
      <c r="B82" s="166" t="s">
        <v>1378</v>
      </c>
      <c r="C82" s="508">
        <f>+'HOJA D TRABAJO'!B35</f>
        <v>0</v>
      </c>
      <c r="D82" s="508"/>
      <c r="E82" s="508"/>
      <c r="F82" s="166"/>
      <c r="G82" s="166"/>
      <c r="H82" s="58"/>
      <c r="I82" s="166"/>
      <c r="J82" s="166" t="s">
        <v>1378</v>
      </c>
      <c r="K82" s="508">
        <f>+'HOJA D TRABAJO'!B36</f>
        <v>0</v>
      </c>
      <c r="L82" s="508"/>
      <c r="M82" s="508"/>
      <c r="N82" s="166"/>
      <c r="O82" s="166"/>
    </row>
    <row r="83" spans="1:15" x14ac:dyDescent="0.2">
      <c r="A83" s="509" t="s">
        <v>1379</v>
      </c>
      <c r="B83" s="509"/>
      <c r="C83" s="509"/>
      <c r="D83" s="509"/>
      <c r="E83" s="509"/>
      <c r="F83" s="509"/>
      <c r="G83" s="509"/>
      <c r="H83" s="25"/>
      <c r="I83" s="509" t="s">
        <v>1379</v>
      </c>
      <c r="J83" s="509"/>
      <c r="K83" s="509"/>
      <c r="L83" s="509"/>
      <c r="M83" s="509"/>
      <c r="N83" s="509"/>
      <c r="O83" s="509"/>
    </row>
    <row r="84" spans="1:15" x14ac:dyDescent="0.2">
      <c r="A84" s="30"/>
      <c r="B84" s="30"/>
      <c r="C84" s="30"/>
      <c r="D84" s="30"/>
      <c r="E84" s="30"/>
      <c r="F84" s="30"/>
      <c r="G84" s="30"/>
      <c r="H84" s="26"/>
      <c r="I84" s="30"/>
      <c r="J84" s="30"/>
      <c r="K84" s="30"/>
      <c r="L84" s="30"/>
      <c r="M84" s="30"/>
      <c r="N84" s="30"/>
      <c r="O84" s="30"/>
    </row>
    <row r="85" spans="1:15" x14ac:dyDescent="0.2">
      <c r="A85" s="510" t="str">
        <f>+"Costo líquido por " &amp; C82 &amp;  "(líquido pagable Bs.)"</f>
        <v>Costo líquido por 0(líquido pagable Bs.)</v>
      </c>
      <c r="B85" s="510"/>
      <c r="C85" s="510"/>
      <c r="D85" s="510"/>
      <c r="E85" s="510"/>
      <c r="F85" s="510"/>
      <c r="G85" s="32">
        <f>+'HOJA D TRABAJO'!E35</f>
        <v>0</v>
      </c>
      <c r="H85" s="27"/>
      <c r="I85" s="510" t="str">
        <f>+"Costo líquido por " &amp; K82 &amp;  "(líquido pagable Bs.)"</f>
        <v>Costo líquido por 0(líquido pagable Bs.)</v>
      </c>
      <c r="J85" s="510"/>
      <c r="K85" s="510"/>
      <c r="L85" s="510"/>
      <c r="M85" s="510"/>
      <c r="N85" s="510"/>
      <c r="O85" s="32">
        <f>+'HOJA D TRABAJO'!E36</f>
        <v>0</v>
      </c>
    </row>
    <row r="86" spans="1:15" x14ac:dyDescent="0.2">
      <c r="A86" s="34" t="s">
        <v>1406</v>
      </c>
      <c r="B86" s="30"/>
      <c r="C86" s="30"/>
      <c r="D86" s="30"/>
      <c r="E86" s="30"/>
      <c r="F86" s="30"/>
      <c r="G86" s="32"/>
      <c r="H86" s="27"/>
      <c r="I86" s="34" t="s">
        <v>1377</v>
      </c>
      <c r="J86" s="30"/>
      <c r="K86" s="30"/>
      <c r="L86" s="30"/>
      <c r="M86" s="30"/>
      <c r="N86" s="30"/>
      <c r="O86" s="32"/>
    </row>
    <row r="87" spans="1:15" ht="15" x14ac:dyDescent="0.25">
      <c r="A87" s="35" t="s">
        <v>1397</v>
      </c>
      <c r="B87" s="30"/>
      <c r="C87" s="30"/>
      <c r="D87" s="30"/>
      <c r="E87" s="30"/>
      <c r="F87" s="36">
        <f>+SUM(E88:E89)</f>
        <v>0.155</v>
      </c>
      <c r="G87" s="32">
        <f>+G85/0.845</f>
        <v>0</v>
      </c>
      <c r="H87" s="27"/>
      <c r="I87" s="35" t="s">
        <v>1397</v>
      </c>
      <c r="J87" s="30"/>
      <c r="K87" s="30"/>
      <c r="L87" s="30"/>
      <c r="M87" s="30"/>
      <c r="N87" s="36">
        <f>+SUM(M88:M89)</f>
        <v>0.155</v>
      </c>
      <c r="O87" s="32">
        <f>+O85/0.845</f>
        <v>0</v>
      </c>
    </row>
    <row r="88" spans="1:15" x14ac:dyDescent="0.2">
      <c r="A88" s="37" t="s">
        <v>1398</v>
      </c>
      <c r="B88" s="30"/>
      <c r="C88" s="30"/>
      <c r="D88" s="30"/>
      <c r="E88" s="38">
        <v>0.125</v>
      </c>
      <c r="F88" s="30"/>
      <c r="G88" s="32"/>
      <c r="H88" s="27"/>
      <c r="I88" s="37" t="s">
        <v>1398</v>
      </c>
      <c r="J88" s="30"/>
      <c r="K88" s="30"/>
      <c r="L88" s="30"/>
      <c r="M88" s="38">
        <v>0.125</v>
      </c>
      <c r="N88" s="30"/>
      <c r="O88" s="32"/>
    </row>
    <row r="89" spans="1:15" x14ac:dyDescent="0.2">
      <c r="A89" s="37" t="s">
        <v>1399</v>
      </c>
      <c r="B89" s="30"/>
      <c r="C89" s="30"/>
      <c r="D89" s="30"/>
      <c r="E89" s="38">
        <v>0.03</v>
      </c>
      <c r="F89" s="30"/>
      <c r="G89" s="32"/>
      <c r="H89" s="27"/>
      <c r="I89" s="37" t="s">
        <v>1399</v>
      </c>
      <c r="J89" s="30"/>
      <c r="K89" s="30"/>
      <c r="L89" s="30"/>
      <c r="M89" s="38">
        <v>0.03</v>
      </c>
      <c r="N89" s="30"/>
      <c r="O89" s="32"/>
    </row>
    <row r="90" spans="1:15" x14ac:dyDescent="0.2">
      <c r="A90" s="39" t="s">
        <v>1407</v>
      </c>
      <c r="B90" s="30"/>
      <c r="C90" s="30"/>
      <c r="D90" s="30"/>
      <c r="E90" s="38"/>
      <c r="F90" s="30"/>
      <c r="G90" s="32">
        <f>+(('HOJA D TRABAJO'!$H$21+'HOJA D TRABAJO'!$E$254)*'HOJA D TRABAJO'!F35)</f>
        <v>0</v>
      </c>
      <c r="H90" s="27"/>
      <c r="I90" s="39" t="s">
        <v>1376</v>
      </c>
      <c r="J90" s="30"/>
      <c r="K90" s="30"/>
      <c r="L90" s="30"/>
      <c r="M90" s="38"/>
      <c r="N90" s="30"/>
      <c r="O90" s="32">
        <f>+(('HOJA D TRABAJO'!$H$21+'HOJA D TRABAJO'!$E$254)*'HOJA D TRABAJO'!F36)</f>
        <v>0</v>
      </c>
    </row>
    <row r="91" spans="1:15" x14ac:dyDescent="0.2">
      <c r="A91" s="39" t="s">
        <v>1389</v>
      </c>
      <c r="B91" s="30"/>
      <c r="C91" s="30"/>
      <c r="D91" s="30"/>
      <c r="E91" s="36">
        <f>$E$14</f>
        <v>5.4487179487179495E-4</v>
      </c>
      <c r="F91" s="30"/>
      <c r="G91" s="32">
        <f>+'HOJA D TRABAJO'!$E$257*'HOJA D TRABAJO'!$F$35</f>
        <v>0</v>
      </c>
      <c r="H91" s="27"/>
      <c r="I91" s="39" t="s">
        <v>1388</v>
      </c>
      <c r="J91" s="30"/>
      <c r="K91" s="30"/>
      <c r="L91" s="30"/>
      <c r="M91" s="36">
        <f>$E$14</f>
        <v>5.4487179487179495E-4</v>
      </c>
      <c r="N91" s="30"/>
      <c r="O91" s="32">
        <f>+'HOJA D TRABAJO'!$E$257*'HOJA D TRABAJO'!$F$36</f>
        <v>0</v>
      </c>
    </row>
    <row r="92" spans="1:15" x14ac:dyDescent="0.2">
      <c r="A92" s="40" t="s">
        <v>1408</v>
      </c>
      <c r="B92" s="41"/>
      <c r="C92" s="41"/>
      <c r="D92" s="41"/>
      <c r="E92" s="42">
        <f>+$E$15</f>
        <v>0.13</v>
      </c>
      <c r="F92" s="41"/>
      <c r="G92" s="43">
        <f>+E92*(SUM(G87:G91))</f>
        <v>0</v>
      </c>
      <c r="H92" s="27"/>
      <c r="I92" s="40" t="s">
        <v>1375</v>
      </c>
      <c r="J92" s="41"/>
      <c r="K92" s="41"/>
      <c r="L92" s="41"/>
      <c r="M92" s="42">
        <f>+$E$15</f>
        <v>0.13</v>
      </c>
      <c r="N92" s="41"/>
      <c r="O92" s="43">
        <f>+M92*(SUM(O87:O91))</f>
        <v>0</v>
      </c>
    </row>
    <row r="93" spans="1:15" ht="15" x14ac:dyDescent="0.25">
      <c r="A93" s="45" t="s">
        <v>1409</v>
      </c>
      <c r="B93" s="46"/>
      <c r="C93" s="46"/>
      <c r="D93" s="46"/>
      <c r="E93" s="46"/>
      <c r="F93" s="46"/>
      <c r="G93" s="47">
        <f>+SUM(G87:G92)</f>
        <v>0</v>
      </c>
      <c r="H93" s="28"/>
      <c r="I93" s="45" t="s">
        <v>1374</v>
      </c>
      <c r="J93" s="46"/>
      <c r="K93" s="46"/>
      <c r="L93" s="46"/>
      <c r="M93" s="46"/>
      <c r="N93" s="46"/>
      <c r="O93" s="47">
        <f>+SUM(O87:O92)</f>
        <v>0</v>
      </c>
    </row>
    <row r="94" spans="1:15" x14ac:dyDescent="0.2">
      <c r="A94" s="39" t="s">
        <v>1373</v>
      </c>
      <c r="B94" s="30"/>
      <c r="C94" s="30"/>
      <c r="D94" s="30"/>
      <c r="E94" s="36">
        <f>+B95+B96</f>
        <v>0.16</v>
      </c>
      <c r="F94" s="30"/>
      <c r="G94" s="32">
        <f>+G97-G93</f>
        <v>0</v>
      </c>
      <c r="H94" s="27"/>
      <c r="I94" s="39" t="s">
        <v>1373</v>
      </c>
      <c r="J94" s="30"/>
      <c r="K94" s="30"/>
      <c r="L94" s="30"/>
      <c r="M94" s="36">
        <f>+J95+J96</f>
        <v>0.16</v>
      </c>
      <c r="N94" s="30"/>
      <c r="O94" s="32">
        <f>+O97-O93</f>
        <v>0</v>
      </c>
    </row>
    <row r="95" spans="1:15" x14ac:dyDescent="0.2">
      <c r="A95" s="49" t="s">
        <v>1372</v>
      </c>
      <c r="B95" s="50">
        <v>0.13</v>
      </c>
      <c r="C95" s="30"/>
      <c r="D95" s="30"/>
      <c r="E95" s="38"/>
      <c r="F95" s="30"/>
      <c r="G95" s="32"/>
      <c r="H95" s="27"/>
      <c r="I95" s="49" t="s">
        <v>1372</v>
      </c>
      <c r="J95" s="50">
        <v>0.13</v>
      </c>
      <c r="K95" s="30"/>
      <c r="L95" s="30"/>
      <c r="M95" s="38"/>
      <c r="N95" s="30"/>
      <c r="O95" s="32"/>
    </row>
    <row r="96" spans="1:15" x14ac:dyDescent="0.2">
      <c r="A96" s="51" t="s">
        <v>1371</v>
      </c>
      <c r="B96" s="52">
        <v>0.03</v>
      </c>
      <c r="C96" s="41"/>
      <c r="D96" s="41"/>
      <c r="E96" s="53"/>
      <c r="F96" s="41"/>
      <c r="G96" s="43"/>
      <c r="H96" s="27"/>
      <c r="I96" s="51" t="s">
        <v>1371</v>
      </c>
      <c r="J96" s="52">
        <v>0.03</v>
      </c>
      <c r="K96" s="41"/>
      <c r="L96" s="41"/>
      <c r="M96" s="53"/>
      <c r="N96" s="41"/>
      <c r="O96" s="43"/>
    </row>
    <row r="97" spans="1:15" ht="15" x14ac:dyDescent="0.25">
      <c r="A97" s="45" t="s">
        <v>1410</v>
      </c>
      <c r="B97" s="46"/>
      <c r="C97" s="46"/>
      <c r="D97" s="46"/>
      <c r="E97" s="46"/>
      <c r="F97" s="46"/>
      <c r="G97" s="47">
        <f>IFERROR((G93/0.84),0)</f>
        <v>0</v>
      </c>
      <c r="H97" s="28"/>
      <c r="I97" s="45" t="s">
        <v>1410</v>
      </c>
      <c r="J97" s="46"/>
      <c r="K97" s="46"/>
      <c r="L97" s="46"/>
      <c r="M97" s="46"/>
      <c r="N97" s="46"/>
      <c r="O97" s="47">
        <f>IFERROR((O93/0.84),0)</f>
        <v>0</v>
      </c>
    </row>
    <row r="100" spans="1:15" ht="19.5" x14ac:dyDescent="0.25">
      <c r="A100" s="59" t="s">
        <v>1422</v>
      </c>
      <c r="B100" s="59"/>
      <c r="C100" s="59"/>
      <c r="D100" s="59"/>
      <c r="E100" s="30"/>
      <c r="F100" s="59" t="s">
        <v>2</v>
      </c>
      <c r="G100" s="171">
        <f>+'HOJA D TRABAJO'!D37</f>
        <v>0</v>
      </c>
      <c r="H100" s="58"/>
      <c r="I100" s="59" t="s">
        <v>1422</v>
      </c>
      <c r="J100" s="59"/>
      <c r="K100" s="59"/>
      <c r="L100" s="59"/>
      <c r="M100" s="59"/>
      <c r="N100" s="59" t="s">
        <v>2</v>
      </c>
      <c r="O100" s="169">
        <f>+'HOJA D TRABAJO'!D38</f>
        <v>0</v>
      </c>
    </row>
    <row r="101" spans="1:15" ht="15" x14ac:dyDescent="0.25">
      <c r="A101" s="166"/>
      <c r="B101" s="166" t="s">
        <v>1378</v>
      </c>
      <c r="C101" s="508">
        <f>+'HOJA D TRABAJO'!B37</f>
        <v>0</v>
      </c>
      <c r="D101" s="508"/>
      <c r="E101" s="508"/>
      <c r="F101" s="166"/>
      <c r="G101" s="166"/>
      <c r="H101" s="58"/>
      <c r="I101" s="166"/>
      <c r="J101" s="166" t="s">
        <v>1378</v>
      </c>
      <c r="K101" s="508">
        <f>+'HOJA D TRABAJO'!B38</f>
        <v>0</v>
      </c>
      <c r="L101" s="508"/>
      <c r="M101" s="508"/>
      <c r="N101" s="166"/>
      <c r="O101" s="166"/>
    </row>
    <row r="102" spans="1:15" x14ac:dyDescent="0.2">
      <c r="A102" s="509" t="s">
        <v>1379</v>
      </c>
      <c r="B102" s="509"/>
      <c r="C102" s="509"/>
      <c r="D102" s="509"/>
      <c r="E102" s="509"/>
      <c r="F102" s="509"/>
      <c r="G102" s="509"/>
      <c r="H102" s="25"/>
      <c r="I102" s="509" t="s">
        <v>1379</v>
      </c>
      <c r="J102" s="509"/>
      <c r="K102" s="509"/>
      <c r="L102" s="509"/>
      <c r="M102" s="509"/>
      <c r="N102" s="509"/>
      <c r="O102" s="509"/>
    </row>
    <row r="103" spans="1:15" x14ac:dyDescent="0.2">
      <c r="A103" s="30"/>
      <c r="B103" s="30"/>
      <c r="C103" s="30"/>
      <c r="D103" s="30"/>
      <c r="E103" s="30"/>
      <c r="F103" s="30"/>
      <c r="G103" s="30"/>
      <c r="H103" s="26"/>
      <c r="I103" s="30"/>
      <c r="J103" s="30"/>
      <c r="K103" s="30"/>
      <c r="L103" s="30"/>
      <c r="M103" s="30"/>
      <c r="N103" s="30"/>
      <c r="O103" s="30"/>
    </row>
    <row r="104" spans="1:15" x14ac:dyDescent="0.2">
      <c r="A104" s="510" t="str">
        <f>+"Costo líquido por " &amp; C101 &amp;  "(líquido pagable Bs.)"</f>
        <v>Costo líquido por 0(líquido pagable Bs.)</v>
      </c>
      <c r="B104" s="510"/>
      <c r="C104" s="510"/>
      <c r="D104" s="510"/>
      <c r="E104" s="510"/>
      <c r="F104" s="510"/>
      <c r="G104" s="32">
        <f>+'HOJA D TRABAJO'!E37</f>
        <v>0</v>
      </c>
      <c r="H104" s="27"/>
      <c r="I104" s="510" t="str">
        <f>+"Costo líquido por " &amp; K101 &amp;  "(líquido pagable Bs.)"</f>
        <v>Costo líquido por 0(líquido pagable Bs.)</v>
      </c>
      <c r="J104" s="510"/>
      <c r="K104" s="510"/>
      <c r="L104" s="510"/>
      <c r="M104" s="510"/>
      <c r="N104" s="510"/>
      <c r="O104" s="32">
        <f>+'HOJA D TRABAJO'!E38</f>
        <v>0</v>
      </c>
    </row>
    <row r="105" spans="1:15" x14ac:dyDescent="0.2">
      <c r="A105" s="34" t="s">
        <v>1406</v>
      </c>
      <c r="B105" s="30"/>
      <c r="C105" s="30"/>
      <c r="D105" s="30"/>
      <c r="E105" s="170"/>
      <c r="F105" s="30"/>
      <c r="G105" s="32"/>
      <c r="H105" s="27"/>
      <c r="I105" s="34" t="s">
        <v>1377</v>
      </c>
      <c r="J105" s="30"/>
      <c r="K105" s="30"/>
      <c r="L105" s="30"/>
      <c r="M105" s="30"/>
      <c r="N105" s="30"/>
      <c r="O105" s="32"/>
    </row>
    <row r="106" spans="1:15" ht="15" x14ac:dyDescent="0.25">
      <c r="A106" s="35" t="s">
        <v>1397</v>
      </c>
      <c r="B106" s="30"/>
      <c r="C106" s="30"/>
      <c r="D106" s="30"/>
      <c r="E106" s="30"/>
      <c r="F106" s="36">
        <f>+SUM(E107:E108)</f>
        <v>0.155</v>
      </c>
      <c r="G106" s="32">
        <f>+G104/0.845</f>
        <v>0</v>
      </c>
      <c r="H106" s="27"/>
      <c r="I106" s="35" t="s">
        <v>1397</v>
      </c>
      <c r="J106" s="30"/>
      <c r="K106" s="30"/>
      <c r="L106" s="30"/>
      <c r="M106" s="30"/>
      <c r="N106" s="36">
        <f>+SUM(M107:M108)</f>
        <v>0.155</v>
      </c>
      <c r="O106" s="32">
        <f>+O104/0.845</f>
        <v>0</v>
      </c>
    </row>
    <row r="107" spans="1:15" x14ac:dyDescent="0.2">
      <c r="A107" s="37" t="s">
        <v>1398</v>
      </c>
      <c r="B107" s="30"/>
      <c r="C107" s="30"/>
      <c r="D107" s="30"/>
      <c r="E107" s="38">
        <v>0.125</v>
      </c>
      <c r="F107" s="30"/>
      <c r="G107" s="32"/>
      <c r="H107" s="27"/>
      <c r="I107" s="37" t="s">
        <v>1398</v>
      </c>
      <c r="J107" s="30"/>
      <c r="K107" s="30"/>
      <c r="L107" s="30"/>
      <c r="M107" s="38">
        <v>0.125</v>
      </c>
      <c r="N107" s="30"/>
      <c r="O107" s="32"/>
    </row>
    <row r="108" spans="1:15" x14ac:dyDescent="0.2">
      <c r="A108" s="37" t="s">
        <v>1399</v>
      </c>
      <c r="B108" s="30"/>
      <c r="C108" s="30"/>
      <c r="D108" s="30"/>
      <c r="E108" s="38">
        <v>0.03</v>
      </c>
      <c r="F108" s="30"/>
      <c r="G108" s="32"/>
      <c r="H108" s="27"/>
      <c r="I108" s="37" t="s">
        <v>1399</v>
      </c>
      <c r="J108" s="30"/>
      <c r="K108" s="30"/>
      <c r="L108" s="30"/>
      <c r="M108" s="38">
        <v>0.03</v>
      </c>
      <c r="N108" s="30"/>
      <c r="O108" s="32"/>
    </row>
    <row r="109" spans="1:15" x14ac:dyDescent="0.2">
      <c r="A109" s="39" t="s">
        <v>1407</v>
      </c>
      <c r="B109" s="30"/>
      <c r="C109" s="30"/>
      <c r="D109" s="30"/>
      <c r="E109" s="38"/>
      <c r="F109" s="30"/>
      <c r="G109" s="32">
        <f>+(('HOJA D TRABAJO'!$H$21+'HOJA D TRABAJO'!$E$254)*'HOJA D TRABAJO'!F37)</f>
        <v>0</v>
      </c>
      <c r="H109" s="27"/>
      <c r="I109" s="39" t="s">
        <v>1376</v>
      </c>
      <c r="J109" s="30"/>
      <c r="K109" s="30"/>
      <c r="L109" s="30"/>
      <c r="M109" s="38"/>
      <c r="N109" s="30"/>
      <c r="O109" s="32">
        <f>+(('HOJA D TRABAJO'!$H$21+'HOJA D TRABAJO'!$E$254)*'HOJA D TRABAJO'!F38)</f>
        <v>0</v>
      </c>
    </row>
    <row r="110" spans="1:15" x14ac:dyDescent="0.2">
      <c r="A110" s="39" t="s">
        <v>1389</v>
      </c>
      <c r="B110" s="30"/>
      <c r="C110" s="30"/>
      <c r="D110" s="30"/>
      <c r="E110" s="36">
        <f>$E$14</f>
        <v>5.4487179487179495E-4</v>
      </c>
      <c r="F110" s="30"/>
      <c r="G110" s="32">
        <f>+'HOJA D TRABAJO'!$E$257*'HOJA D TRABAJO'!$F$37</f>
        <v>0</v>
      </c>
      <c r="H110" s="27"/>
      <c r="I110" s="39" t="s">
        <v>1388</v>
      </c>
      <c r="J110" s="30"/>
      <c r="K110" s="30"/>
      <c r="L110" s="30"/>
      <c r="M110" s="36">
        <f>$E$14</f>
        <v>5.4487179487179495E-4</v>
      </c>
      <c r="N110" s="30"/>
      <c r="O110" s="32">
        <f>+'HOJA D TRABAJO'!$E$257*'HOJA D TRABAJO'!$F$38</f>
        <v>0</v>
      </c>
    </row>
    <row r="111" spans="1:15" x14ac:dyDescent="0.2">
      <c r="A111" s="40" t="s">
        <v>1408</v>
      </c>
      <c r="B111" s="41"/>
      <c r="C111" s="41"/>
      <c r="D111" s="41"/>
      <c r="E111" s="42">
        <f>+$E$15</f>
        <v>0.13</v>
      </c>
      <c r="F111" s="41"/>
      <c r="G111" s="43">
        <f>+E111*(SUM(G106:G110))</f>
        <v>0</v>
      </c>
      <c r="H111" s="27"/>
      <c r="I111" s="40" t="s">
        <v>1375</v>
      </c>
      <c r="J111" s="41"/>
      <c r="K111" s="41"/>
      <c r="L111" s="41"/>
      <c r="M111" s="42">
        <f>+$E$15</f>
        <v>0.13</v>
      </c>
      <c r="N111" s="41"/>
      <c r="O111" s="43">
        <f>+M111*(SUM(O106:O110))</f>
        <v>0</v>
      </c>
    </row>
    <row r="112" spans="1:15" ht="15" x14ac:dyDescent="0.25">
      <c r="A112" s="45" t="s">
        <v>1409</v>
      </c>
      <c r="B112" s="46"/>
      <c r="C112" s="46"/>
      <c r="D112" s="46"/>
      <c r="E112" s="46"/>
      <c r="F112" s="46"/>
      <c r="G112" s="47">
        <f>+SUM(G106:G111)</f>
        <v>0</v>
      </c>
      <c r="H112" s="28"/>
      <c r="I112" s="45" t="s">
        <v>1374</v>
      </c>
      <c r="J112" s="46"/>
      <c r="K112" s="46"/>
      <c r="L112" s="46"/>
      <c r="M112" s="46"/>
      <c r="N112" s="46"/>
      <c r="O112" s="47">
        <f>+SUM(O106:O111)</f>
        <v>0</v>
      </c>
    </row>
    <row r="113" spans="1:15" x14ac:dyDescent="0.2">
      <c r="A113" s="39" t="s">
        <v>1373</v>
      </c>
      <c r="B113" s="30"/>
      <c r="C113" s="30"/>
      <c r="D113" s="30"/>
      <c r="E113" s="36">
        <f>+B114+B115</f>
        <v>0.16</v>
      </c>
      <c r="F113" s="30"/>
      <c r="G113" s="32">
        <f>+G116-G112</f>
        <v>0</v>
      </c>
      <c r="H113" s="27"/>
      <c r="I113" s="39" t="s">
        <v>1373</v>
      </c>
      <c r="J113" s="30"/>
      <c r="K113" s="30"/>
      <c r="L113" s="30"/>
      <c r="M113" s="36">
        <f>+J114+J115</f>
        <v>0.16</v>
      </c>
      <c r="N113" s="30"/>
      <c r="O113" s="32">
        <f>+O116-O112</f>
        <v>0</v>
      </c>
    </row>
    <row r="114" spans="1:15" x14ac:dyDescent="0.2">
      <c r="A114" s="49" t="s">
        <v>1372</v>
      </c>
      <c r="B114" s="50">
        <v>0.13</v>
      </c>
      <c r="C114" s="30"/>
      <c r="D114" s="30"/>
      <c r="E114" s="38"/>
      <c r="F114" s="30"/>
      <c r="G114" s="32"/>
      <c r="H114" s="27"/>
      <c r="I114" s="49" t="s">
        <v>1372</v>
      </c>
      <c r="J114" s="50">
        <v>0.13</v>
      </c>
      <c r="K114" s="30"/>
      <c r="L114" s="30"/>
      <c r="M114" s="38"/>
      <c r="N114" s="30"/>
      <c r="O114" s="32"/>
    </row>
    <row r="115" spans="1:15" x14ac:dyDescent="0.2">
      <c r="A115" s="51" t="s">
        <v>1371</v>
      </c>
      <c r="B115" s="52">
        <v>0.03</v>
      </c>
      <c r="C115" s="41"/>
      <c r="D115" s="41"/>
      <c r="E115" s="53"/>
      <c r="F115" s="41"/>
      <c r="G115" s="43"/>
      <c r="H115" s="27"/>
      <c r="I115" s="51" t="s">
        <v>1371</v>
      </c>
      <c r="J115" s="52">
        <v>0.03</v>
      </c>
      <c r="K115" s="41"/>
      <c r="L115" s="41"/>
      <c r="M115" s="53"/>
      <c r="N115" s="41"/>
      <c r="O115" s="43"/>
    </row>
    <row r="116" spans="1:15" ht="15" x14ac:dyDescent="0.25">
      <c r="A116" s="45" t="s">
        <v>1410</v>
      </c>
      <c r="B116" s="46"/>
      <c r="C116" s="46"/>
      <c r="D116" s="46"/>
      <c r="E116" s="46"/>
      <c r="F116" s="46"/>
      <c r="G116" s="47">
        <f>IFERROR((G112/0.84),0)</f>
        <v>0</v>
      </c>
      <c r="H116" s="28"/>
      <c r="I116" s="45" t="s">
        <v>1410</v>
      </c>
      <c r="J116" s="46"/>
      <c r="K116" s="46"/>
      <c r="L116" s="46"/>
      <c r="M116" s="46"/>
      <c r="N116" s="46"/>
      <c r="O116" s="47">
        <f>IFERROR((O112/0.84),0)</f>
        <v>0</v>
      </c>
    </row>
  </sheetData>
  <mergeCells count="33">
    <mergeCell ref="E2:K2"/>
    <mergeCell ref="A6:G6"/>
    <mergeCell ref="I6:O6"/>
    <mergeCell ref="C5:E5"/>
    <mergeCell ref="K5:M5"/>
    <mergeCell ref="A44:G44"/>
    <mergeCell ref="C24:E24"/>
    <mergeCell ref="K24:M24"/>
    <mergeCell ref="K43:M43"/>
    <mergeCell ref="I44:O44"/>
    <mergeCell ref="A8:F8"/>
    <mergeCell ref="I8:N8"/>
    <mergeCell ref="A25:G25"/>
    <mergeCell ref="I25:O25"/>
    <mergeCell ref="C43:E43"/>
    <mergeCell ref="C62:E62"/>
    <mergeCell ref="K62:M62"/>
    <mergeCell ref="A63:G63"/>
    <mergeCell ref="I63:O63"/>
    <mergeCell ref="A65:F65"/>
    <mergeCell ref="I65:N65"/>
    <mergeCell ref="C82:E82"/>
    <mergeCell ref="K82:M82"/>
    <mergeCell ref="A83:G83"/>
    <mergeCell ref="I83:O83"/>
    <mergeCell ref="A85:F85"/>
    <mergeCell ref="I85:N85"/>
    <mergeCell ref="C101:E101"/>
    <mergeCell ref="K101:M101"/>
    <mergeCell ref="A102:G102"/>
    <mergeCell ref="I102:O102"/>
    <mergeCell ref="A104:F104"/>
    <mergeCell ref="I104:N104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512" t="str">
        <f>+'HOJA D TRABAJO'!D41</f>
        <v>SANTA CRUZ</v>
      </c>
      <c r="F2" s="512"/>
      <c r="G2" s="512"/>
      <c r="H2" s="512"/>
      <c r="I2" s="512"/>
      <c r="J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TRABAJO'!D43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TRABAJO'!D44</f>
        <v>0</v>
      </c>
    </row>
    <row r="5" spans="1:16" s="24" customFormat="1" x14ac:dyDescent="0.25">
      <c r="A5" s="60"/>
      <c r="B5" s="60" t="s">
        <v>1378</v>
      </c>
      <c r="C5" s="508">
        <f>+'HOJA D TRABAJO'!B43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TRABAJO'!B44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TRABAJO'!E43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TRABAJO'!E44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TRABAJO'!$E$254)*'HOJA D TRABAJO'!$F$43)</f>
        <v>0</v>
      </c>
      <c r="H13" s="33"/>
      <c r="I13" s="39" t="s">
        <v>1412</v>
      </c>
      <c r="J13" s="30"/>
      <c r="K13" s="30"/>
      <c r="L13" s="30"/>
      <c r="M13" s="38">
        <f>IFERROR((O13/(#REF!+O10+O8)),0)</f>
        <v>0</v>
      </c>
      <c r="N13" s="30"/>
      <c r="O13" s="32">
        <f>+(('HOJA D TRABAJO'!$H$21+'HOJA D TRABAJO'!$E$254)*'HOJA D TRABAJO'!$F$44)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TRABAJO'!$F$43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TRABAJO'!$F$44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61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TRABAJO'!D45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TRABAJO'!D46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TRABAJO'!B45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TRABAJO'!B46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TRABAJO'!E45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TRABAJO'!E46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TRABAJO'!$F$45)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TRABAJO'!$F$46)</f>
        <v>0</v>
      </c>
    </row>
    <row r="32" spans="1:15" s="24" customFormat="1" ht="15" customHeight="1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TRABAJO'!$F$45</f>
        <v>0</v>
      </c>
      <c r="H32" s="33"/>
      <c r="I32" s="39" t="s">
        <v>1388</v>
      </c>
      <c r="J32" s="30"/>
      <c r="K32" s="30"/>
      <c r="L32" s="30"/>
      <c r="M32" s="36">
        <f>+M14</f>
        <v>5.4487179487179495E-4</v>
      </c>
      <c r="N32" s="30"/>
      <c r="O32" s="32">
        <f>+'HOJA D TRABAJO'!$E$257*'HOJA D TRABAJO'!$F$46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TRABAJO'!D47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TRABAJO'!D48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TRABAJO'!$B$47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TRABAJO'!$B$48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TRABAJO'!E47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TRABAJO'!E48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TRABAJO'!$F$47)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TRABAJO'!$F$48)</f>
        <v>0</v>
      </c>
    </row>
    <row r="52" spans="1:15" s="24" customFormat="1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TRABAJO'!$F$47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TRABAJO'!$F$48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1" x14ac:dyDescent="0.25"/>
    <row r="60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TRABAJO'!D49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TRABAJO'!D50</f>
        <v>0</v>
      </c>
    </row>
    <row r="62" spans="1:15" x14ac:dyDescent="0.25">
      <c r="A62" s="166"/>
      <c r="B62" s="166" t="s">
        <v>1378</v>
      </c>
      <c r="C62" s="508">
        <f>+'HOJA D TRABAJO'!$B$49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TRABAJO'!$B$50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TRABAJO'!E49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TRABAJO'!E50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TRABAJO'!$E$254)*'HOJA D TRABAJO'!$F$49)</f>
        <v>0</v>
      </c>
      <c r="H70" s="33"/>
      <c r="I70" s="39" t="s">
        <v>1412</v>
      </c>
      <c r="J70" s="30"/>
      <c r="K70" s="30"/>
      <c r="L70" s="30"/>
      <c r="M70" s="38">
        <f>IFERROR((O70/(#REF!+O67+O65)),0)</f>
        <v>0</v>
      </c>
      <c r="N70" s="30"/>
      <c r="O70" s="32">
        <f>+(('HOJA D TRABAJO'!$H$21+'HOJA D TRABAJO'!$E$254)*'HOJA D TRABAJO'!$F$50)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TRABAJO'!$F$49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TRABAJO'!$F$50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61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TRABAJO'!D51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TRABAJO'!D52</f>
        <v>0</v>
      </c>
    </row>
    <row r="81" spans="1:15" x14ac:dyDescent="0.25">
      <c r="A81" s="166"/>
      <c r="B81" s="166" t="s">
        <v>1378</v>
      </c>
      <c r="C81" s="508">
        <f>+'HOJA D TRABAJO'!$B$51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TRABAJO'!$B$52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TRABAJO'!E51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TRABAJO'!E52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TRABAJO'!$E$254)*'HOJA D TRABAJO'!$F$51)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TRABAJO'!$E$254)*'HOJA D TRABAJO'!$F$52)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TRABAJO'!$F$51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TRABAJO'!$F$52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TRABAJO'!D53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TRABAJO'!D54</f>
        <v>0</v>
      </c>
    </row>
    <row r="100" spans="1:15" x14ac:dyDescent="0.25">
      <c r="A100" s="166"/>
      <c r="B100" s="166" t="s">
        <v>1378</v>
      </c>
      <c r="C100" s="508">
        <f>+'HOJA D TRABAJO'!$B$53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TRABAJO'!$B$54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TRABAJO'!E53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TRABAJO'!E54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TRABAJO'!$E$254)*'HOJA D TRABAJO'!$F$53)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TRABAJO'!$E$254)*'HOJA D TRABAJO'!$F$54)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TRABAJO'!$F$53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TRABAJO'!$F$54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J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512" t="str">
        <f>+'HOJA D TRABAJO'!D57</f>
        <v>LA PAZ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TRABAJO'!D59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TRABAJO'!D60</f>
        <v>0</v>
      </c>
    </row>
    <row r="5" spans="1:15" s="24" customFormat="1" x14ac:dyDescent="0.25">
      <c r="A5" s="60"/>
      <c r="B5" s="60" t="s">
        <v>1378</v>
      </c>
      <c r="C5" s="508">
        <f>+'HOJA D TRABAJO'!B59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TRABAJO'!B60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TRABAJO'!E59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TRABAJO'!E60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TRABAJO'!$F$59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TRABAJO'!$F$60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+M14</f>
        <v>5.4487179487179495E-4</v>
      </c>
      <c r="F14" s="30"/>
      <c r="G14" s="32">
        <f>+'HOJA D TRABAJO'!$E$257*'HOJA D TRABAJO'!$F$59</f>
        <v>0</v>
      </c>
      <c r="H14" s="33"/>
      <c r="I14" s="39" t="s">
        <v>1388</v>
      </c>
      <c r="J14" s="30"/>
      <c r="K14" s="30"/>
      <c r="L14" s="30"/>
      <c r="M14" s="36">
        <f>+E32</f>
        <v>5.4487179487179495E-4</v>
      </c>
      <c r="N14" s="30"/>
      <c r="O14" s="32">
        <f>+'HOJA D TRABAJO'!$E$257*'HOJA D TRABAJO'!$F$60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TRABAJO'!D61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TRABAJO'!D62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TRABAJO'!B61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TRABAJO'!B62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TRABAJO'!E61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TRABAJO'!E62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TRABAJO'!$F$61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TRABAJO'!$F$62</f>
        <v>0</v>
      </c>
    </row>
    <row r="32" spans="1:15" s="24" customFormat="1" ht="15.75" customHeight="1" outlineLevel="1" x14ac:dyDescent="0.2">
      <c r="A32" s="39" t="s">
        <v>1388</v>
      </c>
      <c r="B32" s="30"/>
      <c r="C32" s="30"/>
      <c r="D32" s="30"/>
      <c r="E32" s="36">
        <f>+'HOJA 1 AUX'!E14</f>
        <v>5.4487179487179495E-4</v>
      </c>
      <c r="F32" s="30"/>
      <c r="G32" s="32">
        <f>+'HOJA D TRABAJO'!$E$257*'HOJA D TRABAJO'!$F$61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TRABAJO'!$F$62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TRABAJO'!D63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TRABAJO'!D64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TRABAJO'!$B63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TRABAJO'!$B$64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TRABAJO'!$E$63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TRABAJO'!$E$64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TRABAJO'!$F$63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TRABAJO'!$F$64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TRABAJO'!$F$63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TRABAJO'!$F$64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2" x14ac:dyDescent="0.25"/>
    <row r="60" spans="1:15" s="57" customFormat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TRABAJO'!D65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TRABAJO'!D66</f>
        <v>0</v>
      </c>
    </row>
    <row r="62" spans="1:15" x14ac:dyDescent="0.25">
      <c r="A62" s="166"/>
      <c r="B62" s="166" t="s">
        <v>1378</v>
      </c>
      <c r="C62" s="508">
        <f>+'HOJA D TRABAJO'!$B$65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TRABAJO'!$B$66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TRABAJO'!$E$65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TRABAJO'!$E$66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TRABAJO'!$F$65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TRABAJO'!$F$66</f>
        <v>0</v>
      </c>
    </row>
    <row r="71" spans="1:15" x14ac:dyDescent="0.25">
      <c r="A71" s="39" t="s">
        <v>1388</v>
      </c>
      <c r="B71" s="30"/>
      <c r="C71" s="30"/>
      <c r="D71" s="30"/>
      <c r="E71" s="36">
        <f>+M71</f>
        <v>5.4487179487179495E-4</v>
      </c>
      <c r="F71" s="30"/>
      <c r="G71" s="32">
        <f>+'HOJA D TRABAJO'!$E$257*'HOJA D TRABAJO'!$F$65</f>
        <v>0</v>
      </c>
      <c r="H71" s="33"/>
      <c r="I71" s="39" t="s">
        <v>1388</v>
      </c>
      <c r="J71" s="30"/>
      <c r="K71" s="30"/>
      <c r="L71" s="30"/>
      <c r="M71" s="36">
        <f>+E89</f>
        <v>5.4487179487179495E-4</v>
      </c>
      <c r="N71" s="30"/>
      <c r="O71" s="32">
        <f>+'HOJA D TRABAJO'!$E$257*'HOJA D TRABAJO'!$F$66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TRABAJO'!D67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TRABAJO'!D68</f>
        <v>0</v>
      </c>
    </row>
    <row r="81" spans="1:15" x14ac:dyDescent="0.25">
      <c r="A81" s="166"/>
      <c r="B81" s="166" t="s">
        <v>1378</v>
      </c>
      <c r="C81" s="508">
        <f>+'HOJA D TRABAJO'!$B$67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TRABAJO'!$B$68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TRABAJO'!$E$67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TRABAJO'!$E$68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TRABAJO'!$F$67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TRABAJO'!$F$68</f>
        <v>0</v>
      </c>
    </row>
    <row r="89" spans="1:15" x14ac:dyDescent="0.25">
      <c r="A89" s="39" t="s">
        <v>1388</v>
      </c>
      <c r="B89" s="30"/>
      <c r="C89" s="30"/>
      <c r="D89" s="30"/>
      <c r="E89" s="36">
        <f>+'HOJA 1 AUX'!E71</f>
        <v>5.4487179487179495E-4</v>
      </c>
      <c r="F89" s="30"/>
      <c r="G89" s="32">
        <f>+'HOJA D TRABAJO'!$E$257*'HOJA D TRABAJO'!$F$67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TRABAJO'!$F$68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TRABAJO'!D69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TRABAJO'!D70</f>
        <v>0</v>
      </c>
    </row>
    <row r="100" spans="1:15" x14ac:dyDescent="0.25">
      <c r="A100" s="166"/>
      <c r="B100" s="166" t="s">
        <v>1378</v>
      </c>
      <c r="C100" s="508">
        <f>+'HOJA D TRABAJO'!$B$69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TRABAJO'!$B$70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TRABAJO'!$E$69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TRABAJO'!$E$70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TRABAJO'!$F$69</f>
        <v>0</v>
      </c>
      <c r="H108" s="33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TRABAJO'!$F$70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TRABAJO'!$F$69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TRABAJO'!$F$70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7"/>
    <col min="8" max="8" width="6.140625" style="57" customWidth="1"/>
    <col min="9" max="16384" width="11.42578125" style="57"/>
  </cols>
  <sheetData>
    <row r="2" spans="1:16" ht="26.25" x14ac:dyDescent="0.4">
      <c r="E2" s="513" t="str">
        <f>+'HOJA D TRABAJO'!D73</f>
        <v>TARIJA</v>
      </c>
      <c r="F2" s="513"/>
      <c r="G2" s="513"/>
      <c r="H2" s="513"/>
      <c r="I2" s="513"/>
      <c r="J2" s="513"/>
      <c r="K2" s="513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TRABAJO'!D75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TRABAJO'!D76</f>
        <v>0</v>
      </c>
    </row>
    <row r="5" spans="1:16" s="24" customFormat="1" x14ac:dyDescent="0.25">
      <c r="A5" s="60"/>
      <c r="B5" s="60" t="s">
        <v>1378</v>
      </c>
      <c r="C5" s="508">
        <f>+'HOJA D TRABAJO'!B75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TRABAJO'!B76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TRABAJO'!E75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TRABAJO'!E76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TRABAJO'!$F$75</f>
        <v>0</v>
      </c>
      <c r="H13" s="33"/>
      <c r="I13" s="39" t="s">
        <v>1412</v>
      </c>
      <c r="J13" s="30"/>
      <c r="K13" s="30" t="s">
        <v>1396</v>
      </c>
      <c r="L13" s="30"/>
      <c r="M13" s="38"/>
      <c r="N13" s="30"/>
      <c r="O13" s="32">
        <f>+(('HOJA D TRABAJO'!$H$21+'HOJA D TRABAJO'!$E$254))*'HOJA D TRABAJO'!$F$76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TRABAJO'!$F$75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TRABAJO'!$F$76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TRABAJO'!D77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TRABAJO'!D78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TRABAJO'!B77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TRABAJO'!B78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TRABAJO'!E77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TRABAJO'!E78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TRABAJO'!$F$77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TRABAJO'!$F$78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TRABAJO'!$F$77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TRABAJO'!$F$78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TRABAJO'!$D$79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TRABAJO'!$D$80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TRABAJO'!$B$79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TRABAJO'!$B$80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TRABAJO'!$E$79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TRABAJO'!$E$80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TRABAJO'!$F$79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TRABAJO'!$F$80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TRABAJO'!$F$79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TRABAJO'!$F$80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24" customFormat="1" ht="14.25" outlineLevel="1" x14ac:dyDescent="0.2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TRABAJO'!$D$81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TRABAJO'!$D$82</f>
        <v>0</v>
      </c>
    </row>
    <row r="62" spans="1:15" x14ac:dyDescent="0.25">
      <c r="A62" s="166"/>
      <c r="B62" s="166" t="s">
        <v>1378</v>
      </c>
      <c r="C62" s="508">
        <f>+'HOJA D TRABAJO'!$B$81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TRABAJO'!$B$82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TRABAJO'!$E$81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TRABAJO'!$E$82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TRABAJO'!$F$81</f>
        <v>0</v>
      </c>
      <c r="H70" s="33"/>
      <c r="I70" s="39" t="s">
        <v>1412</v>
      </c>
      <c r="J70" s="30"/>
      <c r="K70" s="30" t="s">
        <v>1396</v>
      </c>
      <c r="L70" s="30"/>
      <c r="M70" s="38"/>
      <c r="N70" s="30"/>
      <c r="O70" s="32">
        <f>+(('HOJA D TRABAJO'!$H$21+'HOJA D TRABAJO'!$E$254))*'HOJA D TRABAJO'!$F$82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TRABAJO'!$F$81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TRABAJO'!$F$82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TRABAJO'!$D$83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TRABAJO'!$D$84</f>
        <v>0</v>
      </c>
    </row>
    <row r="81" spans="1:15" x14ac:dyDescent="0.25">
      <c r="A81" s="166"/>
      <c r="B81" s="166" t="s">
        <v>1378</v>
      </c>
      <c r="C81" s="508">
        <f>+'HOJA D TRABAJO'!$B$83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TRABAJO'!$B$84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TRABAJO'!$E$83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TRABAJO'!$E$84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TRABAJO'!$F$83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TRABAJO'!$F$84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TRABAJO'!$F$83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TRABAJO'!$F$84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TRABAJO'!$D$85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TRABAJO'!$D$86</f>
        <v>0</v>
      </c>
    </row>
    <row r="100" spans="1:15" x14ac:dyDescent="0.25">
      <c r="A100" s="166"/>
      <c r="B100" s="166" t="s">
        <v>1378</v>
      </c>
      <c r="C100" s="508">
        <f>+'HOJA D TRABAJO'!$B$85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TRABAJO'!$B$85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TRABAJO'!$E$85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TRABAJO'!$E$86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TRABAJO'!$F$85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TRABAJO'!$F$86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TRABAJO'!$F$85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TRABAJO'!$F$86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512" t="str">
        <f>+'HOJA D TRABAJO'!D89</f>
        <v>POTOSI</v>
      </c>
      <c r="F2" s="512"/>
      <c r="G2" s="512"/>
      <c r="H2" s="512"/>
      <c r="I2" s="512"/>
      <c r="J2" s="512"/>
      <c r="K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TRABAJO'!D91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TRABAJO'!D92</f>
        <v>0</v>
      </c>
    </row>
    <row r="5" spans="1:16" s="24" customFormat="1" x14ac:dyDescent="0.25">
      <c r="A5" s="60"/>
      <c r="B5" s="60" t="s">
        <v>1378</v>
      </c>
      <c r="C5" s="508">
        <f>+'HOJA D TRABAJO'!B91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TRABAJO'!B92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TRABAJO'!E91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TRABAJO'!E92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TRABAJO'!$F$91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TRABAJO'!$F$92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TRABAJO'!$F$91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TRABAJO'!$F$92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6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6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6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6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6" s="24" customFormat="1" ht="14.25" x14ac:dyDescent="0.2">
      <c r="H21" s="29"/>
    </row>
    <row r="22" spans="1:16" s="24" customFormat="1" ht="14.25" x14ac:dyDescent="0.2">
      <c r="H22" s="29"/>
    </row>
    <row r="23" spans="1:16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169">
        <f>+'HOJA D TRABAJO'!D93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172">
        <f>+'HOJA D TRABAJO'!D$94</f>
        <v>0</v>
      </c>
    </row>
    <row r="24" spans="1:16" s="24" customFormat="1" outlineLevel="1" x14ac:dyDescent="0.25">
      <c r="A24" s="60"/>
      <c r="B24" s="60" t="s">
        <v>1378</v>
      </c>
      <c r="C24" s="508">
        <f>+'HOJA D TRABAJO'!B93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TRABAJO'!B94</f>
        <v>0</v>
      </c>
      <c r="L24" s="508"/>
      <c r="M24" s="508"/>
      <c r="N24" s="60"/>
      <c r="O24" s="60"/>
    </row>
    <row r="25" spans="1:16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6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TRABAJO'!E93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TRABAJO'!E94</f>
        <v>0</v>
      </c>
    </row>
    <row r="27" spans="1:16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6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6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6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6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TRABAJO'!$F$93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TRABAJO'!$F$94</f>
        <v>0</v>
      </c>
      <c r="P31" s="21"/>
    </row>
    <row r="32" spans="1:16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TRABAJO'!$F$93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TRABAJO'!$F$94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TRABAJO'!$D$95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TRABAJO'!$D$96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TRABAJO'!$B$95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TRABAJO'!$B$96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TRABAJO'!$E$95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TRABAJO'!$E$96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8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TRABAJO'!$F$95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TRABAJO'!$F$96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+E14</f>
        <v>5.4487179487179495E-4</v>
      </c>
      <c r="F52" s="30"/>
      <c r="G52" s="32">
        <f>+'HOJA D TRABAJO'!$E$257*'HOJA D TRABAJO'!$F$95</f>
        <v>0</v>
      </c>
      <c r="H52" s="29"/>
      <c r="I52" s="39" t="s">
        <v>1388</v>
      </c>
      <c r="J52" s="30"/>
      <c r="K52" s="30"/>
      <c r="L52" s="30"/>
      <c r="M52" s="36">
        <f>+E14</f>
        <v>5.4487179487179495E-4</v>
      </c>
      <c r="N52" s="30"/>
      <c r="O52" s="32">
        <f>+'HOJA D TRABAJO'!$E$257*'HOJA D TRABAJO'!$F$96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TRABAJO'!$D$97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TRABAJO'!$D$98</f>
        <v>0</v>
      </c>
    </row>
    <row r="62" spans="1:15" x14ac:dyDescent="0.25">
      <c r="A62" s="166"/>
      <c r="B62" s="166" t="s">
        <v>1378</v>
      </c>
      <c r="C62" s="508">
        <f>+'HOJA D TRABAJO'!$B$97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TRABAJO'!$B$98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TRABAJO'!$E$97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TRABAJO'!$E$98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TRABAJO'!$F$97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TRABAJO'!$F$98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TRABAJO'!$F$97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TRABAJO'!$F$98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TRABAJO'!$D$99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TRABAJO'!$D$100</f>
        <v>0</v>
      </c>
    </row>
    <row r="81" spans="1:15" x14ac:dyDescent="0.25">
      <c r="A81" s="166"/>
      <c r="B81" s="166" t="s">
        <v>1378</v>
      </c>
      <c r="C81" s="508">
        <f>+'HOJA D TRABAJO'!$B$99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TRABAJO'!$B$100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TRABAJO'!$E$99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TRABAJO'!$E$100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TRABAJO'!$F$99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TRABAJO'!$F$100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TRABAJO'!$F$99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TRABAJO'!$F$100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TRABAJO'!$D$101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TRABAJO'!$D$102</f>
        <v>0</v>
      </c>
    </row>
    <row r="100" spans="1:15" x14ac:dyDescent="0.25">
      <c r="A100" s="166"/>
      <c r="B100" s="166" t="s">
        <v>1378</v>
      </c>
      <c r="C100" s="508">
        <f>+'HOJA D TRABAJO'!$B$101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TRABAJO'!$B$102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TRABAJO'!$E$101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TRABAJO'!$E$102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TRABAJO'!$F$101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TRABAJO'!$F$102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+E71</f>
        <v>5.4487179487179495E-4</v>
      </c>
      <c r="F109" s="30"/>
      <c r="G109" s="32">
        <f>+'HOJA D TRABAJO'!$E$257*'HOJA D TRABAJO'!$F$101</f>
        <v>0</v>
      </c>
      <c r="H109" s="29"/>
      <c r="I109" s="39" t="s">
        <v>1388</v>
      </c>
      <c r="J109" s="30"/>
      <c r="K109" s="30"/>
      <c r="L109" s="30"/>
      <c r="M109" s="36">
        <f>+E71</f>
        <v>5.4487179487179495E-4</v>
      </c>
      <c r="N109" s="30"/>
      <c r="O109" s="32">
        <f>+'HOJA D TRABAJO'!$E$257*'HOJA D TRABAJO'!$F$102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512" t="str">
        <f>+'HOJA D TRABAJO'!D105</f>
        <v>SUCRE</v>
      </c>
      <c r="F2" s="512"/>
      <c r="G2" s="512"/>
      <c r="H2" s="512"/>
      <c r="I2" s="512"/>
      <c r="J2" s="512"/>
      <c r="K2" s="512"/>
    </row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TRABAJO'!D107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TRABAJO'!D108</f>
        <v>0</v>
      </c>
    </row>
    <row r="5" spans="1:15" s="24" customFormat="1" x14ac:dyDescent="0.25">
      <c r="A5" s="60"/>
      <c r="B5" s="60" t="s">
        <v>1378</v>
      </c>
      <c r="C5" s="508">
        <f>+'HOJA D TRABAJO'!B107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TRABAJO'!B108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TRABAJO'!E107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TRABAJO'!E108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.7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.7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TRABAJO'!$F$107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TRABAJO'!$F$108</f>
        <v>0</v>
      </c>
    </row>
    <row r="14" spans="1:15" s="24" customFormat="1" ht="15.75" customHeight="1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TRABAJO'!$F$107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TRABAJO'!$F$108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TRABAJO'!D109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TRABAJO'!D110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TRABAJO'!B109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TRABAJO'!B110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TRABAJO'!E109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TRABAJO'!E110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TRABAJO'!$F$109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TRABAJO'!$F$110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TRABAJO'!$F$109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TRABAJO'!$F$110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TRABAJO'!$D$111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TRABAJO'!$D$112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TRABAJO'!$B$111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TRABAJO'!$B$112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TRABAJO'!$E$111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TRABAJO'!$E$112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TRABAJO'!$F$111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TRABAJO'!$F$112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TRABAJO'!$F$111</f>
        <v>0</v>
      </c>
      <c r="H52" s="29"/>
      <c r="I52" s="39" t="s">
        <v>1388</v>
      </c>
      <c r="J52" s="30"/>
      <c r="K52" s="30"/>
      <c r="L52" s="30"/>
      <c r="M52" s="36">
        <f>+E32</f>
        <v>5.4487179487179495E-4</v>
      </c>
      <c r="N52" s="30"/>
      <c r="O52" s="32">
        <f>+'HOJA D TRABAJO'!$E$257*'HOJA D TRABAJO'!$F$112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TRABAJO'!$D$113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TRABAJO'!$D$114</f>
        <v>0</v>
      </c>
    </row>
    <row r="62" spans="1:15" x14ac:dyDescent="0.25">
      <c r="A62" s="166"/>
      <c r="B62" s="166" t="s">
        <v>1378</v>
      </c>
      <c r="C62" s="508">
        <f>+'HOJA D TRABAJO'!$B$113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TRABAJO'!$B$114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TRABAJO'!$E$113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TRABAJO'!$E$114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TRABAJO'!$F$113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TRABAJO'!$F$114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TRABAJO'!$F$113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TRABAJO'!$F$114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TRABAJO'!$D$115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TRABAJO'!$D$116</f>
        <v>0</v>
      </c>
    </row>
    <row r="81" spans="1:15" x14ac:dyDescent="0.25">
      <c r="A81" s="166"/>
      <c r="B81" s="166" t="s">
        <v>1378</v>
      </c>
      <c r="C81" s="508">
        <f>+'HOJA D TRABAJO'!$B$115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TRABAJO'!$B$116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TRABAJO'!$E$115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TRABAJO'!$E$116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TRABAJO'!$F$115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TRABAJO'!$F$116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TRABAJO'!$F$115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TRABAJO'!$F$116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TRABAJO'!$D$117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TRABAJO'!$D$118</f>
        <v>0</v>
      </c>
    </row>
    <row r="100" spans="1:15" x14ac:dyDescent="0.25">
      <c r="A100" s="166"/>
      <c r="B100" s="166" t="s">
        <v>1378</v>
      </c>
      <c r="C100" s="508">
        <f>+'HOJA D TRABAJO'!$B117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TRABAJO'!$B118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TRABAJO'!$E$117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TRABAJO'!$E$118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TRABAJO'!$F$117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TRABAJO'!$F$118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TRABAJO'!$F$117</f>
        <v>0</v>
      </c>
      <c r="H109" s="29"/>
      <c r="I109" s="39" t="s">
        <v>1388</v>
      </c>
      <c r="J109" s="30"/>
      <c r="K109" s="30"/>
      <c r="L109" s="30"/>
      <c r="M109" s="36">
        <f>+E89</f>
        <v>5.4487179487179495E-4</v>
      </c>
      <c r="N109" s="30"/>
      <c r="O109" s="32">
        <f>+'HOJA D TRABAJO'!$E$257*'HOJA D TRABAJO'!$F$118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512" t="str">
        <f>+'HOJA D TRABAJO'!D121</f>
        <v>ORURO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TRABAJO'!D123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TRABAJO'!D124</f>
        <v>0</v>
      </c>
    </row>
    <row r="5" spans="1:15" s="24" customFormat="1" x14ac:dyDescent="0.25">
      <c r="A5" s="60"/>
      <c r="B5" s="60" t="s">
        <v>1378</v>
      </c>
      <c r="C5" s="508">
        <f>+'HOJA D TRABAJO'!B123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TRABAJO'!B124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TRABAJO'!E123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TRABAJO'!E124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TRABAJO'!$F123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TRABAJO'!$F124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TRABAJO'!$F$123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TRABAJO'!$F$124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TRABAJO'!D125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TRABAJO'!D126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TRABAJO'!B125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TRABAJO'!B126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TRABAJO'!E125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TRABAJO'!E126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TRABAJO'!$F125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TRABAJO'!$F126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TRABAJO'!$F$125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TRABAJO'!$F$126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TRABAJO'!$D$127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TRABAJO'!$D$128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TRABAJO'!$B$127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TRABAJO'!$B$128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TRABAJO'!$E$127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TRABAJO'!$E$128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TRABAJO'!$F127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TRABAJO'!$F128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TRABAJO'!$F$127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TRABAJO'!$F$128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TRABAJO'!$D$129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TRABAJO'!$D$130</f>
        <v>0</v>
      </c>
    </row>
    <row r="62" spans="1:15" x14ac:dyDescent="0.25">
      <c r="A62" s="166"/>
      <c r="B62" s="166" t="s">
        <v>1378</v>
      </c>
      <c r="C62" s="508">
        <f>+'HOJA D TRABAJO'!$B$129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TRABAJO'!$B$130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TRABAJO'!$E$129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TRABAJO'!$E$130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TRABAJO'!$F129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TRABAJO'!$F130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TRABAJO'!$F$129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TRABAJO'!$F$130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TRABAJO'!$D$131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TRABAJO'!$D$132</f>
        <v>0</v>
      </c>
    </row>
    <row r="81" spans="1:15" x14ac:dyDescent="0.25">
      <c r="A81" s="166"/>
      <c r="B81" s="166" t="s">
        <v>1378</v>
      </c>
      <c r="C81" s="508">
        <f>+'HOJA D TRABAJO'!$B$131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TRABAJO'!$B$132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TRABAJO'!$E$131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TRABAJO'!$E$132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TRABAJO'!$F131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TRABAJO'!$F132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TRABAJO'!$F$131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TRABAJO'!$F$132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TRABAJO'!$D$133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TRABAJO'!$D$134</f>
        <v>0</v>
      </c>
    </row>
    <row r="100" spans="1:15" x14ac:dyDescent="0.25">
      <c r="A100" s="166"/>
      <c r="B100" s="166" t="s">
        <v>1378</v>
      </c>
      <c r="C100" s="508">
        <f>+'HOJA D TRABAJO'!$B$133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TRABAJO'!$B$134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TRABAJO'!$E$133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TRABAJO'!$E$134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TRABAJO'!$F133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TRABAJO'!$F134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TRABAJO'!$F$133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TRABAJO'!$F$134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4" style="24" customWidth="1"/>
    <col min="9" max="16384" width="11.42578125" style="24"/>
  </cols>
  <sheetData>
    <row r="1" spans="1:15" customFormat="1" ht="15" x14ac:dyDescent="0.25"/>
    <row r="2" spans="1:15" customFormat="1" ht="28.5" x14ac:dyDescent="0.45">
      <c r="E2" s="512" t="str">
        <f>+'HOJA D TRABAJO'!D137</f>
        <v>EL ALTO</v>
      </c>
      <c r="F2" s="512"/>
      <c r="G2" s="512"/>
      <c r="H2" s="512"/>
      <c r="I2" s="512"/>
      <c r="J2" s="512"/>
      <c r="K2" s="512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TRABAJO'!D139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TRABAJO'!D140</f>
        <v>0</v>
      </c>
    </row>
    <row r="5" spans="1:15" ht="15" x14ac:dyDescent="0.25">
      <c r="A5" s="60"/>
      <c r="B5" s="60" t="s">
        <v>1378</v>
      </c>
      <c r="C5" s="508">
        <f>+'HOJA D TRABAJO'!B139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TRABAJO'!B140</f>
        <v>0</v>
      </c>
      <c r="L5" s="508"/>
      <c r="M5" s="508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TRABAJO'!E139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TRABAJO'!E140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TRABAJO'!$F$139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TRABAJO'!$F$140</f>
        <v>0</v>
      </c>
    </row>
    <row r="14" spans="1:1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TRABAJO'!$F$139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TRABAJO'!$F$140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TRABAJO'!D141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TRABAJO'!D142</f>
        <v>0</v>
      </c>
    </row>
    <row r="24" spans="1:15" ht="15" outlineLevel="1" x14ac:dyDescent="0.25">
      <c r="A24" s="60"/>
      <c r="B24" s="60" t="s">
        <v>1378</v>
      </c>
      <c r="C24" s="508">
        <f>+'HOJA D TRABAJO'!B141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TRABAJO'!B142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TRABAJO'!E141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TRABAJO'!E142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TRABAJO'!$F$141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TRABAJO'!$F$142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TRABAJO'!$F$141</f>
        <v>0</v>
      </c>
      <c r="H32" s="33"/>
      <c r="I32" s="39" t="s">
        <v>1388</v>
      </c>
      <c r="J32" s="30"/>
      <c r="K32" s="30"/>
      <c r="L32" s="30"/>
      <c r="M32" s="36">
        <f>+E14</f>
        <v>5.4487179487179495E-4</v>
      </c>
      <c r="N32" s="30"/>
      <c r="O32" s="32">
        <f>+'HOJA D TRABAJO'!$E$257*'HOJA D TRABAJO'!$F$142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29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TRABAJO'!$D$143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TRABAJO'!$D$144</f>
        <v>0</v>
      </c>
    </row>
    <row r="43" spans="1:15" ht="15" outlineLevel="2" x14ac:dyDescent="0.25">
      <c r="A43" s="60"/>
      <c r="B43" s="60" t="s">
        <v>1378</v>
      </c>
      <c r="C43" s="508">
        <f>+'HOJA D TRABAJO'!$B$143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TRABAJO'!$B$144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TRABAJO'!$E$143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TRABAJO'!$E$144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3.5" customHeigh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TRABAJO'!$F$143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TRABAJO'!$F$144</f>
        <v>0</v>
      </c>
    </row>
    <row r="52" spans="1:15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TRABAJO'!$F$143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TRABAJO'!$F$144</f>
        <v>0</v>
      </c>
    </row>
    <row r="53" spans="1:15" ht="16.5" customHeight="1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TRABAJO'!$D$145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TRABAJO'!$D$146</f>
        <v>0</v>
      </c>
    </row>
    <row r="62" spans="1:15" ht="15" x14ac:dyDescent="0.25">
      <c r="A62" s="166"/>
      <c r="B62" s="166" t="s">
        <v>1378</v>
      </c>
      <c r="C62" s="508">
        <f>+'HOJA D TRABAJO'!$B$145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TRABAJO'!$B$146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TRABAJO'!$E$145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TRABAJO'!$E$146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TRABAJO'!$F$145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TRABAJO'!$F$146</f>
        <v>0</v>
      </c>
    </row>
    <row r="71" spans="1:15" x14ac:dyDescent="0.2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TRABAJO'!$F$145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TRABAJO'!$F$146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TRABAJO'!$D$147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TRABAJO'!$D$148</f>
        <v>0</v>
      </c>
    </row>
    <row r="81" spans="1:15" ht="15" x14ac:dyDescent="0.25">
      <c r="A81" s="166"/>
      <c r="B81" s="166" t="s">
        <v>1378</v>
      </c>
      <c r="C81" s="508">
        <f>+'HOJA D TRABAJO'!$B$147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TRABAJO'!$B$148</f>
        <v>0</v>
      </c>
      <c r="L81" s="508"/>
      <c r="M81" s="508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TRABAJO'!$E$147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TRABAJO'!$E$148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TRABAJO'!$F$147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TRABAJO'!$F$148</f>
        <v>0</v>
      </c>
    </row>
    <row r="89" spans="1:15" x14ac:dyDescent="0.2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TRABAJO'!$F$147</f>
        <v>0</v>
      </c>
      <c r="H89" s="33"/>
      <c r="I89" s="39" t="s">
        <v>1388</v>
      </c>
      <c r="J89" s="30"/>
      <c r="K89" s="30"/>
      <c r="L89" s="30"/>
      <c r="M89" s="36">
        <f>+E71</f>
        <v>5.4487179487179495E-4</v>
      </c>
      <c r="N89" s="30"/>
      <c r="O89" s="32">
        <f>+'HOJA D TRABAJO'!$E$257*'HOJA D TRABAJO'!$F$148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29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TRABAJO'!$D$149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TRABAJO'!$D$150</f>
        <v>0</v>
      </c>
    </row>
    <row r="100" spans="1:15" ht="15" x14ac:dyDescent="0.25">
      <c r="A100" s="166"/>
      <c r="B100" s="166" t="s">
        <v>1378</v>
      </c>
      <c r="C100" s="508">
        <f>+'HOJA D TRABAJO'!$B$149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TRABAJO'!$B$150</f>
        <v>0</v>
      </c>
      <c r="L100" s="508"/>
      <c r="M100" s="508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TRABAJO'!$E$149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TRABAJO'!$E$150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TRABAJO'!$F$149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TRABAJO'!$F$150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TRABAJO'!$F$149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TRABAJO'!$F$150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5.28515625" style="24" customWidth="1"/>
    <col min="9" max="16384" width="11.42578125" style="24"/>
  </cols>
  <sheetData>
    <row r="2" spans="1:15" ht="25.5" x14ac:dyDescent="0.35">
      <c r="E2" s="514" t="str">
        <f>+'HOJA D TRABAJO'!D153</f>
        <v>PANDO</v>
      </c>
      <c r="F2" s="514"/>
      <c r="G2" s="514"/>
      <c r="H2" s="514"/>
      <c r="I2" s="514"/>
      <c r="J2" s="514"/>
      <c r="K2" s="514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TRABAJO'!D155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TRABAJO'!D156</f>
        <v>0</v>
      </c>
    </row>
    <row r="5" spans="1:15" ht="15" x14ac:dyDescent="0.25">
      <c r="A5" s="60"/>
      <c r="B5" s="60" t="s">
        <v>1378</v>
      </c>
      <c r="C5" s="508">
        <f>+'HOJA D TRABAJO'!B155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TRABAJO'!B156</f>
        <v>0</v>
      </c>
      <c r="L5" s="508"/>
      <c r="M5" s="508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TRABAJO'!E155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TRABAJO'!E156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TRABAJO'!$F$155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TRABAJO'!$F$156</f>
        <v>0</v>
      </c>
    </row>
    <row r="14" spans="1:15" x14ac:dyDescent="0.2">
      <c r="A14" s="39" t="s">
        <v>1388</v>
      </c>
      <c r="B14" s="30"/>
      <c r="C14" s="30"/>
      <c r="D14" s="30"/>
      <c r="E14" s="167">
        <f>+'HOJA 1 AUX'!E14</f>
        <v>5.4487179487179495E-4</v>
      </c>
      <c r="F14" s="30"/>
      <c r="G14" s="32">
        <f>+'HOJA D TRABAJO'!$E$257*'HOJA D TRABAJO'!$F$155</f>
        <v>0</v>
      </c>
      <c r="H14" s="33"/>
      <c r="I14" s="39" t="s">
        <v>1388</v>
      </c>
      <c r="J14" s="30"/>
      <c r="K14" s="30"/>
      <c r="L14" s="30"/>
      <c r="M14" s="36">
        <f>+'HOJA 1 AUX'!M14</f>
        <v>5.4487179487179495E-4</v>
      </c>
      <c r="N14" s="30"/>
      <c r="O14" s="32">
        <f>+'HOJA D TRABAJO'!$E$257*'HOJA D TRABAJO'!$F$156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TRABAJO'!D157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TRABAJO'!D158</f>
        <v>0</v>
      </c>
    </row>
    <row r="24" spans="1:15" ht="15" outlineLevel="1" x14ac:dyDescent="0.25">
      <c r="A24" s="60"/>
      <c r="B24" s="60" t="s">
        <v>1378</v>
      </c>
      <c r="C24" s="508">
        <f>+'HOJA D TRABAJO'!B157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TRABAJO'!B158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TRABAJO'!E157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TRABAJO'!E158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TRABAJO'!$F$157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TRABAJO'!$F$158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+'HOJA 1 AUX'!E32</f>
        <v>5.4487179487179495E-4</v>
      </c>
      <c r="F32" s="30"/>
      <c r="G32" s="32">
        <f>+'HOJA D TRABAJO'!$E$257*'HOJA D TRABAJO'!$F$157</f>
        <v>0</v>
      </c>
      <c r="H32" s="33"/>
      <c r="I32" s="39" t="s">
        <v>1388</v>
      </c>
      <c r="J32" s="30"/>
      <c r="K32" s="30"/>
      <c r="L32" s="30"/>
      <c r="M32" s="36">
        <f>+'HOJA 1 AUX'!M32</f>
        <v>5.4487179487179495E-4</v>
      </c>
      <c r="N32" s="30"/>
      <c r="O32" s="32">
        <f>+'HOJA D TRABAJO'!$E$257*'HOJA D TRABAJO'!$F$158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33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TRABAJO'!$D$159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TRABAJO'!$D$160</f>
        <v>0</v>
      </c>
    </row>
    <row r="43" spans="1:15" ht="15" outlineLevel="2" x14ac:dyDescent="0.25">
      <c r="A43" s="60"/>
      <c r="B43" s="60" t="s">
        <v>1378</v>
      </c>
      <c r="C43" s="508">
        <f>+'HOJA D TRABAJO'!$B$159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TRABAJO'!$B$160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TRABAJO'!$E$159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TRABAJO'!$E$160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TRABAJO'!$F$159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TRABAJO'!$F$160</f>
        <v>0</v>
      </c>
    </row>
    <row r="52" spans="1:15" outlineLevel="2" x14ac:dyDescent="0.2">
      <c r="A52" s="39" t="s">
        <v>1388</v>
      </c>
      <c r="B52" s="30"/>
      <c r="C52" s="30"/>
      <c r="D52" s="30"/>
      <c r="E52" s="36">
        <f>+'HOJA 1 AUX'!E52</f>
        <v>5.4487179487179495E-4</v>
      </c>
      <c r="F52" s="30"/>
      <c r="G52" s="32">
        <f>+'HOJA D TRABAJO'!$E$257*'HOJA D TRABAJO'!$F$159</f>
        <v>0</v>
      </c>
      <c r="H52" s="29"/>
      <c r="I52" s="39" t="s">
        <v>1388</v>
      </c>
      <c r="J52" s="30"/>
      <c r="K52" s="30"/>
      <c r="L52" s="30"/>
      <c r="M52" s="36">
        <f>+'HOJA 1 AUX'!M52</f>
        <v>5.4487179487179495E-4</v>
      </c>
      <c r="N52" s="30"/>
      <c r="O52" s="32">
        <f>+'HOJA D TRABAJO'!$E$257*'HOJA D TRABAJO'!$F$160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TRABAJO'!$D$161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TRABAJO'!$D$162</f>
        <v>0</v>
      </c>
    </row>
    <row r="62" spans="1:15" ht="15" x14ac:dyDescent="0.25">
      <c r="A62" s="166"/>
      <c r="B62" s="166" t="s">
        <v>1378</v>
      </c>
      <c r="C62" s="508">
        <f>+'HOJA D TRABAJO'!$B$161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TRABAJO'!$B$162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TRABAJO'!$E$161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TRABAJO'!$E$162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TRABAJO'!$F$161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TRABAJO'!$F$162</f>
        <v>0</v>
      </c>
    </row>
    <row r="71" spans="1:15" x14ac:dyDescent="0.2">
      <c r="A71" s="39" t="s">
        <v>1388</v>
      </c>
      <c r="B71" s="30"/>
      <c r="C71" s="30"/>
      <c r="D71" s="30"/>
      <c r="E71" s="167">
        <f>+'HOJA 1 AUX'!E71</f>
        <v>5.4487179487179495E-4</v>
      </c>
      <c r="F71" s="30"/>
      <c r="G71" s="32">
        <f>+'HOJA D TRABAJO'!$E$257*'HOJA D TRABAJO'!$F$161</f>
        <v>0</v>
      </c>
      <c r="H71" s="33"/>
      <c r="I71" s="39" t="s">
        <v>1388</v>
      </c>
      <c r="J71" s="30"/>
      <c r="K71" s="30"/>
      <c r="L71" s="30"/>
      <c r="M71" s="36">
        <f>+'HOJA 1 AUX'!M71</f>
        <v>5.4487179487179495E-4</v>
      </c>
      <c r="N71" s="30"/>
      <c r="O71" s="32">
        <f>+'HOJA D TRABAJO'!$E$257*'HOJA D TRABAJO'!$F$162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TRABAJO'!$D$163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TRABAJO'!$D$164</f>
        <v>0</v>
      </c>
    </row>
    <row r="81" spans="1:15" ht="15" x14ac:dyDescent="0.25">
      <c r="A81" s="166"/>
      <c r="B81" s="166" t="s">
        <v>1378</v>
      </c>
      <c r="C81" s="508">
        <f>+'HOJA D TRABAJO'!$B$163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TRABAJO'!$B$164</f>
        <v>0</v>
      </c>
      <c r="L81" s="508"/>
      <c r="M81" s="508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TRABAJO'!$E$163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TRABAJO'!$E$164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TRABAJO'!$F$163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TRABAJO'!$F$164</f>
        <v>0</v>
      </c>
    </row>
    <row r="89" spans="1:15" x14ac:dyDescent="0.2">
      <c r="A89" s="39" t="s">
        <v>1388</v>
      </c>
      <c r="B89" s="30"/>
      <c r="C89" s="30"/>
      <c r="D89" s="30"/>
      <c r="E89" s="36">
        <f>+M71</f>
        <v>5.4487179487179495E-4</v>
      </c>
      <c r="F89" s="30"/>
      <c r="G89" s="32">
        <f>+'HOJA D TRABAJO'!$E$257*'HOJA D TRABAJO'!$F$163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TRABAJO'!$F$164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33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TRABAJO'!$D$165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TRABAJO'!$D$166</f>
        <v>0</v>
      </c>
    </row>
    <row r="100" spans="1:15" ht="15" x14ac:dyDescent="0.25">
      <c r="A100" s="166"/>
      <c r="B100" s="166" t="s">
        <v>1378</v>
      </c>
      <c r="C100" s="508">
        <f>+'HOJA D TRABAJO'!$B$165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TRABAJO'!$B$166</f>
        <v>0</v>
      </c>
      <c r="L100" s="508"/>
      <c r="M100" s="508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TRABAJO'!$E$165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TRABAJO'!$E$166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TRABAJO'!$F$165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TRABAJO'!$F$166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TRABAJO'!$F$165</f>
        <v>0</v>
      </c>
      <c r="H109" s="29"/>
      <c r="I109" s="39" t="s">
        <v>1388</v>
      </c>
      <c r="J109" s="30"/>
      <c r="K109" s="30"/>
      <c r="L109" s="30"/>
      <c r="M109" s="36">
        <f>+M89</f>
        <v>5.4487179487179495E-4</v>
      </c>
      <c r="N109" s="30"/>
      <c r="O109" s="32">
        <f>+'HOJA D TRABAJO'!$E$257*'HOJA D TRABAJO'!$F$166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2019-01-17T15:42:02Z</cp:lastPrinted>
  <dcterms:created xsi:type="dcterms:W3CDTF">2016-10-17T20:34:40Z</dcterms:created>
  <dcterms:modified xsi:type="dcterms:W3CDTF">2019-01-17T15:43:15Z</dcterms:modified>
</cp:coreProperties>
</file>