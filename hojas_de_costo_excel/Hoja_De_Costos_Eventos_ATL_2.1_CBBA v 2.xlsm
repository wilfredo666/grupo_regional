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backupFile="1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"/>
    </mc:Choice>
  </mc:AlternateContent>
  <bookViews>
    <workbookView xWindow="0" yWindow="0" windowWidth="20490" windowHeight="9045"/>
  </bookViews>
  <sheets>
    <sheet name="Hoja1" sheetId="30" r:id="rId1"/>
    <sheet name="Estado de costos" sheetId="8" r:id="rId2"/>
    <sheet name="Hoja3" sheetId="35" r:id="rId3"/>
    <sheet name="Carta PDF" sheetId="34" r:id="rId4"/>
    <sheet name="Adquisicion(ISA) " sheetId="31" state="hidden" r:id="rId5"/>
    <sheet name="Hoja2" sheetId="32" state="hidden" r:id="rId6"/>
  </sheets>
  <externalReferences>
    <externalReference r:id="rId7"/>
  </externalReferences>
  <definedNames>
    <definedName name="_xlnm._FilterDatabase" localSheetId="4" hidden="1">'Adquisicion(ISA) '!$B$37:$K$92</definedName>
    <definedName name="_xlnm._FilterDatabase" localSheetId="3">#REF!</definedName>
    <definedName name="_xlnm._FilterDatabase" localSheetId="5" hidden="1">Hoja2!$J$1:$P$300</definedName>
    <definedName name="_xlnm._FilterDatabase">#REF!</definedName>
    <definedName name="_xlnm.Extract" localSheetId="5">Hoja2!$A$4:$G$4</definedName>
    <definedName name="_xlnm.Print_Area" localSheetId="3">'Carta PDF'!$A$1:$G$53</definedName>
    <definedName name="_xlnm.Print_Area" localSheetId="1">'Estado de costos'!$A$1:$N$80</definedName>
    <definedName name="Carga" localSheetId="4">#REF!</definedName>
    <definedName name="Carga" localSheetId="3">#REF!</definedName>
    <definedName name="Carga" localSheetId="5">#REF!</definedName>
    <definedName name="Carga">#REF!</definedName>
    <definedName name="_xlnm.Criteria" localSheetId="5">Hoja2!$A$1:$G$2</definedName>
    <definedName name="DEPENDE">[1]Hoja3!$A$2:$A$4</definedName>
    <definedName name="EXTERNO">'Estado de costos'!$I$18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1" i="8" l="1"/>
  <c r="I31" i="8"/>
  <c r="K31" i="8"/>
  <c r="G40" i="8" l="1"/>
  <c r="I40" i="8"/>
  <c r="K40" i="8"/>
  <c r="G30" i="8" l="1"/>
  <c r="I30" i="8" s="1"/>
  <c r="F25" i="8" l="1"/>
  <c r="E25" i="8"/>
  <c r="B26" i="34" s="1"/>
  <c r="J3" i="32" l="1"/>
  <c r="K3" i="32"/>
  <c r="L3" i="32"/>
  <c r="O3" i="32"/>
  <c r="J4" i="32"/>
  <c r="K4" i="32"/>
  <c r="L4" i="32"/>
  <c r="N4" i="32"/>
  <c r="O4" i="32"/>
  <c r="J5" i="32"/>
  <c r="K5" i="32"/>
  <c r="L5" i="32"/>
  <c r="N5" i="32"/>
  <c r="O5" i="32"/>
  <c r="J6" i="32"/>
  <c r="K6" i="32"/>
  <c r="L6" i="32"/>
  <c r="N6" i="32"/>
  <c r="P6" i="32" s="1"/>
  <c r="O6" i="32"/>
  <c r="J7" i="32"/>
  <c r="K7" i="32"/>
  <c r="L7" i="32"/>
  <c r="N7" i="32"/>
  <c r="P7" i="32" s="1"/>
  <c r="O7" i="32"/>
  <c r="J8" i="32"/>
  <c r="K8" i="32"/>
  <c r="L8" i="32"/>
  <c r="N8" i="32"/>
  <c r="O8" i="32"/>
  <c r="J9" i="32"/>
  <c r="K9" i="32"/>
  <c r="L9" i="32"/>
  <c r="N9" i="32"/>
  <c r="O9" i="32"/>
  <c r="J10" i="32"/>
  <c r="K10" i="32"/>
  <c r="L10" i="32"/>
  <c r="N10" i="32"/>
  <c r="P10" i="32" s="1"/>
  <c r="J11" i="32"/>
  <c r="K11" i="32"/>
  <c r="L11" i="32"/>
  <c r="O11" i="32"/>
  <c r="J12" i="32"/>
  <c r="K12" i="32"/>
  <c r="L12" i="32"/>
  <c r="N12" i="32"/>
  <c r="P12" i="32" s="1"/>
  <c r="O12" i="32"/>
  <c r="J13" i="32"/>
  <c r="K13" i="32"/>
  <c r="L13" i="32"/>
  <c r="N13" i="32"/>
  <c r="O13" i="32"/>
  <c r="J14" i="32"/>
  <c r="K14" i="32"/>
  <c r="L14" i="32"/>
  <c r="N14" i="32"/>
  <c r="P14" i="32" s="1"/>
  <c r="O14" i="32"/>
  <c r="J15" i="32"/>
  <c r="K15" i="32"/>
  <c r="L15" i="32"/>
  <c r="N15" i="32"/>
  <c r="P15" i="32" s="1"/>
  <c r="O15" i="32"/>
  <c r="J16" i="32"/>
  <c r="K16" i="32"/>
  <c r="L16" i="32"/>
  <c r="N16" i="32"/>
  <c r="P16" i="32" s="1"/>
  <c r="O16" i="32"/>
  <c r="J17" i="32"/>
  <c r="K17" i="32"/>
  <c r="L17" i="32"/>
  <c r="N17" i="32"/>
  <c r="J18" i="32"/>
  <c r="K18" i="32"/>
  <c r="L18" i="32"/>
  <c r="O18" i="32"/>
  <c r="J19" i="32"/>
  <c r="K19" i="32"/>
  <c r="L19" i="32"/>
  <c r="N19" i="32"/>
  <c r="P19" i="32" s="1"/>
  <c r="O19" i="32"/>
  <c r="J20" i="32"/>
  <c r="K20" i="32"/>
  <c r="L20" i="32"/>
  <c r="N20" i="32"/>
  <c r="P20" i="32" s="1"/>
  <c r="O20" i="32"/>
  <c r="J21" i="32"/>
  <c r="K21" i="32"/>
  <c r="L21" i="32"/>
  <c r="N21" i="32"/>
  <c r="O21" i="32"/>
  <c r="J22" i="32"/>
  <c r="K22" i="32"/>
  <c r="L22" i="32"/>
  <c r="N22" i="32"/>
  <c r="P22" i="32" s="1"/>
  <c r="J23" i="32"/>
  <c r="K23" i="32"/>
  <c r="O23" i="32"/>
  <c r="J24" i="32"/>
  <c r="K24" i="32"/>
  <c r="L24" i="32"/>
  <c r="N24" i="32"/>
  <c r="P24" i="32" s="1"/>
  <c r="O24" i="32"/>
  <c r="J25" i="32"/>
  <c r="K25" i="32"/>
  <c r="L25" i="32"/>
  <c r="N25" i="32"/>
  <c r="O25" i="32"/>
  <c r="J26" i="32"/>
  <c r="K26" i="32"/>
  <c r="L26" i="32"/>
  <c r="N26" i="32"/>
  <c r="P26" i="32" s="1"/>
  <c r="O26" i="32"/>
  <c r="J27" i="32"/>
  <c r="K27" i="32"/>
  <c r="L27" i="32"/>
  <c r="N27" i="32"/>
  <c r="P27" i="32" s="1"/>
  <c r="J28" i="32"/>
  <c r="K28" i="32"/>
  <c r="O28" i="32"/>
  <c r="J29" i="32"/>
  <c r="K29" i="32"/>
  <c r="L29" i="32"/>
  <c r="N29" i="32"/>
  <c r="O29" i="32"/>
  <c r="J30" i="32"/>
  <c r="K30" i="32"/>
  <c r="L30" i="32"/>
  <c r="N30" i="32"/>
  <c r="P30" i="32" s="1"/>
  <c r="O30" i="32"/>
  <c r="J31" i="32"/>
  <c r="K31" i="32"/>
  <c r="L31" i="32"/>
  <c r="N31" i="32"/>
  <c r="P31" i="32" s="1"/>
  <c r="O31" i="32"/>
  <c r="J32" i="32"/>
  <c r="L32" i="32"/>
  <c r="N32" i="32"/>
  <c r="O32" i="32"/>
  <c r="J33" i="32"/>
  <c r="K33" i="32"/>
  <c r="L33" i="32"/>
  <c r="N33" i="32"/>
  <c r="O33" i="32"/>
  <c r="J34" i="32"/>
  <c r="K34" i="32"/>
  <c r="L34" i="32"/>
  <c r="N34" i="32"/>
  <c r="P34" i="32" s="1"/>
  <c r="O34" i="32"/>
  <c r="J35" i="32"/>
  <c r="K35" i="32"/>
  <c r="L35" i="32"/>
  <c r="N35" i="32"/>
  <c r="P35" i="32" s="1"/>
  <c r="O35" i="32"/>
  <c r="N36" i="32"/>
  <c r="O36" i="32"/>
  <c r="J37" i="32"/>
  <c r="K37" i="32"/>
  <c r="L37" i="32"/>
  <c r="N37" i="32"/>
  <c r="O37" i="32"/>
  <c r="J38" i="32"/>
  <c r="K38" i="32"/>
  <c r="L38" i="32"/>
  <c r="N38" i="32"/>
  <c r="P38" i="32" s="1"/>
  <c r="O38" i="32"/>
  <c r="J39" i="32"/>
  <c r="K39" i="32"/>
  <c r="L39" i="32"/>
  <c r="N39" i="32"/>
  <c r="P39" i="32" s="1"/>
  <c r="O39" i="32"/>
  <c r="J40" i="32"/>
  <c r="K40" i="32"/>
  <c r="L40" i="32"/>
  <c r="N40" i="32"/>
  <c r="O40" i="32"/>
  <c r="J41" i="32"/>
  <c r="K41" i="32"/>
  <c r="L41" i="32"/>
  <c r="O41" i="32"/>
  <c r="J42" i="32"/>
  <c r="K42" i="32"/>
  <c r="L42" i="32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N45" i="32"/>
  <c r="O45" i="32"/>
  <c r="J46" i="32"/>
  <c r="K46" i="32"/>
  <c r="L46" i="32"/>
  <c r="N46" i="32"/>
  <c r="P46" i="32" s="1"/>
  <c r="O46" i="32"/>
  <c r="J47" i="32"/>
  <c r="K47" i="32"/>
  <c r="L47" i="32"/>
  <c r="N47" i="32"/>
  <c r="P47" i="32" s="1"/>
  <c r="O47" i="32"/>
  <c r="J48" i="32"/>
  <c r="K48" i="32"/>
  <c r="L48" i="32"/>
  <c r="N48" i="32"/>
  <c r="P48" i="32" s="1"/>
  <c r="O48" i="32"/>
  <c r="J49" i="32"/>
  <c r="K49" i="32"/>
  <c r="L49" i="32"/>
  <c r="N49" i="32"/>
  <c r="O49" i="32"/>
  <c r="J50" i="32"/>
  <c r="K50" i="32"/>
  <c r="L50" i="32"/>
  <c r="N50" i="32"/>
  <c r="P50" i="32" s="1"/>
  <c r="O50" i="32"/>
  <c r="J51" i="32"/>
  <c r="K51" i="32"/>
  <c r="L51" i="32"/>
  <c r="N51" i="32"/>
  <c r="P51" i="32" s="1"/>
  <c r="O51" i="32"/>
  <c r="J52" i="32"/>
  <c r="K52" i="32"/>
  <c r="L52" i="32"/>
  <c r="N52" i="32"/>
  <c r="P52" i="32" s="1"/>
  <c r="O52" i="32"/>
  <c r="J53" i="32"/>
  <c r="K53" i="32"/>
  <c r="L53" i="32"/>
  <c r="N53" i="32"/>
  <c r="O53" i="32"/>
  <c r="J54" i="32"/>
  <c r="K54" i="32"/>
  <c r="L54" i="32"/>
  <c r="N54" i="32"/>
  <c r="O54" i="32"/>
  <c r="J55" i="32"/>
  <c r="K55" i="32"/>
  <c r="L55" i="32"/>
  <c r="N55" i="32"/>
  <c r="P55" i="32" s="1"/>
  <c r="O55" i="32"/>
  <c r="J56" i="32"/>
  <c r="K56" i="32"/>
  <c r="L56" i="32"/>
  <c r="N56" i="32"/>
  <c r="P56" i="32" s="1"/>
  <c r="O56" i="32"/>
  <c r="J57" i="32"/>
  <c r="K57" i="32"/>
  <c r="L57" i="32"/>
  <c r="N57" i="32"/>
  <c r="O57" i="32"/>
  <c r="J58" i="32"/>
  <c r="K58" i="32"/>
  <c r="L58" i="32"/>
  <c r="N58" i="32"/>
  <c r="P58" i="32" s="1"/>
  <c r="O58" i="32"/>
  <c r="J59" i="32"/>
  <c r="K59" i="32"/>
  <c r="L59" i="32"/>
  <c r="N59" i="32"/>
  <c r="P59" i="32" s="1"/>
  <c r="O59" i="32"/>
  <c r="J60" i="32"/>
  <c r="K60" i="32"/>
  <c r="L60" i="32"/>
  <c r="N60" i="32"/>
  <c r="P60" i="32" s="1"/>
  <c r="O60" i="32"/>
  <c r="J61" i="32"/>
  <c r="K61" i="32"/>
  <c r="L61" i="32"/>
  <c r="N61" i="32"/>
  <c r="O61" i="32"/>
  <c r="J62" i="32"/>
  <c r="K62" i="32"/>
  <c r="L62" i="32"/>
  <c r="N62" i="32"/>
  <c r="P62" i="32" s="1"/>
  <c r="O62" i="32"/>
  <c r="J63" i="32"/>
  <c r="K63" i="32"/>
  <c r="L63" i="32"/>
  <c r="N63" i="32"/>
  <c r="P63" i="32" s="1"/>
  <c r="O63" i="32"/>
  <c r="J64" i="32"/>
  <c r="K64" i="32"/>
  <c r="L64" i="32"/>
  <c r="N64" i="32"/>
  <c r="P64" i="32" s="1"/>
  <c r="O64" i="32"/>
  <c r="J65" i="32"/>
  <c r="K65" i="32"/>
  <c r="L65" i="32"/>
  <c r="N65" i="32"/>
  <c r="O65" i="32"/>
  <c r="J66" i="32"/>
  <c r="K66" i="32"/>
  <c r="L66" i="32"/>
  <c r="N66" i="32"/>
  <c r="P66" i="32" s="1"/>
  <c r="O66" i="32"/>
  <c r="J67" i="32"/>
  <c r="K67" i="32"/>
  <c r="L67" i="32"/>
  <c r="N67" i="32"/>
  <c r="P67" i="32" s="1"/>
  <c r="O67" i="32"/>
  <c r="J68" i="32"/>
  <c r="K68" i="32"/>
  <c r="L68" i="32"/>
  <c r="N68" i="32"/>
  <c r="P68" i="32" s="1"/>
  <c r="O68" i="32"/>
  <c r="J69" i="32"/>
  <c r="K69" i="32"/>
  <c r="L69" i="32"/>
  <c r="N69" i="32"/>
  <c r="O69" i="32"/>
  <c r="J70" i="32"/>
  <c r="K70" i="32"/>
  <c r="L70" i="32"/>
  <c r="N70" i="32"/>
  <c r="O70" i="32"/>
  <c r="J71" i="32"/>
  <c r="K71" i="32"/>
  <c r="L71" i="32"/>
  <c r="N71" i="32"/>
  <c r="P71" i="32" s="1"/>
  <c r="O71" i="32"/>
  <c r="J72" i="32"/>
  <c r="K72" i="32"/>
  <c r="L72" i="32"/>
  <c r="N72" i="32"/>
  <c r="P72" i="32" s="1"/>
  <c r="O72" i="32"/>
  <c r="J73" i="32"/>
  <c r="K73" i="32"/>
  <c r="L73" i="32"/>
  <c r="N73" i="32"/>
  <c r="O73" i="32"/>
  <c r="J74" i="32"/>
  <c r="K74" i="32"/>
  <c r="L74" i="32"/>
  <c r="N74" i="32"/>
  <c r="P74" i="32" s="1"/>
  <c r="O74" i="32"/>
  <c r="J75" i="32"/>
  <c r="K75" i="32"/>
  <c r="L75" i="32"/>
  <c r="N75" i="32"/>
  <c r="P75" i="32" s="1"/>
  <c r="O75" i="32"/>
  <c r="J76" i="32"/>
  <c r="K76" i="32"/>
  <c r="L76" i="32"/>
  <c r="N76" i="32"/>
  <c r="P76" i="32" s="1"/>
  <c r="O76" i="32"/>
  <c r="J77" i="32"/>
  <c r="K77" i="32"/>
  <c r="L77" i="32"/>
  <c r="N77" i="32"/>
  <c r="O77" i="32"/>
  <c r="J78" i="32"/>
  <c r="K78" i="32"/>
  <c r="L78" i="32"/>
  <c r="N78" i="32"/>
  <c r="P78" i="32" s="1"/>
  <c r="O78" i="32"/>
  <c r="J79" i="32"/>
  <c r="K79" i="32"/>
  <c r="L79" i="32"/>
  <c r="N79" i="32"/>
  <c r="P79" i="32" s="1"/>
  <c r="O79" i="32"/>
  <c r="J80" i="32"/>
  <c r="K80" i="32"/>
  <c r="L80" i="32"/>
  <c r="N80" i="32"/>
  <c r="P80" i="32" s="1"/>
  <c r="O80" i="32"/>
  <c r="J81" i="32"/>
  <c r="K81" i="32"/>
  <c r="L81" i="32"/>
  <c r="N81" i="32"/>
  <c r="O81" i="32"/>
  <c r="J82" i="32"/>
  <c r="K82" i="32"/>
  <c r="L82" i="32"/>
  <c r="N82" i="32"/>
  <c r="P82" i="32" s="1"/>
  <c r="O82" i="32"/>
  <c r="J83" i="32"/>
  <c r="K83" i="32"/>
  <c r="L83" i="32"/>
  <c r="N83" i="32"/>
  <c r="P83" i="32" s="1"/>
  <c r="O83" i="32"/>
  <c r="J84" i="32"/>
  <c r="K84" i="32"/>
  <c r="L84" i="32"/>
  <c r="N84" i="32"/>
  <c r="P84" i="32" s="1"/>
  <c r="O84" i="32"/>
  <c r="J85" i="32"/>
  <c r="K85" i="32"/>
  <c r="L85" i="32"/>
  <c r="N85" i="32"/>
  <c r="O85" i="32"/>
  <c r="J86" i="32"/>
  <c r="K86" i="32"/>
  <c r="L86" i="32"/>
  <c r="N86" i="32"/>
  <c r="O86" i="32"/>
  <c r="J87" i="32"/>
  <c r="K87" i="32"/>
  <c r="L87" i="32"/>
  <c r="N87" i="32"/>
  <c r="P87" i="32" s="1"/>
  <c r="O87" i="32"/>
  <c r="J88" i="32"/>
  <c r="K88" i="32"/>
  <c r="L88" i="32"/>
  <c r="N88" i="32"/>
  <c r="P88" i="32" s="1"/>
  <c r="O88" i="32"/>
  <c r="J89" i="32"/>
  <c r="K89" i="32"/>
  <c r="L89" i="32"/>
  <c r="N89" i="32"/>
  <c r="O89" i="32"/>
  <c r="J90" i="32"/>
  <c r="K90" i="32"/>
  <c r="L90" i="32"/>
  <c r="N90" i="32"/>
  <c r="P90" i="32" s="1"/>
  <c r="O90" i="32"/>
  <c r="J91" i="32"/>
  <c r="K91" i="32"/>
  <c r="L91" i="32"/>
  <c r="N91" i="32"/>
  <c r="P91" i="32" s="1"/>
  <c r="O91" i="32"/>
  <c r="J92" i="32"/>
  <c r="K92" i="32"/>
  <c r="L92" i="32"/>
  <c r="N92" i="32"/>
  <c r="P92" i="32" s="1"/>
  <c r="O92" i="32"/>
  <c r="J93" i="32"/>
  <c r="K93" i="32"/>
  <c r="L93" i="32"/>
  <c r="N93" i="32"/>
  <c r="O93" i="32"/>
  <c r="J94" i="32"/>
  <c r="K94" i="32"/>
  <c r="L94" i="32"/>
  <c r="N94" i="32"/>
  <c r="P94" i="32" s="1"/>
  <c r="O94" i="32"/>
  <c r="J95" i="32"/>
  <c r="K95" i="32"/>
  <c r="L95" i="32"/>
  <c r="N95" i="32"/>
  <c r="P95" i="32" s="1"/>
  <c r="O95" i="32"/>
  <c r="J96" i="32"/>
  <c r="K96" i="32"/>
  <c r="L96" i="32"/>
  <c r="N96" i="32"/>
  <c r="P96" i="32" s="1"/>
  <c r="O96" i="32"/>
  <c r="J97" i="32"/>
  <c r="K97" i="32"/>
  <c r="L97" i="32"/>
  <c r="N97" i="32"/>
  <c r="O97" i="32"/>
  <c r="J98" i="32"/>
  <c r="K98" i="32"/>
  <c r="L98" i="32"/>
  <c r="N98" i="32"/>
  <c r="P98" i="32" s="1"/>
  <c r="O98" i="32"/>
  <c r="J99" i="32"/>
  <c r="K99" i="32"/>
  <c r="L99" i="32"/>
  <c r="N99" i="32"/>
  <c r="P99" i="32" s="1"/>
  <c r="O99" i="32"/>
  <c r="J100" i="32"/>
  <c r="K100" i="32"/>
  <c r="L100" i="32"/>
  <c r="N100" i="32"/>
  <c r="P100" i="32" s="1"/>
  <c r="O100" i="32"/>
  <c r="J101" i="32"/>
  <c r="K101" i="32"/>
  <c r="L101" i="32"/>
  <c r="N101" i="32"/>
  <c r="O101" i="32"/>
  <c r="J102" i="32"/>
  <c r="K102" i="32"/>
  <c r="L102" i="32"/>
  <c r="N102" i="32"/>
  <c r="O102" i="32"/>
  <c r="J103" i="32"/>
  <c r="K103" i="32"/>
  <c r="L103" i="32"/>
  <c r="N103" i="32"/>
  <c r="P103" i="32" s="1"/>
  <c r="O103" i="32"/>
  <c r="J104" i="32"/>
  <c r="K104" i="32"/>
  <c r="L104" i="32"/>
  <c r="N104" i="32"/>
  <c r="P104" i="32" s="1"/>
  <c r="O104" i="32"/>
  <c r="J105" i="32"/>
  <c r="K105" i="32"/>
  <c r="L105" i="32"/>
  <c r="N105" i="32"/>
  <c r="P105" i="32" s="1"/>
  <c r="O105" i="32"/>
  <c r="J106" i="32"/>
  <c r="K106" i="32"/>
  <c r="L106" i="32"/>
  <c r="N106" i="32"/>
  <c r="P106" i="32" s="1"/>
  <c r="O106" i="32"/>
  <c r="J107" i="32"/>
  <c r="K107" i="32"/>
  <c r="L107" i="32"/>
  <c r="N107" i="32"/>
  <c r="P107" i="32" s="1"/>
  <c r="O107" i="32"/>
  <c r="J108" i="32"/>
  <c r="K108" i="32"/>
  <c r="L108" i="32"/>
  <c r="N108" i="32"/>
  <c r="P108" i="32" s="1"/>
  <c r="O108" i="32"/>
  <c r="J109" i="32"/>
  <c r="K109" i="32"/>
  <c r="L109" i="32"/>
  <c r="N109" i="32"/>
  <c r="O109" i="32"/>
  <c r="J110" i="32"/>
  <c r="K110" i="32"/>
  <c r="L110" i="32"/>
  <c r="N110" i="32"/>
  <c r="O110" i="32"/>
  <c r="J111" i="32"/>
  <c r="K111" i="32"/>
  <c r="L111" i="32"/>
  <c r="N111" i="32"/>
  <c r="P111" i="32" s="1"/>
  <c r="O111" i="32"/>
  <c r="J112" i="32"/>
  <c r="K112" i="32"/>
  <c r="L112" i="32"/>
  <c r="N112" i="32"/>
  <c r="P112" i="32" s="1"/>
  <c r="O112" i="32"/>
  <c r="J113" i="32"/>
  <c r="K113" i="32"/>
  <c r="L113" i="32"/>
  <c r="N113" i="32"/>
  <c r="P113" i="32" s="1"/>
  <c r="O113" i="32"/>
  <c r="J114" i="32"/>
  <c r="K114" i="32"/>
  <c r="L114" i="32"/>
  <c r="N114" i="32"/>
  <c r="P114" i="32" s="1"/>
  <c r="O114" i="32"/>
  <c r="J115" i="32"/>
  <c r="K115" i="32"/>
  <c r="L115" i="32"/>
  <c r="N115" i="32"/>
  <c r="P115" i="32" s="1"/>
  <c r="O115" i="32"/>
  <c r="J116" i="32"/>
  <c r="K116" i="32"/>
  <c r="L116" i="32"/>
  <c r="N116" i="32"/>
  <c r="P116" i="32" s="1"/>
  <c r="O116" i="32"/>
  <c r="J117" i="32"/>
  <c r="K117" i="32"/>
  <c r="L117" i="32"/>
  <c r="N117" i="32"/>
  <c r="O117" i="32"/>
  <c r="J118" i="32"/>
  <c r="K118" i="32"/>
  <c r="L118" i="32"/>
  <c r="N118" i="32"/>
  <c r="O118" i="32"/>
  <c r="J119" i="32"/>
  <c r="K119" i="32"/>
  <c r="L119" i="32"/>
  <c r="N119" i="32"/>
  <c r="P119" i="32" s="1"/>
  <c r="O119" i="32"/>
  <c r="J120" i="32"/>
  <c r="K120" i="32"/>
  <c r="L120" i="32"/>
  <c r="N120" i="32"/>
  <c r="P120" i="32" s="1"/>
  <c r="O120" i="32"/>
  <c r="J121" i="32"/>
  <c r="K121" i="32"/>
  <c r="L121" i="32"/>
  <c r="N121" i="32"/>
  <c r="P121" i="32" s="1"/>
  <c r="O121" i="32"/>
  <c r="J122" i="32"/>
  <c r="K122" i="32"/>
  <c r="L122" i="32"/>
  <c r="N122" i="32"/>
  <c r="P122" i="32" s="1"/>
  <c r="O122" i="32"/>
  <c r="J123" i="32"/>
  <c r="K123" i="32"/>
  <c r="L123" i="32"/>
  <c r="N123" i="32"/>
  <c r="P123" i="32" s="1"/>
  <c r="O123" i="32"/>
  <c r="J124" i="32"/>
  <c r="K124" i="32"/>
  <c r="L124" i="32"/>
  <c r="N124" i="32"/>
  <c r="P124" i="32" s="1"/>
  <c r="O124" i="32"/>
  <c r="J125" i="32"/>
  <c r="K125" i="32"/>
  <c r="L125" i="32"/>
  <c r="N125" i="32"/>
  <c r="O125" i="32"/>
  <c r="J126" i="32"/>
  <c r="K126" i="32"/>
  <c r="L126" i="32"/>
  <c r="N126" i="32"/>
  <c r="O126" i="32"/>
  <c r="J127" i="32"/>
  <c r="K127" i="32"/>
  <c r="L127" i="32"/>
  <c r="N127" i="32"/>
  <c r="P127" i="32" s="1"/>
  <c r="O127" i="32"/>
  <c r="J128" i="32"/>
  <c r="K128" i="32"/>
  <c r="L128" i="32"/>
  <c r="N128" i="32"/>
  <c r="P128" i="32" s="1"/>
  <c r="O128" i="32"/>
  <c r="J129" i="32"/>
  <c r="K129" i="32"/>
  <c r="L129" i="32"/>
  <c r="N129" i="32"/>
  <c r="P129" i="32" s="1"/>
  <c r="O129" i="32"/>
  <c r="J130" i="32"/>
  <c r="K130" i="32"/>
  <c r="L130" i="32"/>
  <c r="N130" i="32"/>
  <c r="P130" i="32" s="1"/>
  <c r="O130" i="32"/>
  <c r="J131" i="32"/>
  <c r="K131" i="32"/>
  <c r="L131" i="32"/>
  <c r="N131" i="32"/>
  <c r="P131" i="32" s="1"/>
  <c r="O131" i="32"/>
  <c r="J132" i="32"/>
  <c r="K132" i="32"/>
  <c r="L132" i="32"/>
  <c r="N132" i="32"/>
  <c r="P132" i="32" s="1"/>
  <c r="O132" i="32"/>
  <c r="J133" i="32"/>
  <c r="K133" i="32"/>
  <c r="L133" i="32"/>
  <c r="N133" i="32"/>
  <c r="O133" i="32"/>
  <c r="J134" i="32"/>
  <c r="K134" i="32"/>
  <c r="L134" i="32"/>
  <c r="N134" i="32"/>
  <c r="O134" i="32"/>
  <c r="J135" i="32"/>
  <c r="K135" i="32"/>
  <c r="L135" i="32"/>
  <c r="N135" i="32"/>
  <c r="P135" i="32" s="1"/>
  <c r="O135" i="32"/>
  <c r="J136" i="32"/>
  <c r="K136" i="32"/>
  <c r="L136" i="32"/>
  <c r="N136" i="32"/>
  <c r="P136" i="32" s="1"/>
  <c r="O136" i="32"/>
  <c r="J137" i="32"/>
  <c r="K137" i="32"/>
  <c r="L137" i="32"/>
  <c r="N137" i="32"/>
  <c r="P137" i="32" s="1"/>
  <c r="O137" i="32"/>
  <c r="J138" i="32"/>
  <c r="K138" i="32"/>
  <c r="L138" i="32"/>
  <c r="N138" i="32"/>
  <c r="P138" i="32" s="1"/>
  <c r="O138" i="32"/>
  <c r="J139" i="32"/>
  <c r="K139" i="32"/>
  <c r="L139" i="32"/>
  <c r="N139" i="32"/>
  <c r="P139" i="32" s="1"/>
  <c r="O139" i="32"/>
  <c r="J140" i="32"/>
  <c r="K140" i="32"/>
  <c r="L140" i="32"/>
  <c r="N140" i="32"/>
  <c r="P140" i="32" s="1"/>
  <c r="O140" i="32"/>
  <c r="J141" i="32"/>
  <c r="K141" i="32"/>
  <c r="L141" i="32"/>
  <c r="N141" i="32"/>
  <c r="O141" i="32"/>
  <c r="J142" i="32"/>
  <c r="K142" i="32"/>
  <c r="L142" i="32"/>
  <c r="N142" i="32"/>
  <c r="O142" i="32"/>
  <c r="J143" i="32"/>
  <c r="K143" i="32"/>
  <c r="L143" i="32"/>
  <c r="N143" i="32"/>
  <c r="P143" i="32" s="1"/>
  <c r="O143" i="32"/>
  <c r="J144" i="32"/>
  <c r="K144" i="32"/>
  <c r="L144" i="32"/>
  <c r="N144" i="32"/>
  <c r="P144" i="32" s="1"/>
  <c r="O144" i="32"/>
  <c r="J145" i="32"/>
  <c r="K145" i="32"/>
  <c r="L145" i="32"/>
  <c r="N145" i="32"/>
  <c r="P145" i="32" s="1"/>
  <c r="O145" i="32"/>
  <c r="J146" i="32"/>
  <c r="K146" i="32"/>
  <c r="L146" i="32"/>
  <c r="N146" i="32"/>
  <c r="P146" i="32" s="1"/>
  <c r="O146" i="32"/>
  <c r="J147" i="32"/>
  <c r="K147" i="32"/>
  <c r="L147" i="32"/>
  <c r="N147" i="32"/>
  <c r="P147" i="32" s="1"/>
  <c r="O147" i="32"/>
  <c r="J148" i="32"/>
  <c r="K148" i="32"/>
  <c r="L148" i="32"/>
  <c r="N148" i="32"/>
  <c r="P148" i="32" s="1"/>
  <c r="O148" i="32"/>
  <c r="J149" i="32"/>
  <c r="K149" i="32"/>
  <c r="L149" i="32"/>
  <c r="N149" i="32"/>
  <c r="O149" i="32"/>
  <c r="J150" i="32"/>
  <c r="K150" i="32"/>
  <c r="L150" i="32"/>
  <c r="N150" i="32"/>
  <c r="O150" i="32"/>
  <c r="J151" i="32"/>
  <c r="K151" i="32"/>
  <c r="L151" i="32"/>
  <c r="N151" i="32"/>
  <c r="P151" i="32" s="1"/>
  <c r="O151" i="32"/>
  <c r="J152" i="32"/>
  <c r="K152" i="32"/>
  <c r="L152" i="32"/>
  <c r="N152" i="32"/>
  <c r="P152" i="32" s="1"/>
  <c r="O152" i="32"/>
  <c r="J153" i="32"/>
  <c r="K153" i="32"/>
  <c r="L153" i="32"/>
  <c r="N153" i="32"/>
  <c r="P153" i="32" s="1"/>
  <c r="O153" i="32"/>
  <c r="J154" i="32"/>
  <c r="K154" i="32"/>
  <c r="L154" i="32"/>
  <c r="N154" i="32"/>
  <c r="P154" i="32" s="1"/>
  <c r="O154" i="32"/>
  <c r="J155" i="32"/>
  <c r="K155" i="32"/>
  <c r="L155" i="32"/>
  <c r="N155" i="32"/>
  <c r="P155" i="32" s="1"/>
  <c r="O155" i="32"/>
  <c r="J156" i="32"/>
  <c r="K156" i="32"/>
  <c r="L156" i="32"/>
  <c r="N156" i="32"/>
  <c r="P156" i="32" s="1"/>
  <c r="O156" i="32"/>
  <c r="J157" i="32"/>
  <c r="K157" i="32"/>
  <c r="L157" i="32"/>
  <c r="N157" i="32"/>
  <c r="O157" i="32"/>
  <c r="J158" i="32"/>
  <c r="K158" i="32"/>
  <c r="L158" i="32"/>
  <c r="N158" i="32"/>
  <c r="O158" i="32"/>
  <c r="J159" i="32"/>
  <c r="K159" i="32"/>
  <c r="L159" i="32"/>
  <c r="N159" i="32"/>
  <c r="P159" i="32" s="1"/>
  <c r="O159" i="32"/>
  <c r="J160" i="32"/>
  <c r="K160" i="32"/>
  <c r="L160" i="32"/>
  <c r="N160" i="32"/>
  <c r="P160" i="32" s="1"/>
  <c r="O160" i="32"/>
  <c r="J161" i="32"/>
  <c r="K161" i="32"/>
  <c r="L161" i="32"/>
  <c r="N161" i="32"/>
  <c r="P161" i="32" s="1"/>
  <c r="O161" i="32"/>
  <c r="J162" i="32"/>
  <c r="K162" i="32"/>
  <c r="L162" i="32"/>
  <c r="N162" i="32"/>
  <c r="P162" i="32" s="1"/>
  <c r="O162" i="32"/>
  <c r="J163" i="32"/>
  <c r="K163" i="32"/>
  <c r="L163" i="32"/>
  <c r="N163" i="32"/>
  <c r="P163" i="32" s="1"/>
  <c r="O163" i="32"/>
  <c r="J164" i="32"/>
  <c r="K164" i="32"/>
  <c r="L164" i="32"/>
  <c r="N164" i="32"/>
  <c r="P164" i="32" s="1"/>
  <c r="O164" i="32"/>
  <c r="J165" i="32"/>
  <c r="K165" i="32"/>
  <c r="L165" i="32"/>
  <c r="N165" i="32"/>
  <c r="O165" i="32"/>
  <c r="J166" i="32"/>
  <c r="K166" i="32"/>
  <c r="L166" i="32"/>
  <c r="N166" i="32"/>
  <c r="P166" i="32" s="1"/>
  <c r="O166" i="32"/>
  <c r="J167" i="32"/>
  <c r="K167" i="32"/>
  <c r="L167" i="32"/>
  <c r="N167" i="32"/>
  <c r="P167" i="32" s="1"/>
  <c r="O167" i="32"/>
  <c r="J168" i="32"/>
  <c r="K168" i="32"/>
  <c r="L168" i="32"/>
  <c r="N168" i="32"/>
  <c r="O168" i="32"/>
  <c r="J169" i="32"/>
  <c r="K169" i="32"/>
  <c r="L169" i="32"/>
  <c r="N169" i="32"/>
  <c r="P169" i="32" s="1"/>
  <c r="O169" i="32"/>
  <c r="J170" i="32"/>
  <c r="K170" i="32"/>
  <c r="L170" i="32"/>
  <c r="N170" i="32"/>
  <c r="P170" i="32" s="1"/>
  <c r="O170" i="32"/>
  <c r="J171" i="32"/>
  <c r="K171" i="32"/>
  <c r="L171" i="32"/>
  <c r="N171" i="32"/>
  <c r="P171" i="32" s="1"/>
  <c r="O171" i="32"/>
  <c r="J172" i="32"/>
  <c r="K172" i="32"/>
  <c r="L172" i="32"/>
  <c r="N172" i="32"/>
  <c r="P172" i="32" s="1"/>
  <c r="O172" i="32"/>
  <c r="J173" i="32"/>
  <c r="K173" i="32"/>
  <c r="L173" i="32"/>
  <c r="N173" i="32"/>
  <c r="P173" i="32" s="1"/>
  <c r="O173" i="32"/>
  <c r="J174" i="32"/>
  <c r="K174" i="32"/>
  <c r="L174" i="32"/>
  <c r="N174" i="32"/>
  <c r="P174" i="32" s="1"/>
  <c r="O174" i="32"/>
  <c r="J175" i="32"/>
  <c r="K175" i="32"/>
  <c r="L175" i="32"/>
  <c r="N175" i="32"/>
  <c r="P175" i="32" s="1"/>
  <c r="O175" i="32"/>
  <c r="J176" i="32"/>
  <c r="K176" i="32"/>
  <c r="L176" i="32"/>
  <c r="N176" i="32"/>
  <c r="O176" i="32"/>
  <c r="J177" i="32"/>
  <c r="K177" i="32"/>
  <c r="L177" i="32"/>
  <c r="N177" i="32"/>
  <c r="P177" i="32" s="1"/>
  <c r="O177" i="32"/>
  <c r="J178" i="32"/>
  <c r="K178" i="32"/>
  <c r="L178" i="32"/>
  <c r="N178" i="32"/>
  <c r="P178" i="32" s="1"/>
  <c r="O178" i="32"/>
  <c r="J179" i="32"/>
  <c r="K179" i="32"/>
  <c r="L179" i="32"/>
  <c r="N179" i="32"/>
  <c r="P179" i="32" s="1"/>
  <c r="O179" i="32"/>
  <c r="J180" i="32"/>
  <c r="K180" i="32"/>
  <c r="L180" i="32"/>
  <c r="N180" i="32"/>
  <c r="P180" i="32" s="1"/>
  <c r="O180" i="32"/>
  <c r="J181" i="32"/>
  <c r="K181" i="32"/>
  <c r="L181" i="32"/>
  <c r="N181" i="32"/>
  <c r="P181" i="32" s="1"/>
  <c r="O181" i="32"/>
  <c r="J182" i="32"/>
  <c r="K182" i="32"/>
  <c r="L182" i="32"/>
  <c r="N182" i="32"/>
  <c r="P182" i="32" s="1"/>
  <c r="O182" i="32"/>
  <c r="J183" i="32"/>
  <c r="K183" i="32"/>
  <c r="L183" i="32"/>
  <c r="N183" i="32"/>
  <c r="P183" i="32" s="1"/>
  <c r="O183" i="32"/>
  <c r="J184" i="32"/>
  <c r="K184" i="32"/>
  <c r="L184" i="32"/>
  <c r="N184" i="32"/>
  <c r="O184" i="32"/>
  <c r="J185" i="32"/>
  <c r="K185" i="32"/>
  <c r="L185" i="32"/>
  <c r="N185" i="32"/>
  <c r="P185" i="32" s="1"/>
  <c r="O185" i="32"/>
  <c r="J186" i="32"/>
  <c r="K186" i="32"/>
  <c r="L186" i="32"/>
  <c r="N186" i="32"/>
  <c r="P186" i="32" s="1"/>
  <c r="O186" i="32"/>
  <c r="J187" i="32"/>
  <c r="K187" i="32"/>
  <c r="L187" i="32"/>
  <c r="N187" i="32"/>
  <c r="P187" i="32" s="1"/>
  <c r="O187" i="32"/>
  <c r="J188" i="32"/>
  <c r="K188" i="32"/>
  <c r="L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L190" i="32"/>
  <c r="N190" i="32"/>
  <c r="P190" i="32" s="1"/>
  <c r="O190" i="32"/>
  <c r="J191" i="32"/>
  <c r="K191" i="32"/>
  <c r="L191" i="32"/>
  <c r="N191" i="32"/>
  <c r="P191" i="32" s="1"/>
  <c r="O191" i="32"/>
  <c r="J192" i="32"/>
  <c r="K192" i="32"/>
  <c r="L192" i="32"/>
  <c r="N192" i="32"/>
  <c r="O192" i="32"/>
  <c r="J193" i="32"/>
  <c r="K193" i="32"/>
  <c r="L193" i="32"/>
  <c r="N193" i="32"/>
  <c r="P193" i="32" s="1"/>
  <c r="O193" i="32"/>
  <c r="J194" i="32"/>
  <c r="K194" i="32"/>
  <c r="L194" i="32"/>
  <c r="N194" i="32"/>
  <c r="P194" i="32" s="1"/>
  <c r="O194" i="32"/>
  <c r="J195" i="32"/>
  <c r="K195" i="32"/>
  <c r="L195" i="32"/>
  <c r="N195" i="32"/>
  <c r="P195" i="32" s="1"/>
  <c r="O195" i="32"/>
  <c r="J196" i="32"/>
  <c r="K196" i="32"/>
  <c r="L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L198" i="32"/>
  <c r="N198" i="32"/>
  <c r="O198" i="32"/>
  <c r="J199" i="32"/>
  <c r="K199" i="32"/>
  <c r="L199" i="32"/>
  <c r="N199" i="32"/>
  <c r="P199" i="32" s="1"/>
  <c r="O199" i="32"/>
  <c r="J200" i="32"/>
  <c r="K200" i="32"/>
  <c r="L200" i="32"/>
  <c r="N200" i="32"/>
  <c r="O200" i="32"/>
  <c r="J201" i="32"/>
  <c r="K201" i="32"/>
  <c r="L201" i="32"/>
  <c r="N201" i="32"/>
  <c r="P201" i="32" s="1"/>
  <c r="O201" i="32"/>
  <c r="J202" i="32"/>
  <c r="K202" i="32"/>
  <c r="L202" i="32"/>
  <c r="N202" i="32"/>
  <c r="P202" i="32" s="1"/>
  <c r="O202" i="32"/>
  <c r="J203" i="32"/>
  <c r="K203" i="32"/>
  <c r="L203" i="32"/>
  <c r="N203" i="32"/>
  <c r="P203" i="32" s="1"/>
  <c r="O203" i="32"/>
  <c r="J204" i="32"/>
  <c r="K204" i="32"/>
  <c r="L204" i="32"/>
  <c r="N204" i="32"/>
  <c r="P204" i="32" s="1"/>
  <c r="O204" i="32"/>
  <c r="J205" i="32"/>
  <c r="K205" i="32"/>
  <c r="L205" i="32"/>
  <c r="N205" i="32"/>
  <c r="P205" i="32" s="1"/>
  <c r="O205" i="32"/>
  <c r="J206" i="32"/>
  <c r="K206" i="32"/>
  <c r="L206" i="32"/>
  <c r="N206" i="32"/>
  <c r="P206" i="32" s="1"/>
  <c r="O206" i="32"/>
  <c r="J207" i="32"/>
  <c r="K207" i="32"/>
  <c r="L207" i="32"/>
  <c r="N207" i="32"/>
  <c r="P207" i="32" s="1"/>
  <c r="O207" i="32"/>
  <c r="J208" i="32"/>
  <c r="K208" i="32"/>
  <c r="L208" i="32"/>
  <c r="N208" i="32"/>
  <c r="P208" i="32" s="1"/>
  <c r="O208" i="32"/>
  <c r="J209" i="32"/>
  <c r="K209" i="32"/>
  <c r="L209" i="32"/>
  <c r="N209" i="32"/>
  <c r="P209" i="32" s="1"/>
  <c r="O209" i="32"/>
  <c r="J210" i="32"/>
  <c r="K210" i="32"/>
  <c r="L210" i="32"/>
  <c r="N210" i="32"/>
  <c r="P210" i="32" s="1"/>
  <c r="O210" i="32"/>
  <c r="J211" i="32"/>
  <c r="K211" i="32"/>
  <c r="L211" i="32"/>
  <c r="N211" i="32"/>
  <c r="P211" i="32" s="1"/>
  <c r="O211" i="32"/>
  <c r="J212" i="32"/>
  <c r="K212" i="32"/>
  <c r="L212" i="32"/>
  <c r="N212" i="32"/>
  <c r="P212" i="32" s="1"/>
  <c r="O212" i="32"/>
  <c r="J213" i="32"/>
  <c r="K213" i="32"/>
  <c r="L213" i="32"/>
  <c r="N213" i="32"/>
  <c r="O213" i="32"/>
  <c r="J214" i="32"/>
  <c r="K214" i="32"/>
  <c r="L214" i="32"/>
  <c r="N214" i="32"/>
  <c r="P214" i="32" s="1"/>
  <c r="O214" i="32"/>
  <c r="J215" i="32"/>
  <c r="K215" i="32"/>
  <c r="L215" i="32"/>
  <c r="N215" i="32"/>
  <c r="P215" i="32" s="1"/>
  <c r="O215" i="32"/>
  <c r="J216" i="32"/>
  <c r="K216" i="32"/>
  <c r="L216" i="32"/>
  <c r="N216" i="32"/>
  <c r="P216" i="32" s="1"/>
  <c r="O216" i="32"/>
  <c r="J217" i="32"/>
  <c r="K217" i="32"/>
  <c r="L217" i="32"/>
  <c r="N217" i="32"/>
  <c r="P217" i="32" s="1"/>
  <c r="O217" i="32"/>
  <c r="J218" i="32"/>
  <c r="K218" i="32"/>
  <c r="L218" i="32"/>
  <c r="N218" i="32"/>
  <c r="P218" i="32" s="1"/>
  <c r="O218" i="32"/>
  <c r="J219" i="32"/>
  <c r="K219" i="32"/>
  <c r="L219" i="32"/>
  <c r="N219" i="32"/>
  <c r="P219" i="32" s="1"/>
  <c r="O219" i="32"/>
  <c r="J220" i="32"/>
  <c r="K220" i="32"/>
  <c r="L220" i="32"/>
  <c r="N220" i="32"/>
  <c r="P220" i="32" s="1"/>
  <c r="O220" i="32"/>
  <c r="J221" i="32"/>
  <c r="K221" i="32"/>
  <c r="L221" i="32"/>
  <c r="N221" i="32"/>
  <c r="P221" i="32" s="1"/>
  <c r="O221" i="32"/>
  <c r="J222" i="32"/>
  <c r="K222" i="32"/>
  <c r="L222" i="32"/>
  <c r="N222" i="32"/>
  <c r="P222" i="32" s="1"/>
  <c r="O222" i="32"/>
  <c r="J223" i="32"/>
  <c r="K223" i="32"/>
  <c r="L223" i="32"/>
  <c r="N223" i="32"/>
  <c r="P223" i="32" s="1"/>
  <c r="O223" i="32"/>
  <c r="J224" i="32"/>
  <c r="K224" i="32"/>
  <c r="L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L227" i="32"/>
  <c r="N227" i="32"/>
  <c r="P227" i="32" s="1"/>
  <c r="O227" i="32"/>
  <c r="J228" i="32"/>
  <c r="K228" i="32"/>
  <c r="L228" i="32"/>
  <c r="N228" i="32"/>
  <c r="P228" i="32" s="1"/>
  <c r="O228" i="32"/>
  <c r="J229" i="32"/>
  <c r="K229" i="32"/>
  <c r="L229" i="32"/>
  <c r="N229" i="32"/>
  <c r="O229" i="32"/>
  <c r="J230" i="32"/>
  <c r="K230" i="32"/>
  <c r="L230" i="32"/>
  <c r="N230" i="32"/>
  <c r="P230" i="32" s="1"/>
  <c r="O230" i="32"/>
  <c r="J231" i="32"/>
  <c r="K231" i="32"/>
  <c r="L231" i="32"/>
  <c r="N231" i="32"/>
  <c r="O231" i="32"/>
  <c r="J232" i="32"/>
  <c r="K232" i="32"/>
  <c r="L232" i="32"/>
  <c r="N232" i="32"/>
  <c r="P232" i="32" s="1"/>
  <c r="O232" i="32"/>
  <c r="J233" i="32"/>
  <c r="K233" i="32"/>
  <c r="L233" i="32"/>
  <c r="N233" i="32"/>
  <c r="P233" i="32" s="1"/>
  <c r="O233" i="32"/>
  <c r="J234" i="32"/>
  <c r="K234" i="32"/>
  <c r="L234" i="32"/>
  <c r="N234" i="32"/>
  <c r="P234" i="32" s="1"/>
  <c r="O234" i="32"/>
  <c r="J235" i="32"/>
  <c r="K235" i="32"/>
  <c r="L235" i="32"/>
  <c r="N235" i="32"/>
  <c r="P235" i="32" s="1"/>
  <c r="O235" i="32"/>
  <c r="J236" i="32"/>
  <c r="K236" i="32"/>
  <c r="L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L239" i="32"/>
  <c r="N239" i="32"/>
  <c r="P239" i="32" s="1"/>
  <c r="O239" i="32"/>
  <c r="J240" i="32"/>
  <c r="K240" i="32"/>
  <c r="L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L242" i="32"/>
  <c r="N242" i="32"/>
  <c r="P242" i="32" s="1"/>
  <c r="O242" i="32"/>
  <c r="J243" i="32"/>
  <c r="K243" i="32"/>
  <c r="L243" i="32"/>
  <c r="N243" i="32"/>
  <c r="P243" i="32" s="1"/>
  <c r="O243" i="32"/>
  <c r="J244" i="32"/>
  <c r="K244" i="32"/>
  <c r="L244" i="32"/>
  <c r="N244" i="32"/>
  <c r="P244" i="32" s="1"/>
  <c r="O244" i="32"/>
  <c r="J245" i="32"/>
  <c r="K245" i="32"/>
  <c r="L245" i="32"/>
  <c r="N245" i="32"/>
  <c r="O245" i="32"/>
  <c r="J246" i="32"/>
  <c r="K246" i="32"/>
  <c r="L246" i="32"/>
  <c r="N246" i="32"/>
  <c r="P246" i="32" s="1"/>
  <c r="O246" i="32"/>
  <c r="J247" i="32"/>
  <c r="K247" i="32"/>
  <c r="L247" i="32"/>
  <c r="N247" i="32"/>
  <c r="P247" i="32" s="1"/>
  <c r="O247" i="32"/>
  <c r="J248" i="32"/>
  <c r="K248" i="32"/>
  <c r="L248" i="32"/>
  <c r="N248" i="32"/>
  <c r="P248" i="32" s="1"/>
  <c r="O248" i="32"/>
  <c r="J249" i="32"/>
  <c r="K249" i="32"/>
  <c r="L249" i="32"/>
  <c r="N249" i="32"/>
  <c r="P249" i="32" s="1"/>
  <c r="O249" i="32"/>
  <c r="J250" i="32"/>
  <c r="K250" i="32"/>
  <c r="L250" i="32"/>
  <c r="N250" i="32"/>
  <c r="O250" i="32"/>
  <c r="J251" i="32"/>
  <c r="K251" i="32"/>
  <c r="L251" i="32"/>
  <c r="N251" i="32"/>
  <c r="O251" i="32"/>
  <c r="J252" i="32"/>
  <c r="K252" i="32"/>
  <c r="L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L255" i="32"/>
  <c r="N255" i="32"/>
  <c r="O255" i="32"/>
  <c r="J256" i="32"/>
  <c r="K256" i="32"/>
  <c r="L256" i="32"/>
  <c r="N256" i="32"/>
  <c r="P256" i="32" s="1"/>
  <c r="O256" i="32"/>
  <c r="J257" i="32"/>
  <c r="K257" i="32"/>
  <c r="L257" i="32"/>
  <c r="N257" i="32"/>
  <c r="P257" i="32" s="1"/>
  <c r="O257" i="32"/>
  <c r="J258" i="32"/>
  <c r="K258" i="32"/>
  <c r="L258" i="32"/>
  <c r="N258" i="32"/>
  <c r="P258" i="32" s="1"/>
  <c r="O258" i="32"/>
  <c r="J259" i="32"/>
  <c r="K259" i="32"/>
  <c r="L259" i="32"/>
  <c r="N259" i="32"/>
  <c r="P259" i="32" s="1"/>
  <c r="O259" i="32"/>
  <c r="J260" i="32"/>
  <c r="K260" i="32"/>
  <c r="L260" i="32"/>
  <c r="N260" i="32"/>
  <c r="P260" i="32" s="1"/>
  <c r="O260" i="32"/>
  <c r="J261" i="32"/>
  <c r="K261" i="32"/>
  <c r="L261" i="32"/>
  <c r="N261" i="32"/>
  <c r="O261" i="32"/>
  <c r="J262" i="32"/>
  <c r="K262" i="32"/>
  <c r="L262" i="32"/>
  <c r="N262" i="32"/>
  <c r="P262" i="32" s="1"/>
  <c r="O262" i="32"/>
  <c r="J263" i="32"/>
  <c r="K263" i="32"/>
  <c r="L263" i="32"/>
  <c r="N263" i="32"/>
  <c r="O263" i="32"/>
  <c r="J264" i="32"/>
  <c r="K264" i="32"/>
  <c r="L264" i="32"/>
  <c r="N264" i="32"/>
  <c r="P264" i="32" s="1"/>
  <c r="O264" i="32"/>
  <c r="J265" i="32"/>
  <c r="K265" i="32"/>
  <c r="L265" i="32"/>
  <c r="N265" i="32"/>
  <c r="P265" i="32" s="1"/>
  <c r="O265" i="32"/>
  <c r="J266" i="32"/>
  <c r="K266" i="32"/>
  <c r="L266" i="32"/>
  <c r="N266" i="32"/>
  <c r="P266" i="32" s="1"/>
  <c r="O266" i="32"/>
  <c r="J267" i="32"/>
  <c r="K267" i="32"/>
  <c r="L267" i="32"/>
  <c r="N267" i="32"/>
  <c r="P267" i="32" s="1"/>
  <c r="O267" i="32"/>
  <c r="J268" i="32"/>
  <c r="K268" i="32"/>
  <c r="L268" i="32"/>
  <c r="N268" i="32"/>
  <c r="P268" i="32" s="1"/>
  <c r="O268" i="32"/>
  <c r="J269" i="32"/>
  <c r="K269" i="32"/>
  <c r="L269" i="32"/>
  <c r="N269" i="32"/>
  <c r="P269" i="32" s="1"/>
  <c r="O269" i="32"/>
  <c r="J270" i="32"/>
  <c r="K270" i="32"/>
  <c r="L270" i="32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N272" i="32"/>
  <c r="P272" i="32" s="1"/>
  <c r="O272" i="32"/>
  <c r="J273" i="32"/>
  <c r="K273" i="32"/>
  <c r="L273" i="32"/>
  <c r="N273" i="32"/>
  <c r="P273" i="32" s="1"/>
  <c r="O273" i="32"/>
  <c r="J274" i="32"/>
  <c r="K274" i="32"/>
  <c r="L274" i="32"/>
  <c r="N274" i="32"/>
  <c r="P274" i="32" s="1"/>
  <c r="O274" i="32"/>
  <c r="J275" i="32"/>
  <c r="K275" i="32"/>
  <c r="L275" i="32"/>
  <c r="N275" i="32"/>
  <c r="O275" i="32"/>
  <c r="J276" i="32"/>
  <c r="K276" i="32"/>
  <c r="L276" i="32"/>
  <c r="N276" i="32"/>
  <c r="P276" i="32" s="1"/>
  <c r="O276" i="32"/>
  <c r="J277" i="32"/>
  <c r="K277" i="32"/>
  <c r="L277" i="32"/>
  <c r="N277" i="32"/>
  <c r="O277" i="32"/>
  <c r="J278" i="32"/>
  <c r="K278" i="32"/>
  <c r="L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N280" i="32"/>
  <c r="P280" i="32" s="1"/>
  <c r="O280" i="32"/>
  <c r="J281" i="32"/>
  <c r="K281" i="32"/>
  <c r="L281" i="32"/>
  <c r="N281" i="32"/>
  <c r="P281" i="32" s="1"/>
  <c r="O281" i="32"/>
  <c r="J282" i="32"/>
  <c r="K282" i="32"/>
  <c r="L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N284" i="32"/>
  <c r="P284" i="32" s="1"/>
  <c r="O284" i="32"/>
  <c r="J285" i="32"/>
  <c r="K285" i="32"/>
  <c r="L285" i="32"/>
  <c r="N285" i="32"/>
  <c r="P285" i="32" s="1"/>
  <c r="O285" i="32"/>
  <c r="J286" i="32"/>
  <c r="K286" i="32"/>
  <c r="L286" i="32"/>
  <c r="N286" i="32"/>
  <c r="P286" i="32" s="1"/>
  <c r="O286" i="32"/>
  <c r="J287" i="32"/>
  <c r="K287" i="32"/>
  <c r="L287" i="32"/>
  <c r="N287" i="32"/>
  <c r="O287" i="32"/>
  <c r="J288" i="32"/>
  <c r="K288" i="32"/>
  <c r="L288" i="32"/>
  <c r="N288" i="32"/>
  <c r="P288" i="32" s="1"/>
  <c r="O288" i="32"/>
  <c r="J289" i="32"/>
  <c r="K289" i="32"/>
  <c r="L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N291" i="32"/>
  <c r="O291" i="32"/>
  <c r="J292" i="32"/>
  <c r="K292" i="32"/>
  <c r="L292" i="32"/>
  <c r="N292" i="32"/>
  <c r="P292" i="32" s="1"/>
  <c r="O292" i="32"/>
  <c r="J293" i="32"/>
  <c r="K293" i="32"/>
  <c r="L293" i="32"/>
  <c r="N293" i="32"/>
  <c r="O293" i="32"/>
  <c r="J294" i="32"/>
  <c r="K294" i="32"/>
  <c r="L294" i="32"/>
  <c r="N294" i="32"/>
  <c r="P294" i="32" s="1"/>
  <c r="O294" i="32"/>
  <c r="J295" i="32"/>
  <c r="K295" i="32"/>
  <c r="L295" i="32"/>
  <c r="N295" i="32"/>
  <c r="O295" i="32"/>
  <c r="J296" i="32"/>
  <c r="K296" i="32"/>
  <c r="L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N298" i="32"/>
  <c r="O298" i="32"/>
  <c r="J299" i="32"/>
  <c r="K299" i="32"/>
  <c r="L299" i="32"/>
  <c r="N299" i="32"/>
  <c r="O299" i="32"/>
  <c r="J300" i="32"/>
  <c r="K300" i="32"/>
  <c r="L300" i="32"/>
  <c r="N300" i="32"/>
  <c r="P300" i="32" s="1"/>
  <c r="O300" i="32"/>
  <c r="M19" i="32" l="1"/>
  <c r="M7" i="32"/>
  <c r="M230" i="32"/>
  <c r="M128" i="32"/>
  <c r="M80" i="32"/>
  <c r="M75" i="32"/>
  <c r="M72" i="32"/>
  <c r="M120" i="32"/>
  <c r="M112" i="32"/>
  <c r="M104" i="32"/>
  <c r="M35" i="32"/>
  <c r="M298" i="32"/>
  <c r="M294" i="32"/>
  <c r="M261" i="32"/>
  <c r="M213" i="32"/>
  <c r="M192" i="32"/>
  <c r="M163" i="32"/>
  <c r="M135" i="32"/>
  <c r="M88" i="32"/>
  <c r="M54" i="32"/>
  <c r="M254" i="32"/>
  <c r="M250" i="32"/>
  <c r="M246" i="32"/>
  <c r="M16" i="32"/>
  <c r="M270" i="32"/>
  <c r="M222" i="32"/>
  <c r="M176" i="32"/>
  <c r="M67" i="32"/>
  <c r="M64" i="32"/>
  <c r="M286" i="32"/>
  <c r="M277" i="32"/>
  <c r="M266" i="32"/>
  <c r="M262" i="32"/>
  <c r="M238" i="32"/>
  <c r="M218" i="32"/>
  <c r="M214" i="32"/>
  <c r="M206" i="32"/>
  <c r="M197" i="32"/>
  <c r="M181" i="32"/>
  <c r="M159" i="32"/>
  <c r="M155" i="32"/>
  <c r="M139" i="32"/>
  <c r="M131" i="32"/>
  <c r="M103" i="32"/>
  <c r="M59" i="32"/>
  <c r="M56" i="32"/>
  <c r="M51" i="32"/>
  <c r="M48" i="32"/>
  <c r="M299" i="32"/>
  <c r="P298" i="32"/>
  <c r="M278" i="32"/>
  <c r="M251" i="32"/>
  <c r="P250" i="32"/>
  <c r="M229" i="32"/>
  <c r="M127" i="32"/>
  <c r="M123" i="32"/>
  <c r="M107" i="32"/>
  <c r="M99" i="32"/>
  <c r="M96" i="32"/>
  <c r="M86" i="32"/>
  <c r="M43" i="32"/>
  <c r="M31" i="32"/>
  <c r="M293" i="32"/>
  <c r="M282" i="32"/>
  <c r="M245" i="32"/>
  <c r="M234" i="32"/>
  <c r="M198" i="32"/>
  <c r="M160" i="32"/>
  <c r="M152" i="32"/>
  <c r="M144" i="32"/>
  <c r="M136" i="32"/>
  <c r="M91" i="32"/>
  <c r="M83" i="32"/>
  <c r="M70" i="32"/>
  <c r="M297" i="32"/>
  <c r="M290" i="32"/>
  <c r="M287" i="32"/>
  <c r="M281" i="32"/>
  <c r="M274" i="32"/>
  <c r="M265" i="32"/>
  <c r="M258" i="32"/>
  <c r="M255" i="32"/>
  <c r="M249" i="32"/>
  <c r="M242" i="32"/>
  <c r="M233" i="32"/>
  <c r="M226" i="32"/>
  <c r="M217" i="32"/>
  <c r="M210" i="32"/>
  <c r="M203" i="32"/>
  <c r="M194" i="32"/>
  <c r="M193" i="32"/>
  <c r="M189" i="32"/>
  <c r="M187" i="32"/>
  <c r="M178" i="32"/>
  <c r="M177" i="32"/>
  <c r="M173" i="32"/>
  <c r="M171" i="32"/>
  <c r="M161" i="32"/>
  <c r="M147" i="32"/>
  <c r="M145" i="32"/>
  <c r="M129" i="32"/>
  <c r="M115" i="32"/>
  <c r="M113" i="32"/>
  <c r="M95" i="32"/>
  <c r="M92" i="32"/>
  <c r="M79" i="32"/>
  <c r="M76" i="32"/>
  <c r="M63" i="32"/>
  <c r="M60" i="32"/>
  <c r="M47" i="32"/>
  <c r="M39" i="32"/>
  <c r="M20" i="32"/>
  <c r="M15" i="32"/>
  <c r="M12" i="32"/>
  <c r="M291" i="32"/>
  <c r="M285" i="32"/>
  <c r="M253" i="32"/>
  <c r="P245" i="32"/>
  <c r="M237" i="32"/>
  <c r="P229" i="32"/>
  <c r="M221" i="32"/>
  <c r="P213" i="32"/>
  <c r="M205" i="32"/>
  <c r="M200" i="32"/>
  <c r="M184" i="32"/>
  <c r="M168" i="32"/>
  <c r="P86" i="32"/>
  <c r="P70" i="32"/>
  <c r="P54" i="32"/>
  <c r="M14" i="32"/>
  <c r="P293" i="32"/>
  <c r="P277" i="32"/>
  <c r="M275" i="32"/>
  <c r="M269" i="32"/>
  <c r="P261" i="32"/>
  <c r="M295" i="32"/>
  <c r="M289" i="32"/>
  <c r="M273" i="32"/>
  <c r="M263" i="32"/>
  <c r="M257" i="32"/>
  <c r="M241" i="32"/>
  <c r="M231" i="32"/>
  <c r="M225" i="32"/>
  <c r="M209" i="32"/>
  <c r="M202" i="32"/>
  <c r="M201" i="32"/>
  <c r="M195" i="32"/>
  <c r="M186" i="32"/>
  <c r="M185" i="32"/>
  <c r="M179" i="32"/>
  <c r="M170" i="32"/>
  <c r="M169" i="32"/>
  <c r="M164" i="32"/>
  <c r="M153" i="32"/>
  <c r="M137" i="32"/>
  <c r="M132" i="32"/>
  <c r="M121" i="32"/>
  <c r="M105" i="32"/>
  <c r="M100" i="32"/>
  <c r="M98" i="32"/>
  <c r="M87" i="32"/>
  <c r="M84" i="32"/>
  <c r="M82" i="32"/>
  <c r="M71" i="32"/>
  <c r="M68" i="32"/>
  <c r="M66" i="32"/>
  <c r="M55" i="32"/>
  <c r="M52" i="32"/>
  <c r="M50" i="32"/>
  <c r="M27" i="32"/>
  <c r="M22" i="32"/>
  <c r="P40" i="32"/>
  <c r="M40" i="32"/>
  <c r="M267" i="32"/>
  <c r="M235" i="32"/>
  <c r="M219" i="32"/>
  <c r="M207" i="32"/>
  <c r="M166" i="32"/>
  <c r="M134" i="32"/>
  <c r="P134" i="32"/>
  <c r="P125" i="32"/>
  <c r="M125" i="32"/>
  <c r="P97" i="32"/>
  <c r="M97" i="32"/>
  <c r="P81" i="32"/>
  <c r="M81" i="32"/>
  <c r="P65" i="32"/>
  <c r="M65" i="32"/>
  <c r="P49" i="32"/>
  <c r="M49" i="32"/>
  <c r="P33" i="32"/>
  <c r="M33" i="32"/>
  <c r="M24" i="32"/>
  <c r="P13" i="32"/>
  <c r="M13" i="32"/>
  <c r="M158" i="32"/>
  <c r="P158" i="32"/>
  <c r="M126" i="32"/>
  <c r="P126" i="32"/>
  <c r="P61" i="32"/>
  <c r="M61" i="32"/>
  <c r="P8" i="32"/>
  <c r="M8" i="32"/>
  <c r="M283" i="32"/>
  <c r="M279" i="32"/>
  <c r="M271" i="32"/>
  <c r="M259" i="32"/>
  <c r="M247" i="32"/>
  <c r="M243" i="32"/>
  <c r="M239" i="32"/>
  <c r="M227" i="32"/>
  <c r="M223" i="32"/>
  <c r="M215" i="32"/>
  <c r="M211" i="32"/>
  <c r="M190" i="32"/>
  <c r="M182" i="32"/>
  <c r="M174" i="32"/>
  <c r="P157" i="32"/>
  <c r="M157" i="32"/>
  <c r="M140" i="32"/>
  <c r="M108" i="32"/>
  <c r="P299" i="32"/>
  <c r="M296" i="32"/>
  <c r="P295" i="32"/>
  <c r="M292" i="32"/>
  <c r="P291" i="32"/>
  <c r="M288" i="32"/>
  <c r="P287" i="32"/>
  <c r="M284" i="32"/>
  <c r="M280" i="32"/>
  <c r="M276" i="32"/>
  <c r="P275" i="32"/>
  <c r="M272" i="32"/>
  <c r="M268" i="32"/>
  <c r="M264" i="32"/>
  <c r="P263" i="32"/>
  <c r="M260" i="32"/>
  <c r="M256" i="32"/>
  <c r="P255" i="32"/>
  <c r="M252" i="32"/>
  <c r="P251" i="32"/>
  <c r="M248" i="32"/>
  <c r="M244" i="32"/>
  <c r="M240" i="32"/>
  <c r="M236" i="32"/>
  <c r="M232" i="32"/>
  <c r="P231" i="32"/>
  <c r="M228" i="32"/>
  <c r="M224" i="32"/>
  <c r="M220" i="32"/>
  <c r="M216" i="32"/>
  <c r="M212" i="32"/>
  <c r="M208" i="32"/>
  <c r="M204" i="32"/>
  <c r="P200" i="32"/>
  <c r="M199" i="32"/>
  <c r="P198" i="32"/>
  <c r="M196" i="32"/>
  <c r="P192" i="32"/>
  <c r="M191" i="32"/>
  <c r="M188" i="32"/>
  <c r="P184" i="32"/>
  <c r="M183" i="32"/>
  <c r="M180" i="32"/>
  <c r="P176" i="32"/>
  <c r="M175" i="32"/>
  <c r="M172" i="32"/>
  <c r="P168" i="32"/>
  <c r="M167" i="32"/>
  <c r="P165" i="32"/>
  <c r="M165" i="32"/>
  <c r="M148" i="32"/>
  <c r="M143" i="32"/>
  <c r="M142" i="32"/>
  <c r="P142" i="32"/>
  <c r="P133" i="32"/>
  <c r="M133" i="32"/>
  <c r="M116" i="32"/>
  <c r="M111" i="32"/>
  <c r="M110" i="32"/>
  <c r="P110" i="32"/>
  <c r="P101" i="32"/>
  <c r="M101" i="32"/>
  <c r="M90" i="32"/>
  <c r="P85" i="32"/>
  <c r="M85" i="32"/>
  <c r="M74" i="32"/>
  <c r="P69" i="32"/>
  <c r="M69" i="32"/>
  <c r="M58" i="32"/>
  <c r="P53" i="32"/>
  <c r="M53" i="32"/>
  <c r="P37" i="32"/>
  <c r="M37" i="32"/>
  <c r="P32" i="32"/>
  <c r="P17" i="32"/>
  <c r="M17" i="32"/>
  <c r="P5" i="32"/>
  <c r="M5" i="32"/>
  <c r="P149" i="32"/>
  <c r="M149" i="32"/>
  <c r="P117" i="32"/>
  <c r="M117" i="32"/>
  <c r="P93" i="32"/>
  <c r="M93" i="32"/>
  <c r="P77" i="32"/>
  <c r="M77" i="32"/>
  <c r="P45" i="32"/>
  <c r="M45" i="32"/>
  <c r="M102" i="32"/>
  <c r="P102" i="32"/>
  <c r="M300" i="32"/>
  <c r="M156" i="32"/>
  <c r="M151" i="32"/>
  <c r="M150" i="32"/>
  <c r="P150" i="32"/>
  <c r="P141" i="32"/>
  <c r="M141" i="32"/>
  <c r="M124" i="32"/>
  <c r="M119" i="32"/>
  <c r="M118" i="32"/>
  <c r="P118" i="32"/>
  <c r="P109" i="32"/>
  <c r="M109" i="32"/>
  <c r="M94" i="32"/>
  <c r="P89" i="32"/>
  <c r="M89" i="32"/>
  <c r="M78" i="32"/>
  <c r="P73" i="32"/>
  <c r="M73" i="32"/>
  <c r="M62" i="32"/>
  <c r="P57" i="32"/>
  <c r="M57" i="32"/>
  <c r="M46" i="32"/>
  <c r="P36" i="32"/>
  <c r="P9" i="32"/>
  <c r="M9" i="32"/>
  <c r="P4" i="32"/>
  <c r="M4" i="32"/>
  <c r="M162" i="32"/>
  <c r="M154" i="32"/>
  <c r="M146" i="32"/>
  <c r="M138" i="32"/>
  <c r="M130" i="32"/>
  <c r="M122" i="32"/>
  <c r="M114" i="32"/>
  <c r="M106" i="32"/>
  <c r="M30" i="32"/>
  <c r="M26" i="32"/>
  <c r="P21" i="32"/>
  <c r="M21" i="32"/>
  <c r="M38" i="32"/>
  <c r="M34" i="32"/>
  <c r="P29" i="32"/>
  <c r="M29" i="32"/>
  <c r="P25" i="32"/>
  <c r="M25" i="32"/>
  <c r="M10" i="32"/>
  <c r="M6" i="32"/>
  <c r="J25" i="8"/>
  <c r="C72" i="34" l="1"/>
  <c r="C71" i="34"/>
  <c r="C22" i="34" l="1"/>
  <c r="D29" i="34" s="1"/>
  <c r="A26" i="34" l="1"/>
  <c r="A32" i="34" l="1"/>
  <c r="D66" i="8"/>
  <c r="K36" i="32" l="1"/>
  <c r="D9" i="34"/>
  <c r="J58" i="8" l="1"/>
  <c r="N28" i="32" s="1"/>
  <c r="J53" i="8"/>
  <c r="N23" i="32" s="1"/>
  <c r="J48" i="8"/>
  <c r="N18" i="32" s="1"/>
  <c r="J41" i="8"/>
  <c r="N11" i="32" s="1"/>
  <c r="J32" i="8"/>
  <c r="N3" i="32" s="1"/>
  <c r="P11" i="32" l="1"/>
  <c r="M11" i="32"/>
  <c r="M18" i="32"/>
  <c r="P18" i="32"/>
  <c r="P3" i="32"/>
  <c r="M3" i="32"/>
  <c r="P23" i="32"/>
  <c r="P28" i="32"/>
  <c r="I47" i="8"/>
  <c r="I48" i="8" s="1"/>
  <c r="K2" i="32"/>
  <c r="C26" i="34"/>
  <c r="B16" i="34" l="1"/>
  <c r="A13" i="34" l="1"/>
  <c r="K57" i="8" l="1"/>
  <c r="O27" i="32" s="1"/>
  <c r="K52" i="8"/>
  <c r="O22" i="32" s="1"/>
  <c r="K47" i="8"/>
  <c r="O17" i="32" s="1"/>
  <c r="K39" i="8"/>
  <c r="O10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3" i="8"/>
  <c r="F58" i="8"/>
  <c r="F48" i="8"/>
  <c r="E49" i="30" l="1"/>
  <c r="H24" i="8" s="1"/>
  <c r="I24" i="8" s="1"/>
  <c r="E48" i="30"/>
  <c r="H23" i="8" s="1"/>
  <c r="H25" i="8" l="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5" i="8"/>
  <c r="E26" i="34"/>
  <c r="I57" i="8"/>
  <c r="I58" i="8" s="1"/>
  <c r="E58" i="8"/>
  <c r="L28" i="32" s="1"/>
  <c r="M28" i="32" s="1"/>
  <c r="D26" i="34" l="1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3" i="8"/>
  <c r="L23" i="32" s="1"/>
  <c r="M23" i="32" s="1"/>
  <c r="I52" i="8"/>
  <c r="I53" i="8" s="1"/>
  <c r="G39" i="8"/>
  <c r="I39" i="8" s="1"/>
  <c r="I41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O29" i="30"/>
  <c r="N29" i="30"/>
  <c r="M29" i="30"/>
  <c r="M30" i="30" s="1"/>
  <c r="M31" i="30" s="1"/>
  <c r="M32" i="30" s="1"/>
  <c r="D14" i="30"/>
  <c r="E14" i="30" l="1"/>
  <c r="F14" i="30" s="1"/>
  <c r="E66" i="8" s="1"/>
  <c r="M34" i="30"/>
  <c r="M33" i="30"/>
  <c r="L36" i="32" l="1"/>
  <c r="M36" i="32" s="1"/>
  <c r="B66" i="8"/>
  <c r="J36" i="32" s="1"/>
  <c r="M35" i="30"/>
  <c r="M39" i="30" s="1"/>
  <c r="M41" i="30" s="1"/>
  <c r="N46" i="30" s="1"/>
  <c r="N53" i="30" l="1"/>
  <c r="N48" i="30"/>
  <c r="N47" i="30"/>
  <c r="N50" i="30"/>
  <c r="N49" i="30"/>
  <c r="N52" i="30"/>
  <c r="N51" i="30"/>
  <c r="N54" i="30"/>
  <c r="M43" i="30"/>
  <c r="M42" i="30"/>
  <c r="O46" i="30" s="1"/>
  <c r="O54" i="30" l="1"/>
  <c r="O49" i="30"/>
  <c r="O50" i="30"/>
  <c r="O51" i="30"/>
  <c r="O52" i="30"/>
  <c r="O47" i="30"/>
  <c r="O48" i="30"/>
  <c r="O53" i="30"/>
  <c r="K29" i="31"/>
  <c r="K27" i="31"/>
  <c r="K28" i="31"/>
  <c r="K26" i="31"/>
  <c r="G66" i="8"/>
  <c r="K30" i="31" l="1"/>
  <c r="K25" i="31"/>
  <c r="K90" i="31" l="1"/>
  <c r="I32" i="8"/>
  <c r="D62" i="8" s="1"/>
  <c r="K24" i="31" l="1"/>
  <c r="K23" i="31"/>
  <c r="K22" i="31" l="1"/>
  <c r="K31" i="31" s="1"/>
  <c r="K91" i="31"/>
  <c r="K39" i="31" l="1"/>
  <c r="K38" i="31"/>
  <c r="K92" i="31" l="1"/>
  <c r="K34" i="31" s="1"/>
  <c r="K32" i="32" l="1"/>
  <c r="M32" i="32" s="1"/>
  <c r="I35" i="8"/>
  <c r="G62" i="8" l="1"/>
  <c r="F62" i="8" l="1"/>
  <c r="F66" i="8" l="1"/>
  <c r="H71" i="8" s="1"/>
  <c r="C68" i="8" s="1"/>
  <c r="J71" i="8"/>
  <c r="N41" i="32" s="1"/>
  <c r="P41" i="32" l="1"/>
  <c r="M41" i="32"/>
  <c r="K9" i="8"/>
  <c r="E28" i="34" s="1"/>
  <c r="H72" i="8"/>
  <c r="H73" i="8" s="1"/>
  <c r="H74" i="8" s="1"/>
  <c r="J72" i="8"/>
  <c r="N42" i="32" s="1"/>
  <c r="M42" i="32" l="1"/>
  <c r="P42" i="32"/>
  <c r="K8" i="8"/>
  <c r="E29" i="34"/>
  <c r="J74" i="8"/>
  <c r="N44" i="32" s="1"/>
  <c r="D2" i="8"/>
  <c r="D22" i="34" s="1"/>
  <c r="C2" i="8"/>
  <c r="P44" i="32" l="1"/>
  <c r="M44" i="32"/>
  <c r="E30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8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8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8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6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1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6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5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<sst xmlns="http://schemas.openxmlformats.org/spreadsheetml/2006/main" count="311" uniqueCount="185">
  <si>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</si>
  <si>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</si>
  <si>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</si>
  <si>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</si>
  <si>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</si>
  <si>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</si>
  <si>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</si>
  <si>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</si>
  <si>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</si>
  <si>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</si>
  <si>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</si>
  <si>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</si>
  <si>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</si>
  <si>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</si>
  <si>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</si>
  <si>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</si>
  <si>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</si>
  <si>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</si>
  <si>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</si>
  <si>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</si>
  <si>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</si>
  <si>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</si>
  <si>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</si>
  <si>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</si>
  <si>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</si>
  <si>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</si>
  <si>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</si>
  <si>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</si>
  <si>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</si>
  <si>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</si>
  <si>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</si>
  <si>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</si>
  <si>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</si>
  <si>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</si>
  <si>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</si>
  <si>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</si>
  <si>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</si>
  <si>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</si>
  <si>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</si>
  <si>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</si>
  <si>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</si>
  <si>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</si>
  <si>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</si>
  <si>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</si>
  <si>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</si>
  <si>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</si>
  <si>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</si>
  <si>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</si>
  <si>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</si>
  <si>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</si>
  <si>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</si>
  <si>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</si>
  <si>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</si>
  <si>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</si>
  <si>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</si>
  <si>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</si>
  <si>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</si>
  <si>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</si>
  <si>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</si>
  <si>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</si>
  <si>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</si>
  <si>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</si>
  <si>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</si>
  <si>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</si>
  <si>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</si>
  <si>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</si>
  <si>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</si>
  <si>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</si>
  <si>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</si>
  <si>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</si>
  <si>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</si>
  <si>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</si>
  <si>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</si>
  <si>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</si>
  <si>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</si>
  <si>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</si>
  <si>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</si>
  <si>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</si>
  <si>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</si>
  <si>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</si>
  <si>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</si>
  <si>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</si>
  <si>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</si>
  <si>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</si>
  <si>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</si>
  <si>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</si>
  <si>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</si>
  <si>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</si>
  <si>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</si>
  <si>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</si>
  <si>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</si>
  <si>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</si>
  <si>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</si>
  <si>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</si>
  <si>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</si>
  <si>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</si>
  <si>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</si>
  <si>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</si>
  <si>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</si>
  <si>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</si>
  <si>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</si>
  <si>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</si>
  <si>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</si>
  <si>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</si>
  <si>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</si>
  <si>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</si>
  <si>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</si>
  <si>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</si>
  <si>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</si>
  <si>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</si>
  <si>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</si>
  <si>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</si>
  <si>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</si>
  <si>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</si>
  <si>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</si>
  <si>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</si>
  <si>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</si>
  <si>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</si>
  <si>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</si>
  <si>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</si>
  <si>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</si>
  <si>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</si>
  <si>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</si>
  <si>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</si>
  <si>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</si>
  <si>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</si>
  <si>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</si>
  <si>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</si>
  <si>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</si>
  <si>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</si>
  <si>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</si>
  <si>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</si>
  <si>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</si>
  <si>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</si>
  <si>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</si>
  <si>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</si>
  <si>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</si>
  <si>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</si>
  <si>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</si>
  <si>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</si>
  <si>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</si>
  <si>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</si>
  <si>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</si>
  <si>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</si>
  <si>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</si>
  <si>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</si>
  <si>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</si>
  <si>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</si>
  <si>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</si>
  <si>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</si>
  <si>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</si>
  <si>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</si>
  <si>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</si>
  <si>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</si>
  <si>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</si>
  <si>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</si>
  <si>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</si>
  <si>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</si>
  <si>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</si>
  <si>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</si>
  <si>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</si>
  <si>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</si>
  <si>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</si>
  <si>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</si>
  <si>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</si>
  <si>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</si>
  <si>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</si>
  <si>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</si>
  <si>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</si>
  <si>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SERVICIO DE OPERACION DE ACTIVACIONES PROPIOS</t>
  </si>
  <si>
    <t>HOJA DE COSTO DE OPERACIONES</t>
  </si>
  <si>
    <t>COCHABAMBA - GRUPO REGIONAL SRL</t>
  </si>
  <si>
    <t>Atentamente</t>
  </si>
  <si>
    <t>www.gruporegional.com</t>
  </si>
  <si>
    <t>Diego Rojas</t>
  </si>
  <si>
    <t>888</t>
  </si>
  <si>
    <t>a</t>
  </si>
  <si>
    <t>b</t>
  </si>
  <si>
    <t>c</t>
  </si>
  <si>
    <t>d</t>
  </si>
  <si>
    <t>COSTO ESTIMADO DEL PROYECTO</t>
  </si>
  <si>
    <t>EXTERNO</t>
  </si>
  <si>
    <t>Tigo</t>
  </si>
  <si>
    <t>micorreo@gruporegional.com</t>
  </si>
  <si>
    <t>proyecto ejemplo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</si>
</sst>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* #,##0.00_);_(* \(#,##0.00\);_(* &quot;-&quot;??_);_(@_)"/>
    <numFmt numFmtId="165" formatCode="0.00000000%"/>
    <numFmt numFmtId="166" formatCode="#,##0.00;[Red]#,##0.00"/>
    <numFmt numFmtId="167" formatCode="#,##0.00_ ;[Red]\-#,##0.00\ "/>
    <numFmt numFmtId="168" formatCode="#,##0.0000"/>
    <numFmt numFmtId="169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7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7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6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8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8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69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2" fontId="34" fillId="16" borderId="31" xfId="0" applyNumberFormat="1" applyFont="1" applyFill="1" applyBorder="1" applyAlignment="1" applyProtection="1">
      <alignment horizontal="center" vertical="center"/>
    </xf>
    <xf numFmtId="4" fontId="0" fillId="21" borderId="0" xfId="0" applyNumberFormat="1" applyFill="1"/>
    <xf numFmtId="4" fontId="10" fillId="10" borderId="27" xfId="0" applyNumberFormat="1" applyFont="1" applyFill="1" applyBorder="1" applyAlignment="1" applyProtection="1">
      <alignment horizontal="center" vertical="center" wrapText="1"/>
    </xf>
    <xf numFmtId="1" fontId="29" fillId="9" borderId="48" xfId="1" applyNumberFormat="1" applyFont="1" applyFill="1" applyBorder="1" applyAlignment="1" applyProtection="1">
      <alignment horizontal="center" vertical="center"/>
      <protection locked="0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23" fillId="0" borderId="28" xfId="0" applyFont="1" applyBorder="1" applyAlignment="1" applyProtection="1">
      <alignment vertical="center" wrapText="1"/>
      <protection locked="0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69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7</xdr:col>
          <xdr:colOff>1343025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67</xdr:row>
      <xdr:rowOff>56031</xdr:rowOff>
    </xdr:from>
    <xdr:to>
      <xdr:col>3</xdr:col>
      <xdr:colOff>717176</xdr:colOff>
      <xdr:row>67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67</xdr:row>
      <xdr:rowOff>67236</xdr:rowOff>
    </xdr:from>
    <xdr:to>
      <xdr:col>4</xdr:col>
      <xdr:colOff>246529</xdr:colOff>
      <xdr:row>68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67</xdr:row>
      <xdr:rowOff>62753</xdr:rowOff>
    </xdr:from>
    <xdr:to>
      <xdr:col>4</xdr:col>
      <xdr:colOff>746312</xdr:colOff>
      <xdr:row>67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67</xdr:row>
      <xdr:rowOff>69476</xdr:rowOff>
    </xdr:from>
    <xdr:to>
      <xdr:col>5</xdr:col>
      <xdr:colOff>159123</xdr:colOff>
      <xdr:row>68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67</xdr:row>
      <xdr:rowOff>64994</xdr:rowOff>
    </xdr:from>
    <xdr:to>
      <xdr:col>5</xdr:col>
      <xdr:colOff>625288</xdr:colOff>
      <xdr:row>67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0</xdr:row>
          <xdr:rowOff>200025</xdr:rowOff>
        </xdr:from>
        <xdr:to>
          <xdr:col>10</xdr:col>
          <xdr:colOff>704850</xdr:colOff>
          <xdr:row>3</xdr:row>
          <xdr:rowOff>9525</xdr:rowOff>
        </xdr:to>
        <xdr:sp macro="" textlink="">
          <xdr:nvSpPr>
            <xdr:cNvPr id="3227" name="a_pdf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icorreo@gruporegional.com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abSelected="1" topLeftCell="A4" workbookViewId="0">
      <selection activeCell="G51" sqref="G51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8" t="s">
        <v>25</v>
      </c>
      <c r="C10" s="328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5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79" t="s">
        <v>74</v>
      </c>
      <c r="C19" s="79" t="s">
        <v>75</v>
      </c>
      <c r="D19" s="79" t="s">
        <v>76</v>
      </c>
      <c r="E19" s="80" t="s">
        <v>77</v>
      </c>
      <c r="F19" s="80" t="s">
        <v>77</v>
      </c>
      <c r="G19" s="80" t="s">
        <v>77</v>
      </c>
      <c r="H19" s="80" t="s">
        <v>77</v>
      </c>
      <c r="J19" s="55" t="s">
        <v>74</v>
      </c>
      <c r="K19" s="57" t="s">
        <v>75</v>
      </c>
      <c r="L19" s="56" t="s">
        <v>76</v>
      </c>
      <c r="M19" s="58" t="s">
        <v>77</v>
      </c>
      <c r="N19" s="58" t="s">
        <v>77</v>
      </c>
      <c r="O19" s="58" t="s">
        <v>77</v>
      </c>
      <c r="P19" s="58" t="s">
        <v>77</v>
      </c>
    </row>
    <row r="20" spans="2:16" x14ac:dyDescent="0.25">
      <c r="B20" s="79" t="s">
        <v>78</v>
      </c>
      <c r="C20" s="79"/>
      <c r="D20" s="79"/>
      <c r="E20" s="80">
        <v>42736</v>
      </c>
      <c r="F20" s="80">
        <v>42705</v>
      </c>
      <c r="G20" s="80">
        <v>42675</v>
      </c>
      <c r="H20" s="80">
        <v>42644</v>
      </c>
      <c r="J20" s="59" t="s">
        <v>78</v>
      </c>
      <c r="K20" s="60"/>
      <c r="L20" s="61"/>
      <c r="M20" s="62">
        <v>42979</v>
      </c>
      <c r="N20" s="62">
        <v>42948</v>
      </c>
      <c r="O20" s="62">
        <v>42917</v>
      </c>
      <c r="P20" s="62">
        <v>42887</v>
      </c>
    </row>
    <row r="21" spans="2:16" ht="33.75" customHeight="1" x14ac:dyDescent="0.25">
      <c r="B21" s="81">
        <v>1</v>
      </c>
      <c r="C21" s="81" t="s">
        <v>79</v>
      </c>
      <c r="D21" s="81" t="s">
        <v>80</v>
      </c>
      <c r="E21" s="82">
        <v>21407.79</v>
      </c>
      <c r="F21" s="82">
        <v>21407.79</v>
      </c>
      <c r="G21" s="82">
        <v>21407.79</v>
      </c>
      <c r="H21" s="82">
        <v>21407.79</v>
      </c>
      <c r="J21" s="63">
        <v>1</v>
      </c>
      <c r="K21" s="86" t="s">
        <v>79</v>
      </c>
      <c r="L21" s="86" t="s">
        <v>80</v>
      </c>
      <c r="M21" s="64"/>
      <c r="N21" s="64"/>
      <c r="O21" s="64"/>
      <c r="P21" s="64"/>
    </row>
    <row r="22" spans="2:16" ht="27" customHeight="1" x14ac:dyDescent="0.25">
      <c r="B22" s="81">
        <v>2</v>
      </c>
      <c r="C22" s="81" t="s">
        <v>81</v>
      </c>
      <c r="D22" s="81" t="s">
        <v>82</v>
      </c>
      <c r="E22" s="82">
        <v>8004.16</v>
      </c>
      <c r="F22" s="82">
        <v>8004.16</v>
      </c>
      <c r="G22" s="82">
        <v>8004.16</v>
      </c>
      <c r="H22" s="82">
        <v>6858.55</v>
      </c>
      <c r="J22" s="63">
        <v>2</v>
      </c>
      <c r="K22" s="86" t="s">
        <v>81</v>
      </c>
      <c r="L22" s="86" t="s">
        <v>82</v>
      </c>
      <c r="M22" s="64">
        <v>9164.85</v>
      </c>
      <c r="N22" s="64">
        <v>9164.85</v>
      </c>
      <c r="O22" s="64">
        <v>9164.85</v>
      </c>
      <c r="P22" s="64">
        <v>8574.75</v>
      </c>
    </row>
    <row r="23" spans="2:16" ht="30" x14ac:dyDescent="0.25">
      <c r="B23" s="26">
        <v>3</v>
      </c>
      <c r="C23" s="26" t="s">
        <v>83</v>
      </c>
      <c r="D23" s="26" t="s">
        <v>84</v>
      </c>
      <c r="E23" s="83">
        <v>5040.75</v>
      </c>
      <c r="F23" s="83">
        <v>5040.75</v>
      </c>
      <c r="G23" s="83">
        <v>5040.75</v>
      </c>
      <c r="H23" s="83">
        <v>5040.75</v>
      </c>
      <c r="J23" s="65"/>
      <c r="K23" s="68"/>
      <c r="L23" s="68"/>
      <c r="M23" s="67"/>
      <c r="N23" s="67"/>
      <c r="O23" s="67"/>
      <c r="P23" s="67"/>
    </row>
    <row r="24" spans="2:16" ht="30" x14ac:dyDescent="0.25">
      <c r="B24" s="26">
        <v>4</v>
      </c>
      <c r="C24" s="26" t="s">
        <v>85</v>
      </c>
      <c r="D24" s="26" t="s">
        <v>86</v>
      </c>
      <c r="E24" s="83">
        <v>4918.3999999999996</v>
      </c>
      <c r="F24" s="83">
        <v>5626.7099999999991</v>
      </c>
      <c r="G24" s="83">
        <v>5626.7099999999991</v>
      </c>
      <c r="H24" s="83">
        <v>4918.3999999999996</v>
      </c>
      <c r="J24" s="65">
        <v>3</v>
      </c>
      <c r="K24" s="68" t="s">
        <v>87</v>
      </c>
      <c r="L24" s="68" t="s">
        <v>88</v>
      </c>
      <c r="M24" s="67">
        <v>2500</v>
      </c>
      <c r="N24" s="67">
        <v>2500</v>
      </c>
      <c r="O24" s="67">
        <v>2500</v>
      </c>
      <c r="P24" s="67">
        <v>2500</v>
      </c>
    </row>
    <row r="25" spans="2:16" ht="30" x14ac:dyDescent="0.25">
      <c r="B25" s="26">
        <v>5</v>
      </c>
      <c r="C25" s="26" t="s">
        <v>89</v>
      </c>
      <c r="D25" s="26" t="s">
        <v>88</v>
      </c>
      <c r="E25" s="83">
        <v>0</v>
      </c>
      <c r="F25" s="83">
        <v>0</v>
      </c>
      <c r="G25" s="83">
        <v>0</v>
      </c>
      <c r="H25" s="83">
        <v>4952.04</v>
      </c>
      <c r="J25" s="65">
        <v>4</v>
      </c>
      <c r="K25" s="68" t="s">
        <v>90</v>
      </c>
      <c r="L25" s="68" t="s">
        <v>86</v>
      </c>
      <c r="M25" s="67">
        <v>5262.69</v>
      </c>
      <c r="N25" s="67">
        <v>5262.69</v>
      </c>
      <c r="O25" s="67">
        <v>5262.69</v>
      </c>
      <c r="P25" s="67">
        <v>5262.69</v>
      </c>
    </row>
    <row r="26" spans="2:16" ht="27" customHeight="1" x14ac:dyDescent="0.25">
      <c r="B26" s="26">
        <v>6</v>
      </c>
      <c r="C26" s="26" t="s">
        <v>91</v>
      </c>
      <c r="D26" s="26" t="s">
        <v>88</v>
      </c>
      <c r="E26" s="83">
        <v>2291.21</v>
      </c>
      <c r="F26" s="83">
        <v>2291.21</v>
      </c>
      <c r="G26" s="83">
        <v>2291.21</v>
      </c>
      <c r="H26" s="83">
        <v>2291.21</v>
      </c>
      <c r="J26" s="65">
        <v>5</v>
      </c>
      <c r="K26" s="68" t="s">
        <v>83</v>
      </c>
      <c r="L26" s="68" t="s">
        <v>86</v>
      </c>
      <c r="M26" s="67">
        <v>5403.9</v>
      </c>
      <c r="N26" s="67">
        <v>5403.9</v>
      </c>
      <c r="O26" s="67">
        <v>5403.9</v>
      </c>
      <c r="P26" s="67">
        <v>5403.9</v>
      </c>
    </row>
    <row r="27" spans="2:16" ht="45" x14ac:dyDescent="0.25">
      <c r="B27" s="26">
        <v>7</v>
      </c>
      <c r="C27" s="26" t="s">
        <v>92</v>
      </c>
      <c r="D27" s="26" t="s">
        <v>93</v>
      </c>
      <c r="E27" s="83">
        <v>2650</v>
      </c>
      <c r="F27" s="83">
        <v>2650</v>
      </c>
      <c r="G27" s="83">
        <v>2385</v>
      </c>
      <c r="H27" s="83">
        <v>2650</v>
      </c>
      <c r="J27" s="65">
        <v>6</v>
      </c>
      <c r="K27" s="69" t="s">
        <v>94</v>
      </c>
      <c r="L27" s="68" t="s">
        <v>88</v>
      </c>
      <c r="M27" s="67">
        <v>2500</v>
      </c>
      <c r="N27" s="67">
        <v>2500</v>
      </c>
      <c r="O27" s="67">
        <v>2500</v>
      </c>
      <c r="P27" s="70">
        <v>2500</v>
      </c>
    </row>
    <row r="28" spans="2:16" ht="30" x14ac:dyDescent="0.25">
      <c r="B28" s="26">
        <v>8</v>
      </c>
      <c r="C28" s="26" t="s">
        <v>95</v>
      </c>
      <c r="D28" s="26" t="s">
        <v>88</v>
      </c>
      <c r="E28" s="83">
        <v>2300</v>
      </c>
      <c r="F28" s="83">
        <v>2300</v>
      </c>
      <c r="G28" s="83">
        <v>2300</v>
      </c>
      <c r="H28" s="83">
        <v>0</v>
      </c>
      <c r="J28" s="65">
        <v>7</v>
      </c>
      <c r="K28" s="87" t="s">
        <v>96</v>
      </c>
      <c r="L28" s="88"/>
      <c r="M28" s="6">
        <v>6200</v>
      </c>
      <c r="N28" s="6">
        <v>3800</v>
      </c>
      <c r="O28" s="6">
        <v>4100</v>
      </c>
      <c r="P28" s="6">
        <v>3500</v>
      </c>
    </row>
    <row r="29" spans="2:16" ht="30" x14ac:dyDescent="0.25">
      <c r="B29" s="26"/>
      <c r="C29" s="26"/>
      <c r="D29" s="84" t="s">
        <v>97</v>
      </c>
      <c r="E29" s="85">
        <v>17200.36</v>
      </c>
      <c r="F29" s="85">
        <v>17908.669999999998</v>
      </c>
      <c r="G29" s="85">
        <v>17643.669999999998</v>
      </c>
      <c r="H29" s="85">
        <v>19852.399999999998</v>
      </c>
      <c r="L29" s="71" t="s">
        <v>97</v>
      </c>
      <c r="M29" s="72">
        <f>+SUM(M24:M28)</f>
        <v>21866.59</v>
      </c>
      <c r="N29" s="72">
        <f t="shared" ref="N29:P29" si="0">+SUM(N24:N28)</f>
        <v>19466.59</v>
      </c>
      <c r="O29" s="72">
        <f t="shared" si="0"/>
        <v>19766.59</v>
      </c>
      <c r="P29" s="72">
        <f t="shared" si="0"/>
        <v>19166.59</v>
      </c>
    </row>
    <row r="30" spans="2:16" x14ac:dyDescent="0.25">
      <c r="B30" s="1"/>
      <c r="C30" s="1"/>
      <c r="D30" s="78" t="s">
        <v>98</v>
      </c>
      <c r="E30" s="327">
        <v>18151.274999999998</v>
      </c>
      <c r="F30" s="327"/>
      <c r="G30" s="327"/>
      <c r="H30" s="327"/>
      <c r="L30" s="71" t="s">
        <v>98</v>
      </c>
      <c r="M30" s="324">
        <f>+AVERAGE(M29:P29)</f>
        <v>20066.59</v>
      </c>
      <c r="N30" s="324"/>
      <c r="O30" s="324"/>
      <c r="P30" s="324"/>
    </row>
    <row r="31" spans="2:16" x14ac:dyDescent="0.25">
      <c r="B31" s="1"/>
      <c r="C31" s="1"/>
      <c r="D31" s="1" t="s">
        <v>99</v>
      </c>
      <c r="E31" s="327">
        <v>3033.0780524999996</v>
      </c>
      <c r="F31" s="327"/>
      <c r="G31" s="327"/>
      <c r="H31" s="327"/>
      <c r="L31" s="66" t="s">
        <v>99</v>
      </c>
      <c r="M31" s="324">
        <f>+M30*0.1671</f>
        <v>3353.1271889999998</v>
      </c>
      <c r="N31" s="324"/>
      <c r="O31" s="324"/>
      <c r="P31" s="324"/>
    </row>
    <row r="32" spans="2:16" x14ac:dyDescent="0.25">
      <c r="B32" s="1"/>
      <c r="C32" s="1"/>
      <c r="D32" s="1" t="s">
        <v>100</v>
      </c>
      <c r="E32" s="327">
        <v>21184.353052499999</v>
      </c>
      <c r="F32" s="327"/>
      <c r="G32" s="327"/>
      <c r="H32" s="327"/>
      <c r="L32" s="66" t="s">
        <v>100</v>
      </c>
      <c r="M32" s="324">
        <f>+M31+M30</f>
        <v>23419.717188999999</v>
      </c>
      <c r="N32" s="324"/>
      <c r="O32" s="324"/>
      <c r="P32" s="324"/>
    </row>
    <row r="33" spans="2:16" x14ac:dyDescent="0.25">
      <c r="B33" s="1"/>
      <c r="C33" s="1"/>
      <c r="D33" s="1" t="s">
        <v>101</v>
      </c>
      <c r="E33" s="327">
        <v>1512.0012074999997</v>
      </c>
      <c r="F33" s="327"/>
      <c r="G33" s="327"/>
      <c r="H33" s="327"/>
      <c r="L33" s="66" t="s">
        <v>101</v>
      </c>
      <c r="M33" s="324">
        <f>+M30*0.0833</f>
        <v>1671.546947</v>
      </c>
      <c r="N33" s="324"/>
      <c r="O33" s="324"/>
      <c r="P33" s="324"/>
    </row>
    <row r="34" spans="2:16" x14ac:dyDescent="0.25">
      <c r="B34" s="1"/>
      <c r="C34" s="1"/>
      <c r="D34" s="1" t="s">
        <v>102</v>
      </c>
      <c r="E34" s="327">
        <v>1512.0012074999997</v>
      </c>
      <c r="F34" s="327"/>
      <c r="G34" s="327"/>
      <c r="H34" s="327"/>
      <c r="L34" s="1" t="s">
        <v>102</v>
      </c>
      <c r="M34" s="324">
        <f>+M30*0.0833</f>
        <v>1671.546947</v>
      </c>
      <c r="N34" s="324"/>
      <c r="O34" s="324"/>
      <c r="P34" s="324"/>
    </row>
    <row r="35" spans="2:16" x14ac:dyDescent="0.25">
      <c r="B35" s="1"/>
      <c r="C35" s="1"/>
      <c r="D35" s="74" t="s">
        <v>16</v>
      </c>
      <c r="E35" s="326">
        <v>24208.355467499998</v>
      </c>
      <c r="F35" s="326"/>
      <c r="G35" s="326"/>
      <c r="H35" s="326"/>
      <c r="L35" s="73" t="s">
        <v>16</v>
      </c>
      <c r="M35" s="325">
        <f>+M34+M33+M32</f>
        <v>26762.811083000001</v>
      </c>
      <c r="N35" s="325"/>
      <c r="O35" s="325"/>
      <c r="P35" s="325"/>
    </row>
    <row r="36" spans="2:16" x14ac:dyDescent="0.25">
      <c r="B36" s="1"/>
      <c r="C36" s="1"/>
      <c r="D36" s="1" t="s">
        <v>103</v>
      </c>
      <c r="E36" s="327">
        <v>2496</v>
      </c>
      <c r="F36" s="327"/>
      <c r="G36" s="327"/>
      <c r="H36" s="327"/>
      <c r="L36" s="1" t="s">
        <v>103</v>
      </c>
      <c r="M36" s="324">
        <v>2496</v>
      </c>
      <c r="N36" s="324"/>
      <c r="O36" s="324"/>
      <c r="P36" s="324"/>
    </row>
    <row r="37" spans="2:16" x14ac:dyDescent="0.25">
      <c r="B37" s="1"/>
      <c r="C37" s="1"/>
      <c r="D37" s="1" t="s">
        <v>104</v>
      </c>
      <c r="E37" s="327">
        <v>208</v>
      </c>
      <c r="F37" s="327"/>
      <c r="G37" s="327"/>
      <c r="H37" s="327"/>
      <c r="L37" s="1" t="s">
        <v>104</v>
      </c>
      <c r="M37" s="324">
        <v>208</v>
      </c>
      <c r="N37" s="324"/>
      <c r="O37" s="324"/>
      <c r="P37" s="324"/>
    </row>
    <row r="38" spans="2:16" x14ac:dyDescent="0.25">
      <c r="B38" s="1"/>
      <c r="C38" s="1"/>
      <c r="D38" s="1" t="s">
        <v>105</v>
      </c>
      <c r="E38" s="327">
        <v>8</v>
      </c>
      <c r="F38" s="327"/>
      <c r="G38" s="327"/>
      <c r="H38" s="327"/>
      <c r="L38" s="1" t="s">
        <v>105</v>
      </c>
      <c r="M38" s="324">
        <v>8</v>
      </c>
      <c r="N38" s="324"/>
      <c r="O38" s="324"/>
      <c r="P38" s="324"/>
    </row>
    <row r="39" spans="2:16" x14ac:dyDescent="0.25">
      <c r="B39" s="1"/>
      <c r="C39" s="1"/>
      <c r="D39" s="1" t="s">
        <v>106</v>
      </c>
      <c r="E39" s="327">
        <v>116.38632436298076</v>
      </c>
      <c r="F39" s="327"/>
      <c r="G39" s="327"/>
      <c r="H39" s="327"/>
      <c r="L39" s="1" t="s">
        <v>106</v>
      </c>
      <c r="M39" s="324">
        <f>+M35/M37</f>
        <v>128.66736097596154</v>
      </c>
      <c r="N39" s="324"/>
      <c r="O39" s="324"/>
      <c r="P39" s="324"/>
    </row>
    <row r="40" spans="2:16" x14ac:dyDescent="0.25">
      <c r="B40" s="1"/>
      <c r="C40" s="1"/>
      <c r="D40" s="1" t="s">
        <v>107</v>
      </c>
      <c r="E40" s="327">
        <v>11.638632436298076</v>
      </c>
      <c r="F40" s="327"/>
      <c r="G40" s="327"/>
      <c r="H40" s="327"/>
      <c r="L40" s="1" t="s">
        <v>107</v>
      </c>
      <c r="M40" s="324">
        <v>0</v>
      </c>
      <c r="N40" s="324"/>
      <c r="O40" s="324"/>
      <c r="P40" s="324"/>
    </row>
    <row r="41" spans="2:16" x14ac:dyDescent="0.25">
      <c r="B41" s="1"/>
      <c r="C41" s="1"/>
      <c r="D41" s="74" t="s">
        <v>108</v>
      </c>
      <c r="E41" s="326">
        <v>128.02495679927884</v>
      </c>
      <c r="F41" s="326"/>
      <c r="G41" s="326"/>
      <c r="H41" s="326"/>
      <c r="L41" s="74" t="s">
        <v>108</v>
      </c>
      <c r="M41" s="325">
        <f>+M40+M39</f>
        <v>128.66736097596154</v>
      </c>
      <c r="N41" s="325"/>
      <c r="O41" s="325"/>
      <c r="P41" s="325"/>
    </row>
    <row r="42" spans="2:16" x14ac:dyDescent="0.25">
      <c r="B42" s="1"/>
      <c r="C42" s="1"/>
      <c r="D42" s="74" t="s">
        <v>109</v>
      </c>
      <c r="E42" s="326">
        <v>1024.1996543942307</v>
      </c>
      <c r="F42" s="326"/>
      <c r="G42" s="326"/>
      <c r="H42" s="326"/>
      <c r="L42" s="75" t="s">
        <v>109</v>
      </c>
      <c r="M42" s="325">
        <f>+M41*M38</f>
        <v>1029.3388878076923</v>
      </c>
      <c r="N42" s="325"/>
      <c r="O42" s="325"/>
      <c r="P42" s="325"/>
    </row>
    <row r="43" spans="2:16" x14ac:dyDescent="0.25">
      <c r="B43" s="1"/>
      <c r="C43" s="1"/>
      <c r="D43" s="74" t="s">
        <v>110</v>
      </c>
      <c r="E43" s="326">
        <v>319550.29217099998</v>
      </c>
      <c r="F43" s="326"/>
      <c r="G43" s="326"/>
      <c r="H43" s="326"/>
      <c r="L43" s="75" t="s">
        <v>110</v>
      </c>
      <c r="M43" s="325">
        <f>+M41*M36</f>
        <v>321153.73299600004</v>
      </c>
      <c r="N43" s="325"/>
      <c r="O43" s="325"/>
      <c r="P43" s="325"/>
    </row>
    <row r="45" spans="2:16" x14ac:dyDescent="0.25">
      <c r="M45" s="76" t="s">
        <v>111</v>
      </c>
      <c r="N45" t="s">
        <v>112</v>
      </c>
      <c r="O45" t="s">
        <v>11</v>
      </c>
    </row>
    <row r="46" spans="2:16" x14ac:dyDescent="0.25">
      <c r="L46" s="77" t="s">
        <v>113</v>
      </c>
      <c r="M46">
        <v>1</v>
      </c>
      <c r="N46" s="6">
        <f>+M41/5</f>
        <v>25.733472195192309</v>
      </c>
      <c r="O46" s="6">
        <f>+M42/5</f>
        <v>205.86777756153847</v>
      </c>
    </row>
    <row r="47" spans="2:16" x14ac:dyDescent="0.25">
      <c r="D47" t="s">
        <v>147</v>
      </c>
      <c r="E47" t="s">
        <v>148</v>
      </c>
      <c r="L47" s="77" t="s">
        <v>114</v>
      </c>
      <c r="M47">
        <v>1.5</v>
      </c>
      <c r="N47" s="6">
        <f>+N46*M47</f>
        <v>38.600208292788466</v>
      </c>
      <c r="O47" s="6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7" t="s">
        <v>115</v>
      </c>
      <c r="M48">
        <v>2</v>
      </c>
      <c r="N48" s="6">
        <f>+N46*M48</f>
        <v>51.466944390384619</v>
      </c>
      <c r="O48" s="6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7" t="s">
        <v>116</v>
      </c>
      <c r="M49">
        <v>2.5</v>
      </c>
      <c r="N49" s="6">
        <f>+N46*M49</f>
        <v>64.333680487980772</v>
      </c>
      <c r="O49" s="6">
        <f>+O46*M49</f>
        <v>514.66944390384617</v>
      </c>
    </row>
    <row r="50" spans="3:15" x14ac:dyDescent="0.25">
      <c r="L50" s="77" t="s">
        <v>117</v>
      </c>
      <c r="M50">
        <v>3</v>
      </c>
      <c r="N50" s="6">
        <f>+N46*M50</f>
        <v>77.200416585576932</v>
      </c>
      <c r="O50" s="6">
        <f>+O46*M50</f>
        <v>617.60333268461545</v>
      </c>
    </row>
    <row r="51" spans="3:15" x14ac:dyDescent="0.25">
      <c r="L51" s="77" t="s">
        <v>118</v>
      </c>
      <c r="M51">
        <v>3.5</v>
      </c>
      <c r="N51" s="6">
        <f>+N46*M51</f>
        <v>90.067152683173077</v>
      </c>
      <c r="O51" s="6">
        <f>+O46*M51</f>
        <v>720.53722146538462</v>
      </c>
    </row>
    <row r="52" spans="3:15" x14ac:dyDescent="0.25">
      <c r="L52" s="77" t="s">
        <v>119</v>
      </c>
      <c r="M52">
        <v>4</v>
      </c>
      <c r="N52" s="6">
        <f>+N46*M52</f>
        <v>102.93388878076924</v>
      </c>
      <c r="O52" s="6">
        <f>+O46*M52</f>
        <v>823.4711102461539</v>
      </c>
    </row>
    <row r="53" spans="3:15" x14ac:dyDescent="0.25">
      <c r="L53" s="77" t="s">
        <v>120</v>
      </c>
      <c r="M53">
        <v>4.5</v>
      </c>
      <c r="N53" s="6">
        <f>+N46*M53</f>
        <v>115.8006248783654</v>
      </c>
      <c r="O53" s="6">
        <f>+O46*M53</f>
        <v>926.40499902692318</v>
      </c>
    </row>
    <row r="54" spans="3:15" x14ac:dyDescent="0.25">
      <c r="L54" s="77" t="s">
        <v>121</v>
      </c>
      <c r="M54">
        <v>5</v>
      </c>
      <c r="N54" s="6">
        <f>+N46*M54</f>
        <v>128.66736097596154</v>
      </c>
      <c r="O54" s="6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8"/>
  <sheetViews>
    <sheetView showGridLines="0" zoomScale="70" zoomScaleNormal="70" zoomScalePageLayoutView="85" workbookViewId="0">
      <pane ySplit="4" topLeftCell="A5" activePane="bottomLeft" state="frozen"/>
      <selection activeCell="A21" sqref="A21"/>
      <selection pane="bottomLeft" activeCell="V21" sqref="K21:V22"/>
    </sheetView>
  </sheetViews>
  <sheetFormatPr baseColWidth="10" defaultRowHeight="15.75" x14ac:dyDescent="0.25"/>
  <cols>
    <col min="1" max="1" width="5.42578125" style="121" customWidth="1"/>
    <col min="2" max="2" width="48.5703125" style="155" customWidth="1"/>
    <col min="3" max="3" width="34.85546875" style="155" bestFit="1" customWidth="1"/>
    <col min="4" max="4" width="15" style="155" customWidth="1"/>
    <col min="5" max="5" width="15.42578125" style="155" bestFit="1" customWidth="1"/>
    <col min="6" max="6" width="16" style="155" customWidth="1"/>
    <col min="7" max="7" width="12" style="155" hidden="1" customWidth="1"/>
    <col min="8" max="8" width="23.140625" style="155" customWidth="1"/>
    <col min="9" max="9" width="16.28515625" style="155" customWidth="1"/>
    <col min="10" max="10" width="19.42578125" style="155" customWidth="1"/>
    <col min="11" max="11" width="18.42578125" style="157" customWidth="1"/>
    <col min="12" max="16" width="19.140625" style="121" hidden="1" customWidth="1"/>
    <col min="17" max="17" width="29.42578125" style="122" hidden="1" customWidth="1"/>
    <col min="18" max="18" width="29" style="121" hidden="1" customWidth="1"/>
    <col min="19" max="19" width="23" style="123" hidden="1" customWidth="1"/>
    <col min="20" max="20" width="11.42578125" style="121" hidden="1" customWidth="1"/>
    <col min="21" max="21" width="0" style="121" hidden="1" customWidth="1"/>
    <col min="22" max="16384" width="11.42578125" style="121"/>
  </cols>
  <sheetData>
    <row r="1" spans="1:22" ht="16.5" thickBot="1" x14ac:dyDescent="0.3">
      <c r="A1" s="329"/>
      <c r="B1" s="329"/>
      <c r="C1" s="291"/>
      <c r="D1" s="291"/>
      <c r="E1" s="291"/>
      <c r="F1" s="291"/>
      <c r="G1" s="291"/>
      <c r="H1" s="291"/>
      <c r="I1" s="291"/>
      <c r="J1" s="291"/>
      <c r="K1" s="291"/>
      <c r="L1" s="187"/>
      <c r="M1" s="187"/>
      <c r="N1" s="187"/>
      <c r="O1" s="187"/>
      <c r="P1" s="187"/>
      <c r="Q1" s="188"/>
      <c r="R1" s="187"/>
      <c r="S1" s="189"/>
      <c r="T1" s="187"/>
      <c r="U1" s="187"/>
      <c r="V1" s="187"/>
    </row>
    <row r="2" spans="1:22" s="124" customFormat="1" ht="21" customHeight="1" thickBot="1" x14ac:dyDescent="0.3">
      <c r="A2" s="330"/>
      <c r="B2" s="346" t="s">
        <v>166</v>
      </c>
      <c r="C2" s="272">
        <f ca="1">+H74</f>
        <v>1127.3033571428571</v>
      </c>
      <c r="D2" s="389">
        <f ca="1">+J71+J72</f>
        <v>994.5</v>
      </c>
      <c r="E2" s="390"/>
      <c r="F2" s="273">
        <f ca="1">+D2-C2</f>
        <v>-132.80335714285707</v>
      </c>
      <c r="G2" s="291"/>
      <c r="H2" s="291"/>
      <c r="I2" s="291"/>
      <c r="J2" s="291"/>
      <c r="K2" s="291"/>
      <c r="L2" s="159"/>
      <c r="M2" s="159"/>
      <c r="N2" s="159"/>
      <c r="O2" s="159"/>
      <c r="P2" s="159"/>
      <c r="Q2" s="191"/>
      <c r="R2" s="159"/>
      <c r="S2" s="192"/>
      <c r="T2" s="159"/>
      <c r="U2" s="159"/>
      <c r="V2" s="159"/>
    </row>
    <row r="3" spans="1:22" s="124" customFormat="1" thickBot="1" x14ac:dyDescent="0.3">
      <c r="A3" s="330"/>
      <c r="B3" s="347"/>
      <c r="C3" s="292" t="s">
        <v>168</v>
      </c>
      <c r="D3" s="348" t="s">
        <v>180</v>
      </c>
      <c r="E3" s="349"/>
      <c r="F3" s="292" t="s">
        <v>72</v>
      </c>
      <c r="G3" s="291"/>
      <c r="H3" s="291"/>
      <c r="I3" s="291"/>
      <c r="J3" s="291"/>
      <c r="K3" s="291"/>
      <c r="L3" s="159"/>
      <c r="M3" s="159"/>
      <c r="N3" s="159"/>
      <c r="O3" s="159"/>
      <c r="P3" s="159"/>
      <c r="Q3" s="191"/>
      <c r="R3" s="159"/>
      <c r="S3" s="192"/>
      <c r="T3" s="159"/>
      <c r="U3" s="159"/>
      <c r="V3" s="159"/>
    </row>
    <row r="4" spans="1:22" s="124" customFormat="1" ht="14.25" customHeight="1" x14ac:dyDescent="0.25">
      <c r="A4" s="330"/>
      <c r="B4" s="158"/>
      <c r="C4" s="291"/>
      <c r="D4" s="291"/>
      <c r="E4" s="291"/>
      <c r="F4" s="291"/>
      <c r="G4" s="291"/>
      <c r="H4" s="291"/>
      <c r="I4" s="291"/>
      <c r="J4" s="291"/>
      <c r="K4" s="291"/>
      <c r="L4" s="159"/>
      <c r="M4" s="159"/>
      <c r="N4" s="159"/>
      <c r="O4" s="159"/>
      <c r="P4" s="159"/>
      <c r="Q4" s="191"/>
      <c r="R4" s="159"/>
      <c r="S4" s="192"/>
      <c r="T4" s="159"/>
      <c r="U4" s="159"/>
      <c r="V4" s="159"/>
    </row>
    <row r="5" spans="1:22" s="124" customFormat="1" ht="14.25" x14ac:dyDescent="0.2">
      <c r="A5" s="159"/>
      <c r="B5" s="159"/>
      <c r="C5" s="159"/>
      <c r="D5" s="159"/>
      <c r="E5" s="159"/>
      <c r="F5" s="159"/>
      <c r="G5" s="159"/>
      <c r="H5" s="159"/>
      <c r="I5" s="159"/>
      <c r="J5" s="159"/>
      <c r="K5" s="190"/>
      <c r="L5" s="159"/>
      <c r="M5" s="159"/>
      <c r="N5" s="159"/>
      <c r="O5" s="159"/>
      <c r="P5" s="159"/>
      <c r="Q5" s="191"/>
      <c r="R5" s="159"/>
      <c r="S5" s="192"/>
      <c r="T5" s="159"/>
      <c r="U5" s="159"/>
      <c r="V5" s="159"/>
    </row>
    <row r="6" spans="1:22" s="124" customFormat="1" ht="14.25" x14ac:dyDescent="0.2">
      <c r="A6" s="159"/>
      <c r="B6" s="159"/>
      <c r="C6" s="159"/>
      <c r="D6" s="159"/>
      <c r="E6" s="159"/>
      <c r="F6" s="159"/>
      <c r="G6" s="159"/>
      <c r="H6" s="159"/>
      <c r="I6" s="159"/>
      <c r="J6" s="159"/>
      <c r="K6" s="190"/>
      <c r="L6" s="159"/>
      <c r="M6" s="159"/>
      <c r="N6" s="159"/>
      <c r="O6" s="159"/>
      <c r="P6" s="159"/>
      <c r="Q6" s="191"/>
      <c r="R6" s="159"/>
      <c r="S6" s="192"/>
      <c r="T6" s="159"/>
      <c r="U6" s="159"/>
      <c r="V6" s="159"/>
    </row>
    <row r="7" spans="1:22" s="124" customFormat="1" ht="14.25" x14ac:dyDescent="0.2">
      <c r="A7" s="159"/>
      <c r="B7" s="159"/>
      <c r="C7" s="159"/>
      <c r="D7" s="159"/>
      <c r="E7" s="159"/>
      <c r="F7" s="159"/>
      <c r="G7" s="159"/>
      <c r="H7" s="159"/>
      <c r="I7" s="159"/>
      <c r="J7" s="159"/>
      <c r="K7" s="190"/>
      <c r="L7" s="159"/>
      <c r="M7" s="159"/>
      <c r="N7" s="159"/>
      <c r="O7" s="159"/>
      <c r="P7" s="159"/>
      <c r="Q7" s="191"/>
      <c r="R7" s="159"/>
      <c r="S7" s="192"/>
      <c r="T7" s="159"/>
      <c r="U7" s="159"/>
      <c r="V7" s="159"/>
    </row>
    <row r="8" spans="1:22" s="124" customFormat="1" ht="27.75" x14ac:dyDescent="0.2">
      <c r="A8" s="159"/>
      <c r="B8" s="335" t="s">
        <v>170</v>
      </c>
      <c r="C8" s="335"/>
      <c r="D8" s="335"/>
      <c r="E8" s="335"/>
      <c r="F8" s="335"/>
      <c r="G8" s="335"/>
      <c r="H8" s="335"/>
      <c r="I8" s="335"/>
      <c r="J8" s="335"/>
      <c r="K8" s="193">
        <f ca="1">C68</f>
        <v>0.17</v>
      </c>
      <c r="L8" s="159"/>
      <c r="M8" s="159"/>
      <c r="N8" s="159"/>
      <c r="O8" s="159"/>
      <c r="P8" s="159"/>
      <c r="Q8" s="191"/>
      <c r="R8" s="159"/>
      <c r="S8" s="192"/>
      <c r="T8" s="159"/>
      <c r="U8" s="159"/>
      <c r="V8" s="159"/>
    </row>
    <row r="9" spans="1:22" s="124" customFormat="1" ht="27.75" x14ac:dyDescent="0.2">
      <c r="A9" s="159"/>
      <c r="B9" s="335" t="s">
        <v>171</v>
      </c>
      <c r="C9" s="335"/>
      <c r="D9" s="335"/>
      <c r="E9" s="335"/>
      <c r="F9" s="335"/>
      <c r="G9" s="335"/>
      <c r="H9" s="335"/>
      <c r="I9" s="335"/>
      <c r="J9" s="335"/>
      <c r="K9" s="194">
        <f ca="1">H71</f>
        <v>809.346</v>
      </c>
      <c r="L9" s="159"/>
      <c r="M9" s="159"/>
      <c r="N9" s="159"/>
      <c r="O9" s="159"/>
      <c r="P9" s="159"/>
      <c r="Q9" s="191"/>
      <c r="R9" s="159"/>
      <c r="S9" s="192"/>
      <c r="T9" s="159"/>
      <c r="U9" s="159"/>
      <c r="V9" s="159"/>
    </row>
    <row r="10" spans="1:22" s="124" customFormat="1" ht="15.75" customHeight="1" x14ac:dyDescent="0.2">
      <c r="A10" s="159"/>
      <c r="B10" s="160"/>
      <c r="C10" s="160"/>
      <c r="D10" s="160"/>
      <c r="E10" s="160"/>
      <c r="F10" s="160"/>
      <c r="G10" s="160"/>
      <c r="H10" s="160"/>
      <c r="I10" s="160"/>
      <c r="J10" s="160"/>
      <c r="K10" s="194"/>
      <c r="L10" s="159"/>
      <c r="M10" s="159"/>
      <c r="N10" s="159"/>
      <c r="O10" s="159"/>
      <c r="P10" s="159"/>
      <c r="Q10" s="191"/>
      <c r="R10" s="159"/>
      <c r="S10" s="192"/>
      <c r="T10" s="159"/>
      <c r="U10" s="159"/>
      <c r="V10" s="159"/>
    </row>
    <row r="11" spans="1:22" s="124" customFormat="1" ht="27.75" x14ac:dyDescent="0.2">
      <c r="A11" s="159"/>
      <c r="B11" s="161"/>
      <c r="C11" s="161"/>
      <c r="D11" s="161"/>
      <c r="E11" s="161"/>
      <c r="F11" s="161"/>
      <c r="G11" s="161"/>
      <c r="H11" s="161"/>
      <c r="I11" s="161"/>
      <c r="J11" s="161"/>
      <c r="K11" s="195"/>
      <c r="L11" s="159"/>
      <c r="M11" s="159"/>
      <c r="N11" s="159"/>
      <c r="O11" s="159"/>
      <c r="P11" s="159"/>
      <c r="Q11" s="191"/>
      <c r="R11" s="159"/>
      <c r="S11" s="192"/>
      <c r="T11" s="159"/>
      <c r="U11" s="159"/>
      <c r="V11" s="159"/>
    </row>
    <row r="12" spans="1:22" s="124" customFormat="1" ht="30" customHeight="1" x14ac:dyDescent="0.2">
      <c r="A12" s="162">
        <v>1.1000000000000001</v>
      </c>
      <c r="B12" s="182" t="s">
        <v>0</v>
      </c>
      <c r="C12" s="340" t="s">
        <v>182</v>
      </c>
      <c r="D12" s="340"/>
      <c r="E12" s="165">
        <v>1.2</v>
      </c>
      <c r="F12" s="345" t="s">
        <v>52</v>
      </c>
      <c r="G12" s="345"/>
      <c r="H12" s="345"/>
      <c r="I12" s="339">
        <v>101010101</v>
      </c>
      <c r="J12" s="339"/>
      <c r="K12" s="190"/>
      <c r="L12" s="159"/>
      <c r="M12" s="159"/>
      <c r="N12" s="159"/>
      <c r="O12" s="159"/>
      <c r="P12" s="159"/>
      <c r="Q12" s="191"/>
      <c r="R12" s="159"/>
      <c r="S12" s="192"/>
      <c r="T12" s="159"/>
      <c r="U12" s="159"/>
      <c r="V12" s="159"/>
    </row>
    <row r="13" spans="1:22" s="124" customFormat="1" ht="15.75" customHeight="1" x14ac:dyDescent="0.2">
      <c r="A13" s="162"/>
      <c r="B13" s="166"/>
      <c r="C13" s="166"/>
      <c r="D13" s="166"/>
      <c r="E13" s="166"/>
      <c r="F13" s="166"/>
      <c r="G13" s="166"/>
      <c r="H13" s="166"/>
      <c r="I13" s="166"/>
      <c r="J13" s="166"/>
      <c r="K13" s="196"/>
      <c r="L13" s="159"/>
      <c r="M13" s="159"/>
      <c r="N13" s="159"/>
      <c r="O13" s="159"/>
      <c r="P13" s="159"/>
      <c r="Q13" s="191"/>
      <c r="R13" s="159"/>
      <c r="S13" s="192"/>
      <c r="T13" s="159"/>
      <c r="U13" s="159"/>
      <c r="V13" s="159"/>
    </row>
    <row r="14" spans="1:22" s="124" customFormat="1" ht="36.75" customHeight="1" x14ac:dyDescent="0.2">
      <c r="A14" s="162">
        <v>1.3</v>
      </c>
      <c r="B14" s="182" t="s">
        <v>124</v>
      </c>
      <c r="C14" s="342" t="s">
        <v>183</v>
      </c>
      <c r="D14" s="343"/>
      <c r="E14" s="162">
        <v>1.4</v>
      </c>
      <c r="F14" s="186" t="s">
        <v>125</v>
      </c>
      <c r="G14" s="127"/>
      <c r="H14" s="344" t="s">
        <v>184</v>
      </c>
      <c r="I14" s="344"/>
      <c r="J14" s="344"/>
      <c r="K14" s="197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</row>
    <row r="15" spans="1:22" s="124" customFormat="1" x14ac:dyDescent="0.2">
      <c r="A15" s="162"/>
      <c r="B15" s="166"/>
      <c r="C15" s="166"/>
      <c r="D15" s="166"/>
      <c r="E15" s="166"/>
      <c r="F15" s="166"/>
      <c r="G15" s="166"/>
      <c r="H15" s="166"/>
      <c r="I15" s="166"/>
      <c r="J15" s="166"/>
      <c r="K15" s="196"/>
      <c r="L15" s="159"/>
      <c r="M15" s="159"/>
      <c r="N15" s="159"/>
      <c r="O15" s="159"/>
      <c r="P15" s="159"/>
      <c r="Q15" s="191"/>
      <c r="R15" s="159"/>
      <c r="S15" s="192"/>
      <c r="T15" s="159"/>
      <c r="U15" s="159"/>
      <c r="V15" s="159"/>
    </row>
    <row r="16" spans="1:22" s="124" customFormat="1" ht="37.5" customHeight="1" x14ac:dyDescent="0.2">
      <c r="A16" s="162">
        <v>1.5</v>
      </c>
      <c r="B16" s="182" t="s">
        <v>126</v>
      </c>
      <c r="C16" s="341">
        <v>43424</v>
      </c>
      <c r="D16" s="341"/>
      <c r="E16" s="162">
        <v>1.6</v>
      </c>
      <c r="F16" s="400" t="s">
        <v>127</v>
      </c>
      <c r="G16" s="401"/>
      <c r="H16" s="402"/>
      <c r="I16" s="341">
        <v>43416</v>
      </c>
      <c r="J16" s="341"/>
      <c r="K16" s="190"/>
      <c r="L16" s="159"/>
      <c r="M16" s="159"/>
      <c r="N16" s="159"/>
      <c r="O16" s="159"/>
      <c r="P16" s="159"/>
      <c r="Q16" s="191"/>
      <c r="R16" s="159"/>
      <c r="S16" s="192"/>
      <c r="T16" s="159"/>
      <c r="U16" s="159"/>
      <c r="V16" s="159"/>
    </row>
    <row r="17" spans="1:22" s="128" customFormat="1" ht="19.5" customHeight="1" x14ac:dyDescent="0.25">
      <c r="A17" s="163"/>
      <c r="B17" s="183"/>
      <c r="C17" s="184"/>
      <c r="D17" s="185"/>
      <c r="E17" s="167"/>
      <c r="F17" s="167"/>
      <c r="G17" s="167"/>
      <c r="H17" s="167"/>
      <c r="I17" s="167"/>
      <c r="J17" s="167"/>
      <c r="K17" s="198"/>
      <c r="L17" s="185"/>
      <c r="M17" s="185"/>
      <c r="N17" s="185"/>
      <c r="O17" s="185"/>
      <c r="P17" s="185"/>
      <c r="Q17" s="191"/>
      <c r="R17" s="185"/>
      <c r="S17" s="192"/>
      <c r="T17" s="185"/>
      <c r="U17" s="185"/>
      <c r="V17" s="185"/>
    </row>
    <row r="18" spans="1:22" s="128" customFormat="1" ht="37.5" customHeight="1" x14ac:dyDescent="0.2">
      <c r="A18" s="163">
        <v>1.7</v>
      </c>
      <c r="B18" s="182" t="s">
        <v>161</v>
      </c>
      <c r="C18" s="343">
        <v>10</v>
      </c>
      <c r="D18" s="343"/>
      <c r="E18" s="163" t="s">
        <v>146</v>
      </c>
      <c r="F18" s="345" t="s">
        <v>150</v>
      </c>
      <c r="G18" s="345"/>
      <c r="H18" s="345"/>
      <c r="I18" s="341" t="s">
        <v>181</v>
      </c>
      <c r="J18" s="341"/>
      <c r="K18" s="198"/>
      <c r="L18" s="185"/>
      <c r="M18" s="185"/>
      <c r="N18" s="185"/>
      <c r="O18" s="185"/>
      <c r="P18" s="185"/>
      <c r="Q18" s="191"/>
      <c r="R18" s="185"/>
      <c r="S18" s="192"/>
      <c r="T18" s="185"/>
      <c r="U18" s="185"/>
      <c r="V18" s="185"/>
    </row>
    <row r="19" spans="1:22" s="128" customFormat="1" ht="28.5" customHeight="1" x14ac:dyDescent="0.2">
      <c r="A19" s="163"/>
      <c r="B19" s="177"/>
      <c r="C19" s="178"/>
      <c r="D19" s="179"/>
      <c r="E19" s="167"/>
      <c r="F19" s="167"/>
      <c r="G19" s="167"/>
      <c r="H19" s="167"/>
      <c r="I19" s="167"/>
      <c r="J19" s="167"/>
      <c r="K19" s="198"/>
      <c r="L19" s="185"/>
      <c r="M19" s="185"/>
      <c r="N19" s="185"/>
      <c r="O19" s="185"/>
      <c r="P19" s="185"/>
      <c r="Q19" s="191"/>
      <c r="R19" s="185"/>
      <c r="S19" s="192"/>
      <c r="T19" s="185"/>
      <c r="U19" s="185"/>
      <c r="V19" s="185"/>
    </row>
    <row r="20" spans="1:22" s="130" customFormat="1" ht="26.25" customHeight="1" x14ac:dyDescent="0.25">
      <c r="A20" s="164">
        <v>2</v>
      </c>
      <c r="B20" s="180" t="s">
        <v>152</v>
      </c>
      <c r="C20" s="168"/>
      <c r="D20" s="168"/>
      <c r="E20" s="168"/>
      <c r="F20" s="168"/>
      <c r="G20" s="170"/>
      <c r="H20" s="170"/>
      <c r="I20" s="170"/>
      <c r="J20" s="171"/>
      <c r="K20" s="199"/>
      <c r="L20" s="200"/>
      <c r="M20" s="200"/>
      <c r="N20" s="200"/>
      <c r="O20" s="200"/>
      <c r="P20" s="200"/>
      <c r="Q20" s="201"/>
      <c r="R20" s="200"/>
      <c r="S20" s="202"/>
      <c r="T20" s="200"/>
      <c r="U20" s="200"/>
      <c r="V20" s="200"/>
    </row>
    <row r="21" spans="1:22" s="128" customFormat="1" ht="10.5" customHeight="1" x14ac:dyDescent="0.2">
      <c r="A21" s="162"/>
      <c r="B21" s="159"/>
      <c r="C21" s="159"/>
      <c r="D21" s="159"/>
      <c r="E21" s="159"/>
      <c r="F21" s="159"/>
      <c r="G21" s="172"/>
      <c r="H21" s="172"/>
      <c r="I21" s="172"/>
      <c r="J21" s="173"/>
      <c r="K21" s="198"/>
      <c r="L21" s="185"/>
      <c r="M21" s="185"/>
      <c r="N21" s="185"/>
      <c r="O21" s="185"/>
      <c r="P21" s="185"/>
      <c r="Q21" s="191"/>
      <c r="R21" s="185"/>
      <c r="S21" s="192"/>
      <c r="T21" s="185"/>
      <c r="U21" s="185"/>
      <c r="V21" s="185"/>
    </row>
    <row r="22" spans="1:22" s="128" customFormat="1" ht="37.5" customHeight="1" x14ac:dyDescent="0.2">
      <c r="A22" s="162" t="s">
        <v>133</v>
      </c>
      <c r="B22" s="181" t="s">
        <v>68</v>
      </c>
      <c r="C22" s="169" t="s">
        <v>156</v>
      </c>
      <c r="D22" s="181" t="s">
        <v>70</v>
      </c>
      <c r="E22" s="174" t="s">
        <v>8</v>
      </c>
      <c r="F22" s="174" t="s">
        <v>69</v>
      </c>
      <c r="G22" s="175"/>
      <c r="H22" s="174" t="s">
        <v>9</v>
      </c>
      <c r="I22" s="176" t="s">
        <v>14</v>
      </c>
      <c r="J22" s="300" t="s">
        <v>47</v>
      </c>
      <c r="K22" s="358"/>
      <c r="L22" s="358"/>
      <c r="M22" s="358"/>
      <c r="N22" s="358"/>
      <c r="O22" s="358"/>
      <c r="P22" s="358"/>
      <c r="Q22" s="358"/>
      <c r="R22" s="358"/>
      <c r="S22" s="358"/>
      <c r="T22" s="358"/>
      <c r="U22" s="358"/>
      <c r="V22" s="358"/>
    </row>
    <row r="23" spans="1:22" s="128" customFormat="1" ht="27.75" customHeight="1" x14ac:dyDescent="0.2">
      <c r="A23" s="162"/>
      <c r="B23" s="288" t="s">
        <v>71</v>
      </c>
      <c r="C23" s="289" t="s">
        <v>157</v>
      </c>
      <c r="D23" s="131" t="s">
        <v>11</v>
      </c>
      <c r="E23" s="311">
        <v>1</v>
      </c>
      <c r="F23" s="145">
        <v>2</v>
      </c>
      <c r="G23" s="132"/>
      <c r="H23" s="203">
        <f>IF(D23="HRS",Hoja1!$D$48,IF('Estado de costos'!D23="DIAS",Hoja1!$E$48))</f>
        <v>240</v>
      </c>
      <c r="I23" s="203">
        <f>+H23*F23*E23</f>
        <v>480</v>
      </c>
      <c r="J23" s="134">
        <v>500</v>
      </c>
      <c r="K23" s="198"/>
      <c r="L23" s="185"/>
      <c r="M23" s="185"/>
      <c r="N23" s="185"/>
      <c r="O23" s="185"/>
      <c r="P23" s="185"/>
      <c r="Q23" s="191"/>
      <c r="R23" s="185"/>
      <c r="S23" s="192"/>
      <c r="T23" s="185"/>
      <c r="U23" s="185"/>
      <c r="V23" s="185"/>
    </row>
    <row r="24" spans="1:22" s="128" customFormat="1" ht="27.75" customHeight="1" x14ac:dyDescent="0.2">
      <c r="A24" s="162"/>
      <c r="B24" s="288" t="s">
        <v>149</v>
      </c>
      <c r="C24" s="289" t="s">
        <v>157</v>
      </c>
      <c r="D24" s="131" t="s">
        <v>11</v>
      </c>
      <c r="E24" s="311">
        <v>1</v>
      </c>
      <c r="F24" s="145">
        <v>1</v>
      </c>
      <c r="G24" s="132"/>
      <c r="H24" s="316">
        <f>IF(D24="HRS",Hoja1!$D$49,IF('Estado de costos'!D24="DIAS",Hoja1!$E$49))</f>
        <v>208</v>
      </c>
      <c r="I24" s="316">
        <f>+H24*F24*E24</f>
        <v>208</v>
      </c>
      <c r="J24" s="134">
        <v>350</v>
      </c>
      <c r="K24" s="198"/>
      <c r="L24" s="185"/>
      <c r="M24" s="185"/>
      <c r="N24" s="185"/>
      <c r="O24" s="185"/>
      <c r="P24" s="185"/>
      <c r="Q24" s="191"/>
      <c r="R24" s="185"/>
      <c r="S24" s="192"/>
      <c r="T24" s="185"/>
      <c r="U24" s="185"/>
      <c r="V24" s="185"/>
    </row>
    <row r="25" spans="1:22" s="128" customFormat="1" ht="21.75" customHeight="1" x14ac:dyDescent="0.2">
      <c r="A25" s="162"/>
      <c r="B25" s="364" t="s">
        <v>123</v>
      </c>
      <c r="C25" s="365"/>
      <c r="D25" s="204"/>
      <c r="E25" s="318">
        <f>SUM(E23:E24)</f>
        <v>2</v>
      </c>
      <c r="F25" s="317">
        <f>SUM(F23:F24)</f>
        <v>3</v>
      </c>
      <c r="G25" s="205"/>
      <c r="H25" s="206">
        <f>SUM(H23:H24)</f>
        <v>448</v>
      </c>
      <c r="I25" s="206">
        <f>SUM(I23:I24)</f>
        <v>688</v>
      </c>
      <c r="J25" s="206">
        <f>SUM(J23:J24)</f>
        <v>850</v>
      </c>
      <c r="K25" s="198"/>
      <c r="L25" s="185"/>
      <c r="M25" s="185"/>
      <c r="N25" s="185"/>
      <c r="O25" s="185"/>
      <c r="P25" s="185"/>
      <c r="Q25" s="191"/>
      <c r="R25" s="185"/>
      <c r="S25" s="192"/>
      <c r="T25" s="185"/>
      <c r="U25" s="185"/>
      <c r="V25" s="185"/>
    </row>
    <row r="26" spans="1:22" s="129" customFormat="1" ht="37.5" customHeight="1" x14ac:dyDescent="0.25">
      <c r="A26" s="164">
        <v>3</v>
      </c>
      <c r="B26" s="363" t="s">
        <v>153</v>
      </c>
      <c r="C26" s="363"/>
      <c r="D26" s="363"/>
      <c r="E26" s="363"/>
      <c r="F26" s="363"/>
      <c r="G26" s="363"/>
      <c r="H26" s="363"/>
      <c r="I26" s="363"/>
      <c r="J26" s="207"/>
      <c r="K26" s="208"/>
      <c r="L26" s="168"/>
      <c r="M26" s="168"/>
      <c r="N26" s="168"/>
      <c r="O26" s="168"/>
      <c r="P26" s="168"/>
      <c r="Q26" s="201"/>
      <c r="R26" s="168"/>
      <c r="S26" s="202"/>
      <c r="T26" s="168"/>
      <c r="U26" s="168"/>
      <c r="V26" s="168"/>
    </row>
    <row r="27" spans="1:22" s="124" customFormat="1" ht="7.5" customHeight="1" x14ac:dyDescent="0.25">
      <c r="A27" s="162"/>
      <c r="B27" s="177"/>
      <c r="C27" s="178"/>
      <c r="D27" s="179"/>
      <c r="E27" s="207"/>
      <c r="F27" s="207"/>
      <c r="G27" s="207"/>
      <c r="H27" s="209"/>
      <c r="I27" s="207"/>
      <c r="J27" s="207"/>
      <c r="K27" s="210"/>
      <c r="L27" s="159"/>
      <c r="M27" s="159"/>
      <c r="N27" s="159"/>
      <c r="O27" s="159"/>
      <c r="P27" s="159"/>
      <c r="Q27" s="191"/>
      <c r="R27" s="159"/>
      <c r="S27" s="192"/>
      <c r="T27" s="159"/>
      <c r="U27" s="159"/>
      <c r="V27" s="159"/>
    </row>
    <row r="28" spans="1:22" s="124" customFormat="1" ht="28.5" customHeight="1" x14ac:dyDescent="0.25">
      <c r="A28" s="162" t="s">
        <v>134</v>
      </c>
      <c r="B28" s="336" t="s">
        <v>1</v>
      </c>
      <c r="C28" s="337"/>
      <c r="D28" s="338"/>
      <c r="E28" s="336" t="s">
        <v>45</v>
      </c>
      <c r="F28" s="337"/>
      <c r="G28" s="337"/>
      <c r="H28" s="337"/>
      <c r="I28" s="338"/>
      <c r="J28" s="172"/>
      <c r="K28" s="211"/>
      <c r="L28" s="212"/>
      <c r="M28" s="213"/>
      <c r="N28" s="213"/>
      <c r="O28" s="213"/>
      <c r="P28" s="213"/>
      <c r="Q28" s="191"/>
      <c r="R28" s="159"/>
      <c r="S28" s="192"/>
      <c r="T28" s="159"/>
      <c r="U28" s="159"/>
      <c r="V28" s="159"/>
    </row>
    <row r="29" spans="1:22" s="135" customFormat="1" ht="51.75" customHeight="1" x14ac:dyDescent="0.25">
      <c r="A29" s="219"/>
      <c r="B29" s="214" t="s">
        <v>66</v>
      </c>
      <c r="C29" s="331" t="s">
        <v>65</v>
      </c>
      <c r="D29" s="332"/>
      <c r="E29" s="169" t="s">
        <v>10</v>
      </c>
      <c r="F29" s="169" t="s">
        <v>6</v>
      </c>
      <c r="G29" s="169" t="s">
        <v>37</v>
      </c>
      <c r="H29" s="169" t="s">
        <v>49</v>
      </c>
      <c r="I29" s="214" t="s">
        <v>35</v>
      </c>
      <c r="J29" s="301" t="s">
        <v>47</v>
      </c>
      <c r="K29" s="215"/>
      <c r="L29" s="216"/>
      <c r="M29" s="216"/>
      <c r="N29" s="216"/>
      <c r="O29" s="216"/>
      <c r="P29" s="216"/>
      <c r="Q29" s="217"/>
      <c r="R29" s="217"/>
      <c r="S29" s="217"/>
      <c r="T29" s="217"/>
      <c r="U29" s="217"/>
      <c r="V29" s="218"/>
    </row>
    <row r="30" spans="1:22" s="124" customFormat="1" ht="35.25" customHeight="1" x14ac:dyDescent="0.25">
      <c r="A30" s="162"/>
      <c r="B30" s="323"/>
      <c r="C30" s="137"/>
      <c r="D30" s="138"/>
      <c r="E30" s="139"/>
      <c r="F30" s="140">
        <v>0</v>
      </c>
      <c r="G30" s="133">
        <f>+F30*E30</f>
        <v>0</v>
      </c>
      <c r="H30" s="141" t="s">
        <v>13</v>
      </c>
      <c r="I30" s="203">
        <f>IF(H30="FACTURA",G30*0.87,IF(H30=Hoja1!$Q$2,G30/0.92,IF(H30="ALMACEN",G30*1,"")))</f>
        <v>0</v>
      </c>
      <c r="J30" s="140"/>
      <c r="K30" s="220" t="str">
        <f>"888"</f>
        <v>888</v>
      </c>
      <c r="L30" s="221"/>
      <c r="M30" s="222"/>
      <c r="N30" s="222"/>
      <c r="O30" s="222"/>
      <c r="P30" s="222"/>
      <c r="Q30" s="167"/>
      <c r="R30" s="167"/>
      <c r="S30" s="167"/>
      <c r="T30" s="167"/>
      <c r="U30" s="167"/>
      <c r="V30" s="159"/>
    </row>
    <row r="31" spans="1:22" s="124" customFormat="1" ht="35.25" customHeight="1" x14ac:dyDescent="0.25">
      <c r="A31" s="162"/>
      <c r="B31" s="136"/>
      <c r="C31" s="137"/>
      <c r="D31" s="138"/>
      <c r="E31" s="139"/>
      <c r="F31" s="140"/>
      <c r="G31" s="133">
        <f>+F31*E31</f>
        <v>0</v>
      </c>
      <c r="H31" s="141"/>
      <c r="I31" s="322" t="str">
        <f>IF(H31="FACTURA",G31*0.87,IF(H31=Hoja1!$Q$2,G31/0.92,IF(H31="ALMACEN",G31*1,"")))</f>
        <v/>
      </c>
      <c r="J31" s="140"/>
      <c r="K31" s="220" t="str">
        <f>"888"</f>
        <v>888</v>
      </c>
      <c r="L31" s="221"/>
      <c r="M31" s="222"/>
      <c r="N31" s="222"/>
      <c r="O31" s="222"/>
      <c r="P31" s="222"/>
      <c r="Q31" s="167"/>
      <c r="R31" s="167"/>
      <c r="S31" s="167"/>
      <c r="T31" s="167"/>
      <c r="U31" s="167"/>
      <c r="V31" s="159"/>
    </row>
    <row r="32" spans="1:22" s="124" customFormat="1" ht="36" customHeight="1" x14ac:dyDescent="0.2">
      <c r="A32" s="162"/>
      <c r="B32" s="364" t="s">
        <v>50</v>
      </c>
      <c r="C32" s="366"/>
      <c r="D32" s="366"/>
      <c r="E32" s="366"/>
      <c r="F32" s="366"/>
      <c r="G32" s="366"/>
      <c r="H32" s="365"/>
      <c r="I32" s="206">
        <f ca="1">SUM(I30:OFFSET(I32,-1,0))</f>
        <v>0</v>
      </c>
      <c r="J32" s="223">
        <f ca="1">SUM(J30:OFFSET(J32,-1,0))</f>
        <v>0</v>
      </c>
      <c r="K32" s="220"/>
      <c r="L32" s="221"/>
      <c r="M32" s="221"/>
      <c r="N32" s="221"/>
      <c r="O32" s="221"/>
      <c r="P32" s="221"/>
      <c r="Q32" s="167"/>
      <c r="R32" s="167"/>
      <c r="S32" s="167"/>
      <c r="T32" s="167"/>
      <c r="U32" s="167"/>
      <c r="V32" s="159"/>
    </row>
    <row r="33" spans="1:22" s="124" customFormat="1" ht="12.75" customHeight="1" x14ac:dyDescent="0.2">
      <c r="A33" s="162"/>
      <c r="B33" s="224"/>
      <c r="C33" s="224"/>
      <c r="D33" s="225"/>
      <c r="E33" s="225"/>
      <c r="F33" s="224"/>
      <c r="G33" s="224"/>
      <c r="H33" s="224"/>
      <c r="I33" s="224"/>
      <c r="J33" s="173"/>
      <c r="K33" s="226"/>
      <c r="L33" s="227"/>
      <c r="M33" s="167"/>
      <c r="N33" s="167"/>
      <c r="O33" s="167"/>
      <c r="P33" s="167"/>
      <c r="Q33" s="167"/>
      <c r="R33" s="167"/>
      <c r="S33" s="167"/>
      <c r="T33" s="167"/>
      <c r="U33" s="167"/>
      <c r="V33" s="159"/>
    </row>
    <row r="34" spans="1:22" s="124" customFormat="1" ht="12.75" customHeight="1" x14ac:dyDescent="0.2">
      <c r="A34" s="162"/>
      <c r="B34" s="224"/>
      <c r="C34" s="224"/>
      <c r="D34" s="225"/>
      <c r="E34" s="225"/>
      <c r="F34" s="224"/>
      <c r="G34" s="224"/>
      <c r="H34" s="224"/>
      <c r="I34" s="224"/>
      <c r="J34" s="173"/>
      <c r="K34" s="226"/>
      <c r="L34" s="227"/>
      <c r="M34" s="167"/>
      <c r="N34" s="167"/>
      <c r="O34" s="167"/>
      <c r="P34" s="167"/>
      <c r="Q34" s="167"/>
      <c r="R34" s="167"/>
      <c r="S34" s="167"/>
      <c r="T34" s="167"/>
      <c r="U34" s="167"/>
      <c r="V34" s="159"/>
    </row>
    <row r="35" spans="1:22" s="124" customFormat="1" ht="12.75" hidden="1" customHeight="1" x14ac:dyDescent="0.2">
      <c r="A35" s="162"/>
      <c r="B35" s="224"/>
      <c r="C35" s="224"/>
      <c r="D35" s="225"/>
      <c r="E35" s="225"/>
      <c r="F35" s="224"/>
      <c r="G35" s="224"/>
      <c r="H35" s="224"/>
      <c r="I35" s="228">
        <f ca="1">+I32+I41</f>
        <v>0</v>
      </c>
      <c r="J35" s="228"/>
      <c r="K35" s="229"/>
      <c r="L35" s="227"/>
      <c r="M35" s="167"/>
      <c r="N35" s="167"/>
      <c r="O35" s="167"/>
      <c r="P35" s="167"/>
      <c r="Q35" s="167"/>
      <c r="R35" s="167"/>
      <c r="S35" s="167"/>
      <c r="T35" s="167"/>
      <c r="U35" s="167"/>
      <c r="V35" s="159"/>
    </row>
    <row r="36" spans="1:22" s="124" customFormat="1" ht="12.75" customHeight="1" x14ac:dyDescent="0.2">
      <c r="A36" s="162"/>
      <c r="B36" s="224"/>
      <c r="C36" s="224"/>
      <c r="D36" s="225"/>
      <c r="E36" s="225"/>
      <c r="F36" s="224"/>
      <c r="G36" s="224"/>
      <c r="H36" s="224"/>
      <c r="I36" s="224"/>
      <c r="J36" s="228"/>
      <c r="K36" s="226"/>
      <c r="L36" s="227"/>
      <c r="M36" s="167"/>
      <c r="N36" s="167"/>
      <c r="O36" s="167"/>
      <c r="P36" s="167"/>
      <c r="Q36" s="167"/>
      <c r="R36" s="167"/>
      <c r="S36" s="167"/>
      <c r="T36" s="167"/>
      <c r="U36" s="167"/>
      <c r="V36" s="159"/>
    </row>
    <row r="37" spans="1:22" s="124" customFormat="1" ht="26.25" customHeight="1" x14ac:dyDescent="0.2">
      <c r="A37" s="162" t="s">
        <v>135</v>
      </c>
      <c r="B37" s="333" t="s">
        <v>154</v>
      </c>
      <c r="C37" s="334"/>
      <c r="D37" s="333" t="s">
        <v>46</v>
      </c>
      <c r="E37" s="355"/>
      <c r="F37" s="355"/>
      <c r="G37" s="355"/>
      <c r="H37" s="355"/>
      <c r="I37" s="355"/>
      <c r="J37" s="172"/>
      <c r="K37" s="226"/>
      <c r="L37" s="227"/>
      <c r="M37" s="167"/>
      <c r="N37" s="167"/>
      <c r="O37" s="167"/>
      <c r="P37" s="167"/>
      <c r="Q37" s="167"/>
      <c r="R37" s="167"/>
      <c r="S37" s="167"/>
      <c r="T37" s="167"/>
      <c r="U37" s="167"/>
      <c r="V37" s="159"/>
    </row>
    <row r="38" spans="1:22" s="124" customFormat="1" ht="50.25" customHeight="1" x14ac:dyDescent="0.2">
      <c r="A38" s="162"/>
      <c r="B38" s="181" t="s">
        <v>7</v>
      </c>
      <c r="C38" s="169" t="s">
        <v>65</v>
      </c>
      <c r="D38" s="181" t="s">
        <v>11</v>
      </c>
      <c r="E38" s="169" t="s">
        <v>10</v>
      </c>
      <c r="F38" s="169" t="s">
        <v>6</v>
      </c>
      <c r="G38" s="181" t="s">
        <v>5</v>
      </c>
      <c r="H38" s="181" t="s">
        <v>40</v>
      </c>
      <c r="I38" s="214" t="s">
        <v>41</v>
      </c>
      <c r="J38" s="302" t="s">
        <v>47</v>
      </c>
      <c r="K38" s="215"/>
      <c r="L38" s="216"/>
      <c r="M38" s="167"/>
      <c r="N38" s="216"/>
      <c r="O38" s="216"/>
      <c r="P38" s="167"/>
      <c r="Q38" s="230"/>
      <c r="R38" s="167"/>
      <c r="S38" s="167"/>
      <c r="T38" s="167"/>
      <c r="U38" s="167"/>
      <c r="V38" s="159"/>
    </row>
    <row r="39" spans="1:22" s="124" customFormat="1" ht="30.75" customHeight="1" x14ac:dyDescent="0.2">
      <c r="A39" s="162"/>
      <c r="B39" s="143" t="s">
        <v>176</v>
      </c>
      <c r="C39" s="144" t="s">
        <v>177</v>
      </c>
      <c r="D39" s="145">
        <v>2</v>
      </c>
      <c r="E39" s="146">
        <v>4</v>
      </c>
      <c r="F39" s="147">
        <v>0</v>
      </c>
      <c r="G39" s="133">
        <f t="shared" ref="G39" si="0">+F39*E39*D39</f>
        <v>0</v>
      </c>
      <c r="H39" s="148" t="s">
        <v>13</v>
      </c>
      <c r="I39" s="231">
        <f t="shared" ref="I39" si="1">IF(H39="FACTURA",G39*0.87,IF(H39="RECIBO",G39/0.845,IF(H39="SIN IMPUESTO",G39*1,IF(H39="ALQUILER SIN RECIBO",G39/0.84,IF(H39="VIATICOS",G39/0.87,"")))))</f>
        <v>0</v>
      </c>
      <c r="J39" s="134"/>
      <c r="K39" s="220" t="str">
        <f t="shared" ref="K39:K40" si="2">"888"</f>
        <v>888</v>
      </c>
      <c r="L39" s="221"/>
      <c r="M39" s="167"/>
      <c r="N39" s="221"/>
      <c r="O39" s="221"/>
      <c r="P39" s="167"/>
      <c r="Q39" s="230"/>
      <c r="R39" s="167"/>
      <c r="S39" s="167"/>
      <c r="T39" s="167"/>
      <c r="U39" s="167"/>
      <c r="V39" s="159"/>
    </row>
    <row r="40" spans="1:22" s="124" customFormat="1" ht="30.75" customHeight="1" x14ac:dyDescent="0.2">
      <c r="A40" s="162"/>
      <c r="B40" s="143" t="s">
        <v>178</v>
      </c>
      <c r="C40" s="144" t="s">
        <v>179</v>
      </c>
      <c r="D40" s="145">
        <v>3</v>
      </c>
      <c r="E40" s="146">
        <v>5</v>
      </c>
      <c r="F40" s="147">
        <v>0</v>
      </c>
      <c r="G40" s="133">
        <f t="shared" ref="G40" si="3">+F40*E40*D40</f>
        <v>0</v>
      </c>
      <c r="H40" s="148" t="s">
        <v>38</v>
      </c>
      <c r="I40" s="320">
        <f t="shared" ref="I40" si="4">IF(H40="FACTURA",G40*0.87,IF(H40="RECIBO",G40/0.845,IF(H40="SIN IMPUESTO",G40*1,IF(H40="ALQUILER SIN RECIBO",G40/0.84,IF(H40="VIATICOS",G40/0.87,"")))))</f>
        <v>0</v>
      </c>
      <c r="J40" s="134"/>
      <c r="K40" s="220" t="str">
        <f t="shared" si="2"/>
        <v>888</v>
      </c>
      <c r="L40" s="221"/>
      <c r="M40" s="167"/>
      <c r="N40" s="221"/>
      <c r="O40" s="221"/>
      <c r="P40" s="167"/>
      <c r="Q40" s="230"/>
      <c r="R40" s="167"/>
      <c r="S40" s="167"/>
      <c r="T40" s="167"/>
      <c r="U40" s="167"/>
      <c r="V40" s="159"/>
    </row>
    <row r="41" spans="1:22" s="124" customFormat="1" ht="20.25" customHeight="1" x14ac:dyDescent="0.2">
      <c r="A41" s="162"/>
      <c r="B41" s="364" t="s">
        <v>48</v>
      </c>
      <c r="C41" s="366"/>
      <c r="D41" s="366"/>
      <c r="E41" s="366"/>
      <c r="F41" s="366"/>
      <c r="G41" s="366"/>
      <c r="H41" s="365"/>
      <c r="I41" s="206">
        <f ca="1">SUM(I39:OFFSET(I41,-1,0))</f>
        <v>0</v>
      </c>
      <c r="J41" s="206">
        <f ca="1">SUM(J39:OFFSET(J41,-1,0))</f>
        <v>0</v>
      </c>
      <c r="K41" s="220"/>
      <c r="L41" s="221"/>
      <c r="M41" s="167"/>
      <c r="N41" s="235"/>
      <c r="O41" s="235"/>
      <c r="P41" s="167"/>
      <c r="Q41" s="236"/>
      <c r="R41" s="167"/>
      <c r="S41" s="167"/>
      <c r="T41" s="167"/>
      <c r="U41" s="167"/>
      <c r="V41" s="159"/>
    </row>
    <row r="42" spans="1:22" s="124" customFormat="1" ht="23.25" customHeight="1" x14ac:dyDescent="0.2">
      <c r="A42" s="162"/>
      <c r="B42" s="159"/>
      <c r="C42" s="159"/>
      <c r="D42" s="232"/>
      <c r="E42" s="232"/>
      <c r="F42" s="232"/>
      <c r="G42" s="232"/>
      <c r="H42" s="232"/>
      <c r="I42" s="233"/>
      <c r="J42" s="233"/>
      <c r="K42" s="220"/>
      <c r="L42" s="167"/>
      <c r="M42" s="167"/>
      <c r="N42" s="167"/>
      <c r="O42" s="167"/>
      <c r="P42" s="167"/>
      <c r="Q42" s="236"/>
      <c r="R42" s="167"/>
      <c r="S42" s="167"/>
      <c r="T42" s="167"/>
      <c r="U42" s="167"/>
      <c r="V42" s="159"/>
    </row>
    <row r="43" spans="1:22" s="124" customFormat="1" ht="27.75" customHeight="1" x14ac:dyDescent="0.2">
      <c r="A43" s="162"/>
      <c r="B43" s="367" t="s">
        <v>165</v>
      </c>
      <c r="C43" s="367"/>
      <c r="D43" s="367"/>
      <c r="E43" s="367"/>
      <c r="F43" s="367"/>
      <c r="G43" s="367"/>
      <c r="H43" s="367"/>
      <c r="I43" s="367"/>
      <c r="J43" s="367"/>
      <c r="K43" s="220"/>
      <c r="L43" s="167"/>
      <c r="M43" s="167"/>
      <c r="N43" s="167"/>
      <c r="O43" s="167"/>
      <c r="P43" s="167"/>
      <c r="Q43" s="236"/>
      <c r="R43" s="167"/>
      <c r="S43" s="167"/>
      <c r="T43" s="167"/>
      <c r="U43" s="167"/>
      <c r="V43" s="159"/>
    </row>
    <row r="44" spans="1:22" s="129" customFormat="1" ht="30" customHeight="1" x14ac:dyDescent="0.25">
      <c r="A44" s="164">
        <v>4</v>
      </c>
      <c r="B44" s="180" t="s">
        <v>151</v>
      </c>
      <c r="C44" s="168"/>
      <c r="D44" s="168"/>
      <c r="E44" s="168"/>
      <c r="F44" s="168"/>
      <c r="G44" s="168"/>
      <c r="H44" s="170"/>
      <c r="I44" s="170"/>
      <c r="J44" s="171"/>
      <c r="K44" s="237"/>
      <c r="L44" s="238"/>
      <c r="M44" s="238"/>
      <c r="N44" s="238"/>
      <c r="O44" s="238"/>
      <c r="P44" s="238"/>
      <c r="Q44" s="236"/>
      <c r="R44" s="238"/>
      <c r="S44" s="238"/>
      <c r="T44" s="238"/>
      <c r="U44" s="238"/>
      <c r="V44" s="168"/>
    </row>
    <row r="45" spans="1:22" s="124" customFormat="1" ht="11.25" customHeight="1" x14ac:dyDescent="0.2">
      <c r="A45" s="162"/>
      <c r="B45" s="159"/>
      <c r="C45" s="159"/>
      <c r="D45" s="159"/>
      <c r="E45" s="159"/>
      <c r="F45" s="159"/>
      <c r="G45" s="172"/>
      <c r="H45" s="172"/>
      <c r="I45" s="172"/>
      <c r="J45" s="173"/>
      <c r="K45" s="220"/>
      <c r="L45" s="167"/>
      <c r="M45" s="167"/>
      <c r="N45" s="167"/>
      <c r="O45" s="167"/>
      <c r="P45" s="167"/>
      <c r="Q45" s="236"/>
      <c r="R45" s="167"/>
      <c r="S45" s="167"/>
      <c r="T45" s="167"/>
      <c r="U45" s="167"/>
      <c r="V45" s="159"/>
    </row>
    <row r="46" spans="1:22" s="124" customFormat="1" ht="33" customHeight="1" x14ac:dyDescent="0.2">
      <c r="A46" s="162" t="s">
        <v>136</v>
      </c>
      <c r="B46" s="181" t="s">
        <v>128</v>
      </c>
      <c r="C46" s="356" t="s">
        <v>131</v>
      </c>
      <c r="D46" s="357"/>
      <c r="E46" s="234" t="s">
        <v>4</v>
      </c>
      <c r="F46" s="361" t="s">
        <v>6</v>
      </c>
      <c r="G46" s="361"/>
      <c r="H46" s="361"/>
      <c r="I46" s="214" t="s">
        <v>73</v>
      </c>
      <c r="J46" s="303" t="s">
        <v>47</v>
      </c>
      <c r="K46" s="220"/>
      <c r="L46" s="167"/>
      <c r="M46" s="167"/>
      <c r="N46" s="167"/>
      <c r="O46" s="167"/>
      <c r="P46" s="167"/>
      <c r="Q46" s="236"/>
      <c r="R46" s="167"/>
      <c r="S46" s="167"/>
      <c r="T46" s="167"/>
      <c r="U46" s="167"/>
      <c r="V46" s="159"/>
    </row>
    <row r="47" spans="1:22" s="124" customFormat="1" ht="33.75" customHeight="1" x14ac:dyDescent="0.2">
      <c r="A47" s="162"/>
      <c r="B47" s="149" t="s">
        <v>176</v>
      </c>
      <c r="C47" s="399"/>
      <c r="D47" s="399"/>
      <c r="E47" s="146">
        <v>3</v>
      </c>
      <c r="F47" s="362">
        <v>0</v>
      </c>
      <c r="G47" s="362"/>
      <c r="H47" s="362"/>
      <c r="I47" s="231">
        <f>+F47*E47</f>
        <v>0</v>
      </c>
      <c r="J47" s="134"/>
      <c r="K47" s="220" t="str">
        <f>"888"</f>
        <v>888</v>
      </c>
      <c r="L47" s="167"/>
      <c r="M47" s="167"/>
      <c r="N47" s="167"/>
      <c r="O47" s="167"/>
      <c r="P47" s="167"/>
      <c r="Q47" s="236"/>
      <c r="R47" s="167"/>
      <c r="S47" s="167"/>
      <c r="T47" s="167"/>
      <c r="U47" s="167"/>
      <c r="V47" s="159"/>
    </row>
    <row r="48" spans="1:22" s="124" customFormat="1" ht="26.25" customHeight="1" x14ac:dyDescent="0.2">
      <c r="A48" s="162"/>
      <c r="B48" s="393" t="s">
        <v>5</v>
      </c>
      <c r="C48" s="394"/>
      <c r="D48" s="394"/>
      <c r="E48" s="395"/>
      <c r="F48" s="368">
        <f>SUM(F47:H47)</f>
        <v>0</v>
      </c>
      <c r="G48" s="368"/>
      <c r="H48" s="368"/>
      <c r="I48" s="239">
        <f ca="1">SUM(I47:OFFSET(I48,-1,0))</f>
        <v>0</v>
      </c>
      <c r="J48" s="206">
        <f ca="1">SUM(J47:OFFSET(J48,-1,0))</f>
        <v>0</v>
      </c>
      <c r="K48" s="220"/>
      <c r="L48" s="167"/>
      <c r="M48" s="167"/>
      <c r="N48" s="167"/>
      <c r="O48" s="167"/>
      <c r="P48" s="167"/>
      <c r="Q48" s="236"/>
      <c r="R48" s="167"/>
      <c r="S48" s="167"/>
      <c r="T48" s="167"/>
      <c r="U48" s="167"/>
      <c r="V48" s="159"/>
    </row>
    <row r="49" spans="1:22" s="129" customFormat="1" ht="26.25" customHeight="1" x14ac:dyDescent="0.25">
      <c r="A49" s="164">
        <v>5</v>
      </c>
      <c r="B49" s="180" t="s">
        <v>169</v>
      </c>
      <c r="C49" s="168"/>
      <c r="D49" s="168"/>
      <c r="E49" s="168"/>
      <c r="F49" s="168"/>
      <c r="G49" s="168"/>
      <c r="H49" s="170"/>
      <c r="I49" s="170"/>
      <c r="J49" s="171"/>
      <c r="K49" s="237"/>
      <c r="L49" s="238"/>
      <c r="M49" s="238"/>
      <c r="N49" s="238"/>
      <c r="O49" s="238"/>
      <c r="P49" s="238"/>
      <c r="Q49" s="236"/>
      <c r="R49" s="238"/>
      <c r="S49" s="238"/>
      <c r="T49" s="238"/>
      <c r="U49" s="238"/>
      <c r="V49" s="168"/>
    </row>
    <row r="50" spans="1:22" s="124" customFormat="1" ht="9" customHeight="1" x14ac:dyDescent="0.2">
      <c r="A50" s="162"/>
      <c r="B50" s="159"/>
      <c r="C50" s="159"/>
      <c r="D50" s="159"/>
      <c r="E50" s="159"/>
      <c r="F50" s="159"/>
      <c r="G50" s="172"/>
      <c r="H50" s="172"/>
      <c r="I50" s="172"/>
      <c r="J50" s="173"/>
      <c r="K50" s="220"/>
      <c r="L50" s="167"/>
      <c r="M50" s="167"/>
      <c r="N50" s="167"/>
      <c r="O50" s="167"/>
      <c r="P50" s="167"/>
      <c r="Q50" s="236"/>
      <c r="R50" s="167"/>
      <c r="S50" s="167"/>
      <c r="T50" s="167"/>
      <c r="U50" s="167"/>
      <c r="V50" s="159"/>
    </row>
    <row r="51" spans="1:22" s="124" customFormat="1" ht="30.75" customHeight="1" x14ac:dyDescent="0.2">
      <c r="A51" s="162" t="s">
        <v>137</v>
      </c>
      <c r="B51" s="181" t="s">
        <v>129</v>
      </c>
      <c r="C51" s="356" t="s">
        <v>67</v>
      </c>
      <c r="D51" s="357"/>
      <c r="E51" s="234" t="s">
        <v>2</v>
      </c>
      <c r="F51" s="361" t="s">
        <v>6</v>
      </c>
      <c r="G51" s="361"/>
      <c r="H51" s="361"/>
      <c r="I51" s="214" t="s">
        <v>73</v>
      </c>
      <c r="J51" s="300" t="s">
        <v>47</v>
      </c>
      <c r="K51" s="220"/>
      <c r="L51" s="167"/>
      <c r="M51" s="167"/>
      <c r="N51" s="167"/>
      <c r="O51" s="167"/>
      <c r="P51" s="167"/>
      <c r="Q51" s="236"/>
      <c r="R51" s="167"/>
      <c r="S51" s="167"/>
      <c r="T51" s="167"/>
      <c r="U51" s="167"/>
      <c r="V51" s="159"/>
    </row>
    <row r="52" spans="1:22" s="124" customFormat="1" ht="30" customHeight="1" x14ac:dyDescent="0.2">
      <c r="A52" s="162"/>
      <c r="B52" s="149" t="s">
        <v>176</v>
      </c>
      <c r="C52" s="398"/>
      <c r="D52" s="398"/>
      <c r="E52" s="150">
        <v>5</v>
      </c>
      <c r="F52" s="359">
        <v>0</v>
      </c>
      <c r="G52" s="359"/>
      <c r="H52" s="359"/>
      <c r="I52" s="231">
        <f>+F52*E52</f>
        <v>0</v>
      </c>
      <c r="J52" s="134"/>
      <c r="K52" s="220" t="str">
        <f>"888"</f>
        <v>888</v>
      </c>
      <c r="L52" s="167"/>
      <c r="M52" s="167"/>
      <c r="N52" s="167"/>
      <c r="O52" s="167"/>
      <c r="P52" s="167"/>
      <c r="Q52" s="236"/>
      <c r="R52" s="167"/>
      <c r="S52" s="167"/>
      <c r="T52" s="167"/>
      <c r="U52" s="167"/>
      <c r="V52" s="159"/>
    </row>
    <row r="53" spans="1:22" s="124" customFormat="1" ht="24" customHeight="1" x14ac:dyDescent="0.2">
      <c r="A53" s="162"/>
      <c r="B53" s="393" t="s">
        <v>5</v>
      </c>
      <c r="C53" s="394"/>
      <c r="D53" s="395"/>
      <c r="E53" s="240">
        <f>SUM(E52:E52)</f>
        <v>5</v>
      </c>
      <c r="F53" s="360">
        <f>SUM(F52:H52)</f>
        <v>0</v>
      </c>
      <c r="G53" s="360"/>
      <c r="H53" s="360"/>
      <c r="I53" s="239">
        <f ca="1">SUM(I52:OFFSET(I53,-1,0))</f>
        <v>0</v>
      </c>
      <c r="J53" s="206">
        <f ca="1">SUM(J52:OFFSET(J53,-1,0))</f>
        <v>0</v>
      </c>
      <c r="K53" s="220"/>
      <c r="L53" s="167"/>
      <c r="M53" s="167"/>
      <c r="N53" s="167"/>
      <c r="O53" s="167"/>
      <c r="P53" s="167"/>
      <c r="Q53" s="236"/>
      <c r="R53" s="167"/>
      <c r="S53" s="167"/>
      <c r="T53" s="167"/>
      <c r="U53" s="167"/>
      <c r="V53" s="159"/>
    </row>
    <row r="54" spans="1:22" s="129" customFormat="1" ht="26.25" customHeight="1" x14ac:dyDescent="0.25">
      <c r="A54" s="164">
        <v>6</v>
      </c>
      <c r="B54" s="180" t="s">
        <v>132</v>
      </c>
      <c r="C54" s="168"/>
      <c r="D54" s="168"/>
      <c r="E54" s="168"/>
      <c r="F54" s="168"/>
      <c r="G54" s="168"/>
      <c r="H54" s="170"/>
      <c r="I54" s="170"/>
      <c r="J54" s="171"/>
      <c r="K54" s="237"/>
      <c r="L54" s="238"/>
      <c r="M54" s="238"/>
      <c r="N54" s="238"/>
      <c r="O54" s="238"/>
      <c r="P54" s="238"/>
      <c r="Q54" s="236"/>
      <c r="R54" s="238"/>
      <c r="S54" s="238"/>
      <c r="T54" s="238"/>
      <c r="U54" s="238"/>
      <c r="V54" s="168"/>
    </row>
    <row r="55" spans="1:22" s="124" customFormat="1" ht="10.5" customHeight="1" x14ac:dyDescent="0.2">
      <c r="A55" s="162"/>
      <c r="B55" s="159"/>
      <c r="C55" s="159"/>
      <c r="D55" s="159"/>
      <c r="E55" s="159"/>
      <c r="F55" s="159"/>
      <c r="G55" s="172"/>
      <c r="H55" s="172"/>
      <c r="I55" s="172"/>
      <c r="J55" s="173"/>
      <c r="K55" s="220"/>
      <c r="L55" s="167"/>
      <c r="M55" s="167"/>
      <c r="N55" s="167"/>
      <c r="O55" s="167"/>
      <c r="P55" s="167"/>
      <c r="Q55" s="236"/>
      <c r="R55" s="167"/>
      <c r="S55" s="167"/>
      <c r="T55" s="167"/>
      <c r="U55" s="167"/>
      <c r="V55" s="159"/>
    </row>
    <row r="56" spans="1:22" s="124" customFormat="1" ht="26.25" customHeight="1" x14ac:dyDescent="0.2">
      <c r="A56" s="162" t="s">
        <v>138</v>
      </c>
      <c r="B56" s="181" t="s">
        <v>129</v>
      </c>
      <c r="C56" s="356" t="s">
        <v>67</v>
      </c>
      <c r="D56" s="357"/>
      <c r="E56" s="234" t="s">
        <v>2</v>
      </c>
      <c r="F56" s="361" t="s">
        <v>6</v>
      </c>
      <c r="G56" s="361"/>
      <c r="H56" s="361"/>
      <c r="I56" s="169" t="s">
        <v>73</v>
      </c>
      <c r="J56" s="304" t="s">
        <v>47</v>
      </c>
      <c r="K56" s="220"/>
      <c r="L56" s="167"/>
      <c r="M56" s="167"/>
      <c r="N56" s="167"/>
      <c r="O56" s="167"/>
      <c r="P56" s="167"/>
      <c r="Q56" s="236"/>
      <c r="R56" s="167"/>
      <c r="S56" s="167"/>
      <c r="T56" s="167"/>
      <c r="U56" s="167"/>
      <c r="V56" s="159"/>
    </row>
    <row r="57" spans="1:22" s="124" customFormat="1" ht="26.25" customHeight="1" x14ac:dyDescent="0.2">
      <c r="A57" s="162"/>
      <c r="B57" s="149"/>
      <c r="C57" s="396"/>
      <c r="D57" s="397"/>
      <c r="E57" s="150"/>
      <c r="F57" s="359"/>
      <c r="G57" s="359"/>
      <c r="H57" s="359"/>
      <c r="I57" s="231">
        <f>+F57*E57</f>
        <v>0</v>
      </c>
      <c r="J57" s="134"/>
      <c r="K57" s="220" t="str">
        <f>"888"</f>
        <v>888</v>
      </c>
      <c r="L57" s="167"/>
      <c r="M57" s="167"/>
      <c r="N57" s="167"/>
      <c r="O57" s="167"/>
      <c r="P57" s="167"/>
      <c r="Q57" s="236"/>
      <c r="R57" s="167"/>
      <c r="S57" s="167"/>
      <c r="T57" s="167"/>
      <c r="U57" s="167"/>
      <c r="V57" s="159"/>
    </row>
    <row r="58" spans="1:22" s="124" customFormat="1" ht="26.25" customHeight="1" x14ac:dyDescent="0.2">
      <c r="A58" s="162"/>
      <c r="B58" s="393" t="s">
        <v>5</v>
      </c>
      <c r="C58" s="394"/>
      <c r="D58" s="395"/>
      <c r="E58" s="240">
        <f>SUM(E57:E57)</f>
        <v>0</v>
      </c>
      <c r="F58" s="360">
        <f>SUM(F57:H57)</f>
        <v>0</v>
      </c>
      <c r="G58" s="360"/>
      <c r="H58" s="360"/>
      <c r="I58" s="239">
        <f ca="1">SUM(I57:OFFSET(I58,-1,0))</f>
        <v>0</v>
      </c>
      <c r="J58" s="206">
        <f ca="1">SUM(J57:OFFSET(J58,-1,0))</f>
        <v>0</v>
      </c>
      <c r="K58" s="220"/>
      <c r="L58" s="167"/>
      <c r="M58" s="167"/>
      <c r="N58" s="167"/>
      <c r="O58" s="167"/>
      <c r="P58" s="167"/>
      <c r="Q58" s="236"/>
      <c r="R58" s="167"/>
      <c r="S58" s="167"/>
      <c r="T58" s="167"/>
      <c r="U58" s="167"/>
      <c r="V58" s="159"/>
    </row>
    <row r="59" spans="1:22" s="129" customFormat="1" ht="34.5" customHeight="1" x14ac:dyDescent="0.25">
      <c r="A59" s="164">
        <v>7</v>
      </c>
      <c r="B59" s="403" t="s">
        <v>51</v>
      </c>
      <c r="C59" s="404"/>
      <c r="D59" s="404"/>
      <c r="E59" s="404"/>
      <c r="F59" s="404"/>
      <c r="G59" s="404"/>
      <c r="H59" s="404"/>
      <c r="I59" s="168"/>
      <c r="J59" s="241"/>
      <c r="K59" s="208"/>
      <c r="L59" s="238"/>
      <c r="M59" s="238"/>
      <c r="N59" s="238"/>
      <c r="O59" s="238"/>
      <c r="P59" s="238"/>
      <c r="Q59" s="236"/>
      <c r="R59" s="238"/>
      <c r="S59" s="238"/>
      <c r="T59" s="238"/>
      <c r="U59" s="238"/>
      <c r="V59" s="168"/>
    </row>
    <row r="60" spans="1:22" s="124" customFormat="1" ht="9" customHeight="1" thickBot="1" x14ac:dyDescent="0.25">
      <c r="A60" s="162"/>
      <c r="B60" s="159"/>
      <c r="C60" s="159"/>
      <c r="D60" s="159"/>
      <c r="E60" s="159"/>
      <c r="F60" s="159"/>
      <c r="G60" s="167"/>
      <c r="H60" s="167"/>
      <c r="I60" s="167"/>
      <c r="J60" s="159"/>
      <c r="K60" s="242"/>
      <c r="L60" s="159"/>
      <c r="M60" s="159"/>
      <c r="N60" s="159"/>
      <c r="O60" s="159"/>
      <c r="P60" s="159"/>
      <c r="Q60" s="243"/>
      <c r="R60" s="159"/>
      <c r="S60" s="192"/>
      <c r="T60" s="159"/>
      <c r="U60" s="159"/>
      <c r="V60" s="159"/>
    </row>
    <row r="61" spans="1:22" s="124" customFormat="1" ht="79.5" customHeight="1" thickBot="1" x14ac:dyDescent="0.25">
      <c r="A61" s="162">
        <v>7.1</v>
      </c>
      <c r="B61" s="353" t="s">
        <v>54</v>
      </c>
      <c r="C61" s="354"/>
      <c r="D61" s="244" t="s">
        <v>32</v>
      </c>
      <c r="E61" s="245" t="s">
        <v>30</v>
      </c>
      <c r="F61" s="244" t="s">
        <v>33</v>
      </c>
      <c r="G61" s="246" t="s">
        <v>36</v>
      </c>
      <c r="H61" s="247"/>
      <c r="I61" s="247"/>
      <c r="J61" s="159"/>
      <c r="K61" s="242"/>
      <c r="L61" s="159"/>
      <c r="M61" s="159"/>
      <c r="N61" s="159"/>
      <c r="O61" s="159"/>
      <c r="P61" s="159"/>
      <c r="Q61" s="243"/>
      <c r="R61" s="159"/>
      <c r="S61" s="192"/>
      <c r="T61" s="159"/>
      <c r="U61" s="159"/>
      <c r="V61" s="159"/>
    </row>
    <row r="62" spans="1:22" s="124" customFormat="1" ht="40.5" customHeight="1" thickBot="1" x14ac:dyDescent="0.25">
      <c r="A62" s="162"/>
      <c r="B62" s="248"/>
      <c r="C62" s="248"/>
      <c r="D62" s="249">
        <f ca="1">I41+I32+I25+I58</f>
        <v>688</v>
      </c>
      <c r="E62" s="250">
        <v>0.17</v>
      </c>
      <c r="F62" s="249">
        <f ca="1">+E62*D62</f>
        <v>116.96000000000001</v>
      </c>
      <c r="G62" s="251" t="e">
        <f>+#REF!+#REF!+#REF!</f>
        <v>#REF!</v>
      </c>
      <c r="H62" s="252"/>
      <c r="I62" s="253"/>
      <c r="J62" s="159"/>
      <c r="K62" s="242"/>
      <c r="L62" s="159"/>
      <c r="M62" s="159"/>
      <c r="N62" s="159"/>
      <c r="O62" s="159"/>
      <c r="P62" s="159"/>
      <c r="Q62" s="243"/>
      <c r="R62" s="159"/>
      <c r="S62" s="192"/>
      <c r="T62" s="159"/>
      <c r="U62" s="159"/>
      <c r="V62" s="159"/>
    </row>
    <row r="63" spans="1:22" s="124" customFormat="1" ht="15" x14ac:dyDescent="0.2">
      <c r="A63" s="162"/>
      <c r="B63" s="159"/>
      <c r="C63" s="159"/>
      <c r="D63" s="159"/>
      <c r="E63" s="159"/>
      <c r="F63" s="159"/>
      <c r="G63" s="167"/>
      <c r="H63" s="167"/>
      <c r="I63" s="167"/>
      <c r="J63" s="159"/>
      <c r="K63" s="242"/>
      <c r="L63" s="159"/>
      <c r="M63" s="159"/>
      <c r="N63" s="159"/>
      <c r="O63" s="159"/>
      <c r="P63" s="159"/>
      <c r="Q63" s="243"/>
      <c r="R63" s="159"/>
      <c r="S63" s="192"/>
      <c r="T63" s="159"/>
      <c r="U63" s="159"/>
      <c r="V63" s="159"/>
    </row>
    <row r="64" spans="1:22" s="124" customFormat="1" thickBot="1" x14ac:dyDescent="0.25">
      <c r="A64" s="162"/>
      <c r="B64" s="159"/>
      <c r="C64" s="159"/>
      <c r="D64" s="159"/>
      <c r="E64" s="159"/>
      <c r="F64" s="159"/>
      <c r="G64" s="167"/>
      <c r="H64" s="167"/>
      <c r="I64" s="167"/>
      <c r="J64" s="159"/>
      <c r="K64" s="242"/>
      <c r="L64" s="159"/>
      <c r="M64" s="159"/>
      <c r="N64" s="159"/>
      <c r="O64" s="159"/>
      <c r="P64" s="159"/>
      <c r="Q64" s="243"/>
      <c r="R64" s="159"/>
      <c r="S64" s="192"/>
      <c r="T64" s="159"/>
      <c r="U64" s="159"/>
      <c r="V64" s="159"/>
    </row>
    <row r="65" spans="1:22" s="124" customFormat="1" ht="75.75" customHeight="1" thickBot="1" x14ac:dyDescent="0.25">
      <c r="A65" s="162">
        <v>7.2</v>
      </c>
      <c r="B65" s="351" t="s">
        <v>18</v>
      </c>
      <c r="C65" s="352"/>
      <c r="D65" s="244" t="s">
        <v>8</v>
      </c>
      <c r="E65" s="245" t="s">
        <v>29</v>
      </c>
      <c r="F65" s="244" t="s">
        <v>24</v>
      </c>
      <c r="G65" s="246" t="s">
        <v>12</v>
      </c>
      <c r="H65" s="247"/>
      <c r="I65" s="247"/>
      <c r="J65" s="254"/>
      <c r="K65" s="242"/>
      <c r="L65" s="159"/>
      <c r="M65" s="159"/>
      <c r="N65" s="159"/>
      <c r="O65" s="159"/>
      <c r="P65" s="159"/>
      <c r="Q65" s="243"/>
      <c r="R65" s="159"/>
      <c r="S65" s="192"/>
      <c r="T65" s="159"/>
      <c r="U65" s="159"/>
      <c r="V65" s="159"/>
    </row>
    <row r="66" spans="1:22" s="124" customFormat="1" ht="25.5" customHeight="1" thickBot="1" x14ac:dyDescent="0.25">
      <c r="A66" s="159"/>
      <c r="B66" s="350">
        <f>D66*E66</f>
        <v>5.4487179487179493E-3</v>
      </c>
      <c r="C66" s="350"/>
      <c r="D66" s="255">
        <f>+C18</f>
        <v>10</v>
      </c>
      <c r="E66" s="256">
        <f>Hoja1!F14</f>
        <v>5.4487179487179495E-4</v>
      </c>
      <c r="F66" s="257">
        <f ca="1">+E66*D66*(D62+F62)</f>
        <v>4.386000000000001</v>
      </c>
      <c r="G66" s="258" t="e">
        <f>+#REF!</f>
        <v>#REF!</v>
      </c>
      <c r="H66" s="259"/>
      <c r="I66" s="235"/>
      <c r="J66" s="159"/>
      <c r="K66" s="242"/>
      <c r="L66" s="159"/>
      <c r="M66" s="159"/>
      <c r="N66" s="159"/>
      <c r="O66" s="159"/>
      <c r="P66" s="159"/>
      <c r="Q66" s="243"/>
      <c r="R66" s="159"/>
      <c r="S66" s="192"/>
      <c r="T66" s="159"/>
      <c r="U66" s="159"/>
      <c r="V66" s="159"/>
    </row>
    <row r="67" spans="1:22" s="124" customFormat="1" ht="32.25" customHeight="1" thickBot="1" x14ac:dyDescent="0.25">
      <c r="A67" s="159"/>
      <c r="B67" s="159"/>
      <c r="C67" s="159"/>
      <c r="D67" s="159"/>
      <c r="E67" s="159"/>
      <c r="F67" s="159"/>
      <c r="G67" s="159"/>
      <c r="H67" s="167"/>
      <c r="I67" s="260"/>
      <c r="J67" s="159"/>
      <c r="K67" s="242"/>
      <c r="L67" s="159"/>
      <c r="M67" s="159"/>
      <c r="N67" s="159"/>
      <c r="O67" s="159"/>
      <c r="P67" s="159"/>
      <c r="Q67" s="243"/>
      <c r="R67" s="159"/>
      <c r="S67" s="192"/>
      <c r="T67" s="159"/>
      <c r="U67" s="159"/>
      <c r="V67" s="159"/>
    </row>
    <row r="68" spans="1:22" s="124" customFormat="1" ht="21" thickBot="1" x14ac:dyDescent="0.25">
      <c r="A68" s="159"/>
      <c r="B68" s="261" t="s">
        <v>160</v>
      </c>
      <c r="C68" s="262">
        <f ca="1">IF(H71&lt;5000,0.17,IF(H71&lt;50000,0.16,IF(H71&gt;50000,0.15)))</f>
        <v>0.17</v>
      </c>
      <c r="D68" s="263"/>
      <c r="E68" s="263"/>
      <c r="F68" s="264"/>
      <c r="G68" s="151"/>
      <c r="H68" s="321">
        <v>0.17</v>
      </c>
      <c r="I68" s="391" t="s">
        <v>155</v>
      </c>
      <c r="J68" s="392"/>
      <c r="K68" s="264"/>
      <c r="L68" s="281"/>
      <c r="M68" s="282"/>
      <c r="N68" s="159"/>
      <c r="O68" s="159"/>
      <c r="P68" s="159"/>
      <c r="Q68" s="243"/>
      <c r="R68" s="159"/>
      <c r="S68" s="192"/>
      <c r="T68" s="159"/>
      <c r="U68" s="159"/>
      <c r="V68" s="159"/>
    </row>
    <row r="69" spans="1:22" s="152" customFormat="1" ht="24" customHeight="1" thickBot="1" x14ac:dyDescent="0.3">
      <c r="A69" s="265"/>
      <c r="B69" s="266"/>
      <c r="C69" s="267"/>
      <c r="D69" s="268"/>
      <c r="E69" s="268"/>
      <c r="F69" s="225"/>
      <c r="G69" s="142"/>
      <c r="H69" s="225"/>
      <c r="I69" s="225"/>
      <c r="J69" s="265"/>
      <c r="K69" s="275"/>
      <c r="L69" s="265"/>
      <c r="M69" s="265"/>
      <c r="N69" s="265"/>
      <c r="O69" s="265"/>
      <c r="P69" s="265"/>
      <c r="Q69" s="276"/>
      <c r="R69" s="265"/>
      <c r="S69" s="277"/>
      <c r="T69" s="265"/>
      <c r="U69" s="265"/>
      <c r="V69" s="265"/>
    </row>
    <row r="70" spans="1:22" s="124" customFormat="1" ht="22.5" customHeight="1" x14ac:dyDescent="0.25">
      <c r="A70" s="159"/>
      <c r="B70" s="269"/>
      <c r="C70" s="269"/>
      <c r="D70" s="269"/>
      <c r="E70" s="159"/>
      <c r="F70" s="159"/>
      <c r="H70" s="369" t="s">
        <v>34</v>
      </c>
      <c r="I70" s="370"/>
      <c r="J70" s="369" t="s">
        <v>167</v>
      </c>
      <c r="K70" s="370"/>
      <c r="L70" s="269"/>
      <c r="M70" s="278"/>
      <c r="N70" s="278"/>
      <c r="O70" s="278"/>
      <c r="P70" s="278"/>
      <c r="Q70" s="243"/>
      <c r="R70" s="159"/>
      <c r="S70" s="192"/>
      <c r="T70" s="159"/>
      <c r="U70" s="159"/>
      <c r="V70" s="159"/>
    </row>
    <row r="71" spans="1:22" s="124" customFormat="1" ht="27.75" customHeight="1" x14ac:dyDescent="0.2">
      <c r="A71" s="159"/>
      <c r="B71" s="270"/>
      <c r="C71" s="373" t="s">
        <v>15</v>
      </c>
      <c r="D71" s="374"/>
      <c r="E71" s="374"/>
      <c r="F71" s="374"/>
      <c r="G71" s="296"/>
      <c r="H71" s="371">
        <f ca="1">+F66+F62+I41+I32+I53+I48+I58+I25</f>
        <v>809.346</v>
      </c>
      <c r="I71" s="372"/>
      <c r="J71" s="405">
        <f ca="1">IF(I18="EXTERNO",J58+J53+J48+J41+J32+J25,IF(I18="INTERNO",H71))</f>
        <v>850</v>
      </c>
      <c r="K71" s="405"/>
      <c r="L71" s="279"/>
      <c r="M71" s="280"/>
      <c r="N71" s="280"/>
      <c r="O71" s="280"/>
      <c r="P71" s="280"/>
      <c r="Q71" s="243"/>
      <c r="R71" s="159"/>
      <c r="S71" s="192"/>
      <c r="T71" s="159"/>
      <c r="U71" s="159"/>
      <c r="V71" s="159"/>
    </row>
    <row r="72" spans="1:22" s="124" customFormat="1" ht="26.25" customHeight="1" x14ac:dyDescent="0.2">
      <c r="A72" s="162">
        <v>7.3</v>
      </c>
      <c r="B72" s="270"/>
      <c r="C72" s="377" t="s">
        <v>162</v>
      </c>
      <c r="D72" s="378"/>
      <c r="E72" s="378"/>
      <c r="F72" s="378"/>
      <c r="G72" s="297"/>
      <c r="H72" s="371">
        <f ca="1">IF(I18="EXTERNO",IF(OR(C68="",C68=0),H71*C68,H71*C68),IF(I18="INTERNO",H71))</f>
        <v>137.58882</v>
      </c>
      <c r="I72" s="372"/>
      <c r="J72" s="405">
        <f ca="1">IF(I18="EXTERNO",J71*H68,IF(I18="INTERNO",J71))</f>
        <v>144.5</v>
      </c>
      <c r="K72" s="405"/>
      <c r="L72" s="279"/>
      <c r="M72" s="280"/>
      <c r="N72" s="280"/>
      <c r="O72" s="280"/>
      <c r="P72" s="280"/>
      <c r="Q72" s="243"/>
      <c r="R72" s="159"/>
      <c r="S72" s="192"/>
      <c r="T72" s="159"/>
      <c r="U72" s="159"/>
      <c r="V72" s="159"/>
    </row>
    <row r="73" spans="1:22" s="124" customFormat="1" ht="27.75" customHeight="1" x14ac:dyDescent="0.2">
      <c r="A73" s="159"/>
      <c r="B73" s="270"/>
      <c r="C73" s="377" t="s">
        <v>164</v>
      </c>
      <c r="D73" s="378"/>
      <c r="E73" s="378"/>
      <c r="F73" s="378"/>
      <c r="G73" s="297"/>
      <c r="H73" s="371">
        <f ca="1">IF(I18="EXTERNO",H72+H71,IF(I18="INTERNO",H71))</f>
        <v>946.93481999999995</v>
      </c>
      <c r="I73" s="372"/>
      <c r="J73" s="406"/>
      <c r="K73" s="407"/>
      <c r="L73" s="279"/>
      <c r="M73" s="280"/>
      <c r="N73" s="280"/>
      <c r="O73" s="280"/>
      <c r="P73" s="280"/>
      <c r="Q73" s="243"/>
      <c r="R73" s="159"/>
      <c r="S73" s="192"/>
      <c r="T73" s="159"/>
      <c r="U73" s="159"/>
      <c r="V73" s="299"/>
    </row>
    <row r="74" spans="1:22" s="124" customFormat="1" ht="27.75" customHeight="1" x14ac:dyDescent="0.25">
      <c r="A74" s="159"/>
      <c r="B74" s="269"/>
      <c r="C74" s="375" t="s">
        <v>163</v>
      </c>
      <c r="D74" s="376"/>
      <c r="E74" s="376"/>
      <c r="F74" s="376"/>
      <c r="G74" s="298"/>
      <c r="H74" s="371">
        <f ca="1">IF(I18="EXTERNO",H73/0.84,IF(I18="INTERNO",H71))</f>
        <v>1127.3033571428571</v>
      </c>
      <c r="I74" s="372"/>
      <c r="J74" s="405">
        <f ca="1">IF(I18="EXTERNO",J71+J72,IF(I18="INTERNO",J71))</f>
        <v>994.5</v>
      </c>
      <c r="K74" s="405"/>
      <c r="L74" s="283"/>
      <c r="M74" s="284"/>
      <c r="N74" s="284"/>
      <c r="O74" s="284"/>
      <c r="P74" s="284"/>
      <c r="Q74" s="285"/>
      <c r="R74" s="286"/>
      <c r="S74" s="192"/>
      <c r="T74" s="159"/>
      <c r="U74" s="159"/>
      <c r="V74" s="254"/>
    </row>
    <row r="75" spans="1:22" s="124" customFormat="1" ht="19.5" customHeight="1" x14ac:dyDescent="0.2">
      <c r="A75" s="159"/>
      <c r="B75" s="159"/>
      <c r="C75" s="159"/>
      <c r="D75" s="159"/>
      <c r="E75" s="159"/>
      <c r="F75" s="159"/>
      <c r="G75" s="159"/>
      <c r="H75" s="381" t="str">
        <f>IF(I18="EXTERNO","COSTO TOTAL PARA ENVIAR CLIENTE",IF(I18="INTERNO","COSTO SOLO PARA  AREAS DE PRODUCION INTERNA !!!!!"))</f>
        <v>COSTO TOTAL PARA ENVIAR CLIENTE</v>
      </c>
      <c r="I75" s="382"/>
      <c r="J75" s="159"/>
      <c r="K75" s="242"/>
      <c r="L75" s="159"/>
      <c r="M75" s="159"/>
      <c r="N75" s="159"/>
      <c r="O75" s="159"/>
      <c r="P75" s="159"/>
      <c r="Q75" s="191"/>
      <c r="R75" s="159"/>
      <c r="S75" s="192"/>
      <c r="T75" s="159"/>
      <c r="U75" s="159"/>
      <c r="V75" s="159"/>
    </row>
    <row r="76" spans="1:22" s="124" customFormat="1" ht="19.5" customHeight="1" x14ac:dyDescent="0.2">
      <c r="A76" s="159"/>
      <c r="B76" s="271"/>
      <c r="C76" s="271"/>
      <c r="D76" s="159"/>
      <c r="E76" s="271"/>
      <c r="F76" s="271"/>
      <c r="G76" s="271"/>
      <c r="H76" s="383"/>
      <c r="I76" s="384"/>
      <c r="J76" s="271"/>
      <c r="K76" s="242"/>
      <c r="L76" s="159"/>
      <c r="M76" s="159"/>
      <c r="N76" s="159"/>
      <c r="O76" s="159"/>
      <c r="P76" s="159"/>
      <c r="Q76" s="191"/>
      <c r="R76" s="159"/>
      <c r="S76" s="192"/>
      <c r="T76" s="159"/>
      <c r="U76" s="159"/>
      <c r="V76" s="159"/>
    </row>
    <row r="77" spans="1:22" s="124" customFormat="1" ht="19.5" customHeight="1" thickBot="1" x14ac:dyDescent="0.25">
      <c r="A77" s="159"/>
      <c r="B77" s="271"/>
      <c r="C77" s="271"/>
      <c r="D77" s="271"/>
      <c r="E77" s="271"/>
      <c r="F77" s="271"/>
      <c r="G77" s="271"/>
      <c r="H77" s="385"/>
      <c r="I77" s="386"/>
      <c r="J77" s="271"/>
      <c r="K77" s="242"/>
      <c r="L77" s="159"/>
      <c r="M77" s="159"/>
      <c r="N77" s="159"/>
      <c r="O77" s="159"/>
      <c r="P77" s="159"/>
      <c r="Q77" s="191"/>
      <c r="R77" s="159"/>
      <c r="S77" s="192"/>
      <c r="T77" s="159"/>
      <c r="U77" s="159"/>
      <c r="V77" s="159"/>
    </row>
    <row r="78" spans="1:22" s="124" customFormat="1" ht="15" x14ac:dyDescent="0.2">
      <c r="A78" s="162"/>
      <c r="B78" s="387"/>
      <c r="C78" s="388"/>
      <c r="D78" s="388"/>
      <c r="E78" s="388"/>
      <c r="F78" s="388"/>
      <c r="G78" s="388"/>
      <c r="H78" s="388"/>
      <c r="I78" s="159"/>
      <c r="J78" s="271"/>
      <c r="K78" s="242"/>
      <c r="L78" s="159"/>
      <c r="M78" s="159"/>
      <c r="N78" s="159"/>
      <c r="O78" s="159"/>
      <c r="P78" s="159"/>
      <c r="Q78" s="191"/>
      <c r="R78" s="159"/>
      <c r="S78" s="192"/>
      <c r="T78" s="159"/>
      <c r="U78" s="159"/>
      <c r="V78" s="159"/>
    </row>
    <row r="79" spans="1:22" s="124" customFormat="1" ht="66" customHeight="1" x14ac:dyDescent="0.2">
      <c r="A79" s="162"/>
      <c r="B79" s="379"/>
      <c r="C79" s="380"/>
      <c r="D79" s="293"/>
      <c r="E79" s="293"/>
      <c r="F79" s="293"/>
      <c r="G79" s="293"/>
      <c r="H79" s="293"/>
      <c r="I79" s="271"/>
      <c r="J79" s="274"/>
      <c r="K79" s="242"/>
      <c r="L79" s="159"/>
      <c r="M79" s="159"/>
      <c r="N79" s="159"/>
      <c r="O79" s="159"/>
      <c r="P79" s="159"/>
      <c r="Q79" s="191"/>
      <c r="R79" s="159"/>
      <c r="S79" s="192"/>
      <c r="T79" s="159"/>
      <c r="U79" s="159"/>
      <c r="V79" s="159"/>
    </row>
    <row r="80" spans="1:22" s="124" customFormat="1" ht="20.25" x14ac:dyDescent="0.2">
      <c r="A80" s="162"/>
      <c r="B80" s="248"/>
      <c r="C80" s="248"/>
      <c r="D80" s="294"/>
      <c r="E80" s="294"/>
      <c r="F80" s="294"/>
      <c r="G80" s="294"/>
      <c r="H80" s="295"/>
      <c r="I80" s="271"/>
      <c r="J80" s="271"/>
      <c r="K80" s="242"/>
      <c r="L80" s="159"/>
      <c r="M80" s="159"/>
      <c r="N80" s="159"/>
      <c r="O80" s="159"/>
      <c r="P80" s="159"/>
      <c r="Q80" s="191"/>
      <c r="R80" s="159"/>
      <c r="S80" s="192"/>
      <c r="T80" s="159"/>
      <c r="U80" s="159"/>
      <c r="V80" s="159"/>
    </row>
    <row r="81" spans="1:22" s="124" customFormat="1" ht="15" x14ac:dyDescent="0.2">
      <c r="A81" s="159"/>
      <c r="B81" s="271"/>
      <c r="C81" s="271"/>
      <c r="D81" s="271"/>
      <c r="E81" s="271"/>
      <c r="F81" s="271"/>
      <c r="G81" s="271"/>
      <c r="H81" s="271"/>
      <c r="I81" s="271"/>
      <c r="J81" s="274"/>
      <c r="K81" s="287"/>
      <c r="L81" s="159"/>
      <c r="M81" s="159"/>
      <c r="N81" s="159"/>
      <c r="O81" s="159"/>
      <c r="P81" s="159"/>
      <c r="Q81" s="191"/>
      <c r="R81" s="159"/>
      <c r="S81" s="192"/>
      <c r="T81" s="159"/>
      <c r="U81" s="159"/>
      <c r="V81" s="159"/>
    </row>
    <row r="82" spans="1:22" s="124" customFormat="1" ht="15" x14ac:dyDescent="0.2">
      <c r="A82" s="159"/>
      <c r="B82" s="271"/>
      <c r="C82" s="271"/>
      <c r="D82" s="271"/>
      <c r="E82" s="254"/>
      <c r="F82" s="271"/>
      <c r="G82" s="271"/>
      <c r="H82" s="271"/>
      <c r="I82" s="271"/>
      <c r="J82" s="271"/>
      <c r="K82" s="242"/>
      <c r="L82" s="159"/>
      <c r="M82" s="159"/>
      <c r="N82" s="159"/>
      <c r="O82" s="159"/>
      <c r="P82" s="159"/>
      <c r="Q82" s="191"/>
      <c r="R82" s="159"/>
      <c r="S82" s="192"/>
      <c r="T82" s="159"/>
      <c r="U82" s="159"/>
      <c r="V82" s="159"/>
    </row>
    <row r="83" spans="1:22" s="124" customFormat="1" ht="15" x14ac:dyDescent="0.2">
      <c r="A83" s="159"/>
      <c r="B83" s="271"/>
      <c r="C83" s="271"/>
      <c r="D83" s="271"/>
      <c r="E83" s="274"/>
      <c r="F83" s="271"/>
      <c r="G83" s="271"/>
      <c r="H83" s="271"/>
      <c r="I83" s="271"/>
      <c r="J83" s="271"/>
      <c r="K83" s="242"/>
      <c r="L83" s="159"/>
      <c r="M83" s="159"/>
      <c r="N83" s="159"/>
      <c r="O83" s="159"/>
      <c r="P83" s="159"/>
      <c r="Q83" s="191"/>
      <c r="R83" s="159"/>
      <c r="S83" s="192"/>
      <c r="T83" s="159"/>
      <c r="U83" s="159"/>
      <c r="V83" s="159"/>
    </row>
    <row r="84" spans="1:22" s="124" customFormat="1" ht="15" x14ac:dyDescent="0.2">
      <c r="B84" s="153"/>
      <c r="C84" s="153"/>
      <c r="D84" s="153"/>
      <c r="E84" s="153"/>
      <c r="F84" s="153"/>
      <c r="G84" s="153"/>
      <c r="H84" s="154"/>
      <c r="I84" s="153"/>
      <c r="J84" s="153"/>
      <c r="K84" s="156"/>
      <c r="Q84" s="125"/>
      <c r="S84" s="126"/>
    </row>
    <row r="85" spans="1:22" s="124" customFormat="1" ht="15" x14ac:dyDescent="0.2">
      <c r="B85" s="153"/>
      <c r="C85" s="153"/>
      <c r="D85" s="153"/>
      <c r="E85" s="154"/>
      <c r="F85" s="153"/>
      <c r="G85" s="153"/>
      <c r="H85" s="153"/>
      <c r="I85" s="153"/>
      <c r="J85" s="154"/>
      <c r="K85" s="156"/>
      <c r="Q85" s="125"/>
      <c r="S85" s="126"/>
    </row>
    <row r="86" spans="1:22" s="124" customFormat="1" ht="15" x14ac:dyDescent="0.2">
      <c r="B86" s="153"/>
      <c r="C86" s="153"/>
      <c r="D86" s="153"/>
      <c r="E86" s="153"/>
      <c r="F86" s="153"/>
      <c r="G86" s="153"/>
      <c r="H86" s="153"/>
      <c r="I86" s="153"/>
      <c r="J86" s="153"/>
      <c r="K86" s="156"/>
      <c r="Q86" s="125"/>
      <c r="S86" s="126"/>
    </row>
    <row r="87" spans="1:22" s="124" customFormat="1" ht="15" x14ac:dyDescent="0.2">
      <c r="B87" s="153"/>
      <c r="C87" s="153"/>
      <c r="D87" s="153"/>
      <c r="E87" s="153"/>
      <c r="F87" s="153"/>
      <c r="G87" s="153"/>
      <c r="H87" s="153"/>
      <c r="I87" s="153"/>
      <c r="J87" s="153"/>
      <c r="K87" s="156"/>
      <c r="Q87" s="125"/>
      <c r="S87" s="126"/>
    </row>
    <row r="88" spans="1:22" s="124" customFormat="1" ht="15" x14ac:dyDescent="0.2">
      <c r="B88" s="153"/>
      <c r="C88" s="153"/>
      <c r="D88" s="153"/>
      <c r="E88" s="153"/>
      <c r="F88" s="153"/>
      <c r="G88" s="153"/>
      <c r="H88" s="153"/>
      <c r="I88" s="153"/>
      <c r="J88" s="153"/>
      <c r="K88" s="156"/>
      <c r="Q88" s="125"/>
      <c r="S88" s="126"/>
    </row>
  </sheetData>
  <sheetProtection selectLockedCells="1"/>
  <protectedRanges>
    <protectedRange sqref="C78:H78 C59:H59" name="Rango3_1_1"/>
    <protectedRange sqref="I12 I16 H14 C16 C18 C19:D19 B58:C58 J57:J58 E47:E48 B47:C48 J47:J48 F57 B57:D57 J23:J25 B52:C53 F52 J52:J53 C39:F40 J39:J40 H39:H40 J31 H31 C31:F31 C30:F30 H30 J30" name="Rango3"/>
    <protectedRange sqref="D23:D24" name="Rango4_1"/>
    <protectedRange sqref="D23:D24" name="Rango3_1"/>
    <protectedRange sqref="I18" name="Rango3_2"/>
  </protectedRanges>
  <mergeCells count="69">
    <mergeCell ref="J70:K70"/>
    <mergeCell ref="J71:K71"/>
    <mergeCell ref="J72:K72"/>
    <mergeCell ref="J73:K73"/>
    <mergeCell ref="J74:K74"/>
    <mergeCell ref="D2:E2"/>
    <mergeCell ref="I68:J68"/>
    <mergeCell ref="B58:D58"/>
    <mergeCell ref="C57:D57"/>
    <mergeCell ref="C52:D52"/>
    <mergeCell ref="B41:H41"/>
    <mergeCell ref="C46:D46"/>
    <mergeCell ref="B48:E48"/>
    <mergeCell ref="C56:D56"/>
    <mergeCell ref="C47:D47"/>
    <mergeCell ref="B53:D53"/>
    <mergeCell ref="C16:D16"/>
    <mergeCell ref="F16:H16"/>
    <mergeCell ref="F18:H18"/>
    <mergeCell ref="I18:J18"/>
    <mergeCell ref="B59:H59"/>
    <mergeCell ref="B79:C79"/>
    <mergeCell ref="H73:I73"/>
    <mergeCell ref="H74:I74"/>
    <mergeCell ref="H75:I77"/>
    <mergeCell ref="B78:H78"/>
    <mergeCell ref="C73:F73"/>
    <mergeCell ref="H70:I70"/>
    <mergeCell ref="H71:I71"/>
    <mergeCell ref="C71:F71"/>
    <mergeCell ref="C74:F74"/>
    <mergeCell ref="H72:I72"/>
    <mergeCell ref="C72:F72"/>
    <mergeCell ref="K22:V22"/>
    <mergeCell ref="F57:H57"/>
    <mergeCell ref="F58:H58"/>
    <mergeCell ref="F51:H51"/>
    <mergeCell ref="F52:H52"/>
    <mergeCell ref="F53:H53"/>
    <mergeCell ref="F56:H56"/>
    <mergeCell ref="F46:H46"/>
    <mergeCell ref="F47:H47"/>
    <mergeCell ref="B26:I26"/>
    <mergeCell ref="E28:I28"/>
    <mergeCell ref="B25:C25"/>
    <mergeCell ref="B32:H32"/>
    <mergeCell ref="B43:J43"/>
    <mergeCell ref="F48:H48"/>
    <mergeCell ref="B66:C66"/>
    <mergeCell ref="B65:C65"/>
    <mergeCell ref="B61:C61"/>
    <mergeCell ref="D37:I37"/>
    <mergeCell ref="C51:D51"/>
    <mergeCell ref="A1:B1"/>
    <mergeCell ref="A2:A4"/>
    <mergeCell ref="C29:D29"/>
    <mergeCell ref="B37:C37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80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2:J42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operator="greaterThanOrEqual" allowBlank="1" showInputMessage="1" showErrorMessage="1" errorTitle="F.E.E. VARIABLE" error="PARA COBRAR VALORES MENORES AL F.E.E. PROGRAMADO DEBERÁ SOLICITAR AUTORIZACION" prompt="PUEDE VARIAR EL PORCENTAJE PROGRAMADO SEGUN CRITERIIO" sqref="H68">
      <formula1>C68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hyperlinks>
    <hyperlink ref="C14" r:id="rId1"/>
  </hyperlink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2"/>
  <rowBreaks count="1" manualBreakCount="1">
    <brk id="58" max="13" man="1"/>
  </rowBreaks>
  <colBreaks count="1" manualBreakCount="1">
    <brk id="11" max="1048575" man="1"/>
  </colBreaks>
  <drawing r:id="rId3"/>
  <legacyDrawing r:id="rId4"/>
  <controls>
    <mc:AlternateContent xmlns:mc="http://schemas.openxmlformats.org/markup-compatibility/2006">
      <mc:Choice Requires="x14">
        <control shapeId="3216" r:id="rId5" name="CommandButton3">
          <controlPr defaultSize="0" autoFill="0" autoLine="0" r:id="rId6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5" name="CommandButton3"/>
      </mc:Fallback>
    </mc:AlternateContent>
    <mc:AlternateContent xmlns:mc="http://schemas.openxmlformats.org/markup-compatibility/2006">
      <mc:Choice Requires="x14">
        <control shapeId="3213" r:id="rId7" name="CommandButton2">
          <controlPr defaultSize="0" autoFill="0" autoLine="0" r:id="rId8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7" name="CommandButton2"/>
      </mc:Fallback>
    </mc:AlternateContent>
    <mc:AlternateContent xmlns:mc="http://schemas.openxmlformats.org/markup-compatibility/2006">
      <mc:Choice Requires="x14">
        <control shapeId="3212" r:id="rId9" name="CommandButton1">
          <controlPr defaultSize="0" autoFill="0" autoLine="0" r:id="rId10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7</xdr:col>
                <xdr:colOff>1343025</xdr:colOff>
                <xdr:row>2</xdr:row>
                <xdr:rowOff>142875</xdr:rowOff>
              </to>
            </anchor>
          </controlPr>
        </control>
      </mc:Choice>
      <mc:Fallback>
        <control shapeId="3212" r:id="rId9" name="CommandButton1"/>
      </mc:Fallback>
    </mc:AlternateContent>
    <mc:AlternateContent xmlns:mc="http://schemas.openxmlformats.org/markup-compatibility/2006">
      <mc:Choice Requires="x14">
        <control shapeId="3227" r:id="rId11" name="a_pdf">
          <controlPr defaultSize="0" autoLine="0" r:id="rId12">
            <anchor moveWithCells="1">
              <from>
                <xdr:col>10</xdr:col>
                <xdr:colOff>180975</xdr:colOff>
                <xdr:row>0</xdr:row>
                <xdr:rowOff>200025</xdr:rowOff>
              </from>
              <to>
                <xdr:col>10</xdr:col>
                <xdr:colOff>704850</xdr:colOff>
                <xdr:row>3</xdr:row>
                <xdr:rowOff>9525</xdr:rowOff>
              </to>
            </anchor>
          </controlPr>
        </control>
      </mc:Choice>
      <mc:Fallback>
        <control shapeId="3227" r:id="rId11" name="a_pd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'C:\Users\Dell\Downloads\[RICHAR.xlsx]Hoja2'!#REF!</xm:f>
          </x14:formula1>
          <xm:sqref>C27</xm:sqref>
        </x14:dataValidation>
        <x14:dataValidation type="list" allowBlank="1" showInputMessage="1" showErrorMessage="1">
          <x14:formula1>
            <xm:f>Hoja1!$Q$5:$Q$8</xm:f>
          </x14:formula1>
          <xm:sqref>H39:H40</xm:sqref>
        </x14:dataValidation>
        <x14:dataValidation type="list" allowBlank="1" showInputMessage="1" showErrorMessage="1">
          <x14:formula1>
            <xm:f>Hoja1!$Q$1:$Q$2</xm:f>
          </x14:formula1>
          <xm:sqref>H30:H31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F16"/>
  <sheetViews>
    <sheetView workbookViewId="0">
      <selection activeCell="F16" sqref="F16"/>
    </sheetView>
  </sheetViews>
  <sheetFormatPr baseColWidth="10" defaultRowHeight="15" x14ac:dyDescent="0.25"/>
  <cols>
    <col min="6" max="6" width="12.7109375" bestFit="1" customWidth="1"/>
  </cols>
  <sheetData>
    <row r="16" spans="6:6" x14ac:dyDescent="0.25">
      <c r="F16" s="319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5"/>
  <sheetViews>
    <sheetView showGridLines="0" view="pageLayout" topLeftCell="A10" zoomScale="70" zoomScaleNormal="100" zoomScaleSheetLayoutView="106" zoomScalePageLayoutView="70" workbookViewId="0">
      <selection activeCell="B26" sqref="B26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7" customFormat="1" x14ac:dyDescent="0.2"/>
    <row r="2" spans="1:7" s="97" customFormat="1" x14ac:dyDescent="0.2"/>
    <row r="3" spans="1:7" s="97" customFormat="1" x14ac:dyDescent="0.2"/>
    <row r="4" spans="1:7" s="97" customFormat="1" x14ac:dyDescent="0.2"/>
    <row r="5" spans="1:7" s="97" customFormat="1" x14ac:dyDescent="0.2"/>
    <row r="6" spans="1:7" s="97" customFormat="1" x14ac:dyDescent="0.2"/>
    <row r="7" spans="1:7" s="97" customFormat="1" x14ac:dyDescent="0.2"/>
    <row r="8" spans="1:7" s="97" customFormat="1" x14ac:dyDescent="0.2"/>
    <row r="9" spans="1:7" s="97" customFormat="1" ht="15.75" customHeight="1" x14ac:dyDescent="0.2">
      <c r="A9" s="310"/>
      <c r="B9" s="310"/>
      <c r="C9" s="310"/>
      <c r="D9" s="409">
        <f ca="1">TODAY()</f>
        <v>43461</v>
      </c>
      <c r="E9" s="409"/>
      <c r="F9" s="409"/>
      <c r="G9" s="310"/>
    </row>
    <row r="10" spans="1:7" s="97" customFormat="1" x14ac:dyDescent="0.2">
      <c r="A10" s="25"/>
      <c r="B10" s="25"/>
      <c r="C10" s="25"/>
      <c r="D10" s="25"/>
      <c r="E10" s="25"/>
    </row>
    <row r="11" spans="1:7" s="97" customFormat="1" x14ac:dyDescent="0.2"/>
    <row r="12" spans="1:7" s="97" customFormat="1" x14ac:dyDescent="0.2">
      <c r="A12" s="410" t="s">
        <v>55</v>
      </c>
      <c r="B12" s="410"/>
      <c r="C12" s="410"/>
      <c r="D12" s="410"/>
      <c r="E12" s="410"/>
    </row>
    <row r="13" spans="1:7" s="97" customFormat="1" x14ac:dyDescent="0.2">
      <c r="A13" s="410" t="str">
        <f>IF('Estado de costos'!I18="INTERNO","GRUPO REGIONAL SRL",IF('Estado de costos'!I18="EXTERNO",'Estado de costos'!C12))</f>
        <v>Tigo</v>
      </c>
      <c r="B13" s="410"/>
      <c r="C13" s="410"/>
      <c r="D13" s="410"/>
      <c r="E13" s="410"/>
    </row>
    <row r="14" spans="1:7" s="97" customFormat="1" x14ac:dyDescent="0.2">
      <c r="A14" s="410" t="s">
        <v>56</v>
      </c>
      <c r="B14" s="410"/>
      <c r="C14" s="410"/>
      <c r="D14" s="410"/>
      <c r="E14" s="410"/>
    </row>
    <row r="15" spans="1:7" s="97" customFormat="1" x14ac:dyDescent="0.2"/>
    <row r="16" spans="1:7" s="97" customFormat="1" ht="15.75" x14ac:dyDescent="0.25">
      <c r="A16" s="93" t="s">
        <v>130</v>
      </c>
      <c r="B16" s="94" t="str">
        <f>'Estado de costos'!H14</f>
        <v>proyecto ejemplo</v>
      </c>
      <c r="C16" s="93"/>
      <c r="D16" s="94"/>
      <c r="E16" s="94"/>
    </row>
    <row r="17" spans="1:7" s="97" customFormat="1" x14ac:dyDescent="0.2"/>
    <row r="18" spans="1:7" ht="15.75" x14ac:dyDescent="0.25">
      <c r="A18" s="411"/>
      <c r="B18" s="411"/>
      <c r="C18" s="411"/>
      <c r="D18" s="411"/>
      <c r="E18" s="411"/>
    </row>
    <row r="19" spans="1:7" ht="15.75" x14ac:dyDescent="0.25">
      <c r="A19" s="97"/>
      <c r="B19" s="97"/>
      <c r="C19" s="97"/>
      <c r="D19" s="97"/>
      <c r="E19" s="97"/>
    </row>
    <row r="20" spans="1:7" ht="15.75" x14ac:dyDescent="0.25">
      <c r="A20" s="412" t="s">
        <v>64</v>
      </c>
      <c r="B20" s="412"/>
      <c r="C20" s="412"/>
      <c r="D20" s="412"/>
      <c r="E20" s="412"/>
    </row>
    <row r="21" spans="1:7" ht="15.75" x14ac:dyDescent="0.25">
      <c r="A21" s="97"/>
      <c r="B21" s="97"/>
      <c r="C21" s="97"/>
      <c r="D21" s="97"/>
      <c r="E21" s="97"/>
    </row>
    <row r="22" spans="1:7" ht="15.75" x14ac:dyDescent="0.25">
      <c r="A22" s="97"/>
      <c r="B22" s="97"/>
      <c r="C22" s="312">
        <f>'Estado de costos'!H68*100</f>
        <v>17</v>
      </c>
      <c r="D22" s="305">
        <f ca="1">'Estado de costos'!D2</f>
        <v>994.5</v>
      </c>
      <c r="E22" s="306">
        <f ca="1">IF('Estado de costos'!I18="EXTERNO",E28+E29,IF('Estado de costos'!I18="INTERNO",'Estado de costos'!K9,))</f>
        <v>994.5</v>
      </c>
      <c r="F22" s="307">
        <f ca="1">GESTEP(E22,D22)</f>
        <v>1</v>
      </c>
    </row>
    <row r="23" spans="1:7" ht="15.75" x14ac:dyDescent="0.25">
      <c r="A23" s="408" t="s">
        <v>57</v>
      </c>
      <c r="B23" s="408"/>
      <c r="C23" s="408"/>
      <c r="D23" s="408"/>
      <c r="E23" s="408"/>
    </row>
    <row r="24" spans="1:7" ht="15.75" thickBot="1" x14ac:dyDescent="0.3"/>
    <row r="25" spans="1:7" x14ac:dyDescent="0.25">
      <c r="A25" s="110" t="s">
        <v>3</v>
      </c>
      <c r="B25" s="24" t="s">
        <v>11</v>
      </c>
      <c r="C25" s="16" t="s">
        <v>2</v>
      </c>
      <c r="D25" s="17" t="s">
        <v>58</v>
      </c>
      <c r="E25" s="112" t="s">
        <v>59</v>
      </c>
    </row>
    <row r="26" spans="1:7" x14ac:dyDescent="0.25">
      <c r="A26" s="115" t="str">
        <f>'Estado de costos'!B25</f>
        <v>SOPORTE LOGISTICO</v>
      </c>
      <c r="B26" s="116">
        <f>'Estado de costos'!E25</f>
        <v>2</v>
      </c>
      <c r="C26" s="116">
        <f>'Estado de costos'!F25</f>
        <v>3</v>
      </c>
      <c r="D26" s="308">
        <f>IF(C26=0,"",E26/C26/B26)</f>
        <v>141.66666666666666</v>
      </c>
      <c r="E26" s="308">
        <f>'Estado de costos'!J25</f>
        <v>850</v>
      </c>
      <c r="G26" s="309"/>
    </row>
    <row r="27" spans="1:7" x14ac:dyDescent="0.25">
      <c r="A27" s="117"/>
      <c r="B27" s="117"/>
      <c r="C27" s="118"/>
      <c r="D27" s="119"/>
      <c r="E27" s="119"/>
    </row>
    <row r="28" spans="1:7" ht="15.75" thickBot="1" x14ac:dyDescent="0.3">
      <c r="D28" s="19" t="s">
        <v>60</v>
      </c>
      <c r="E28" s="113">
        <f ca="1">IF('Estado de costos'!I18="EXTERNO",SUM(E26:OFFSET(E28,-1,0)),IF('Estado de costos'!I18="INTERNO",'Estado de costos'!K9,))</f>
        <v>850</v>
      </c>
    </row>
    <row r="29" spans="1:7" ht="15.75" thickBot="1" x14ac:dyDescent="0.3">
      <c r="D29" s="20" t="str">
        <f>"F E E  "&amp; C22&amp;"%"</f>
        <v>F E E  17%</v>
      </c>
      <c r="E29" s="113">
        <f ca="1">'Estado de costos'!J72</f>
        <v>144.5</v>
      </c>
    </row>
    <row r="30" spans="1:7" ht="15.75" thickBot="1" x14ac:dyDescent="0.3">
      <c r="D30" s="21" t="s">
        <v>61</v>
      </c>
      <c r="E30" s="113">
        <f ca="1">IF('Estado de costos'!I18="EXTERNO",E28+E29,IF('Estado de costos'!I18="INTERNO",'Estado de costos'!K9,))</f>
        <v>994.5</v>
      </c>
    </row>
    <row r="31" spans="1:7" x14ac:dyDescent="0.25">
      <c r="E31" s="22"/>
    </row>
    <row r="32" spans="1:7" ht="28.5" x14ac:dyDescent="0.25">
      <c r="A32" s="111" t="str">
        <f>IF('Estado de costos'!I18="INTERNO","ESTE PRECIO COTIZADO ES SOLO AREAS INTERNAS  PARA GRUPO REGIONAL SRL ",IF('Estado de costos'!I18="EXTERNO","",))</f>
        <v/>
      </c>
      <c r="B32" s="98"/>
      <c r="C32" s="98"/>
      <c r="D32" s="98"/>
      <c r="E32" s="98"/>
    </row>
    <row r="33" spans="1:2" ht="28.5" x14ac:dyDescent="0.25">
      <c r="A33" s="98"/>
      <c r="B33" s="98"/>
    </row>
    <row r="34" spans="1:2" ht="28.5" x14ac:dyDescent="0.25">
      <c r="A34" s="98"/>
      <c r="B34" s="98"/>
    </row>
    <row r="35" spans="1:2" ht="18.75" x14ac:dyDescent="0.3">
      <c r="A35" s="96" t="s">
        <v>62</v>
      </c>
      <c r="B35" s="96"/>
    </row>
    <row r="36" spans="1:2" x14ac:dyDescent="0.25">
      <c r="A36" s="23"/>
      <c r="B36" s="23"/>
    </row>
    <row r="37" spans="1:2" ht="15.75" x14ac:dyDescent="0.25">
      <c r="A37" s="100" t="s">
        <v>63</v>
      </c>
      <c r="B37" s="100"/>
    </row>
    <row r="38" spans="1:2" ht="15.75" x14ac:dyDescent="0.25">
      <c r="A38" s="101"/>
      <c r="B38" s="101"/>
    </row>
    <row r="39" spans="1:2" ht="15.75" x14ac:dyDescent="0.25">
      <c r="A39" s="100"/>
      <c r="B39" s="100"/>
    </row>
    <row r="40" spans="1:2" ht="15.75" x14ac:dyDescent="0.25">
      <c r="A40" s="97"/>
      <c r="B40" s="100"/>
    </row>
    <row r="41" spans="1:2" ht="15.75" x14ac:dyDescent="0.25">
      <c r="A41" s="97"/>
      <c r="B41" s="102"/>
    </row>
    <row r="42" spans="1:2" ht="15.75" x14ac:dyDescent="0.25">
      <c r="A42" s="97"/>
      <c r="B42" s="97"/>
    </row>
    <row r="43" spans="1:2" ht="15.75" x14ac:dyDescent="0.25">
      <c r="A43" s="97"/>
      <c r="B43" s="97"/>
    </row>
    <row r="44" spans="1:2" ht="15.75" x14ac:dyDescent="0.25">
      <c r="A44" s="97"/>
      <c r="B44" s="97"/>
    </row>
    <row r="45" spans="1:2" ht="15.75" x14ac:dyDescent="0.25">
      <c r="A45" s="97"/>
      <c r="B45" s="97"/>
    </row>
    <row r="46" spans="1:2" ht="15.75" x14ac:dyDescent="0.25">
      <c r="A46" s="97"/>
      <c r="B46" s="97"/>
    </row>
    <row r="47" spans="1:2" ht="15.75" x14ac:dyDescent="0.25">
      <c r="A47" s="97"/>
      <c r="B47" s="97"/>
    </row>
    <row r="48" spans="1:2" ht="15.75" x14ac:dyDescent="0.25">
      <c r="A48" s="97"/>
      <c r="B48" s="97"/>
    </row>
    <row r="49" spans="1:4" ht="15.75" x14ac:dyDescent="0.25">
      <c r="A49" s="97"/>
      <c r="B49" s="97"/>
      <c r="C49" s="290"/>
      <c r="D49" s="290"/>
    </row>
    <row r="50" spans="1:4" ht="15.75" x14ac:dyDescent="0.25">
      <c r="A50" s="97"/>
      <c r="B50" s="97"/>
      <c r="C50" s="290"/>
      <c r="D50" s="290"/>
    </row>
    <row r="51" spans="1:4" ht="15.75" x14ac:dyDescent="0.25">
      <c r="A51" s="97"/>
      <c r="B51" s="97"/>
      <c r="C51" s="290"/>
      <c r="D51" s="290"/>
    </row>
    <row r="52" spans="1:4" ht="15.75" x14ac:dyDescent="0.25">
      <c r="A52" s="97"/>
      <c r="B52" s="97"/>
      <c r="C52" s="290"/>
      <c r="D52" s="290"/>
    </row>
    <row r="53" spans="1:4" ht="15.75" x14ac:dyDescent="0.25">
      <c r="A53" s="97"/>
      <c r="B53" s="97"/>
      <c r="C53" s="290"/>
      <c r="D53" s="290"/>
    </row>
    <row r="54" spans="1:4" ht="15.75" x14ac:dyDescent="0.25">
      <c r="A54" s="97"/>
      <c r="B54" s="97"/>
    </row>
    <row r="55" spans="1:4" ht="15.75" x14ac:dyDescent="0.25">
      <c r="A55" s="97"/>
      <c r="B55" s="97"/>
    </row>
    <row r="56" spans="1:4" ht="15.75" x14ac:dyDescent="0.25">
      <c r="A56" s="99"/>
      <c r="B56" s="99"/>
    </row>
    <row r="57" spans="1:4" ht="15.75" x14ac:dyDescent="0.25">
      <c r="A57" s="99"/>
      <c r="B57" s="99"/>
    </row>
    <row r="58" spans="1:4" ht="15.75" x14ac:dyDescent="0.25">
      <c r="A58" s="99"/>
      <c r="B58" s="99"/>
    </row>
    <row r="59" spans="1:4" ht="15.75" x14ac:dyDescent="0.25">
      <c r="A59" s="99"/>
      <c r="B59" s="99"/>
    </row>
    <row r="60" spans="1:4" ht="15.75" x14ac:dyDescent="0.25">
      <c r="A60" s="99"/>
      <c r="B60" s="99"/>
    </row>
    <row r="61" spans="1:4" ht="15.75" x14ac:dyDescent="0.25">
      <c r="C61" s="97"/>
    </row>
    <row r="62" spans="1:4" ht="15.75" x14ac:dyDescent="0.25">
      <c r="C62" s="97"/>
    </row>
    <row r="63" spans="1:4" ht="15.75" x14ac:dyDescent="0.25">
      <c r="C63" s="97"/>
    </row>
    <row r="64" spans="1:4" ht="15.75" x14ac:dyDescent="0.25">
      <c r="C64" s="97"/>
    </row>
    <row r="65" spans="3:4" ht="15.75" x14ac:dyDescent="0.25">
      <c r="C65" s="97"/>
    </row>
    <row r="66" spans="3:4" ht="15.75" x14ac:dyDescent="0.25">
      <c r="C66" s="97"/>
    </row>
    <row r="67" spans="3:4" ht="15.75" x14ac:dyDescent="0.25">
      <c r="C67" s="97"/>
    </row>
    <row r="68" spans="3:4" ht="15.75" x14ac:dyDescent="0.25">
      <c r="C68" s="97"/>
    </row>
    <row r="69" spans="3:4" ht="15.75" x14ac:dyDescent="0.25">
      <c r="C69" s="313" t="s">
        <v>172</v>
      </c>
    </row>
    <row r="70" spans="3:4" ht="15.75" x14ac:dyDescent="0.25">
      <c r="C70" s="314" t="s">
        <v>174</v>
      </c>
    </row>
    <row r="71" spans="3:4" ht="15.75" x14ac:dyDescent="0.25">
      <c r="C71" s="313" t="str">
        <f>IF(C70="Francisco Canelas","Gerente Comercial y Operaciones",IF(C70="Paola Bolivar"," Jefe de Eventos ATL",IF(C70="Diego Rojas","Ejecutivo de Cuentas ATL")))</f>
        <v>Ejecutivo de Cuentas ATL</v>
      </c>
    </row>
    <row r="72" spans="3:4" ht="15.75" x14ac:dyDescent="0.25">
      <c r="C72" s="315" t="str">
        <f>IF(C70="Francisco Canelas","francisco@gruporegional.com",IF(C70="Paola Bolivar","paolabolivar@gruporegional.com",IF(C70="Diego Rojas","diegorojas@gruporegional.com")))</f>
        <v>diegorojas@gruporegional.com</v>
      </c>
    </row>
    <row r="73" spans="3:4" ht="15.75" x14ac:dyDescent="0.25">
      <c r="C73" s="315" t="s">
        <v>173</v>
      </c>
    </row>
    <row r="74" spans="3:4" ht="15.75" x14ac:dyDescent="0.25">
      <c r="C74" s="99"/>
    </row>
    <row r="78" spans="3:4" ht="15.75" x14ac:dyDescent="0.25">
      <c r="D78" s="97"/>
    </row>
    <row r="79" spans="3:4" ht="15.75" x14ac:dyDescent="0.25">
      <c r="D79" s="97"/>
    </row>
    <row r="80" spans="3:4" ht="15.75" x14ac:dyDescent="0.25">
      <c r="D80" s="97"/>
    </row>
    <row r="81" spans="4:4" ht="15.75" x14ac:dyDescent="0.25">
      <c r="D81" s="97"/>
    </row>
    <row r="82" spans="4:4" ht="15.75" x14ac:dyDescent="0.25">
      <c r="D82" s="97"/>
    </row>
    <row r="83" spans="4:4" ht="15.75" x14ac:dyDescent="0.25">
      <c r="D83" s="97"/>
    </row>
    <row r="84" spans="4:4" ht="15.75" x14ac:dyDescent="0.25">
      <c r="D84" s="97"/>
    </row>
    <row r="85" spans="4:4" ht="15.75" x14ac:dyDescent="0.25">
      <c r="D85" s="97"/>
    </row>
    <row r="86" spans="4:4" ht="15.75" x14ac:dyDescent="0.25">
      <c r="D86" s="97"/>
    </row>
    <row r="87" spans="4:4" ht="15.75" x14ac:dyDescent="0.25">
      <c r="D87" s="99"/>
    </row>
    <row r="88" spans="4:4" ht="15.75" x14ac:dyDescent="0.25">
      <c r="D88" s="99"/>
    </row>
    <row r="89" spans="4:4" ht="15.75" x14ac:dyDescent="0.25">
      <c r="D89" s="99"/>
    </row>
    <row r="90" spans="4:4" ht="15.75" x14ac:dyDescent="0.25">
      <c r="D90" s="99"/>
    </row>
    <row r="91" spans="4:4" ht="15.75" x14ac:dyDescent="0.25">
      <c r="D91" s="99"/>
    </row>
    <row r="162" spans="5:5" ht="15.75" x14ac:dyDescent="0.25">
      <c r="E162" s="97"/>
    </row>
    <row r="163" spans="5:5" ht="15.75" x14ac:dyDescent="0.25">
      <c r="E163" s="97"/>
    </row>
    <row r="164" spans="5:5" ht="15.75" x14ac:dyDescent="0.25">
      <c r="E164" s="97"/>
    </row>
    <row r="165" spans="5:5" ht="15.75" x14ac:dyDescent="0.25">
      <c r="E165" s="97"/>
    </row>
    <row r="166" spans="5:5" ht="15.75" x14ac:dyDescent="0.25">
      <c r="E166" s="97"/>
    </row>
    <row r="167" spans="5:5" ht="15.75" x14ac:dyDescent="0.25">
      <c r="E167" s="97"/>
    </row>
    <row r="168" spans="5:5" ht="15.75" x14ac:dyDescent="0.25">
      <c r="E168" s="97"/>
    </row>
    <row r="169" spans="5:5" ht="15.75" x14ac:dyDescent="0.25">
      <c r="E169" s="97"/>
    </row>
    <row r="170" spans="5:5" ht="15.75" x14ac:dyDescent="0.25">
      <c r="E170" s="97"/>
    </row>
    <row r="171" spans="5:5" ht="15.75" x14ac:dyDescent="0.25">
      <c r="E171" s="99"/>
    </row>
    <row r="172" spans="5:5" ht="15.75" x14ac:dyDescent="0.25">
      <c r="E172" s="99"/>
    </row>
    <row r="173" spans="5:5" ht="15.75" x14ac:dyDescent="0.25">
      <c r="E173" s="99"/>
    </row>
    <row r="174" spans="5:5" ht="15.75" x14ac:dyDescent="0.25">
      <c r="E174" s="99"/>
    </row>
    <row r="175" spans="5:5" ht="15.75" x14ac:dyDescent="0.25">
      <c r="E175" s="99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0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5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28" zoomScaleNormal="100" zoomScalePageLayoutView="85" workbookViewId="0">
      <selection activeCell="E23" sqref="E23:F23"/>
    </sheetView>
  </sheetViews>
  <sheetFormatPr baseColWidth="10" defaultRowHeight="15.75" x14ac:dyDescent="0.25"/>
  <cols>
    <col min="1" max="1" width="5.42578125" customWidth="1"/>
    <col min="2" max="2" width="16.85546875" style="12" customWidth="1"/>
    <col min="3" max="3" width="11.42578125" style="12"/>
    <col min="4" max="4" width="13.42578125" style="12" customWidth="1"/>
    <col min="5" max="5" width="24.85546875" style="12" customWidth="1"/>
    <col min="6" max="6" width="14.140625" style="12" customWidth="1"/>
    <col min="7" max="7" width="15.42578125" style="12" bestFit="1" customWidth="1"/>
    <col min="8" max="8" width="15.28515625" style="12" bestFit="1" customWidth="1"/>
    <col min="9" max="9" width="13.140625" style="12" customWidth="1"/>
    <col min="10" max="10" width="17.42578125" style="12" customWidth="1"/>
    <col min="11" max="11" width="16.28515625" style="12" customWidth="1"/>
  </cols>
  <sheetData>
    <row r="1" spans="1:11" x14ac:dyDescent="0.25">
      <c r="A1" s="89"/>
      <c r="B1"/>
      <c r="C1"/>
      <c r="D1"/>
      <c r="E1"/>
      <c r="F1"/>
      <c r="G1"/>
      <c r="H1"/>
      <c r="I1"/>
      <c r="J1"/>
      <c r="K1"/>
    </row>
    <row r="2" spans="1:11" s="7" customFormat="1" ht="14.25" x14ac:dyDescent="0.2"/>
    <row r="3" spans="1:11" s="7" customFormat="1" ht="14.25" x14ac:dyDescent="0.2"/>
    <row r="4" spans="1:11" s="7" customFormat="1" ht="14.25" x14ac:dyDescent="0.2"/>
    <row r="5" spans="1:11" s="7" customFormat="1" ht="14.25" x14ac:dyDescent="0.2"/>
    <row r="6" spans="1:11" s="7" customFormat="1" ht="14.25" x14ac:dyDescent="0.2"/>
    <row r="7" spans="1:11" s="7" customFormat="1" ht="14.25" x14ac:dyDescent="0.2"/>
    <row r="8" spans="1:11" s="7" customFormat="1" ht="27.75" x14ac:dyDescent="0.2">
      <c r="B8" s="429" t="s">
        <v>143</v>
      </c>
      <c r="C8" s="430"/>
      <c r="D8" s="430"/>
      <c r="E8" s="430"/>
      <c r="F8" s="430"/>
      <c r="G8" s="430"/>
      <c r="H8" s="430"/>
      <c r="I8" s="430"/>
      <c r="J8" s="430"/>
      <c r="K8" s="430"/>
    </row>
    <row r="9" spans="1:11" s="7" customFormat="1" ht="27.75" x14ac:dyDescent="0.2">
      <c r="B9" s="430" t="s">
        <v>53</v>
      </c>
      <c r="C9" s="430"/>
      <c r="D9" s="430"/>
      <c r="E9" s="430"/>
      <c r="F9" s="430"/>
      <c r="G9" s="430"/>
      <c r="H9" s="430"/>
      <c r="I9" s="430"/>
      <c r="J9" s="430"/>
      <c r="K9" s="430"/>
    </row>
    <row r="10" spans="1:11" s="7" customFormat="1" ht="27.75" x14ac:dyDescent="0.2">
      <c r="B10" s="91"/>
      <c r="C10" s="91"/>
      <c r="D10" s="91"/>
      <c r="E10" s="91"/>
      <c r="F10" s="91"/>
      <c r="G10" s="91"/>
      <c r="H10" s="91"/>
      <c r="I10" s="91"/>
      <c r="J10" s="91"/>
      <c r="K10" s="91"/>
    </row>
    <row r="11" spans="1:11" s="7" customFormat="1" ht="30" customHeight="1" x14ac:dyDescent="0.2">
      <c r="A11" s="13">
        <v>1.1000000000000001</v>
      </c>
      <c r="B11" s="428" t="s">
        <v>144</v>
      </c>
      <c r="C11" s="428"/>
      <c r="D11" s="431" t="str">
        <f>+'Estado de costos'!C12</f>
        <v>Tigo</v>
      </c>
      <c r="E11" s="431"/>
      <c r="F11" s="431"/>
      <c r="G11" s="27">
        <v>1.2</v>
      </c>
      <c r="H11" s="28" t="s">
        <v>52</v>
      </c>
      <c r="I11" s="29"/>
      <c r="J11" s="436">
        <f>+'Estado de costos'!I12</f>
        <v>101010101</v>
      </c>
      <c r="K11" s="436"/>
    </row>
    <row r="12" spans="1:11" s="7" customFormat="1" ht="15.75" customHeight="1" x14ac:dyDescent="0.2">
      <c r="A12" s="13"/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1" s="7" customFormat="1" ht="36.75" customHeight="1" x14ac:dyDescent="0.2">
      <c r="A13" s="13">
        <v>1.3</v>
      </c>
      <c r="B13" s="432" t="s">
        <v>124</v>
      </c>
      <c r="C13" s="432"/>
      <c r="D13" s="433" t="str">
        <f>+'Estado de costos'!C14</f>
        <v>micorreo@gruporegional.com</v>
      </c>
      <c r="E13" s="434"/>
      <c r="F13" s="434"/>
      <c r="G13" s="13">
        <v>1.4</v>
      </c>
      <c r="H13" s="54" t="s">
        <v>125</v>
      </c>
      <c r="I13" s="437" t="str">
        <f>+'Estado de costos'!H14</f>
        <v>proyecto ejemplo</v>
      </c>
      <c r="J13" s="437"/>
      <c r="K13" s="437"/>
    </row>
    <row r="14" spans="1:11" s="7" customFormat="1" ht="15" x14ac:dyDescent="0.2">
      <c r="A14" s="13"/>
      <c r="B14" s="30"/>
      <c r="C14" s="30"/>
      <c r="D14" s="30"/>
      <c r="E14" s="30"/>
      <c r="F14" s="30"/>
      <c r="G14" s="30"/>
      <c r="H14" s="30"/>
      <c r="I14" s="30"/>
      <c r="J14" s="30"/>
      <c r="K14" s="30"/>
    </row>
    <row r="15" spans="1:11" s="7" customFormat="1" ht="37.5" customHeight="1" x14ac:dyDescent="0.2">
      <c r="A15" s="13">
        <v>1.5</v>
      </c>
      <c r="B15" s="428" t="s">
        <v>126</v>
      </c>
      <c r="C15" s="428"/>
      <c r="D15" s="428"/>
      <c r="E15" s="416">
        <f>+'Estado de costos'!C16</f>
        <v>43424</v>
      </c>
      <c r="F15" s="416"/>
      <c r="G15" s="13">
        <v>1.6</v>
      </c>
      <c r="H15" s="417" t="s">
        <v>127</v>
      </c>
      <c r="I15" s="417"/>
      <c r="J15" s="416">
        <f>+'Estado de costos'!I16</f>
        <v>43416</v>
      </c>
      <c r="K15" s="416"/>
    </row>
    <row r="16" spans="1:11" s="8" customFormat="1" ht="37.5" customHeight="1" x14ac:dyDescent="0.2">
      <c r="A16" s="14"/>
      <c r="B16" s="92"/>
      <c r="C16" s="92"/>
      <c r="D16" s="92"/>
      <c r="E16" s="31"/>
      <c r="F16" s="32"/>
      <c r="G16" s="10"/>
      <c r="H16" s="10"/>
      <c r="I16" s="10"/>
      <c r="J16" s="10"/>
      <c r="K16" s="10"/>
    </row>
    <row r="17" spans="1:19" s="7" customFormat="1" ht="37.5" customHeight="1" x14ac:dyDescent="0.2">
      <c r="A17" s="13">
        <v>3</v>
      </c>
      <c r="B17" s="435" t="s">
        <v>140</v>
      </c>
      <c r="C17" s="435"/>
      <c r="D17" s="435"/>
      <c r="E17" s="435"/>
      <c r="F17" s="435"/>
      <c r="G17" s="435"/>
      <c r="H17" s="435"/>
      <c r="I17" s="435"/>
      <c r="J17" s="435"/>
      <c r="K17" s="435"/>
    </row>
    <row r="18" spans="1:19" s="7" customFormat="1" ht="7.5" customHeight="1" x14ac:dyDescent="0.2">
      <c r="A18" s="13"/>
      <c r="B18" s="92"/>
      <c r="C18" s="92"/>
      <c r="D18" s="92"/>
      <c r="E18" s="31"/>
      <c r="F18" s="32"/>
      <c r="G18" s="34"/>
      <c r="H18" s="34"/>
      <c r="I18" s="34"/>
      <c r="J18" s="34"/>
      <c r="K18" s="34"/>
    </row>
    <row r="19" spans="1:19" s="7" customFormat="1" ht="28.5" customHeight="1" x14ac:dyDescent="0.2">
      <c r="A19" s="13" t="s">
        <v>134</v>
      </c>
      <c r="B19" s="424" t="s">
        <v>139</v>
      </c>
      <c r="C19" s="424"/>
      <c r="D19" s="424"/>
      <c r="E19" s="424"/>
      <c r="F19" s="424"/>
      <c r="G19" s="421" t="s">
        <v>141</v>
      </c>
      <c r="H19" s="422"/>
      <c r="I19" s="422"/>
      <c r="J19" s="422"/>
      <c r="K19" s="422"/>
    </row>
    <row r="20" spans="1:19" s="9" customFormat="1" ht="65.25" customHeight="1" x14ac:dyDescent="0.25">
      <c r="A20" s="35"/>
      <c r="B20" s="413" t="s">
        <v>145</v>
      </c>
      <c r="C20" s="414"/>
      <c r="D20" s="415"/>
      <c r="E20" s="413" t="s">
        <v>65</v>
      </c>
      <c r="F20" s="415"/>
      <c r="G20" s="36" t="s">
        <v>10</v>
      </c>
      <c r="H20" s="36" t="s">
        <v>6</v>
      </c>
      <c r="I20" s="36" t="s">
        <v>37</v>
      </c>
      <c r="J20" s="36" t="s">
        <v>49</v>
      </c>
      <c r="K20" s="36" t="s">
        <v>35</v>
      </c>
      <c r="M20" s="413" t="s">
        <v>145</v>
      </c>
      <c r="N20" s="414"/>
      <c r="O20" s="415"/>
      <c r="P20" s="413" t="s">
        <v>65</v>
      </c>
      <c r="Q20" s="415"/>
      <c r="R20" s="95" t="s">
        <v>10</v>
      </c>
      <c r="S20" s="95" t="s">
        <v>6</v>
      </c>
    </row>
    <row r="21" spans="1:19" s="9" customFormat="1" ht="55.5" hidden="1" customHeight="1" thickBot="1" x14ac:dyDescent="0.25">
      <c r="A21" s="35"/>
      <c r="B21" s="425" t="s">
        <v>44</v>
      </c>
      <c r="C21" s="426"/>
      <c r="D21" s="427"/>
      <c r="E21" s="37"/>
      <c r="F21" s="38"/>
      <c r="G21" s="38"/>
      <c r="H21" s="38"/>
      <c r="I21" s="39"/>
      <c r="J21" s="38"/>
      <c r="K21" s="38"/>
    </row>
    <row r="22" spans="1:19" s="7" customFormat="1" ht="35.25" customHeight="1" x14ac:dyDescent="0.2">
      <c r="A22" s="13"/>
      <c r="B22" s="425">
        <f>+'Estado de costos'!B30:B30</f>
        <v>0</v>
      </c>
      <c r="C22" s="426"/>
      <c r="D22" s="427"/>
      <c r="E22" s="425">
        <f>+'Estado de costos'!C30</f>
        <v>0</v>
      </c>
      <c r="F22" s="427"/>
      <c r="G22" s="40">
        <f>+'Estado de costos'!E30</f>
        <v>0</v>
      </c>
      <c r="H22" s="41">
        <f>+'Estado de costos'!F30</f>
        <v>0</v>
      </c>
      <c r="I22" s="90">
        <f>+H22*G22</f>
        <v>0</v>
      </c>
      <c r="J22" s="40" t="str">
        <f>+'Estado de costos'!H30</f>
        <v>FACTURA</v>
      </c>
      <c r="K22" s="90">
        <f>+'Estado de costos'!I30</f>
        <v>0</v>
      </c>
    </row>
    <row r="23" spans="1:19" s="7" customFormat="1" ht="35.25" customHeight="1" x14ac:dyDescent="0.2">
      <c r="A23" s="13"/>
      <c r="B23" s="425" t="e">
        <f>+'Estado de costos'!#REF!</f>
        <v>#REF!</v>
      </c>
      <c r="C23" s="426"/>
      <c r="D23" s="427"/>
      <c r="E23" s="425" t="e">
        <f>+'Estado de costos'!#REF!</f>
        <v>#REF!</v>
      </c>
      <c r="F23" s="427"/>
      <c r="G23" s="40" t="e">
        <f>+'Estado de costos'!#REF!</f>
        <v>#REF!</v>
      </c>
      <c r="H23" s="41" t="e">
        <f>+'Estado de costos'!#REF!</f>
        <v>#REF!</v>
      </c>
      <c r="I23" s="90" t="e">
        <f t="shared" ref="I23:I30" si="0">+H23*G23</f>
        <v>#REF!</v>
      </c>
      <c r="J23" s="40" t="e">
        <f>+'Estado de costos'!#REF!</f>
        <v>#REF!</v>
      </c>
      <c r="K23" s="90" t="e">
        <f>+'Estado de costos'!#REF!</f>
        <v>#REF!</v>
      </c>
    </row>
    <row r="24" spans="1:19" s="7" customFormat="1" ht="35.25" customHeight="1" x14ac:dyDescent="0.2">
      <c r="A24" s="13"/>
      <c r="B24" s="425" t="e">
        <f>+'Estado de costos'!#REF!</f>
        <v>#REF!</v>
      </c>
      <c r="C24" s="426"/>
      <c r="D24" s="427"/>
      <c r="E24" s="425" t="e">
        <f>+'Estado de costos'!#REF!</f>
        <v>#REF!</v>
      </c>
      <c r="F24" s="427"/>
      <c r="G24" s="40" t="e">
        <f>+'Estado de costos'!#REF!</f>
        <v>#REF!</v>
      </c>
      <c r="H24" s="41" t="e">
        <f>+'Estado de costos'!#REF!</f>
        <v>#REF!</v>
      </c>
      <c r="I24" s="90" t="e">
        <f t="shared" si="0"/>
        <v>#REF!</v>
      </c>
      <c r="J24" s="40" t="e">
        <f>+'Estado de costos'!#REF!</f>
        <v>#REF!</v>
      </c>
      <c r="K24" s="90" t="e">
        <f>+'Estado de costos'!#REF!</f>
        <v>#REF!</v>
      </c>
      <c r="M24" s="413" t="s">
        <v>145</v>
      </c>
      <c r="N24" s="414"/>
      <c r="O24" s="415"/>
      <c r="P24" s="413" t="s">
        <v>65</v>
      </c>
      <c r="Q24" s="415"/>
      <c r="R24" s="95" t="s">
        <v>10</v>
      </c>
      <c r="S24" s="95" t="s">
        <v>6</v>
      </c>
    </row>
    <row r="25" spans="1:19" s="7" customFormat="1" ht="39" customHeight="1" x14ac:dyDescent="0.2">
      <c r="A25" s="13"/>
      <c r="B25" s="425" t="e">
        <f>+'Estado de costos'!#REF!</f>
        <v>#REF!</v>
      </c>
      <c r="C25" s="426"/>
      <c r="D25" s="427"/>
      <c r="E25" s="425" t="e">
        <f>+'Estado de costos'!#REF!</f>
        <v>#REF!</v>
      </c>
      <c r="F25" s="427"/>
      <c r="G25" s="40" t="e">
        <f>+'Estado de costos'!#REF!</f>
        <v>#REF!</v>
      </c>
      <c r="H25" s="41" t="e">
        <f>+'Estado de costos'!#REF!</f>
        <v>#REF!</v>
      </c>
      <c r="I25" s="42" t="e">
        <f t="shared" si="0"/>
        <v>#REF!</v>
      </c>
      <c r="J25" s="40" t="e">
        <f>+'Estado de costos'!#REF!</f>
        <v>#REF!</v>
      </c>
      <c r="K25" s="90" t="e">
        <f>+'Estado de costos'!#REF!</f>
        <v>#REF!</v>
      </c>
    </row>
    <row r="26" spans="1:19" s="7" customFormat="1" ht="39" customHeight="1" x14ac:dyDescent="0.2">
      <c r="A26" s="13"/>
      <c r="B26" s="425" t="e">
        <f>+'Estado de costos'!#REF!</f>
        <v>#REF!</v>
      </c>
      <c r="C26" s="426"/>
      <c r="D26" s="427"/>
      <c r="E26" s="425" t="e">
        <f>+'Estado de costos'!#REF!</f>
        <v>#REF!</v>
      </c>
      <c r="F26" s="427"/>
      <c r="G26" s="40" t="e">
        <f>+'Estado de costos'!#REF!</f>
        <v>#REF!</v>
      </c>
      <c r="H26" s="41" t="e">
        <f>+'Estado de costos'!#REF!</f>
        <v>#REF!</v>
      </c>
      <c r="I26" s="42" t="e">
        <f t="shared" si="0"/>
        <v>#REF!</v>
      </c>
      <c r="J26" s="40" t="e">
        <f>+'Estado de costos'!#REF!</f>
        <v>#REF!</v>
      </c>
      <c r="K26" s="90" t="e">
        <f>+'Estado de costos'!#REF!</f>
        <v>#REF!</v>
      </c>
    </row>
    <row r="27" spans="1:19" s="7" customFormat="1" ht="39" customHeight="1" x14ac:dyDescent="0.2">
      <c r="A27" s="13"/>
      <c r="B27" s="425" t="e">
        <f>+'Estado de costos'!#REF!</f>
        <v>#REF!</v>
      </c>
      <c r="C27" s="426"/>
      <c r="D27" s="427"/>
      <c r="E27" s="425" t="e">
        <f>+'Estado de costos'!#REF!</f>
        <v>#REF!</v>
      </c>
      <c r="F27" s="427"/>
      <c r="G27" s="40" t="e">
        <f>+'Estado de costos'!#REF!</f>
        <v>#REF!</v>
      </c>
      <c r="H27" s="41" t="e">
        <f>+'Estado de costos'!#REF!</f>
        <v>#REF!</v>
      </c>
      <c r="I27" s="42" t="e">
        <f t="shared" si="0"/>
        <v>#REF!</v>
      </c>
      <c r="J27" s="40" t="e">
        <f>+'Estado de costos'!#REF!</f>
        <v>#REF!</v>
      </c>
      <c r="K27" s="90" t="e">
        <f>+'Estado de costos'!#REF!</f>
        <v>#REF!</v>
      </c>
    </row>
    <row r="28" spans="1:19" s="7" customFormat="1" ht="39" customHeight="1" x14ac:dyDescent="0.2">
      <c r="A28" s="13"/>
      <c r="B28" s="425" t="e">
        <f>+'Estado de costos'!#REF!</f>
        <v>#REF!</v>
      </c>
      <c r="C28" s="426"/>
      <c r="D28" s="427"/>
      <c r="E28" s="425" t="e">
        <f>+'Estado de costos'!#REF!</f>
        <v>#REF!</v>
      </c>
      <c r="F28" s="427"/>
      <c r="G28" s="40" t="e">
        <f>+'Estado de costos'!#REF!</f>
        <v>#REF!</v>
      </c>
      <c r="H28" s="41" t="e">
        <f>+'Estado de costos'!#REF!</f>
        <v>#REF!</v>
      </c>
      <c r="I28" s="42" t="e">
        <f t="shared" si="0"/>
        <v>#REF!</v>
      </c>
      <c r="J28" s="40" t="e">
        <f>+'Estado de costos'!#REF!</f>
        <v>#REF!</v>
      </c>
      <c r="K28" s="90" t="e">
        <f>+'Estado de costos'!#REF!</f>
        <v>#REF!</v>
      </c>
    </row>
    <row r="29" spans="1:19" s="7" customFormat="1" ht="39" customHeight="1" x14ac:dyDescent="0.2">
      <c r="A29" s="13"/>
      <c r="B29" s="425" t="e">
        <f>+'Estado de costos'!#REF!</f>
        <v>#REF!</v>
      </c>
      <c r="C29" s="426"/>
      <c r="D29" s="427"/>
      <c r="E29" s="425" t="e">
        <f>+'Estado de costos'!#REF!</f>
        <v>#REF!</v>
      </c>
      <c r="F29" s="427"/>
      <c r="G29" s="40" t="e">
        <f>+'Estado de costos'!#REF!</f>
        <v>#REF!</v>
      </c>
      <c r="H29" s="41" t="e">
        <f>+'Estado de costos'!#REF!</f>
        <v>#REF!</v>
      </c>
      <c r="I29" s="42" t="e">
        <f t="shared" si="0"/>
        <v>#REF!</v>
      </c>
      <c r="J29" s="40" t="e">
        <f>+'Estado de costos'!#REF!</f>
        <v>#REF!</v>
      </c>
      <c r="K29" s="90" t="e">
        <f>+'Estado de costos'!#REF!</f>
        <v>#REF!</v>
      </c>
    </row>
    <row r="30" spans="1:19" s="7" customFormat="1" ht="39" customHeight="1" x14ac:dyDescent="0.2">
      <c r="A30" s="13"/>
      <c r="B30" s="425" t="e">
        <f>+'Estado de costos'!#REF!</f>
        <v>#REF!</v>
      </c>
      <c r="C30" s="426"/>
      <c r="D30" s="427"/>
      <c r="E30" s="425" t="e">
        <f>+'Estado de costos'!#REF!</f>
        <v>#REF!</v>
      </c>
      <c r="F30" s="427"/>
      <c r="G30" s="40" t="e">
        <f>+'Estado de costos'!#REF!</f>
        <v>#REF!</v>
      </c>
      <c r="H30" s="41" t="e">
        <f>+'Estado de costos'!#REF!</f>
        <v>#REF!</v>
      </c>
      <c r="I30" s="42" t="e">
        <f t="shared" si="0"/>
        <v>#REF!</v>
      </c>
      <c r="J30" s="40" t="e">
        <f>+'Estado de costos'!#REF!</f>
        <v>#REF!</v>
      </c>
      <c r="K30" s="90" t="e">
        <f>+'Estado de costos'!#REF!</f>
        <v>#REF!</v>
      </c>
    </row>
    <row r="31" spans="1:19" s="7" customFormat="1" ht="36" customHeight="1" x14ac:dyDescent="0.2">
      <c r="A31" s="13"/>
      <c r="B31" s="421" t="s">
        <v>50</v>
      </c>
      <c r="C31" s="422"/>
      <c r="D31" s="422"/>
      <c r="E31" s="422"/>
      <c r="F31" s="423"/>
      <c r="G31" s="43"/>
      <c r="H31" s="44"/>
      <c r="I31" s="90" t="e">
        <f>SUM(I22:I30)</f>
        <v>#REF!</v>
      </c>
      <c r="J31" s="44"/>
      <c r="K31" s="90" t="e">
        <f>SUM(K22:K30)</f>
        <v>#REF!</v>
      </c>
    </row>
    <row r="32" spans="1:19" s="7" customFormat="1" ht="15" x14ac:dyDescent="0.2">
      <c r="A32" s="13"/>
      <c r="B32" s="33"/>
      <c r="C32" s="33"/>
      <c r="D32" s="33"/>
      <c r="E32" s="33"/>
      <c r="F32" s="45"/>
      <c r="G32" s="45"/>
      <c r="H32" s="33"/>
      <c r="I32" s="33"/>
      <c r="J32" s="33"/>
      <c r="K32" s="33"/>
    </row>
    <row r="33" spans="1:11" s="7" customFormat="1" ht="15" x14ac:dyDescent="0.2">
      <c r="A33" s="13"/>
      <c r="B33" s="33"/>
      <c r="C33" s="33"/>
      <c r="D33" s="33"/>
      <c r="E33" s="33"/>
      <c r="F33" s="45"/>
      <c r="G33" s="45"/>
      <c r="H33" s="33"/>
      <c r="I33" s="33"/>
      <c r="J33" s="33"/>
      <c r="K33" s="33"/>
    </row>
    <row r="34" spans="1:11" s="7" customFormat="1" ht="15" hidden="1" x14ac:dyDescent="0.2">
      <c r="A34" s="13"/>
      <c r="B34" s="33"/>
      <c r="C34" s="33"/>
      <c r="D34" s="33"/>
      <c r="E34" s="33"/>
      <c r="F34" s="45"/>
      <c r="G34" s="45"/>
      <c r="H34" s="33"/>
      <c r="I34" s="33"/>
      <c r="J34" s="33"/>
      <c r="K34" s="46" t="e">
        <f>+K31+K92</f>
        <v>#REF!</v>
      </c>
    </row>
    <row r="35" spans="1:11" s="7" customFormat="1" ht="15" x14ac:dyDescent="0.2">
      <c r="A35" s="13"/>
      <c r="B35" s="33"/>
      <c r="C35" s="33"/>
      <c r="D35" s="33"/>
      <c r="E35" s="33"/>
      <c r="F35" s="45"/>
      <c r="G35" s="45"/>
      <c r="H35" s="33"/>
      <c r="I35" s="33"/>
      <c r="J35" s="33"/>
      <c r="K35" s="33"/>
    </row>
    <row r="36" spans="1:11" s="7" customFormat="1" ht="26.25" customHeight="1" x14ac:dyDescent="0.2">
      <c r="A36" s="13" t="s">
        <v>135</v>
      </c>
      <c r="B36" s="424" t="s">
        <v>142</v>
      </c>
      <c r="C36" s="424"/>
      <c r="D36" s="424"/>
      <c r="E36" s="424"/>
      <c r="F36" s="424"/>
      <c r="G36" s="424" t="s">
        <v>46</v>
      </c>
      <c r="H36" s="424"/>
      <c r="I36" s="424"/>
      <c r="J36" s="424"/>
      <c r="K36" s="424"/>
    </row>
    <row r="37" spans="1:11" s="7" customFormat="1" ht="50.25" customHeight="1" x14ac:dyDescent="0.2">
      <c r="A37" s="13"/>
      <c r="B37" s="418" t="s">
        <v>7</v>
      </c>
      <c r="C37" s="419"/>
      <c r="D37" s="420"/>
      <c r="E37" s="36" t="s">
        <v>65</v>
      </c>
      <c r="F37" s="44" t="s">
        <v>11</v>
      </c>
      <c r="G37" s="36" t="s">
        <v>10</v>
      </c>
      <c r="H37" s="36" t="s">
        <v>6</v>
      </c>
      <c r="I37" s="44" t="s">
        <v>5</v>
      </c>
      <c r="J37" s="44" t="s">
        <v>40</v>
      </c>
      <c r="K37" s="36" t="s">
        <v>41</v>
      </c>
    </row>
    <row r="38" spans="1:11" s="7" customFormat="1" ht="30.75" customHeight="1" x14ac:dyDescent="0.2">
      <c r="A38" s="13"/>
      <c r="B38" s="421" t="e">
        <f>+'Estado de costos'!#REF!</f>
        <v>#REF!</v>
      </c>
      <c r="C38" s="422"/>
      <c r="D38" s="423"/>
      <c r="E38" s="47" t="e">
        <f>+'Estado de costos'!#REF!</f>
        <v>#REF!</v>
      </c>
      <c r="F38" s="48" t="e">
        <f>+'Estado de costos'!#REF!</f>
        <v>#REF!</v>
      </c>
      <c r="G38" s="49" t="e">
        <f>+'Estado de costos'!#REF!</f>
        <v>#REF!</v>
      </c>
      <c r="H38" s="50" t="e">
        <f>+'Estado de costos'!#REF!</f>
        <v>#REF!</v>
      </c>
      <c r="I38" s="51" t="e">
        <f>+H38*G38*F38</f>
        <v>#REF!</v>
      </c>
      <c r="J38" s="52" t="e">
        <f>+'Estado de costos'!#REF!</f>
        <v>#REF!</v>
      </c>
      <c r="K38" s="53" t="e">
        <f>+'Estado de costos'!#REF!</f>
        <v>#REF!</v>
      </c>
    </row>
    <row r="39" spans="1:11" s="7" customFormat="1" ht="30.75" customHeight="1" x14ac:dyDescent="0.2">
      <c r="A39" s="13"/>
      <c r="B39" s="421" t="e">
        <f>+'Estado de costos'!#REF!</f>
        <v>#REF!</v>
      </c>
      <c r="C39" s="422"/>
      <c r="D39" s="423"/>
      <c r="E39" s="47" t="e">
        <f>+'Estado de costos'!#REF!</f>
        <v>#REF!</v>
      </c>
      <c r="F39" s="48" t="e">
        <f>+'Estado de costos'!#REF!</f>
        <v>#REF!</v>
      </c>
      <c r="G39" s="49" t="e">
        <f>+'Estado de costos'!#REF!</f>
        <v>#REF!</v>
      </c>
      <c r="H39" s="50" t="e">
        <f>+'Estado de costos'!#REF!</f>
        <v>#REF!</v>
      </c>
      <c r="I39" s="51" t="e">
        <f t="shared" ref="I39:I91" si="1">+H39*G39*F39</f>
        <v>#REF!</v>
      </c>
      <c r="J39" s="52" t="e">
        <f>+'Estado de costos'!#REF!</f>
        <v>#REF!</v>
      </c>
      <c r="K39" s="53" t="e">
        <f>+'Estado de costos'!#REF!</f>
        <v>#REF!</v>
      </c>
    </row>
    <row r="40" spans="1:11" s="7" customFormat="1" ht="30.75" customHeight="1" x14ac:dyDescent="0.2">
      <c r="A40" s="13"/>
      <c r="B40" s="421" t="e">
        <f>+'Estado de costos'!#REF!</f>
        <v>#REF!</v>
      </c>
      <c r="C40" s="422"/>
      <c r="D40" s="423"/>
      <c r="E40" s="47" t="e">
        <f>+'Estado de costos'!#REF!</f>
        <v>#REF!</v>
      </c>
      <c r="F40" s="48" t="e">
        <f>+'Estado de costos'!#REF!</f>
        <v>#REF!</v>
      </c>
      <c r="G40" s="49" t="e">
        <f>+'Estado de costos'!#REF!</f>
        <v>#REF!</v>
      </c>
      <c r="H40" s="50" t="e">
        <f>+'Estado de costos'!#REF!</f>
        <v>#REF!</v>
      </c>
      <c r="I40" s="51" t="e">
        <f t="shared" si="1"/>
        <v>#REF!</v>
      </c>
      <c r="J40" s="52" t="e">
        <f>+'Estado de costos'!#REF!</f>
        <v>#REF!</v>
      </c>
      <c r="K40" s="53" t="e">
        <f>+'Estado de costos'!#REF!</f>
        <v>#REF!</v>
      </c>
    </row>
    <row r="41" spans="1:11" s="7" customFormat="1" ht="30.75" customHeight="1" x14ac:dyDescent="0.2">
      <c r="A41" s="13"/>
      <c r="B41" s="421" t="e">
        <f>+'Estado de costos'!#REF!</f>
        <v>#REF!</v>
      </c>
      <c r="C41" s="422"/>
      <c r="D41" s="423"/>
      <c r="E41" s="47" t="e">
        <f>+'Estado de costos'!#REF!</f>
        <v>#REF!</v>
      </c>
      <c r="F41" s="48" t="e">
        <f>+'Estado de costos'!#REF!</f>
        <v>#REF!</v>
      </c>
      <c r="G41" s="49" t="e">
        <f>+'Estado de costos'!#REF!</f>
        <v>#REF!</v>
      </c>
      <c r="H41" s="50" t="e">
        <f>+'Estado de costos'!#REF!</f>
        <v>#REF!</v>
      </c>
      <c r="I41" s="51" t="e">
        <f t="shared" si="1"/>
        <v>#REF!</v>
      </c>
      <c r="J41" s="52" t="e">
        <f>+'Estado de costos'!#REF!</f>
        <v>#REF!</v>
      </c>
      <c r="K41" s="53" t="e">
        <f>+'Estado de costos'!#REF!</f>
        <v>#REF!</v>
      </c>
    </row>
    <row r="42" spans="1:11" s="7" customFormat="1" ht="30.75" customHeight="1" x14ac:dyDescent="0.2">
      <c r="A42" s="13"/>
      <c r="B42" s="421" t="e">
        <f>+'Estado de costos'!#REF!</f>
        <v>#REF!</v>
      </c>
      <c r="C42" s="422"/>
      <c r="D42" s="423"/>
      <c r="E42" s="47" t="e">
        <f>+'Estado de costos'!#REF!</f>
        <v>#REF!</v>
      </c>
      <c r="F42" s="48" t="e">
        <f>+'Estado de costos'!#REF!</f>
        <v>#REF!</v>
      </c>
      <c r="G42" s="49" t="e">
        <f>+'Estado de costos'!#REF!</f>
        <v>#REF!</v>
      </c>
      <c r="H42" s="50" t="e">
        <f>+'Estado de costos'!#REF!</f>
        <v>#REF!</v>
      </c>
      <c r="I42" s="51" t="e">
        <f t="shared" si="1"/>
        <v>#REF!</v>
      </c>
      <c r="J42" s="52" t="e">
        <f>+'Estado de costos'!#REF!</f>
        <v>#REF!</v>
      </c>
      <c r="K42" s="53" t="e">
        <f>+'Estado de costos'!#REF!</f>
        <v>#REF!</v>
      </c>
    </row>
    <row r="43" spans="1:11" s="7" customFormat="1" ht="30.75" customHeight="1" x14ac:dyDescent="0.2">
      <c r="A43" s="13"/>
      <c r="B43" s="421" t="str">
        <f>+'Estado de costos'!B39:B39</f>
        <v>a</v>
      </c>
      <c r="C43" s="422"/>
      <c r="D43" s="423"/>
      <c r="E43" s="47" t="str">
        <f>+'Estado de costos'!C39</f>
        <v>b</v>
      </c>
      <c r="F43" s="48">
        <f>+'Estado de costos'!D39</f>
        <v>2</v>
      </c>
      <c r="G43" s="49">
        <f>+'Estado de costos'!E39</f>
        <v>4</v>
      </c>
      <c r="H43" s="50">
        <f>+'Estado de costos'!F39</f>
        <v>0</v>
      </c>
      <c r="I43" s="51">
        <f t="shared" si="1"/>
        <v>0</v>
      </c>
      <c r="J43" s="52" t="str">
        <f>+'Estado de costos'!H39</f>
        <v>FACTURA</v>
      </c>
      <c r="K43" s="53">
        <f>+'Estado de costos'!I39</f>
        <v>0</v>
      </c>
    </row>
    <row r="44" spans="1:11" s="7" customFormat="1" ht="30.75" customHeight="1" x14ac:dyDescent="0.2">
      <c r="A44" s="13"/>
      <c r="B44" s="421" t="e">
        <f>+'Estado de costos'!#REF!</f>
        <v>#REF!</v>
      </c>
      <c r="C44" s="422"/>
      <c r="D44" s="423"/>
      <c r="E44" s="47" t="e">
        <f>+'Estado de costos'!#REF!</f>
        <v>#REF!</v>
      </c>
      <c r="F44" s="48" t="e">
        <f>+'Estado de costos'!#REF!</f>
        <v>#REF!</v>
      </c>
      <c r="G44" s="49" t="e">
        <f>+'Estado de costos'!#REF!</f>
        <v>#REF!</v>
      </c>
      <c r="H44" s="50" t="e">
        <f>+'Estado de costos'!#REF!</f>
        <v>#REF!</v>
      </c>
      <c r="I44" s="51" t="e">
        <f t="shared" si="1"/>
        <v>#REF!</v>
      </c>
      <c r="J44" s="52" t="e">
        <f>+'Estado de costos'!#REF!</f>
        <v>#REF!</v>
      </c>
      <c r="K44" s="53" t="e">
        <f>+'Estado de costos'!#REF!</f>
        <v>#REF!</v>
      </c>
    </row>
    <row r="45" spans="1:11" s="7" customFormat="1" ht="30.75" customHeight="1" x14ac:dyDescent="0.2">
      <c r="A45" s="13"/>
      <c r="B45" s="421" t="e">
        <f>+'Estado de costos'!#REF!</f>
        <v>#REF!</v>
      </c>
      <c r="C45" s="422"/>
      <c r="D45" s="423"/>
      <c r="E45" s="47" t="e">
        <f>+'Estado de costos'!#REF!</f>
        <v>#REF!</v>
      </c>
      <c r="F45" s="48" t="e">
        <f>+'Estado de costos'!#REF!</f>
        <v>#REF!</v>
      </c>
      <c r="G45" s="49" t="e">
        <f>+'Estado de costos'!#REF!</f>
        <v>#REF!</v>
      </c>
      <c r="H45" s="50" t="e">
        <f>+'Estado de costos'!#REF!</f>
        <v>#REF!</v>
      </c>
      <c r="I45" s="51" t="e">
        <f t="shared" si="1"/>
        <v>#REF!</v>
      </c>
      <c r="J45" s="52" t="e">
        <f>+'Estado de costos'!#REF!</f>
        <v>#REF!</v>
      </c>
      <c r="K45" s="53" t="e">
        <f>+'Estado de costos'!#REF!</f>
        <v>#REF!</v>
      </c>
    </row>
    <row r="46" spans="1:11" s="7" customFormat="1" ht="30.75" customHeight="1" x14ac:dyDescent="0.2">
      <c r="A46" s="13"/>
      <c r="B46" s="421" t="e">
        <f>+'Estado de costos'!#REF!</f>
        <v>#REF!</v>
      </c>
      <c r="C46" s="422"/>
      <c r="D46" s="423"/>
      <c r="E46" s="47" t="e">
        <f>+'Estado de costos'!#REF!</f>
        <v>#REF!</v>
      </c>
      <c r="F46" s="48" t="e">
        <f>+'Estado de costos'!#REF!</f>
        <v>#REF!</v>
      </c>
      <c r="G46" s="49" t="e">
        <f>+'Estado de costos'!#REF!</f>
        <v>#REF!</v>
      </c>
      <c r="H46" s="50" t="e">
        <f>+'Estado de costos'!#REF!</f>
        <v>#REF!</v>
      </c>
      <c r="I46" s="51" t="e">
        <f t="shared" si="1"/>
        <v>#REF!</v>
      </c>
      <c r="J46" s="52" t="e">
        <f>+'Estado de costos'!#REF!</f>
        <v>#REF!</v>
      </c>
      <c r="K46" s="53" t="e">
        <f>+'Estado de costos'!#REF!</f>
        <v>#REF!</v>
      </c>
    </row>
    <row r="47" spans="1:11" s="7" customFormat="1" ht="30.75" customHeight="1" x14ac:dyDescent="0.2">
      <c r="A47" s="13"/>
      <c r="B47" s="421" t="e">
        <f>+'Estado de costos'!#REF!</f>
        <v>#REF!</v>
      </c>
      <c r="C47" s="422"/>
      <c r="D47" s="423"/>
      <c r="E47" s="47" t="e">
        <f>+'Estado de costos'!#REF!</f>
        <v>#REF!</v>
      </c>
      <c r="F47" s="48" t="e">
        <f>+'Estado de costos'!#REF!</f>
        <v>#REF!</v>
      </c>
      <c r="G47" s="49" t="e">
        <f>+'Estado de costos'!#REF!</f>
        <v>#REF!</v>
      </c>
      <c r="H47" s="50" t="e">
        <f>+'Estado de costos'!#REF!</f>
        <v>#REF!</v>
      </c>
      <c r="I47" s="51" t="e">
        <f t="shared" si="1"/>
        <v>#REF!</v>
      </c>
      <c r="J47" s="52" t="e">
        <f>+'Estado de costos'!#REF!</f>
        <v>#REF!</v>
      </c>
      <c r="K47" s="53" t="e">
        <f>+'Estado de costos'!#REF!</f>
        <v>#REF!</v>
      </c>
    </row>
    <row r="48" spans="1:11" s="7" customFormat="1" ht="30.75" customHeight="1" x14ac:dyDescent="0.2">
      <c r="A48" s="13"/>
      <c r="B48" s="421" t="e">
        <f>+'Estado de costos'!#REF!</f>
        <v>#REF!</v>
      </c>
      <c r="C48" s="422"/>
      <c r="D48" s="423"/>
      <c r="E48" s="47" t="e">
        <f>+'Estado de costos'!#REF!</f>
        <v>#REF!</v>
      </c>
      <c r="F48" s="48" t="e">
        <f>+'Estado de costos'!#REF!</f>
        <v>#REF!</v>
      </c>
      <c r="G48" s="49" t="e">
        <f>+'Estado de costos'!#REF!</f>
        <v>#REF!</v>
      </c>
      <c r="H48" s="50" t="e">
        <f>+'Estado de costos'!#REF!</f>
        <v>#REF!</v>
      </c>
      <c r="I48" s="51" t="e">
        <f t="shared" si="1"/>
        <v>#REF!</v>
      </c>
      <c r="J48" s="52" t="e">
        <f>+'Estado de costos'!#REF!</f>
        <v>#REF!</v>
      </c>
      <c r="K48" s="53" t="e">
        <f>+'Estado de costos'!#REF!</f>
        <v>#REF!</v>
      </c>
    </row>
    <row r="49" spans="1:11" s="7" customFormat="1" ht="30.75" customHeight="1" x14ac:dyDescent="0.2">
      <c r="A49" s="13"/>
      <c r="B49" s="421" t="e">
        <f>+'Estado de costos'!#REF!</f>
        <v>#REF!</v>
      </c>
      <c r="C49" s="422"/>
      <c r="D49" s="423"/>
      <c r="E49" s="47" t="e">
        <f>+'Estado de costos'!#REF!</f>
        <v>#REF!</v>
      </c>
      <c r="F49" s="48" t="e">
        <f>+'Estado de costos'!#REF!</f>
        <v>#REF!</v>
      </c>
      <c r="G49" s="49" t="e">
        <f>+'Estado de costos'!#REF!</f>
        <v>#REF!</v>
      </c>
      <c r="H49" s="50" t="e">
        <f>+'Estado de costos'!#REF!</f>
        <v>#REF!</v>
      </c>
      <c r="I49" s="51" t="e">
        <f t="shared" si="1"/>
        <v>#REF!</v>
      </c>
      <c r="J49" s="52" t="e">
        <f>+'Estado de costos'!#REF!</f>
        <v>#REF!</v>
      </c>
      <c r="K49" s="53" t="e">
        <f>+'Estado de costos'!#REF!</f>
        <v>#REF!</v>
      </c>
    </row>
    <row r="50" spans="1:11" s="7" customFormat="1" ht="30.75" customHeight="1" x14ac:dyDescent="0.2">
      <c r="A50" s="13"/>
      <c r="B50" s="421" t="e">
        <f>+'Estado de costos'!#REF!</f>
        <v>#REF!</v>
      </c>
      <c r="C50" s="422"/>
      <c r="D50" s="423"/>
      <c r="E50" s="47" t="e">
        <f>+'Estado de costos'!#REF!</f>
        <v>#REF!</v>
      </c>
      <c r="F50" s="48" t="e">
        <f>+'Estado de costos'!#REF!</f>
        <v>#REF!</v>
      </c>
      <c r="G50" s="49" t="e">
        <f>+'Estado de costos'!#REF!</f>
        <v>#REF!</v>
      </c>
      <c r="H50" s="50" t="e">
        <f>+'Estado de costos'!#REF!</f>
        <v>#REF!</v>
      </c>
      <c r="I50" s="51" t="e">
        <f t="shared" si="1"/>
        <v>#REF!</v>
      </c>
      <c r="J50" s="52" t="e">
        <f>+'Estado de costos'!#REF!</f>
        <v>#REF!</v>
      </c>
      <c r="K50" s="53" t="e">
        <f>+'Estado de costos'!#REF!</f>
        <v>#REF!</v>
      </c>
    </row>
    <row r="51" spans="1:11" s="7" customFormat="1" ht="30.75" customHeight="1" x14ac:dyDescent="0.2">
      <c r="A51" s="13"/>
      <c r="B51" s="421" t="e">
        <f>+'Estado de costos'!#REF!</f>
        <v>#REF!</v>
      </c>
      <c r="C51" s="422"/>
      <c r="D51" s="423"/>
      <c r="E51" s="47" t="e">
        <f>+'Estado de costos'!#REF!</f>
        <v>#REF!</v>
      </c>
      <c r="F51" s="48" t="e">
        <f>+'Estado de costos'!#REF!</f>
        <v>#REF!</v>
      </c>
      <c r="G51" s="49" t="e">
        <f>+'Estado de costos'!#REF!</f>
        <v>#REF!</v>
      </c>
      <c r="H51" s="50" t="e">
        <f>+'Estado de costos'!#REF!</f>
        <v>#REF!</v>
      </c>
      <c r="I51" s="51" t="e">
        <f t="shared" si="1"/>
        <v>#REF!</v>
      </c>
      <c r="J51" s="52" t="e">
        <f>+'Estado de costos'!#REF!</f>
        <v>#REF!</v>
      </c>
      <c r="K51" s="53" t="e">
        <f>+'Estado de costos'!#REF!</f>
        <v>#REF!</v>
      </c>
    </row>
    <row r="52" spans="1:11" s="7" customFormat="1" ht="30.75" customHeight="1" x14ac:dyDescent="0.2">
      <c r="A52" s="13"/>
      <c r="B52" s="421" t="e">
        <f>+'Estado de costos'!#REF!</f>
        <v>#REF!</v>
      </c>
      <c r="C52" s="422"/>
      <c r="D52" s="423"/>
      <c r="E52" s="47" t="e">
        <f>+'Estado de costos'!#REF!</f>
        <v>#REF!</v>
      </c>
      <c r="F52" s="48" t="e">
        <f>+'Estado de costos'!#REF!</f>
        <v>#REF!</v>
      </c>
      <c r="G52" s="49" t="e">
        <f>+'Estado de costos'!#REF!</f>
        <v>#REF!</v>
      </c>
      <c r="H52" s="50" t="e">
        <f>+'Estado de costos'!#REF!</f>
        <v>#REF!</v>
      </c>
      <c r="I52" s="51" t="e">
        <f t="shared" si="1"/>
        <v>#REF!</v>
      </c>
      <c r="J52" s="52" t="e">
        <f>+'Estado de costos'!#REF!</f>
        <v>#REF!</v>
      </c>
      <c r="K52" s="53" t="e">
        <f>+'Estado de costos'!#REF!</f>
        <v>#REF!</v>
      </c>
    </row>
    <row r="53" spans="1:11" s="7" customFormat="1" ht="30.75" customHeight="1" x14ac:dyDescent="0.2">
      <c r="A53" s="13"/>
      <c r="B53" s="421" t="e">
        <f>+'Estado de costos'!#REF!</f>
        <v>#REF!</v>
      </c>
      <c r="C53" s="422"/>
      <c r="D53" s="423"/>
      <c r="E53" s="47" t="e">
        <f>+'Estado de costos'!#REF!</f>
        <v>#REF!</v>
      </c>
      <c r="F53" s="48" t="e">
        <f>+'Estado de costos'!#REF!</f>
        <v>#REF!</v>
      </c>
      <c r="G53" s="49" t="e">
        <f>+'Estado de costos'!#REF!</f>
        <v>#REF!</v>
      </c>
      <c r="H53" s="50" t="e">
        <f>+'Estado de costos'!#REF!</f>
        <v>#REF!</v>
      </c>
      <c r="I53" s="51" t="e">
        <f t="shared" si="1"/>
        <v>#REF!</v>
      </c>
      <c r="J53" s="52" t="e">
        <f>+'Estado de costos'!#REF!</f>
        <v>#REF!</v>
      </c>
      <c r="K53" s="53" t="e">
        <f>+'Estado de costos'!#REF!</f>
        <v>#REF!</v>
      </c>
    </row>
    <row r="54" spans="1:11" s="7" customFormat="1" ht="30.75" customHeight="1" x14ac:dyDescent="0.2">
      <c r="A54" s="13"/>
      <c r="B54" s="421" t="e">
        <f>+'Estado de costos'!#REF!</f>
        <v>#REF!</v>
      </c>
      <c r="C54" s="422"/>
      <c r="D54" s="423"/>
      <c r="E54" s="47" t="e">
        <f>+'Estado de costos'!#REF!</f>
        <v>#REF!</v>
      </c>
      <c r="F54" s="48" t="e">
        <f>+'Estado de costos'!#REF!</f>
        <v>#REF!</v>
      </c>
      <c r="G54" s="49" t="e">
        <f>+'Estado de costos'!#REF!</f>
        <v>#REF!</v>
      </c>
      <c r="H54" s="50" t="e">
        <f>+'Estado de costos'!#REF!</f>
        <v>#REF!</v>
      </c>
      <c r="I54" s="51" t="e">
        <f t="shared" si="1"/>
        <v>#REF!</v>
      </c>
      <c r="J54" s="52" t="e">
        <f>+'Estado de costos'!#REF!</f>
        <v>#REF!</v>
      </c>
      <c r="K54" s="53" t="e">
        <f>+'Estado de costos'!#REF!</f>
        <v>#REF!</v>
      </c>
    </row>
    <row r="55" spans="1:11" s="7" customFormat="1" ht="30.75" customHeight="1" x14ac:dyDescent="0.2">
      <c r="A55" s="13"/>
      <c r="B55" s="421" t="e">
        <f>+'Estado de costos'!#REF!</f>
        <v>#REF!</v>
      </c>
      <c r="C55" s="422"/>
      <c r="D55" s="423"/>
      <c r="E55" s="47" t="e">
        <f>+'Estado de costos'!#REF!</f>
        <v>#REF!</v>
      </c>
      <c r="F55" s="48" t="e">
        <f>+'Estado de costos'!#REF!</f>
        <v>#REF!</v>
      </c>
      <c r="G55" s="49" t="e">
        <f>+'Estado de costos'!#REF!</f>
        <v>#REF!</v>
      </c>
      <c r="H55" s="50" t="e">
        <f>+'Estado de costos'!#REF!</f>
        <v>#REF!</v>
      </c>
      <c r="I55" s="51" t="e">
        <f t="shared" si="1"/>
        <v>#REF!</v>
      </c>
      <c r="J55" s="52" t="e">
        <f>+'Estado de costos'!#REF!</f>
        <v>#REF!</v>
      </c>
      <c r="K55" s="53" t="e">
        <f>+'Estado de costos'!#REF!</f>
        <v>#REF!</v>
      </c>
    </row>
    <row r="56" spans="1:11" s="7" customFormat="1" ht="30.75" customHeight="1" x14ac:dyDescent="0.2">
      <c r="A56" s="13"/>
      <c r="B56" s="421" t="e">
        <f>+'Estado de costos'!#REF!</f>
        <v>#REF!</v>
      </c>
      <c r="C56" s="422"/>
      <c r="D56" s="423"/>
      <c r="E56" s="47" t="e">
        <f>+'Estado de costos'!#REF!</f>
        <v>#REF!</v>
      </c>
      <c r="F56" s="48" t="e">
        <f>+'Estado de costos'!#REF!</f>
        <v>#REF!</v>
      </c>
      <c r="G56" s="49" t="e">
        <f>+'Estado de costos'!#REF!</f>
        <v>#REF!</v>
      </c>
      <c r="H56" s="50" t="e">
        <f>+'Estado de costos'!#REF!</f>
        <v>#REF!</v>
      </c>
      <c r="I56" s="51" t="e">
        <f t="shared" si="1"/>
        <v>#REF!</v>
      </c>
      <c r="J56" s="52" t="e">
        <f>+'Estado de costos'!#REF!</f>
        <v>#REF!</v>
      </c>
      <c r="K56" s="53" t="e">
        <f>+'Estado de costos'!#REF!</f>
        <v>#REF!</v>
      </c>
    </row>
    <row r="57" spans="1:11" s="7" customFormat="1" ht="30.75" customHeight="1" x14ac:dyDescent="0.2">
      <c r="A57" s="13"/>
      <c r="B57" s="421" t="e">
        <f>+'Estado de costos'!#REF!</f>
        <v>#REF!</v>
      </c>
      <c r="C57" s="422"/>
      <c r="D57" s="423"/>
      <c r="E57" s="47" t="e">
        <f>+'Estado de costos'!#REF!</f>
        <v>#REF!</v>
      </c>
      <c r="F57" s="48" t="e">
        <f>+'Estado de costos'!#REF!</f>
        <v>#REF!</v>
      </c>
      <c r="G57" s="49" t="e">
        <f>+'Estado de costos'!#REF!</f>
        <v>#REF!</v>
      </c>
      <c r="H57" s="50" t="e">
        <f>+'Estado de costos'!#REF!</f>
        <v>#REF!</v>
      </c>
      <c r="I57" s="51" t="e">
        <f t="shared" si="1"/>
        <v>#REF!</v>
      </c>
      <c r="J57" s="52" t="e">
        <f>+'Estado de costos'!#REF!</f>
        <v>#REF!</v>
      </c>
      <c r="K57" s="53" t="e">
        <f>+'Estado de costos'!#REF!</f>
        <v>#REF!</v>
      </c>
    </row>
    <row r="58" spans="1:11" s="7" customFormat="1" ht="30.75" customHeight="1" x14ac:dyDescent="0.2">
      <c r="A58" s="13"/>
      <c r="B58" s="421" t="e">
        <f>+'Estado de costos'!#REF!</f>
        <v>#REF!</v>
      </c>
      <c r="C58" s="422"/>
      <c r="D58" s="423"/>
      <c r="E58" s="47" t="e">
        <f>+'Estado de costos'!#REF!</f>
        <v>#REF!</v>
      </c>
      <c r="F58" s="48" t="e">
        <f>+'Estado de costos'!#REF!</f>
        <v>#REF!</v>
      </c>
      <c r="G58" s="49" t="e">
        <f>+'Estado de costos'!#REF!</f>
        <v>#REF!</v>
      </c>
      <c r="H58" s="50" t="e">
        <f>+'Estado de costos'!#REF!</f>
        <v>#REF!</v>
      </c>
      <c r="I58" s="51" t="e">
        <f t="shared" si="1"/>
        <v>#REF!</v>
      </c>
      <c r="J58" s="52" t="e">
        <f>+'Estado de costos'!#REF!</f>
        <v>#REF!</v>
      </c>
      <c r="K58" s="53" t="e">
        <f>+'Estado de costos'!#REF!</f>
        <v>#REF!</v>
      </c>
    </row>
    <row r="59" spans="1:11" s="7" customFormat="1" ht="30.75" customHeight="1" x14ac:dyDescent="0.2">
      <c r="A59" s="13"/>
      <c r="B59" s="421" t="e">
        <f>+'Estado de costos'!#REF!</f>
        <v>#REF!</v>
      </c>
      <c r="C59" s="422"/>
      <c r="D59" s="423"/>
      <c r="E59" s="47" t="e">
        <f>+'Estado de costos'!#REF!</f>
        <v>#REF!</v>
      </c>
      <c r="F59" s="48" t="e">
        <f>+'Estado de costos'!#REF!</f>
        <v>#REF!</v>
      </c>
      <c r="G59" s="49" t="e">
        <f>+'Estado de costos'!#REF!</f>
        <v>#REF!</v>
      </c>
      <c r="H59" s="50" t="e">
        <f>+'Estado de costos'!#REF!</f>
        <v>#REF!</v>
      </c>
      <c r="I59" s="51" t="e">
        <f t="shared" si="1"/>
        <v>#REF!</v>
      </c>
      <c r="J59" s="52" t="e">
        <f>+'Estado de costos'!#REF!</f>
        <v>#REF!</v>
      </c>
      <c r="K59" s="53" t="e">
        <f>+'Estado de costos'!#REF!</f>
        <v>#REF!</v>
      </c>
    </row>
    <row r="60" spans="1:11" s="7" customFormat="1" ht="30.75" customHeight="1" x14ac:dyDescent="0.2">
      <c r="A60" s="13"/>
      <c r="B60" s="421" t="e">
        <f>+'Estado de costos'!#REF!</f>
        <v>#REF!</v>
      </c>
      <c r="C60" s="422"/>
      <c r="D60" s="423"/>
      <c r="E60" s="47" t="e">
        <f>+'Estado de costos'!#REF!</f>
        <v>#REF!</v>
      </c>
      <c r="F60" s="48" t="e">
        <f>+'Estado de costos'!#REF!</f>
        <v>#REF!</v>
      </c>
      <c r="G60" s="49" t="e">
        <f>+'Estado de costos'!#REF!</f>
        <v>#REF!</v>
      </c>
      <c r="H60" s="50" t="e">
        <f>+'Estado de costos'!#REF!</f>
        <v>#REF!</v>
      </c>
      <c r="I60" s="51" t="e">
        <f t="shared" si="1"/>
        <v>#REF!</v>
      </c>
      <c r="J60" s="52" t="e">
        <f>+'Estado de costos'!#REF!</f>
        <v>#REF!</v>
      </c>
      <c r="K60" s="53" t="e">
        <f>+'Estado de costos'!#REF!</f>
        <v>#REF!</v>
      </c>
    </row>
    <row r="61" spans="1:11" s="7" customFormat="1" ht="30.75" customHeight="1" x14ac:dyDescent="0.2">
      <c r="A61" s="13"/>
      <c r="B61" s="421" t="e">
        <f>+'Estado de costos'!#REF!</f>
        <v>#REF!</v>
      </c>
      <c r="C61" s="422"/>
      <c r="D61" s="423"/>
      <c r="E61" s="47" t="e">
        <f>+'Estado de costos'!#REF!</f>
        <v>#REF!</v>
      </c>
      <c r="F61" s="48" t="e">
        <f>+'Estado de costos'!#REF!</f>
        <v>#REF!</v>
      </c>
      <c r="G61" s="49" t="e">
        <f>+'Estado de costos'!#REF!</f>
        <v>#REF!</v>
      </c>
      <c r="H61" s="50" t="e">
        <f>+'Estado de costos'!#REF!</f>
        <v>#REF!</v>
      </c>
      <c r="I61" s="51" t="e">
        <f t="shared" si="1"/>
        <v>#REF!</v>
      </c>
      <c r="J61" s="52" t="e">
        <f>+'Estado de costos'!#REF!</f>
        <v>#REF!</v>
      </c>
      <c r="K61" s="53" t="e">
        <f>+'Estado de costos'!#REF!</f>
        <v>#REF!</v>
      </c>
    </row>
    <row r="62" spans="1:11" s="7" customFormat="1" ht="30.75" customHeight="1" x14ac:dyDescent="0.2">
      <c r="A62" s="13"/>
      <c r="B62" s="421" t="e">
        <f>+'Estado de costos'!#REF!</f>
        <v>#REF!</v>
      </c>
      <c r="C62" s="422"/>
      <c r="D62" s="423"/>
      <c r="E62" s="47" t="e">
        <f>+'Estado de costos'!#REF!</f>
        <v>#REF!</v>
      </c>
      <c r="F62" s="48" t="e">
        <f>+'Estado de costos'!#REF!</f>
        <v>#REF!</v>
      </c>
      <c r="G62" s="49" t="e">
        <f>+'Estado de costos'!#REF!</f>
        <v>#REF!</v>
      </c>
      <c r="H62" s="50" t="e">
        <f>+'Estado de costos'!#REF!</f>
        <v>#REF!</v>
      </c>
      <c r="I62" s="51" t="e">
        <f t="shared" si="1"/>
        <v>#REF!</v>
      </c>
      <c r="J62" s="52" t="e">
        <f>+'Estado de costos'!#REF!</f>
        <v>#REF!</v>
      </c>
      <c r="K62" s="53" t="e">
        <f>+'Estado de costos'!#REF!</f>
        <v>#REF!</v>
      </c>
    </row>
    <row r="63" spans="1:11" s="7" customFormat="1" ht="30.75" customHeight="1" x14ac:dyDescent="0.2">
      <c r="A63" s="13"/>
      <c r="B63" s="421" t="e">
        <f>+'Estado de costos'!#REF!</f>
        <v>#REF!</v>
      </c>
      <c r="C63" s="422"/>
      <c r="D63" s="423"/>
      <c r="E63" s="47" t="e">
        <f>+'Estado de costos'!#REF!</f>
        <v>#REF!</v>
      </c>
      <c r="F63" s="48" t="e">
        <f>+'Estado de costos'!#REF!</f>
        <v>#REF!</v>
      </c>
      <c r="G63" s="49" t="e">
        <f>+'Estado de costos'!#REF!</f>
        <v>#REF!</v>
      </c>
      <c r="H63" s="50" t="e">
        <f>+'Estado de costos'!#REF!</f>
        <v>#REF!</v>
      </c>
      <c r="I63" s="51" t="e">
        <f t="shared" si="1"/>
        <v>#REF!</v>
      </c>
      <c r="J63" s="52" t="e">
        <f>+'Estado de costos'!#REF!</f>
        <v>#REF!</v>
      </c>
      <c r="K63" s="53" t="e">
        <f>+'Estado de costos'!#REF!</f>
        <v>#REF!</v>
      </c>
    </row>
    <row r="64" spans="1:11" s="7" customFormat="1" ht="30.75" customHeight="1" x14ac:dyDescent="0.2">
      <c r="A64" s="13"/>
      <c r="B64" s="421" t="e">
        <f>+'Estado de costos'!#REF!</f>
        <v>#REF!</v>
      </c>
      <c r="C64" s="422"/>
      <c r="D64" s="423"/>
      <c r="E64" s="47" t="e">
        <f>+'Estado de costos'!#REF!</f>
        <v>#REF!</v>
      </c>
      <c r="F64" s="48" t="e">
        <f>+'Estado de costos'!#REF!</f>
        <v>#REF!</v>
      </c>
      <c r="G64" s="49" t="e">
        <f>+'Estado de costos'!#REF!</f>
        <v>#REF!</v>
      </c>
      <c r="H64" s="50" t="e">
        <f>+'Estado de costos'!#REF!</f>
        <v>#REF!</v>
      </c>
      <c r="I64" s="51" t="e">
        <f t="shared" si="1"/>
        <v>#REF!</v>
      </c>
      <c r="J64" s="52" t="e">
        <f>+'Estado de costos'!#REF!</f>
        <v>#REF!</v>
      </c>
      <c r="K64" s="53" t="e">
        <f>+'Estado de costos'!#REF!</f>
        <v>#REF!</v>
      </c>
    </row>
    <row r="65" spans="1:11" s="7" customFormat="1" ht="30.75" customHeight="1" x14ac:dyDescent="0.2">
      <c r="A65" s="13"/>
      <c r="B65" s="421" t="e">
        <f>+'Estado de costos'!#REF!</f>
        <v>#REF!</v>
      </c>
      <c r="C65" s="422"/>
      <c r="D65" s="423"/>
      <c r="E65" s="47" t="e">
        <f>+'Estado de costos'!#REF!</f>
        <v>#REF!</v>
      </c>
      <c r="F65" s="48" t="e">
        <f>+'Estado de costos'!#REF!</f>
        <v>#REF!</v>
      </c>
      <c r="G65" s="49" t="e">
        <f>+'Estado de costos'!#REF!</f>
        <v>#REF!</v>
      </c>
      <c r="H65" s="50" t="e">
        <f>+'Estado de costos'!#REF!</f>
        <v>#REF!</v>
      </c>
      <c r="I65" s="51" t="e">
        <f t="shared" si="1"/>
        <v>#REF!</v>
      </c>
      <c r="J65" s="52" t="e">
        <f>+'Estado de costos'!#REF!</f>
        <v>#REF!</v>
      </c>
      <c r="K65" s="53" t="e">
        <f>+'Estado de costos'!#REF!</f>
        <v>#REF!</v>
      </c>
    </row>
    <row r="66" spans="1:11" s="7" customFormat="1" ht="30.75" customHeight="1" x14ac:dyDescent="0.2">
      <c r="A66" s="13"/>
      <c r="B66" s="421" t="e">
        <f>+'Estado de costos'!#REF!</f>
        <v>#REF!</v>
      </c>
      <c r="C66" s="422"/>
      <c r="D66" s="423"/>
      <c r="E66" s="47" t="e">
        <f>+'Estado de costos'!#REF!</f>
        <v>#REF!</v>
      </c>
      <c r="F66" s="48" t="e">
        <f>+'Estado de costos'!#REF!</f>
        <v>#REF!</v>
      </c>
      <c r="G66" s="49" t="e">
        <f>+'Estado de costos'!#REF!</f>
        <v>#REF!</v>
      </c>
      <c r="H66" s="50" t="e">
        <f>+'Estado de costos'!#REF!</f>
        <v>#REF!</v>
      </c>
      <c r="I66" s="51" t="e">
        <f t="shared" si="1"/>
        <v>#REF!</v>
      </c>
      <c r="J66" s="52" t="e">
        <f>+'Estado de costos'!#REF!</f>
        <v>#REF!</v>
      </c>
      <c r="K66" s="53" t="e">
        <f>+'Estado de costos'!#REF!</f>
        <v>#REF!</v>
      </c>
    </row>
    <row r="67" spans="1:11" s="7" customFormat="1" ht="30.75" customHeight="1" x14ac:dyDescent="0.2">
      <c r="A67" s="13"/>
      <c r="B67" s="421" t="e">
        <f>+'Estado de costos'!#REF!</f>
        <v>#REF!</v>
      </c>
      <c r="C67" s="422"/>
      <c r="D67" s="423"/>
      <c r="E67" s="47" t="e">
        <f>+'Estado de costos'!#REF!</f>
        <v>#REF!</v>
      </c>
      <c r="F67" s="48" t="e">
        <f>+'Estado de costos'!#REF!</f>
        <v>#REF!</v>
      </c>
      <c r="G67" s="49" t="e">
        <f>+'Estado de costos'!#REF!</f>
        <v>#REF!</v>
      </c>
      <c r="H67" s="50" t="e">
        <f>+'Estado de costos'!#REF!</f>
        <v>#REF!</v>
      </c>
      <c r="I67" s="51" t="e">
        <f t="shared" si="1"/>
        <v>#REF!</v>
      </c>
      <c r="J67" s="52" t="e">
        <f>+'Estado de costos'!#REF!</f>
        <v>#REF!</v>
      </c>
      <c r="K67" s="53" t="e">
        <f>+'Estado de costos'!#REF!</f>
        <v>#REF!</v>
      </c>
    </row>
    <row r="68" spans="1:11" s="7" customFormat="1" ht="30.75" customHeight="1" x14ac:dyDescent="0.2">
      <c r="A68" s="13"/>
      <c r="B68" s="421" t="e">
        <f>+'Estado de costos'!#REF!</f>
        <v>#REF!</v>
      </c>
      <c r="C68" s="422"/>
      <c r="D68" s="423"/>
      <c r="E68" s="47" t="e">
        <f>+'Estado de costos'!#REF!</f>
        <v>#REF!</v>
      </c>
      <c r="F68" s="48" t="e">
        <f>+'Estado de costos'!#REF!</f>
        <v>#REF!</v>
      </c>
      <c r="G68" s="49" t="e">
        <f>+'Estado de costos'!#REF!</f>
        <v>#REF!</v>
      </c>
      <c r="H68" s="50" t="e">
        <f>+'Estado de costos'!#REF!</f>
        <v>#REF!</v>
      </c>
      <c r="I68" s="51" t="e">
        <f t="shared" si="1"/>
        <v>#REF!</v>
      </c>
      <c r="J68" s="52" t="e">
        <f>+'Estado de costos'!#REF!</f>
        <v>#REF!</v>
      </c>
      <c r="K68" s="53" t="e">
        <f>+'Estado de costos'!#REF!</f>
        <v>#REF!</v>
      </c>
    </row>
    <row r="69" spans="1:11" s="7" customFormat="1" ht="30.75" customHeight="1" x14ac:dyDescent="0.2">
      <c r="A69" s="13"/>
      <c r="B69" s="421" t="e">
        <f>+'Estado de costos'!#REF!</f>
        <v>#REF!</v>
      </c>
      <c r="C69" s="422"/>
      <c r="D69" s="423"/>
      <c r="E69" s="47" t="e">
        <f>+'Estado de costos'!#REF!</f>
        <v>#REF!</v>
      </c>
      <c r="F69" s="48" t="e">
        <f>+'Estado de costos'!#REF!</f>
        <v>#REF!</v>
      </c>
      <c r="G69" s="49" t="e">
        <f>+'Estado de costos'!#REF!</f>
        <v>#REF!</v>
      </c>
      <c r="H69" s="50" t="e">
        <f>+'Estado de costos'!#REF!</f>
        <v>#REF!</v>
      </c>
      <c r="I69" s="51" t="e">
        <f t="shared" si="1"/>
        <v>#REF!</v>
      </c>
      <c r="J69" s="52" t="e">
        <f>+'Estado de costos'!#REF!</f>
        <v>#REF!</v>
      </c>
      <c r="K69" s="53" t="e">
        <f>+'Estado de costos'!#REF!</f>
        <v>#REF!</v>
      </c>
    </row>
    <row r="70" spans="1:11" s="7" customFormat="1" ht="30.75" customHeight="1" x14ac:dyDescent="0.2">
      <c r="A70" s="13"/>
      <c r="B70" s="421" t="e">
        <f>+'Estado de costos'!#REF!</f>
        <v>#REF!</v>
      </c>
      <c r="C70" s="422"/>
      <c r="D70" s="423"/>
      <c r="E70" s="47" t="e">
        <f>+'Estado de costos'!#REF!</f>
        <v>#REF!</v>
      </c>
      <c r="F70" s="48" t="e">
        <f>+'Estado de costos'!#REF!</f>
        <v>#REF!</v>
      </c>
      <c r="G70" s="49" t="e">
        <f>+'Estado de costos'!#REF!</f>
        <v>#REF!</v>
      </c>
      <c r="H70" s="50" t="e">
        <f>+'Estado de costos'!#REF!</f>
        <v>#REF!</v>
      </c>
      <c r="I70" s="51" t="e">
        <f t="shared" si="1"/>
        <v>#REF!</v>
      </c>
      <c r="J70" s="52" t="e">
        <f>+'Estado de costos'!#REF!</f>
        <v>#REF!</v>
      </c>
      <c r="K70" s="53" t="e">
        <f>+'Estado de costos'!#REF!</f>
        <v>#REF!</v>
      </c>
    </row>
    <row r="71" spans="1:11" s="7" customFormat="1" ht="30.75" customHeight="1" x14ac:dyDescent="0.2">
      <c r="A71" s="13"/>
      <c r="B71" s="421" t="e">
        <f>+'Estado de costos'!#REF!</f>
        <v>#REF!</v>
      </c>
      <c r="C71" s="422"/>
      <c r="D71" s="423"/>
      <c r="E71" s="47" t="e">
        <f>+'Estado de costos'!#REF!</f>
        <v>#REF!</v>
      </c>
      <c r="F71" s="48" t="e">
        <f>+'Estado de costos'!#REF!</f>
        <v>#REF!</v>
      </c>
      <c r="G71" s="49" t="e">
        <f>+'Estado de costos'!#REF!</f>
        <v>#REF!</v>
      </c>
      <c r="H71" s="50" t="e">
        <f>+'Estado de costos'!#REF!</f>
        <v>#REF!</v>
      </c>
      <c r="I71" s="51" t="e">
        <f t="shared" si="1"/>
        <v>#REF!</v>
      </c>
      <c r="J71" s="52" t="e">
        <f>+'Estado de costos'!#REF!</f>
        <v>#REF!</v>
      </c>
      <c r="K71" s="53" t="e">
        <f>+'Estado de costos'!#REF!</f>
        <v>#REF!</v>
      </c>
    </row>
    <row r="72" spans="1:11" s="7" customFormat="1" ht="30.75" customHeight="1" x14ac:dyDescent="0.2">
      <c r="A72" s="13"/>
      <c r="B72" s="421" t="e">
        <f>+'Estado de costos'!#REF!</f>
        <v>#REF!</v>
      </c>
      <c r="C72" s="422"/>
      <c r="D72" s="423"/>
      <c r="E72" s="47" t="e">
        <f>+'Estado de costos'!#REF!</f>
        <v>#REF!</v>
      </c>
      <c r="F72" s="48" t="e">
        <f>+'Estado de costos'!#REF!</f>
        <v>#REF!</v>
      </c>
      <c r="G72" s="49" t="e">
        <f>+'Estado de costos'!#REF!</f>
        <v>#REF!</v>
      </c>
      <c r="H72" s="50" t="e">
        <f>+'Estado de costos'!#REF!</f>
        <v>#REF!</v>
      </c>
      <c r="I72" s="51" t="e">
        <f t="shared" si="1"/>
        <v>#REF!</v>
      </c>
      <c r="J72" s="52" t="e">
        <f>+'Estado de costos'!#REF!</f>
        <v>#REF!</v>
      </c>
      <c r="K72" s="53" t="e">
        <f>+'Estado de costos'!#REF!</f>
        <v>#REF!</v>
      </c>
    </row>
    <row r="73" spans="1:11" s="7" customFormat="1" ht="30.75" customHeight="1" x14ac:dyDescent="0.2">
      <c r="A73" s="13"/>
      <c r="B73" s="421" t="e">
        <f>+'Estado de costos'!#REF!</f>
        <v>#REF!</v>
      </c>
      <c r="C73" s="422"/>
      <c r="D73" s="423"/>
      <c r="E73" s="47" t="e">
        <f>+'Estado de costos'!#REF!</f>
        <v>#REF!</v>
      </c>
      <c r="F73" s="48" t="e">
        <f>+'Estado de costos'!#REF!</f>
        <v>#REF!</v>
      </c>
      <c r="G73" s="49" t="e">
        <f>+'Estado de costos'!#REF!</f>
        <v>#REF!</v>
      </c>
      <c r="H73" s="50" t="e">
        <f>+'Estado de costos'!#REF!</f>
        <v>#REF!</v>
      </c>
      <c r="I73" s="51" t="e">
        <f t="shared" si="1"/>
        <v>#REF!</v>
      </c>
      <c r="J73" s="52" t="e">
        <f>+'Estado de costos'!#REF!</f>
        <v>#REF!</v>
      </c>
      <c r="K73" s="53" t="e">
        <f>+'Estado de costos'!#REF!</f>
        <v>#REF!</v>
      </c>
    </row>
    <row r="74" spans="1:11" s="7" customFormat="1" ht="30.75" customHeight="1" x14ac:dyDescent="0.2">
      <c r="A74" s="13"/>
      <c r="B74" s="421" t="e">
        <f>+'Estado de costos'!#REF!</f>
        <v>#REF!</v>
      </c>
      <c r="C74" s="422"/>
      <c r="D74" s="423"/>
      <c r="E74" s="47" t="e">
        <f>+'Estado de costos'!#REF!</f>
        <v>#REF!</v>
      </c>
      <c r="F74" s="48" t="e">
        <f>+'Estado de costos'!#REF!</f>
        <v>#REF!</v>
      </c>
      <c r="G74" s="49" t="e">
        <f>+'Estado de costos'!#REF!</f>
        <v>#REF!</v>
      </c>
      <c r="H74" s="50" t="e">
        <f>+'Estado de costos'!#REF!</f>
        <v>#REF!</v>
      </c>
      <c r="I74" s="51" t="e">
        <f t="shared" si="1"/>
        <v>#REF!</v>
      </c>
      <c r="J74" s="52" t="e">
        <f>+'Estado de costos'!#REF!</f>
        <v>#REF!</v>
      </c>
      <c r="K74" s="53" t="e">
        <f>+'Estado de costos'!#REF!</f>
        <v>#REF!</v>
      </c>
    </row>
    <row r="75" spans="1:11" s="7" customFormat="1" ht="30.75" customHeight="1" x14ac:dyDescent="0.2">
      <c r="A75" s="13"/>
      <c r="B75" s="421" t="e">
        <f>+'Estado de costos'!#REF!</f>
        <v>#REF!</v>
      </c>
      <c r="C75" s="422"/>
      <c r="D75" s="423"/>
      <c r="E75" s="47" t="e">
        <f>+'Estado de costos'!#REF!</f>
        <v>#REF!</v>
      </c>
      <c r="F75" s="48" t="e">
        <f>+'Estado de costos'!#REF!</f>
        <v>#REF!</v>
      </c>
      <c r="G75" s="49" t="e">
        <f>+'Estado de costos'!#REF!</f>
        <v>#REF!</v>
      </c>
      <c r="H75" s="50" t="e">
        <f>+'Estado de costos'!#REF!</f>
        <v>#REF!</v>
      </c>
      <c r="I75" s="51" t="e">
        <f t="shared" si="1"/>
        <v>#REF!</v>
      </c>
      <c r="J75" s="52" t="e">
        <f>+'Estado de costos'!#REF!</f>
        <v>#REF!</v>
      </c>
      <c r="K75" s="53" t="e">
        <f>+'Estado de costos'!#REF!</f>
        <v>#REF!</v>
      </c>
    </row>
    <row r="76" spans="1:11" s="7" customFormat="1" ht="30.75" customHeight="1" x14ac:dyDescent="0.2">
      <c r="A76" s="13"/>
      <c r="B76" s="421" t="e">
        <f>+'Estado de costos'!#REF!</f>
        <v>#REF!</v>
      </c>
      <c r="C76" s="422"/>
      <c r="D76" s="423"/>
      <c r="E76" s="47" t="e">
        <f>+'Estado de costos'!#REF!</f>
        <v>#REF!</v>
      </c>
      <c r="F76" s="48" t="e">
        <f>+'Estado de costos'!#REF!</f>
        <v>#REF!</v>
      </c>
      <c r="G76" s="49" t="e">
        <f>+'Estado de costos'!#REF!</f>
        <v>#REF!</v>
      </c>
      <c r="H76" s="50" t="e">
        <f>+'Estado de costos'!#REF!</f>
        <v>#REF!</v>
      </c>
      <c r="I76" s="51" t="e">
        <f t="shared" si="1"/>
        <v>#REF!</v>
      </c>
      <c r="J76" s="52" t="e">
        <f>+'Estado de costos'!#REF!</f>
        <v>#REF!</v>
      </c>
      <c r="K76" s="53" t="e">
        <f>+'Estado de costos'!#REF!</f>
        <v>#REF!</v>
      </c>
    </row>
    <row r="77" spans="1:11" s="7" customFormat="1" ht="30.75" customHeight="1" x14ac:dyDescent="0.2">
      <c r="A77" s="13"/>
      <c r="B77" s="421" t="e">
        <f>+'Estado de costos'!#REF!</f>
        <v>#REF!</v>
      </c>
      <c r="C77" s="422"/>
      <c r="D77" s="423"/>
      <c r="E77" s="47" t="e">
        <f>+'Estado de costos'!#REF!</f>
        <v>#REF!</v>
      </c>
      <c r="F77" s="48" t="e">
        <f>+'Estado de costos'!#REF!</f>
        <v>#REF!</v>
      </c>
      <c r="G77" s="49" t="e">
        <f>+'Estado de costos'!#REF!</f>
        <v>#REF!</v>
      </c>
      <c r="H77" s="50" t="e">
        <f>+'Estado de costos'!#REF!</f>
        <v>#REF!</v>
      </c>
      <c r="I77" s="51" t="e">
        <f t="shared" si="1"/>
        <v>#REF!</v>
      </c>
      <c r="J77" s="52" t="e">
        <f>+'Estado de costos'!#REF!</f>
        <v>#REF!</v>
      </c>
      <c r="K77" s="53" t="e">
        <f>+'Estado de costos'!#REF!</f>
        <v>#REF!</v>
      </c>
    </row>
    <row r="78" spans="1:11" s="7" customFormat="1" ht="30.75" customHeight="1" x14ac:dyDescent="0.2">
      <c r="A78" s="13"/>
      <c r="B78" s="421" t="e">
        <f>+'Estado de costos'!#REF!</f>
        <v>#REF!</v>
      </c>
      <c r="C78" s="422"/>
      <c r="D78" s="423"/>
      <c r="E78" s="47" t="e">
        <f>+'Estado de costos'!#REF!</f>
        <v>#REF!</v>
      </c>
      <c r="F78" s="48" t="e">
        <f>+'Estado de costos'!#REF!</f>
        <v>#REF!</v>
      </c>
      <c r="G78" s="49" t="e">
        <f>+'Estado de costos'!#REF!</f>
        <v>#REF!</v>
      </c>
      <c r="H78" s="50" t="e">
        <f>+'Estado de costos'!#REF!</f>
        <v>#REF!</v>
      </c>
      <c r="I78" s="51" t="e">
        <f t="shared" si="1"/>
        <v>#REF!</v>
      </c>
      <c r="J78" s="52" t="e">
        <f>+'Estado de costos'!#REF!</f>
        <v>#REF!</v>
      </c>
      <c r="K78" s="53" t="e">
        <f>+'Estado de costos'!#REF!</f>
        <v>#REF!</v>
      </c>
    </row>
    <row r="79" spans="1:11" s="7" customFormat="1" ht="30.75" customHeight="1" x14ac:dyDescent="0.2">
      <c r="A79" s="13"/>
      <c r="B79" s="421" t="e">
        <f>+'Estado de costos'!#REF!</f>
        <v>#REF!</v>
      </c>
      <c r="C79" s="422"/>
      <c r="D79" s="423"/>
      <c r="E79" s="47" t="e">
        <f>+'Estado de costos'!#REF!</f>
        <v>#REF!</v>
      </c>
      <c r="F79" s="48" t="e">
        <f>+'Estado de costos'!#REF!</f>
        <v>#REF!</v>
      </c>
      <c r="G79" s="49" t="e">
        <f>+'Estado de costos'!#REF!</f>
        <v>#REF!</v>
      </c>
      <c r="H79" s="50" t="e">
        <f>+'Estado de costos'!#REF!</f>
        <v>#REF!</v>
      </c>
      <c r="I79" s="51" t="e">
        <f t="shared" si="1"/>
        <v>#REF!</v>
      </c>
      <c r="J79" s="52" t="e">
        <f>+'Estado de costos'!#REF!</f>
        <v>#REF!</v>
      </c>
      <c r="K79" s="53" t="e">
        <f>+'Estado de costos'!#REF!</f>
        <v>#REF!</v>
      </c>
    </row>
    <row r="80" spans="1:11" s="7" customFormat="1" ht="30.75" customHeight="1" x14ac:dyDescent="0.2">
      <c r="A80" s="13"/>
      <c r="B80" s="421" t="e">
        <f>+'Estado de costos'!#REF!</f>
        <v>#REF!</v>
      </c>
      <c r="C80" s="422"/>
      <c r="D80" s="423"/>
      <c r="E80" s="47" t="e">
        <f>+'Estado de costos'!#REF!</f>
        <v>#REF!</v>
      </c>
      <c r="F80" s="48" t="e">
        <f>+'Estado de costos'!#REF!</f>
        <v>#REF!</v>
      </c>
      <c r="G80" s="49" t="e">
        <f>+'Estado de costos'!#REF!</f>
        <v>#REF!</v>
      </c>
      <c r="H80" s="50" t="e">
        <f>+'Estado de costos'!#REF!</f>
        <v>#REF!</v>
      </c>
      <c r="I80" s="51" t="e">
        <f t="shared" si="1"/>
        <v>#REF!</v>
      </c>
      <c r="J80" s="52" t="e">
        <f>+'Estado de costos'!#REF!</f>
        <v>#REF!</v>
      </c>
      <c r="K80" s="53" t="e">
        <f>+'Estado de costos'!#REF!</f>
        <v>#REF!</v>
      </c>
    </row>
    <row r="81" spans="1:11" s="7" customFormat="1" ht="30.75" customHeight="1" x14ac:dyDescent="0.2">
      <c r="A81" s="13"/>
      <c r="B81" s="421" t="e">
        <f>+'Estado de costos'!#REF!</f>
        <v>#REF!</v>
      </c>
      <c r="C81" s="422"/>
      <c r="D81" s="423"/>
      <c r="E81" s="47" t="e">
        <f>+'Estado de costos'!#REF!</f>
        <v>#REF!</v>
      </c>
      <c r="F81" s="48" t="e">
        <f>+'Estado de costos'!#REF!</f>
        <v>#REF!</v>
      </c>
      <c r="G81" s="49" t="e">
        <f>+'Estado de costos'!#REF!</f>
        <v>#REF!</v>
      </c>
      <c r="H81" s="50" t="e">
        <f>+'Estado de costos'!#REF!</f>
        <v>#REF!</v>
      </c>
      <c r="I81" s="51" t="e">
        <f t="shared" si="1"/>
        <v>#REF!</v>
      </c>
      <c r="J81" s="52" t="e">
        <f>+'Estado de costos'!#REF!</f>
        <v>#REF!</v>
      </c>
      <c r="K81" s="53" t="e">
        <f>+'Estado de costos'!#REF!</f>
        <v>#REF!</v>
      </c>
    </row>
    <row r="82" spans="1:11" s="7" customFormat="1" ht="30.75" customHeight="1" x14ac:dyDescent="0.2">
      <c r="A82" s="13"/>
      <c r="B82" s="421" t="e">
        <f>+'Estado de costos'!#REF!</f>
        <v>#REF!</v>
      </c>
      <c r="C82" s="422"/>
      <c r="D82" s="423"/>
      <c r="E82" s="47" t="e">
        <f>+'Estado de costos'!#REF!</f>
        <v>#REF!</v>
      </c>
      <c r="F82" s="48" t="e">
        <f>+'Estado de costos'!#REF!</f>
        <v>#REF!</v>
      </c>
      <c r="G82" s="49" t="e">
        <f>+'Estado de costos'!#REF!</f>
        <v>#REF!</v>
      </c>
      <c r="H82" s="50" t="e">
        <f>+'Estado de costos'!#REF!</f>
        <v>#REF!</v>
      </c>
      <c r="I82" s="51" t="e">
        <f t="shared" si="1"/>
        <v>#REF!</v>
      </c>
      <c r="J82" s="52" t="e">
        <f>+'Estado de costos'!#REF!</f>
        <v>#REF!</v>
      </c>
      <c r="K82" s="53" t="e">
        <f>+'Estado de costos'!#REF!</f>
        <v>#REF!</v>
      </c>
    </row>
    <row r="83" spans="1:11" s="7" customFormat="1" ht="30.75" customHeight="1" x14ac:dyDescent="0.2">
      <c r="A83" s="13"/>
      <c r="B83" s="421" t="e">
        <f>+'Estado de costos'!#REF!</f>
        <v>#REF!</v>
      </c>
      <c r="C83" s="422"/>
      <c r="D83" s="423"/>
      <c r="E83" s="47" t="e">
        <f>+'Estado de costos'!#REF!</f>
        <v>#REF!</v>
      </c>
      <c r="F83" s="48" t="e">
        <f>+'Estado de costos'!#REF!</f>
        <v>#REF!</v>
      </c>
      <c r="G83" s="49" t="e">
        <f>+'Estado de costos'!#REF!</f>
        <v>#REF!</v>
      </c>
      <c r="H83" s="50" t="e">
        <f>+'Estado de costos'!#REF!</f>
        <v>#REF!</v>
      </c>
      <c r="I83" s="51" t="e">
        <f t="shared" si="1"/>
        <v>#REF!</v>
      </c>
      <c r="J83" s="52" t="e">
        <f>+'Estado de costos'!#REF!</f>
        <v>#REF!</v>
      </c>
      <c r="K83" s="53" t="e">
        <f>+'Estado de costos'!#REF!</f>
        <v>#REF!</v>
      </c>
    </row>
    <row r="84" spans="1:11" s="7" customFormat="1" ht="30.75" customHeight="1" x14ac:dyDescent="0.2">
      <c r="A84" s="13"/>
      <c r="B84" s="421" t="e">
        <f>+'Estado de costos'!#REF!</f>
        <v>#REF!</v>
      </c>
      <c r="C84" s="422"/>
      <c r="D84" s="423"/>
      <c r="E84" s="47" t="e">
        <f>+'Estado de costos'!#REF!</f>
        <v>#REF!</v>
      </c>
      <c r="F84" s="48" t="e">
        <f>+'Estado de costos'!#REF!</f>
        <v>#REF!</v>
      </c>
      <c r="G84" s="49" t="e">
        <f>+'Estado de costos'!#REF!</f>
        <v>#REF!</v>
      </c>
      <c r="H84" s="50" t="e">
        <f>+'Estado de costos'!#REF!</f>
        <v>#REF!</v>
      </c>
      <c r="I84" s="51" t="e">
        <f t="shared" si="1"/>
        <v>#REF!</v>
      </c>
      <c r="J84" s="52" t="e">
        <f>+'Estado de costos'!#REF!</f>
        <v>#REF!</v>
      </c>
      <c r="K84" s="53" t="e">
        <f>+'Estado de costos'!#REF!</f>
        <v>#REF!</v>
      </c>
    </row>
    <row r="85" spans="1:11" s="7" customFormat="1" ht="30.75" customHeight="1" x14ac:dyDescent="0.2">
      <c r="A85" s="13"/>
      <c r="B85" s="421" t="e">
        <f>+'Estado de costos'!#REF!</f>
        <v>#REF!</v>
      </c>
      <c r="C85" s="422"/>
      <c r="D85" s="423"/>
      <c r="E85" s="47" t="e">
        <f>+'Estado de costos'!#REF!</f>
        <v>#REF!</v>
      </c>
      <c r="F85" s="48" t="e">
        <f>+'Estado de costos'!#REF!</f>
        <v>#REF!</v>
      </c>
      <c r="G85" s="49" t="e">
        <f>+'Estado de costos'!#REF!</f>
        <v>#REF!</v>
      </c>
      <c r="H85" s="50" t="e">
        <f>+'Estado de costos'!#REF!</f>
        <v>#REF!</v>
      </c>
      <c r="I85" s="51" t="e">
        <f t="shared" si="1"/>
        <v>#REF!</v>
      </c>
      <c r="J85" s="52" t="e">
        <f>+'Estado de costos'!#REF!</f>
        <v>#REF!</v>
      </c>
      <c r="K85" s="53" t="e">
        <f>+'Estado de costos'!#REF!</f>
        <v>#REF!</v>
      </c>
    </row>
    <row r="86" spans="1:11" s="7" customFormat="1" ht="30.75" customHeight="1" x14ac:dyDescent="0.2">
      <c r="A86" s="13"/>
      <c r="B86" s="421" t="e">
        <f>+'Estado de costos'!#REF!</f>
        <v>#REF!</v>
      </c>
      <c r="C86" s="422"/>
      <c r="D86" s="423"/>
      <c r="E86" s="47" t="e">
        <f>+'Estado de costos'!#REF!</f>
        <v>#REF!</v>
      </c>
      <c r="F86" s="48" t="e">
        <f>+'Estado de costos'!#REF!</f>
        <v>#REF!</v>
      </c>
      <c r="G86" s="49" t="e">
        <f>+'Estado de costos'!#REF!</f>
        <v>#REF!</v>
      </c>
      <c r="H86" s="50" t="e">
        <f>+'Estado de costos'!#REF!</f>
        <v>#REF!</v>
      </c>
      <c r="I86" s="51" t="e">
        <f t="shared" si="1"/>
        <v>#REF!</v>
      </c>
      <c r="J86" s="52" t="e">
        <f>+'Estado de costos'!#REF!</f>
        <v>#REF!</v>
      </c>
      <c r="K86" s="53" t="e">
        <f>+'Estado de costos'!#REF!</f>
        <v>#REF!</v>
      </c>
    </row>
    <row r="87" spans="1:11" s="7" customFormat="1" ht="30.75" customHeight="1" x14ac:dyDescent="0.2">
      <c r="A87" s="13"/>
      <c r="B87" s="421" t="e">
        <f>+'Estado de costos'!#REF!</f>
        <v>#REF!</v>
      </c>
      <c r="C87" s="422"/>
      <c r="D87" s="423"/>
      <c r="E87" s="47" t="e">
        <f>+'Estado de costos'!#REF!</f>
        <v>#REF!</v>
      </c>
      <c r="F87" s="48" t="e">
        <f>+'Estado de costos'!#REF!</f>
        <v>#REF!</v>
      </c>
      <c r="G87" s="49" t="e">
        <f>+'Estado de costos'!#REF!</f>
        <v>#REF!</v>
      </c>
      <c r="H87" s="50" t="e">
        <f>+'Estado de costos'!#REF!</f>
        <v>#REF!</v>
      </c>
      <c r="I87" s="51" t="e">
        <f t="shared" si="1"/>
        <v>#REF!</v>
      </c>
      <c r="J87" s="52" t="e">
        <f>+'Estado de costos'!#REF!</f>
        <v>#REF!</v>
      </c>
      <c r="K87" s="53" t="e">
        <f>+'Estado de costos'!#REF!</f>
        <v>#REF!</v>
      </c>
    </row>
    <row r="88" spans="1:11" s="7" customFormat="1" ht="30.75" customHeight="1" x14ac:dyDescent="0.2">
      <c r="A88" s="13"/>
      <c r="B88" s="421" t="e">
        <f>+'Estado de costos'!#REF!</f>
        <v>#REF!</v>
      </c>
      <c r="C88" s="422"/>
      <c r="D88" s="423"/>
      <c r="E88" s="47" t="e">
        <f>+'Estado de costos'!#REF!</f>
        <v>#REF!</v>
      </c>
      <c r="F88" s="48" t="e">
        <f>+'Estado de costos'!#REF!</f>
        <v>#REF!</v>
      </c>
      <c r="G88" s="49" t="e">
        <f>+'Estado de costos'!#REF!</f>
        <v>#REF!</v>
      </c>
      <c r="H88" s="50" t="e">
        <f>+'Estado de costos'!#REF!</f>
        <v>#REF!</v>
      </c>
      <c r="I88" s="51" t="e">
        <f t="shared" si="1"/>
        <v>#REF!</v>
      </c>
      <c r="J88" s="52" t="e">
        <f>+'Estado de costos'!#REF!</f>
        <v>#REF!</v>
      </c>
      <c r="K88" s="53" t="e">
        <f>+'Estado de costos'!#REF!</f>
        <v>#REF!</v>
      </c>
    </row>
    <row r="89" spans="1:11" s="7" customFormat="1" ht="30.75" customHeight="1" x14ac:dyDescent="0.2">
      <c r="A89" s="13"/>
      <c r="B89" s="421" t="e">
        <f>+'Estado de costos'!#REF!</f>
        <v>#REF!</v>
      </c>
      <c r="C89" s="422"/>
      <c r="D89" s="423"/>
      <c r="E89" s="47" t="e">
        <f>+'Estado de costos'!#REF!</f>
        <v>#REF!</v>
      </c>
      <c r="F89" s="48" t="e">
        <f>+'Estado de costos'!#REF!</f>
        <v>#REF!</v>
      </c>
      <c r="G89" s="49" t="e">
        <f>+'Estado de costos'!#REF!</f>
        <v>#REF!</v>
      </c>
      <c r="H89" s="50" t="e">
        <f>+'Estado de costos'!#REF!</f>
        <v>#REF!</v>
      </c>
      <c r="I89" s="51" t="e">
        <f t="shared" si="1"/>
        <v>#REF!</v>
      </c>
      <c r="J89" s="52" t="e">
        <f>+'Estado de costos'!#REF!</f>
        <v>#REF!</v>
      </c>
      <c r="K89" s="53" t="e">
        <f>+'Estado de costos'!#REF!</f>
        <v>#REF!</v>
      </c>
    </row>
    <row r="90" spans="1:11" s="7" customFormat="1" ht="30.75" customHeight="1" x14ac:dyDescent="0.2">
      <c r="A90" s="13"/>
      <c r="B90" s="421" t="e">
        <f>+'Estado de costos'!#REF!</f>
        <v>#REF!</v>
      </c>
      <c r="C90" s="422"/>
      <c r="D90" s="423"/>
      <c r="E90" s="47" t="e">
        <f>+'Estado de costos'!#REF!</f>
        <v>#REF!</v>
      </c>
      <c r="F90" s="48" t="e">
        <f>+'Estado de costos'!#REF!</f>
        <v>#REF!</v>
      </c>
      <c r="G90" s="49" t="e">
        <f>+'Estado de costos'!#REF!</f>
        <v>#REF!</v>
      </c>
      <c r="H90" s="50" t="e">
        <f>+'Estado de costos'!#REF!</f>
        <v>#REF!</v>
      </c>
      <c r="I90" s="51" t="e">
        <f t="shared" si="1"/>
        <v>#REF!</v>
      </c>
      <c r="J90" s="52" t="e">
        <f>+'Estado de costos'!#REF!</f>
        <v>#REF!</v>
      </c>
      <c r="K90" s="53" t="e">
        <f>+'Estado de costos'!#REF!</f>
        <v>#REF!</v>
      </c>
    </row>
    <row r="91" spans="1:11" s="7" customFormat="1" ht="30.75" customHeight="1" x14ac:dyDescent="0.2">
      <c r="A91" s="13"/>
      <c r="B91" s="421" t="e">
        <f>+'Estado de costos'!#REF!</f>
        <v>#REF!</v>
      </c>
      <c r="C91" s="422"/>
      <c r="D91" s="423"/>
      <c r="E91" s="47" t="e">
        <f>+'Estado de costos'!#REF!</f>
        <v>#REF!</v>
      </c>
      <c r="F91" s="48" t="e">
        <f>+'Estado de costos'!#REF!</f>
        <v>#REF!</v>
      </c>
      <c r="G91" s="49" t="e">
        <f>+'Estado de costos'!#REF!</f>
        <v>#REF!</v>
      </c>
      <c r="H91" s="50" t="e">
        <f>+'Estado de costos'!#REF!</f>
        <v>#REF!</v>
      </c>
      <c r="I91" s="51" t="e">
        <f t="shared" si="1"/>
        <v>#REF!</v>
      </c>
      <c r="J91" s="52" t="e">
        <f>+'Estado de costos'!#REF!</f>
        <v>#REF!</v>
      </c>
      <c r="K91" s="53" t="e">
        <f>+'Estado de costos'!#REF!</f>
        <v>#REF!</v>
      </c>
    </row>
    <row r="92" spans="1:11" s="7" customFormat="1" ht="20.25" customHeight="1" x14ac:dyDescent="0.2">
      <c r="A92" s="13"/>
      <c r="B92" s="418" t="s">
        <v>48</v>
      </c>
      <c r="C92" s="419"/>
      <c r="D92" s="419"/>
      <c r="E92" s="420"/>
      <c r="F92" s="44"/>
      <c r="G92" s="44"/>
      <c r="H92" s="44"/>
      <c r="I92" s="90"/>
      <c r="J92" s="90"/>
      <c r="K92" s="90" t="e">
        <f>SUM(K38:K91)</f>
        <v>#REF!</v>
      </c>
    </row>
    <row r="93" spans="1:11" s="7" customFormat="1" ht="15" x14ac:dyDescent="0.2">
      <c r="B93" s="89"/>
      <c r="C93" s="89"/>
      <c r="D93" s="89"/>
      <c r="E93" s="89"/>
      <c r="F93" s="89"/>
      <c r="G93" s="11"/>
      <c r="H93" s="89"/>
      <c r="I93" s="89"/>
      <c r="J93" s="89"/>
      <c r="K93" s="89"/>
    </row>
    <row r="94" spans="1:11" s="7" customFormat="1" ht="15" x14ac:dyDescent="0.2">
      <c r="B94" s="89"/>
      <c r="C94" s="89"/>
      <c r="D94" s="89"/>
      <c r="E94" s="89"/>
      <c r="F94" s="89"/>
      <c r="G94" s="89"/>
      <c r="H94" s="89"/>
      <c r="I94" s="89"/>
      <c r="J94" s="89"/>
      <c r="K94" s="89"/>
    </row>
    <row r="95" spans="1:11" s="7" customFormat="1" ht="15" x14ac:dyDescent="0.2">
      <c r="B95" s="89"/>
      <c r="C95" s="89"/>
      <c r="D95" s="89"/>
      <c r="E95" s="89"/>
      <c r="F95" s="89"/>
      <c r="G95" s="89"/>
      <c r="H95" s="89"/>
      <c r="I95" s="89"/>
      <c r="J95" s="89"/>
      <c r="K95" s="89"/>
    </row>
    <row r="96" spans="1:11" s="7" customFormat="1" ht="15" x14ac:dyDescent="0.2">
      <c r="B96" s="89"/>
      <c r="C96" s="89"/>
      <c r="D96" s="89"/>
      <c r="E96" s="89"/>
      <c r="F96" s="89"/>
      <c r="G96" s="89"/>
      <c r="H96" s="89"/>
      <c r="I96" s="89"/>
      <c r="J96" s="89"/>
      <c r="K96" s="89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9"/>
    </sheetView>
  </sheetViews>
  <sheetFormatPr baseColWidth="10" defaultRowHeight="15" x14ac:dyDescent="0.25"/>
  <cols>
    <col min="1" max="1" width="27.85546875" customWidth="1"/>
    <col min="5" max="5" width="17.5703125" bestFit="1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5" t="s">
        <v>3</v>
      </c>
      <c r="B1" s="24" t="s">
        <v>11</v>
      </c>
      <c r="C1" s="16" t="s">
        <v>2</v>
      </c>
      <c r="D1" s="17" t="s">
        <v>58</v>
      </c>
      <c r="E1" s="18" t="s">
        <v>59</v>
      </c>
      <c r="F1" s="105" t="s">
        <v>159</v>
      </c>
      <c r="G1" s="103" t="s">
        <v>158</v>
      </c>
      <c r="J1" s="15" t="s">
        <v>3</v>
      </c>
      <c r="K1" s="24" t="s">
        <v>11</v>
      </c>
      <c r="L1" s="16" t="s">
        <v>2</v>
      </c>
      <c r="M1" s="17" t="s">
        <v>58</v>
      </c>
      <c r="N1" s="18" t="s">
        <v>59</v>
      </c>
      <c r="O1" s="105" t="s">
        <v>159</v>
      </c>
      <c r="P1" s="103" t="s">
        <v>158</v>
      </c>
      <c r="R1" s="22"/>
      <c r="S1" s="22"/>
      <c r="T1" s="22"/>
      <c r="U1" s="22"/>
      <c r="V1" s="106"/>
      <c r="W1" s="106"/>
      <c r="X1" s="22"/>
      <c r="Y1" s="107"/>
    </row>
    <row r="2" spans="1:25" x14ac:dyDescent="0.25">
      <c r="F2">
        <v>888</v>
      </c>
      <c r="G2">
        <v>1</v>
      </c>
      <c r="J2" s="104">
        <f>'Estado de costos'!B30</f>
        <v>0</v>
      </c>
      <c r="K2" s="104" t="str">
        <f>IF('Estado de costos'!D30=0,"",'Estado de costos'!D30)</f>
        <v/>
      </c>
      <c r="L2">
        <f>'Estado de costos'!E30</f>
        <v>0</v>
      </c>
      <c r="M2" s="6">
        <f>IFERROR(+N2/L2/IF(K2="",1,K2),0)</f>
        <v>0</v>
      </c>
      <c r="N2" s="6">
        <f>'Estado de costos'!J30</f>
        <v>0</v>
      </c>
      <c r="O2" s="6" t="str">
        <f>'Estado de costos'!K30</f>
        <v>888</v>
      </c>
      <c r="P2">
        <f>IF(N2=0,0,1)</f>
        <v>0</v>
      </c>
      <c r="R2" s="107"/>
      <c r="S2" s="107"/>
      <c r="T2" s="107"/>
      <c r="U2" s="107"/>
      <c r="V2" s="107"/>
      <c r="W2" s="107"/>
      <c r="X2" s="107"/>
      <c r="Y2" s="107"/>
    </row>
    <row r="3" spans="1:25" ht="15.75" thickBot="1" x14ac:dyDescent="0.3">
      <c r="J3" s="104" t="str">
        <f>'Estado de costos'!B32</f>
        <v>SUB TOTAL</v>
      </c>
      <c r="K3" s="104" t="str">
        <f>IF('Estado de costos'!D32=0,"",'Estado de costos'!D32)</f>
        <v/>
      </c>
      <c r="L3">
        <f>'Estado de costos'!E32</f>
        <v>0</v>
      </c>
      <c r="M3" s="6">
        <f t="shared" ref="M3:M66" ca="1" si="0">IFERROR(+N3/L3/IF(K3="",1,K3),0)</f>
        <v>0</v>
      </c>
      <c r="N3" s="6">
        <f ca="1">'Estado de costos'!J32</f>
        <v>0</v>
      </c>
      <c r="O3" s="6">
        <f>'Estado de costos'!K32</f>
        <v>0</v>
      </c>
      <c r="P3">
        <f t="shared" ref="P3:P66" ca="1" si="1">IF(N3=0,0,1)</f>
        <v>0</v>
      </c>
      <c r="R3" s="107"/>
      <c r="S3" s="107"/>
      <c r="T3" s="107"/>
      <c r="U3" s="107"/>
      <c r="V3" s="107"/>
      <c r="W3" s="107"/>
      <c r="X3" s="107"/>
      <c r="Y3" s="107"/>
    </row>
    <row r="4" spans="1:25" x14ac:dyDescent="0.25">
      <c r="A4" s="110" t="s">
        <v>3</v>
      </c>
      <c r="B4" s="24" t="s">
        <v>11</v>
      </c>
      <c r="C4" s="16" t="s">
        <v>2</v>
      </c>
      <c r="D4" s="17" t="s">
        <v>58</v>
      </c>
      <c r="E4" s="18" t="s">
        <v>59</v>
      </c>
      <c r="F4" s="105" t="s">
        <v>159</v>
      </c>
      <c r="G4" s="103" t="s">
        <v>158</v>
      </c>
      <c r="J4" s="104">
        <f>'Estado de costos'!B33</f>
        <v>0</v>
      </c>
      <c r="K4" s="104" t="str">
        <f>IF('Estado de costos'!D33=0,"",'Estado de costos'!D33)</f>
        <v/>
      </c>
      <c r="L4">
        <f>'Estado de costos'!E33</f>
        <v>0</v>
      </c>
      <c r="M4" s="6">
        <f t="shared" si="0"/>
        <v>0</v>
      </c>
      <c r="N4" s="6">
        <f>'Estado de costos'!J33</f>
        <v>0</v>
      </c>
      <c r="O4" s="6">
        <f>'Estado de costos'!K33</f>
        <v>0</v>
      </c>
      <c r="P4">
        <f t="shared" si="1"/>
        <v>0</v>
      </c>
      <c r="R4" s="22"/>
      <c r="S4" s="22"/>
      <c r="T4" s="22"/>
      <c r="U4" s="22"/>
      <c r="V4" s="106"/>
      <c r="W4" s="106"/>
      <c r="X4" s="22"/>
      <c r="Y4" s="107"/>
    </row>
    <row r="5" spans="1:25" x14ac:dyDescent="0.25">
      <c r="A5" s="117"/>
      <c r="B5" s="117"/>
      <c r="C5" s="118"/>
      <c r="D5" s="119"/>
      <c r="E5" s="119"/>
      <c r="F5" s="6" t="s">
        <v>175</v>
      </c>
      <c r="G5">
        <v>1</v>
      </c>
      <c r="J5" s="104">
        <f>'Estado de costos'!B34</f>
        <v>0</v>
      </c>
      <c r="K5" s="104" t="str">
        <f>IF('Estado de costos'!D34=0,"",'Estado de costos'!D34)</f>
        <v/>
      </c>
      <c r="L5">
        <f>'Estado de costos'!E34</f>
        <v>0</v>
      </c>
      <c r="M5" s="6">
        <f t="shared" si="0"/>
        <v>0</v>
      </c>
      <c r="N5" s="6">
        <f>'Estado de costos'!J34</f>
        <v>0</v>
      </c>
      <c r="O5" s="6">
        <f>'Estado de costos'!K34</f>
        <v>0</v>
      </c>
      <c r="P5">
        <f t="shared" si="1"/>
        <v>0</v>
      </c>
      <c r="R5" s="108"/>
      <c r="S5" s="108"/>
      <c r="T5" s="107"/>
      <c r="U5" s="109"/>
      <c r="V5" s="109"/>
      <c r="W5" s="109"/>
      <c r="X5" s="107"/>
      <c r="Y5" s="107"/>
    </row>
    <row r="6" spans="1:25" x14ac:dyDescent="0.25">
      <c r="A6" s="117"/>
      <c r="B6" s="117"/>
      <c r="C6" s="118"/>
      <c r="D6" s="119"/>
      <c r="E6" s="119"/>
      <c r="F6" s="6" t="s">
        <v>175</v>
      </c>
      <c r="G6">
        <v>1</v>
      </c>
      <c r="J6" s="104">
        <f>'Estado de costos'!B35</f>
        <v>0</v>
      </c>
      <c r="K6" s="104" t="str">
        <f>IF('Estado de costos'!D35=0,"",'Estado de costos'!D35)</f>
        <v/>
      </c>
      <c r="L6">
        <f>'Estado de costos'!E35</f>
        <v>0</v>
      </c>
      <c r="M6" s="6">
        <f t="shared" si="0"/>
        <v>0</v>
      </c>
      <c r="N6" s="6">
        <f>'Estado de costos'!J35</f>
        <v>0</v>
      </c>
      <c r="O6" s="6">
        <f>'Estado de costos'!K35</f>
        <v>0</v>
      </c>
      <c r="P6">
        <f t="shared" si="1"/>
        <v>0</v>
      </c>
      <c r="R6" s="108"/>
      <c r="S6" s="108"/>
      <c r="T6" s="107"/>
      <c r="U6" s="109"/>
      <c r="V6" s="109"/>
      <c r="W6" s="109"/>
      <c r="X6" s="107"/>
      <c r="Y6" s="107"/>
    </row>
    <row r="7" spans="1:25" x14ac:dyDescent="0.25">
      <c r="A7" s="117"/>
      <c r="B7" s="117"/>
      <c r="C7" s="118"/>
      <c r="D7" s="119"/>
      <c r="E7" s="119"/>
      <c r="F7" s="6" t="s">
        <v>175</v>
      </c>
      <c r="G7">
        <v>1</v>
      </c>
      <c r="J7" s="104">
        <f>'Estado de costos'!B36</f>
        <v>0</v>
      </c>
      <c r="K7" s="104" t="str">
        <f>IF('Estado de costos'!D36=0,"",'Estado de costos'!D36)</f>
        <v/>
      </c>
      <c r="L7">
        <f>'Estado de costos'!E36</f>
        <v>0</v>
      </c>
      <c r="M7" s="6">
        <f t="shared" si="0"/>
        <v>0</v>
      </c>
      <c r="N7" s="6">
        <f>'Estado de costos'!J36</f>
        <v>0</v>
      </c>
      <c r="O7" s="6">
        <f>'Estado de costos'!K36</f>
        <v>0</v>
      </c>
      <c r="P7">
        <f t="shared" si="1"/>
        <v>0</v>
      </c>
      <c r="R7" s="108"/>
      <c r="S7" s="108"/>
      <c r="T7" s="107"/>
      <c r="U7" s="109"/>
      <c r="V7" s="109"/>
      <c r="W7" s="109"/>
      <c r="X7" s="107"/>
      <c r="Y7" s="107"/>
    </row>
    <row r="8" spans="1:25" x14ac:dyDescent="0.25">
      <c r="A8" s="117"/>
      <c r="B8" s="117"/>
      <c r="C8" s="118"/>
      <c r="D8" s="119"/>
      <c r="E8" s="119"/>
      <c r="F8" s="6" t="s">
        <v>175</v>
      </c>
      <c r="G8">
        <v>1</v>
      </c>
      <c r="J8" s="104" t="str">
        <f>'Estado de costos'!B37</f>
        <v>SERVICIOS  CONTRATADOS</v>
      </c>
      <c r="K8" s="104" t="str">
        <f>IF('Estado de costos'!D37=0,"",'Estado de costos'!D37)</f>
        <v xml:space="preserve">COSTO ESTIMADO DE SERVICIOS </v>
      </c>
      <c r="L8">
        <f>'Estado de costos'!E37</f>
        <v>0</v>
      </c>
      <c r="M8" s="6">
        <f t="shared" si="0"/>
        <v>0</v>
      </c>
      <c r="N8" s="6">
        <f>'Estado de costos'!J37</f>
        <v>0</v>
      </c>
      <c r="O8" s="6">
        <f>'Estado de costos'!K37</f>
        <v>0</v>
      </c>
      <c r="P8">
        <f t="shared" si="1"/>
        <v>0</v>
      </c>
      <c r="R8" s="108"/>
      <c r="S8" s="108"/>
      <c r="T8" s="107"/>
      <c r="U8" s="109"/>
      <c r="V8" s="109"/>
      <c r="W8" s="109"/>
      <c r="X8" s="107"/>
      <c r="Y8" s="107"/>
    </row>
    <row r="9" spans="1:25" x14ac:dyDescent="0.25">
      <c r="A9" s="117"/>
      <c r="B9" s="117"/>
      <c r="C9" s="118"/>
      <c r="D9" s="119"/>
      <c r="E9" s="119"/>
      <c r="F9" s="6" t="s">
        <v>175</v>
      </c>
      <c r="G9">
        <v>1</v>
      </c>
      <c r="J9" s="104" t="str">
        <f>'Estado de costos'!B38</f>
        <v>SERVICIOS CONTRATADOS</v>
      </c>
      <c r="K9" s="104" t="str">
        <f>IF('Estado de costos'!D38=0,"",'Estado de costos'!D38)</f>
        <v>DIAS</v>
      </c>
      <c r="L9" t="str">
        <f>'Estado de costos'!E38</f>
        <v>CANTIDAD ESTIMADA</v>
      </c>
      <c r="M9" s="6">
        <f t="shared" si="0"/>
        <v>0</v>
      </c>
      <c r="N9" s="6" t="str">
        <f>'Estado de costos'!J38</f>
        <v>PRECIO COTIZADO SIN F.E.E.</v>
      </c>
      <c r="O9" s="6">
        <f>'Estado de costos'!K38</f>
        <v>0</v>
      </c>
      <c r="P9">
        <f t="shared" si="1"/>
        <v>1</v>
      </c>
      <c r="R9" s="108"/>
      <c r="S9" s="108"/>
      <c r="T9" s="107"/>
      <c r="U9" s="109"/>
      <c r="V9" s="109"/>
      <c r="W9" s="109"/>
      <c r="X9" s="107"/>
      <c r="Y9" s="107"/>
    </row>
    <row r="10" spans="1:25" x14ac:dyDescent="0.25">
      <c r="A10" s="117"/>
      <c r="B10" s="117"/>
      <c r="C10" s="118"/>
      <c r="D10" s="119"/>
      <c r="E10" s="119"/>
      <c r="F10" s="6"/>
      <c r="J10" s="104" t="str">
        <f>'Estado de costos'!B39</f>
        <v>a</v>
      </c>
      <c r="K10" s="104">
        <f>IF('Estado de costos'!D39=0,"",'Estado de costos'!D39)</f>
        <v>2</v>
      </c>
      <c r="L10">
        <f>'Estado de costos'!E39</f>
        <v>4</v>
      </c>
      <c r="M10" s="6">
        <f t="shared" si="0"/>
        <v>0</v>
      </c>
      <c r="N10" s="6">
        <f>'Estado de costos'!J39</f>
        <v>0</v>
      </c>
      <c r="O10" s="6" t="str">
        <f>'Estado de costos'!K39</f>
        <v>888</v>
      </c>
      <c r="P10">
        <f t="shared" si="1"/>
        <v>0</v>
      </c>
      <c r="R10" s="108"/>
      <c r="S10" s="108"/>
      <c r="T10" s="107"/>
      <c r="U10" s="109"/>
      <c r="V10" s="109"/>
      <c r="W10" s="109"/>
      <c r="X10" s="107"/>
      <c r="Y10" s="107"/>
    </row>
    <row r="11" spans="1:25" x14ac:dyDescent="0.25">
      <c r="A11" s="117"/>
      <c r="B11" s="117"/>
      <c r="C11" s="118"/>
      <c r="D11" s="119"/>
      <c r="E11" s="119"/>
      <c r="F11" s="6"/>
      <c r="J11" s="104" t="str">
        <f>'Estado de costos'!B41</f>
        <v>TOTALES</v>
      </c>
      <c r="K11" s="104" t="str">
        <f>IF('Estado de costos'!D41=0,"",'Estado de costos'!D41)</f>
        <v/>
      </c>
      <c r="L11">
        <f>'Estado de costos'!E41</f>
        <v>0</v>
      </c>
      <c r="M11" s="6">
        <f t="shared" ca="1" si="0"/>
        <v>0</v>
      </c>
      <c r="N11" s="6">
        <f ca="1">'Estado de costos'!J41</f>
        <v>0</v>
      </c>
      <c r="O11" s="6">
        <f>'Estado de costos'!K41</f>
        <v>0</v>
      </c>
      <c r="P11">
        <f t="shared" ca="1" si="1"/>
        <v>0</v>
      </c>
      <c r="R11" s="108"/>
      <c r="S11" s="108"/>
      <c r="T11" s="107"/>
      <c r="U11" s="109"/>
      <c r="V11" s="109"/>
      <c r="W11" s="109"/>
      <c r="X11" s="107"/>
      <c r="Y11" s="107"/>
    </row>
    <row r="12" spans="1:25" x14ac:dyDescent="0.25">
      <c r="A12" s="117"/>
      <c r="B12" s="117"/>
      <c r="C12" s="118"/>
      <c r="D12" s="119"/>
      <c r="E12" s="119"/>
      <c r="F12" s="6"/>
      <c r="J12" s="104">
        <f>'Estado de costos'!B42</f>
        <v>0</v>
      </c>
      <c r="K12" s="104" t="str">
        <f>IF('Estado de costos'!D42=0,"",'Estado de costos'!D42)</f>
        <v/>
      </c>
      <c r="L12">
        <f>'Estado de costos'!E42</f>
        <v>0</v>
      </c>
      <c r="M12" s="6">
        <f t="shared" si="0"/>
        <v>0</v>
      </c>
      <c r="N12" s="6">
        <f>'Estado de costos'!J42</f>
        <v>0</v>
      </c>
      <c r="O12" s="6">
        <f>'Estado de costos'!K42</f>
        <v>0</v>
      </c>
      <c r="P12">
        <f t="shared" si="1"/>
        <v>0</v>
      </c>
      <c r="R12" s="108"/>
      <c r="S12" s="108"/>
      <c r="T12" s="107"/>
      <c r="U12" s="109"/>
      <c r="V12" s="109"/>
      <c r="W12" s="109"/>
      <c r="X12" s="107"/>
      <c r="Y12" s="107"/>
    </row>
    <row r="13" spans="1:25" x14ac:dyDescent="0.25">
      <c r="A13" s="117"/>
      <c r="B13" s="117"/>
      <c r="C13" s="118"/>
      <c r="D13" s="119"/>
      <c r="E13" s="119"/>
      <c r="F13" s="6"/>
      <c r="J13" s="104" t="str">
        <f>'Estado de costos'!B43</f>
        <v>SERVICIOS / PRODUCTOS PROPIOS DE GRUPO REGIONAL</v>
      </c>
      <c r="K13" s="104" t="str">
        <f>IF('Estado de costos'!D43=0,"",'Estado de costos'!D43)</f>
        <v/>
      </c>
      <c r="L13">
        <f>'Estado de costos'!E43</f>
        <v>0</v>
      </c>
      <c r="M13" s="6">
        <f t="shared" si="0"/>
        <v>0</v>
      </c>
      <c r="N13" s="6">
        <f>'Estado de costos'!J43</f>
        <v>0</v>
      </c>
      <c r="O13" s="6">
        <f>'Estado de costos'!K43</f>
        <v>0</v>
      </c>
      <c r="P13">
        <f t="shared" si="1"/>
        <v>0</v>
      </c>
      <c r="R13" s="108"/>
      <c r="S13" s="108"/>
      <c r="T13" s="107"/>
      <c r="U13" s="109"/>
      <c r="V13" s="109"/>
      <c r="W13" s="109"/>
      <c r="X13" s="107"/>
      <c r="Y13" s="107"/>
    </row>
    <row r="14" spans="1:25" x14ac:dyDescent="0.25">
      <c r="A14" s="117"/>
      <c r="B14" s="117"/>
      <c r="C14" s="118"/>
      <c r="D14" s="119"/>
      <c r="E14" s="119"/>
      <c r="F14" s="6"/>
      <c r="J14" s="104" t="str">
        <f>'Estado de costos'!B44</f>
        <v xml:space="preserve">PRODUCTO PROPIO  DE TALLER </v>
      </c>
      <c r="K14" s="104" t="str">
        <f>IF('Estado de costos'!D44=0,"",'Estado de costos'!D44)</f>
        <v/>
      </c>
      <c r="L14">
        <f>'Estado de costos'!E44</f>
        <v>0</v>
      </c>
      <c r="M14" s="6">
        <f t="shared" si="0"/>
        <v>0</v>
      </c>
      <c r="N14" s="6">
        <f>'Estado de costos'!J44</f>
        <v>0</v>
      </c>
      <c r="O14" s="6">
        <f>'Estado de costos'!K44</f>
        <v>0</v>
      </c>
      <c r="P14">
        <f t="shared" si="1"/>
        <v>0</v>
      </c>
      <c r="R14" s="108"/>
      <c r="S14" s="108"/>
      <c r="T14" s="107"/>
      <c r="U14" s="109"/>
      <c r="V14" s="109"/>
      <c r="W14" s="109"/>
      <c r="X14" s="107"/>
      <c r="Y14" s="107"/>
    </row>
    <row r="15" spans="1:25" x14ac:dyDescent="0.25">
      <c r="A15" s="117"/>
      <c r="B15" s="117"/>
      <c r="C15" s="118"/>
      <c r="D15" s="119"/>
      <c r="E15" s="119"/>
      <c r="F15" s="6"/>
      <c r="J15" s="104">
        <f>'Estado de costos'!B45</f>
        <v>0</v>
      </c>
      <c r="K15" s="104" t="str">
        <f>IF('Estado de costos'!D45=0,"",'Estado de costos'!D45)</f>
        <v/>
      </c>
      <c r="L15">
        <f>'Estado de costos'!E45</f>
        <v>0</v>
      </c>
      <c r="M15" s="6">
        <f t="shared" si="0"/>
        <v>0</v>
      </c>
      <c r="N15" s="6">
        <f>'Estado de costos'!J45</f>
        <v>0</v>
      </c>
      <c r="O15" s="6">
        <f>'Estado de costos'!K45</f>
        <v>0</v>
      </c>
      <c r="P15">
        <f t="shared" si="1"/>
        <v>0</v>
      </c>
      <c r="R15" s="108"/>
      <c r="S15" s="108"/>
      <c r="T15" s="107"/>
      <c r="U15" s="109"/>
      <c r="V15" s="109"/>
      <c r="W15" s="109"/>
      <c r="X15" s="107"/>
      <c r="Y15" s="107"/>
    </row>
    <row r="16" spans="1:25" x14ac:dyDescent="0.25">
      <c r="A16" s="117"/>
      <c r="B16" s="117"/>
      <c r="C16" s="118"/>
      <c r="D16" s="119"/>
      <c r="E16" s="119"/>
      <c r="F16" s="6"/>
      <c r="J16" s="104" t="str">
        <f>'Estado de costos'!B46</f>
        <v>PRODUCTOS TERMINADOS DE TALLER</v>
      </c>
      <c r="K16" s="104" t="str">
        <f>IF('Estado de costos'!D46=0,"",'Estado de costos'!D46)</f>
        <v/>
      </c>
      <c r="L16" t="str">
        <f>'Estado de costos'!E46</f>
        <v xml:space="preserve">CANTIDAD </v>
      </c>
      <c r="M16" s="6">
        <f t="shared" si="0"/>
        <v>0</v>
      </c>
      <c r="N16" s="6" t="str">
        <f>'Estado de costos'!J46</f>
        <v>PRECIO COTIZADO SIN F.E.E.</v>
      </c>
      <c r="O16" s="6">
        <f>'Estado de costos'!K46</f>
        <v>0</v>
      </c>
      <c r="P16">
        <f t="shared" si="1"/>
        <v>1</v>
      </c>
      <c r="R16" s="108"/>
      <c r="S16" s="108"/>
      <c r="T16" s="107"/>
      <c r="U16" s="109"/>
      <c r="V16" s="109"/>
      <c r="W16" s="109"/>
      <c r="X16" s="107"/>
      <c r="Y16" s="107"/>
    </row>
    <row r="17" spans="1:25" x14ac:dyDescent="0.25">
      <c r="A17" s="117"/>
      <c r="B17" s="117"/>
      <c r="C17" s="118"/>
      <c r="D17" s="119"/>
      <c r="E17" s="119"/>
      <c r="F17" s="6"/>
      <c r="J17" s="104" t="str">
        <f>'Estado de costos'!B47</f>
        <v>a</v>
      </c>
      <c r="K17" s="104" t="str">
        <f>IF('Estado de costos'!D47=0,"",'Estado de costos'!D47)</f>
        <v/>
      </c>
      <c r="L17">
        <f>'Estado de costos'!E47</f>
        <v>3</v>
      </c>
      <c r="M17" s="6">
        <f t="shared" si="0"/>
        <v>0</v>
      </c>
      <c r="N17" s="6">
        <f>'Estado de costos'!J47</f>
        <v>0</v>
      </c>
      <c r="O17" s="6" t="str">
        <f>'Estado de costos'!K47</f>
        <v>888</v>
      </c>
      <c r="P17">
        <f t="shared" si="1"/>
        <v>0</v>
      </c>
      <c r="R17" s="108"/>
      <c r="S17" s="108"/>
      <c r="T17" s="107"/>
      <c r="U17" s="109"/>
      <c r="V17" s="109"/>
      <c r="W17" s="109"/>
      <c r="X17" s="107"/>
      <c r="Y17" s="107"/>
    </row>
    <row r="18" spans="1:25" x14ac:dyDescent="0.25">
      <c r="A18" s="117"/>
      <c r="B18" s="117"/>
      <c r="C18" s="118"/>
      <c r="D18" s="119"/>
      <c r="E18" s="119"/>
      <c r="F18" s="6"/>
      <c r="J18" s="104" t="str">
        <f>'Estado de costos'!B48</f>
        <v>TOTAL</v>
      </c>
      <c r="K18" s="104" t="str">
        <f>IF('Estado de costos'!D48=0,"",'Estado de costos'!D48)</f>
        <v/>
      </c>
      <c r="L18">
        <f>'Estado de costos'!E48</f>
        <v>0</v>
      </c>
      <c r="M18" s="6">
        <f t="shared" ca="1" si="0"/>
        <v>0</v>
      </c>
      <c r="N18" s="6">
        <f ca="1">'Estado de costos'!J48</f>
        <v>0</v>
      </c>
      <c r="O18" s="6">
        <f>'Estado de costos'!K48</f>
        <v>0</v>
      </c>
      <c r="P18">
        <f t="shared" ca="1" si="1"/>
        <v>0</v>
      </c>
      <c r="R18" s="107"/>
      <c r="S18" s="107"/>
      <c r="T18" s="107"/>
      <c r="U18" s="107"/>
      <c r="V18" s="107"/>
      <c r="W18" s="107"/>
      <c r="X18" s="107"/>
      <c r="Y18" s="107"/>
    </row>
    <row r="19" spans="1:25" x14ac:dyDescent="0.25">
      <c r="A19" s="117"/>
      <c r="B19" s="117"/>
      <c r="C19" s="118"/>
      <c r="D19" s="119"/>
      <c r="E19" s="119"/>
      <c r="F19" s="6"/>
      <c r="J19" s="104" t="str">
        <f>'Estado de costos'!B49</f>
        <v>SERVICIO DE OPERACION DE ACTIVACIONES PROPIOS</v>
      </c>
      <c r="K19" s="104" t="str">
        <f>IF('Estado de costos'!D49=0,"",'Estado de costos'!D49)</f>
        <v/>
      </c>
      <c r="L19">
        <f>'Estado de costos'!E49</f>
        <v>0</v>
      </c>
      <c r="M19" s="6">
        <f t="shared" si="0"/>
        <v>0</v>
      </c>
      <c r="N19" s="6">
        <f>'Estado de costos'!J49</f>
        <v>0</v>
      </c>
      <c r="O19" s="6">
        <f>'Estado de costos'!K49</f>
        <v>0</v>
      </c>
      <c r="P19">
        <f t="shared" si="1"/>
        <v>0</v>
      </c>
      <c r="R19" s="107"/>
      <c r="S19" s="107"/>
      <c r="T19" s="107"/>
      <c r="U19" s="107"/>
      <c r="V19" s="107"/>
      <c r="W19" s="107"/>
      <c r="X19" s="107"/>
      <c r="Y19" s="107"/>
    </row>
    <row r="20" spans="1:25" x14ac:dyDescent="0.25">
      <c r="A20" s="117"/>
      <c r="B20" s="117"/>
      <c r="C20" s="118"/>
      <c r="D20" s="119"/>
      <c r="E20" s="119"/>
      <c r="F20" s="6"/>
      <c r="J20" s="104">
        <f>'Estado de costos'!B50</f>
        <v>0</v>
      </c>
      <c r="K20" s="104" t="str">
        <f>IF('Estado de costos'!D50=0,"",'Estado de costos'!D50)</f>
        <v/>
      </c>
      <c r="L20">
        <f>'Estado de costos'!E50</f>
        <v>0</v>
      </c>
      <c r="M20" s="6">
        <f t="shared" si="0"/>
        <v>0</v>
      </c>
      <c r="N20" s="6">
        <f>'Estado de costos'!J50</f>
        <v>0</v>
      </c>
      <c r="O20" s="6">
        <f>'Estado de costos'!K50</f>
        <v>0</v>
      </c>
      <c r="P20">
        <f t="shared" si="1"/>
        <v>0</v>
      </c>
    </row>
    <row r="21" spans="1:25" x14ac:dyDescent="0.25">
      <c r="A21" s="117"/>
      <c r="B21" s="117"/>
      <c r="C21" s="118"/>
      <c r="D21" s="119"/>
      <c r="E21" s="119"/>
      <c r="F21" s="6"/>
      <c r="J21" s="104" t="str">
        <f>'Estado de costos'!B51</f>
        <v>DETALLE DEL SERVICIO</v>
      </c>
      <c r="K21" s="104" t="str">
        <f>IF('Estado de costos'!D51=0,"",'Estado de costos'!D51)</f>
        <v/>
      </c>
      <c r="L21" t="str">
        <f>'Estado de costos'!E51</f>
        <v>CANTIDAD</v>
      </c>
      <c r="M21" s="6">
        <f t="shared" si="0"/>
        <v>0</v>
      </c>
      <c r="N21" s="6" t="str">
        <f>'Estado de costos'!J51</f>
        <v>PRECIO COTIZADO SIN F.E.E.</v>
      </c>
      <c r="O21" s="6">
        <f>'Estado de costos'!K51</f>
        <v>0</v>
      </c>
      <c r="P21">
        <f t="shared" si="1"/>
        <v>1</v>
      </c>
    </row>
    <row r="22" spans="1:25" x14ac:dyDescent="0.25">
      <c r="A22" s="117"/>
      <c r="B22" s="117"/>
      <c r="C22" s="118"/>
      <c r="D22" s="119"/>
      <c r="E22" s="119"/>
      <c r="F22" s="6"/>
      <c r="J22" s="104" t="str">
        <f>'Estado de costos'!B52</f>
        <v>a</v>
      </c>
      <c r="K22" s="104" t="str">
        <f>IF('Estado de costos'!D52=0,"",'Estado de costos'!D52)</f>
        <v/>
      </c>
      <c r="L22">
        <f>'Estado de costos'!E52</f>
        <v>5</v>
      </c>
      <c r="M22" s="6">
        <f t="shared" si="0"/>
        <v>0</v>
      </c>
      <c r="N22" s="6">
        <f>'Estado de costos'!J52</f>
        <v>0</v>
      </c>
      <c r="O22" s="6" t="str">
        <f>'Estado de costos'!K52</f>
        <v>888</v>
      </c>
      <c r="P22">
        <f t="shared" si="1"/>
        <v>0</v>
      </c>
    </row>
    <row r="23" spans="1:25" x14ac:dyDescent="0.25">
      <c r="A23" s="117"/>
      <c r="B23" s="117"/>
      <c r="C23" s="118"/>
      <c r="D23" s="119"/>
      <c r="E23" s="119"/>
      <c r="F23" s="6"/>
      <c r="J23" s="104" t="str">
        <f>'Estado de costos'!B53</f>
        <v>TOTAL</v>
      </c>
      <c r="K23" s="104" t="str">
        <f>IF('Estado de costos'!D53=0,"",'Estado de costos'!D53)</f>
        <v/>
      </c>
      <c r="L23">
        <f>'Estado de costos'!E53</f>
        <v>5</v>
      </c>
      <c r="M23" s="6">
        <f t="shared" ca="1" si="0"/>
        <v>0</v>
      </c>
      <c r="N23" s="6">
        <f ca="1">'Estado de costos'!J53</f>
        <v>0</v>
      </c>
      <c r="O23" s="6">
        <f>'Estado de costos'!K53</f>
        <v>0</v>
      </c>
      <c r="P23">
        <f t="shared" ca="1" si="1"/>
        <v>0</v>
      </c>
    </row>
    <row r="24" spans="1:25" x14ac:dyDescent="0.25">
      <c r="A24" s="118"/>
      <c r="B24" s="118"/>
      <c r="C24" s="118"/>
      <c r="D24" s="118"/>
      <c r="E24" s="118"/>
      <c r="F24" s="120"/>
      <c r="J24" s="104" t="str">
        <f>'Estado de costos'!B54</f>
        <v xml:space="preserve">EQUIPOS PROPIOS </v>
      </c>
      <c r="K24" s="104" t="str">
        <f>IF('Estado de costos'!D54=0,"",'Estado de costos'!D54)</f>
        <v/>
      </c>
      <c r="L24">
        <f>'Estado de costos'!E54</f>
        <v>0</v>
      </c>
      <c r="M24" s="6">
        <f t="shared" si="0"/>
        <v>0</v>
      </c>
      <c r="N24" s="6">
        <f>'Estado de costos'!J54</f>
        <v>0</v>
      </c>
      <c r="O24" s="6">
        <f>'Estado de costos'!K54</f>
        <v>0</v>
      </c>
      <c r="P24">
        <f t="shared" si="1"/>
        <v>0</v>
      </c>
    </row>
    <row r="25" spans="1:25" x14ac:dyDescent="0.25">
      <c r="A25" s="118"/>
      <c r="B25" s="118"/>
      <c r="C25" s="118"/>
      <c r="D25" s="118"/>
      <c r="E25" s="118"/>
      <c r="F25" s="120"/>
      <c r="J25" s="104">
        <f>'Estado de costos'!B55</f>
        <v>0</v>
      </c>
      <c r="K25" s="104" t="str">
        <f>IF('Estado de costos'!D55=0,"",'Estado de costos'!D55)</f>
        <v/>
      </c>
      <c r="L25">
        <f>'Estado de costos'!E55</f>
        <v>0</v>
      </c>
      <c r="M25" s="6">
        <f t="shared" si="0"/>
        <v>0</v>
      </c>
      <c r="N25" s="6">
        <f>'Estado de costos'!J55</f>
        <v>0</v>
      </c>
      <c r="O25" s="6">
        <f>'Estado de costos'!K55</f>
        <v>0</v>
      </c>
      <c r="P25">
        <f t="shared" si="1"/>
        <v>0</v>
      </c>
    </row>
    <row r="26" spans="1:25" x14ac:dyDescent="0.25">
      <c r="A26" s="118"/>
      <c r="B26" s="118"/>
      <c r="C26" s="118"/>
      <c r="D26" s="118"/>
      <c r="E26" s="118"/>
      <c r="F26" s="120"/>
      <c r="J26" s="104" t="str">
        <f>'Estado de costos'!B56</f>
        <v>DETALLE DEL SERVICIO</v>
      </c>
      <c r="K26" s="104" t="str">
        <f>IF('Estado de costos'!D56=0,"",'Estado de costos'!D56)</f>
        <v/>
      </c>
      <c r="L26" t="str">
        <f>'Estado de costos'!E56</f>
        <v>CANTIDAD</v>
      </c>
      <c r="M26" s="6">
        <f t="shared" si="0"/>
        <v>0</v>
      </c>
      <c r="N26" s="6" t="str">
        <f>'Estado de costos'!J56</f>
        <v>PRECIO COTIZADO SIN F.E.E.</v>
      </c>
      <c r="O26" s="6">
        <f>'Estado de costos'!K56</f>
        <v>0</v>
      </c>
      <c r="P26">
        <f t="shared" si="1"/>
        <v>1</v>
      </c>
    </row>
    <row r="27" spans="1:25" x14ac:dyDescent="0.25">
      <c r="A27" s="118"/>
      <c r="B27" s="118"/>
      <c r="C27" s="118"/>
      <c r="D27" s="118"/>
      <c r="E27" s="118"/>
      <c r="F27" s="120"/>
      <c r="J27" s="104">
        <f>'Estado de costos'!B57</f>
        <v>0</v>
      </c>
      <c r="K27" s="104" t="str">
        <f>IF('Estado de costos'!D57=0,"",'Estado de costos'!D57)</f>
        <v/>
      </c>
      <c r="L27">
        <f>'Estado de costos'!E57</f>
        <v>0</v>
      </c>
      <c r="M27" s="6">
        <f t="shared" si="0"/>
        <v>0</v>
      </c>
      <c r="N27" s="6">
        <f>'Estado de costos'!J57</f>
        <v>0</v>
      </c>
      <c r="O27" s="6" t="str">
        <f>'Estado de costos'!K57</f>
        <v>888</v>
      </c>
      <c r="P27">
        <f t="shared" si="1"/>
        <v>0</v>
      </c>
    </row>
    <row r="28" spans="1:25" x14ac:dyDescent="0.25">
      <c r="A28" s="118"/>
      <c r="B28" s="118"/>
      <c r="C28" s="118"/>
      <c r="D28" s="118"/>
      <c r="E28" s="118"/>
      <c r="F28" s="120"/>
      <c r="J28" s="104" t="str">
        <f>'Estado de costos'!B58</f>
        <v>TOTAL</v>
      </c>
      <c r="K28" s="104" t="str">
        <f>IF('Estado de costos'!D58=0,"",'Estado de costos'!D58)</f>
        <v/>
      </c>
      <c r="L28">
        <f>'Estado de costos'!E58</f>
        <v>0</v>
      </c>
      <c r="M28" s="6">
        <f t="shared" ca="1" si="0"/>
        <v>0</v>
      </c>
      <c r="N28" s="6">
        <f ca="1">'Estado de costos'!J58</f>
        <v>0</v>
      </c>
      <c r="O28" s="6">
        <f>'Estado de costos'!K58</f>
        <v>0</v>
      </c>
      <c r="P28">
        <f t="shared" ca="1" si="1"/>
        <v>0</v>
      </c>
    </row>
    <row r="29" spans="1:25" x14ac:dyDescent="0.25">
      <c r="A29" s="118"/>
      <c r="B29" s="118"/>
      <c r="C29" s="118"/>
      <c r="D29" s="118"/>
      <c r="E29" s="118"/>
      <c r="F29" s="120"/>
      <c r="J29" s="104" t="str">
        <f>'Estado de costos'!B59</f>
        <v>COSTOS INDIRECTOS DEL PROYECTO</v>
      </c>
      <c r="K29" s="104" t="str">
        <f>IF('Estado de costos'!D59=0,"",'Estado de costos'!D59)</f>
        <v/>
      </c>
      <c r="L29">
        <f>'Estado de costos'!E59</f>
        <v>0</v>
      </c>
      <c r="M29" s="6">
        <f t="shared" si="0"/>
        <v>0</v>
      </c>
      <c r="N29" s="6">
        <f>'Estado de costos'!J59</f>
        <v>0</v>
      </c>
      <c r="O29" s="6">
        <f>'Estado de costos'!K59</f>
        <v>0</v>
      </c>
      <c r="P29">
        <f t="shared" si="1"/>
        <v>0</v>
      </c>
    </row>
    <row r="30" spans="1:25" x14ac:dyDescent="0.25">
      <c r="A30" s="118"/>
      <c r="B30" s="118"/>
      <c r="C30" s="118"/>
      <c r="D30" s="118"/>
      <c r="E30" s="118"/>
      <c r="F30" s="120"/>
      <c r="J30" s="104">
        <f>'Estado de costos'!B60</f>
        <v>0</v>
      </c>
      <c r="K30" s="104" t="str">
        <f>IF('Estado de costos'!D60=0,"",'Estado de costos'!D60)</f>
        <v/>
      </c>
      <c r="L30">
        <f>'Estado de costos'!E60</f>
        <v>0</v>
      </c>
      <c r="M30" s="6">
        <f t="shared" si="0"/>
        <v>0</v>
      </c>
      <c r="N30" s="6">
        <f>'Estado de costos'!J60</f>
        <v>0</v>
      </c>
      <c r="O30" s="6">
        <f>'Estado de costos'!K60</f>
        <v>0</v>
      </c>
      <c r="P30">
        <f t="shared" si="1"/>
        <v>0</v>
      </c>
    </row>
    <row r="31" spans="1:25" x14ac:dyDescent="0.25">
      <c r="A31" s="118"/>
      <c r="B31" s="118"/>
      <c r="C31" s="118"/>
      <c r="D31" s="118"/>
      <c r="E31" s="118"/>
      <c r="F31" s="120"/>
      <c r="J31" s="104" t="str">
        <f>'Estado de costos'!B61</f>
        <v>COSTOS INDIRECTOS DE OPERACIONES</v>
      </c>
      <c r="K31" s="104" t="str">
        <f>IF('Estado de costos'!D61=0,"",'Estado de costos'!D61)</f>
        <v>COSTO  ACUMULADO  PROGRAMADO</v>
      </c>
      <c r="L31" t="str">
        <f>'Estado de costos'!E61</f>
        <v>TASA DE APLICACIÓN</v>
      </c>
      <c r="M31" s="6">
        <f t="shared" si="0"/>
        <v>0</v>
      </c>
      <c r="N31" s="6">
        <f>'Estado de costos'!J61</f>
        <v>0</v>
      </c>
      <c r="O31" s="6">
        <f>'Estado de costos'!K61</f>
        <v>0</v>
      </c>
      <c r="P31">
        <f t="shared" si="1"/>
        <v>0</v>
      </c>
    </row>
    <row r="32" spans="1:25" x14ac:dyDescent="0.25">
      <c r="A32" s="118"/>
      <c r="B32" s="118"/>
      <c r="C32" s="118"/>
      <c r="D32" s="118"/>
      <c r="E32" s="118"/>
      <c r="F32" s="120"/>
      <c r="J32" s="104">
        <f>'Estado de costos'!B62</f>
        <v>0</v>
      </c>
      <c r="K32" s="104">
        <f ca="1">IF('Estado de costos'!D62=0,"",'Estado de costos'!D62)</f>
        <v>688</v>
      </c>
      <c r="L32">
        <f>'Estado de costos'!E62</f>
        <v>0.17</v>
      </c>
      <c r="M32" s="6">
        <f t="shared" ca="1" si="0"/>
        <v>0</v>
      </c>
      <c r="N32" s="6">
        <f>'Estado de costos'!J62</f>
        <v>0</v>
      </c>
      <c r="O32" s="6">
        <f>'Estado de costos'!K62</f>
        <v>0</v>
      </c>
      <c r="P32">
        <f t="shared" si="1"/>
        <v>0</v>
      </c>
    </row>
    <row r="33" spans="1:16" x14ac:dyDescent="0.25">
      <c r="A33" s="118"/>
      <c r="B33" s="118"/>
      <c r="C33" s="118"/>
      <c r="D33" s="118"/>
      <c r="E33" s="118"/>
      <c r="F33" s="120"/>
      <c r="J33" s="104">
        <f>'Estado de costos'!B63</f>
        <v>0</v>
      </c>
      <c r="K33" s="104" t="str">
        <f>IF('Estado de costos'!D63=0,"",'Estado de costos'!D63)</f>
        <v/>
      </c>
      <c r="L33">
        <f>'Estado de costos'!E63</f>
        <v>0</v>
      </c>
      <c r="M33" s="6">
        <f t="shared" si="0"/>
        <v>0</v>
      </c>
      <c r="N33" s="6">
        <f>'Estado de costos'!J63</f>
        <v>0</v>
      </c>
      <c r="O33" s="6">
        <f>'Estado de costos'!K63</f>
        <v>0</v>
      </c>
      <c r="P33">
        <f t="shared" si="1"/>
        <v>0</v>
      </c>
    </row>
    <row r="34" spans="1:16" x14ac:dyDescent="0.25">
      <c r="A34" s="118"/>
      <c r="B34" s="118"/>
      <c r="C34" s="118"/>
      <c r="D34" s="118"/>
      <c r="E34" s="118"/>
      <c r="F34" s="120"/>
      <c r="J34" s="104">
        <f>'Estado de costos'!B64</f>
        <v>0</v>
      </c>
      <c r="K34" s="104" t="str">
        <f>IF('Estado de costos'!D64=0,"",'Estado de costos'!D64)</f>
        <v/>
      </c>
      <c r="L34">
        <f>'Estado de costos'!E64</f>
        <v>0</v>
      </c>
      <c r="M34" s="6">
        <f t="shared" si="0"/>
        <v>0</v>
      </c>
      <c r="N34" s="6">
        <f>'Estado de costos'!J64</f>
        <v>0</v>
      </c>
      <c r="O34" s="6">
        <f>'Estado de costos'!K64</f>
        <v>0</v>
      </c>
      <c r="P34">
        <f t="shared" si="1"/>
        <v>0</v>
      </c>
    </row>
    <row r="35" spans="1:16" x14ac:dyDescent="0.25">
      <c r="A35" s="118"/>
      <c r="B35" s="118"/>
      <c r="C35" s="118"/>
      <c r="D35" s="118"/>
      <c r="E35" s="118"/>
      <c r="F35" s="120"/>
      <c r="J35" s="104" t="str">
        <f>'Estado de costos'!B65</f>
        <v>COSTO FINANCIERO</v>
      </c>
      <c r="K35" s="104" t="str">
        <f>IF('Estado de costos'!D65=0,"",'Estado de costos'!D65)</f>
        <v>TIEMPO PROGRAMADO</v>
      </c>
      <c r="L35" t="str">
        <f>'Estado de costos'!E65</f>
        <v>TASA FINANCIERA</v>
      </c>
      <c r="M35" s="6">
        <f t="shared" si="0"/>
        <v>0</v>
      </c>
      <c r="N35" s="6">
        <f>'Estado de costos'!J65</f>
        <v>0</v>
      </c>
      <c r="O35" s="6">
        <f>'Estado de costos'!K65</f>
        <v>0</v>
      </c>
      <c r="P35">
        <f t="shared" si="1"/>
        <v>0</v>
      </c>
    </row>
    <row r="36" spans="1:16" x14ac:dyDescent="0.25">
      <c r="A36" s="118"/>
      <c r="B36" s="118"/>
      <c r="C36" s="118"/>
      <c r="D36" s="118"/>
      <c r="E36" s="118"/>
      <c r="F36" s="120"/>
      <c r="J36" s="104">
        <f>'Estado de costos'!B66</f>
        <v>5.4487179487179493E-3</v>
      </c>
      <c r="K36" s="104">
        <f>IF('Estado de costos'!D66=0,"",'Estado de costos'!D66)</f>
        <v>10</v>
      </c>
      <c r="L36">
        <f>'Estado de costos'!E66</f>
        <v>5.4487179487179495E-4</v>
      </c>
      <c r="M36" s="6">
        <f t="shared" si="0"/>
        <v>0</v>
      </c>
      <c r="N36" s="6">
        <f>'Estado de costos'!J66</f>
        <v>0</v>
      </c>
      <c r="O36" s="6">
        <f>'Estado de costos'!K66</f>
        <v>0</v>
      </c>
      <c r="P36">
        <f t="shared" si="1"/>
        <v>0</v>
      </c>
    </row>
    <row r="37" spans="1:16" x14ac:dyDescent="0.25">
      <c r="A37" s="118"/>
      <c r="B37" s="118"/>
      <c r="C37" s="118"/>
      <c r="D37" s="118"/>
      <c r="E37" s="118"/>
      <c r="F37" s="120"/>
      <c r="J37" s="104">
        <f>'Estado de costos'!B67</f>
        <v>0</v>
      </c>
      <c r="K37" s="104" t="str">
        <f>IF('Estado de costos'!D67=0,"",'Estado de costos'!D67)</f>
        <v/>
      </c>
      <c r="L37">
        <f>'Estado de costos'!E67</f>
        <v>0</v>
      </c>
      <c r="M37" s="6">
        <f t="shared" si="0"/>
        <v>0</v>
      </c>
      <c r="N37" s="6">
        <f>'Estado de costos'!J67</f>
        <v>0</v>
      </c>
      <c r="O37" s="6">
        <f>'Estado de costos'!K67</f>
        <v>0</v>
      </c>
      <c r="P37">
        <f t="shared" si="1"/>
        <v>0</v>
      </c>
    </row>
    <row r="38" spans="1:16" x14ac:dyDescent="0.25">
      <c r="A38" s="118"/>
      <c r="B38" s="118"/>
      <c r="C38" s="118"/>
      <c r="D38" s="118"/>
      <c r="E38" s="118"/>
      <c r="F38" s="120"/>
      <c r="J38" s="104" t="str">
        <f>'Estado de costos'!B68</f>
        <v>F.E.E. PROGRAMADO</v>
      </c>
      <c r="K38" s="104" t="str">
        <f>IF('Estado de costos'!D68=0,"",'Estado de costos'!D68)</f>
        <v/>
      </c>
      <c r="L38">
        <f>'Estado de costos'!E68</f>
        <v>0</v>
      </c>
      <c r="M38" s="6">
        <f t="shared" si="0"/>
        <v>0</v>
      </c>
      <c r="N38" s="6">
        <f>'Estado de costos'!J68</f>
        <v>0</v>
      </c>
      <c r="O38" s="6">
        <f>'Estado de costos'!K68</f>
        <v>0</v>
      </c>
      <c r="P38">
        <f t="shared" si="1"/>
        <v>0</v>
      </c>
    </row>
    <row r="39" spans="1:16" x14ac:dyDescent="0.25">
      <c r="A39" s="118"/>
      <c r="B39" s="118"/>
      <c r="C39" s="118"/>
      <c r="D39" s="118"/>
      <c r="E39" s="118"/>
      <c r="F39" s="120"/>
      <c r="J39" s="104">
        <f>'Estado de costos'!B69</f>
        <v>0</v>
      </c>
      <c r="K39" s="104" t="str">
        <f>IF('Estado de costos'!D69=0,"",'Estado de costos'!D69)</f>
        <v/>
      </c>
      <c r="L39">
        <f>'Estado de costos'!E69</f>
        <v>0</v>
      </c>
      <c r="M39" s="6">
        <f t="shared" si="0"/>
        <v>0</v>
      </c>
      <c r="N39" s="6">
        <f>'Estado de costos'!J69</f>
        <v>0</v>
      </c>
      <c r="O39" s="6">
        <f>'Estado de costos'!K69</f>
        <v>0</v>
      </c>
      <c r="P39">
        <f t="shared" si="1"/>
        <v>0</v>
      </c>
    </row>
    <row r="40" spans="1:16" x14ac:dyDescent="0.25">
      <c r="A40" s="118"/>
      <c r="B40" s="118"/>
      <c r="C40" s="118"/>
      <c r="D40" s="118"/>
      <c r="E40" s="118"/>
      <c r="F40" s="120"/>
      <c r="J40" s="104">
        <f>'Estado de costos'!B70</f>
        <v>0</v>
      </c>
      <c r="K40" s="104" t="str">
        <f>IF('Estado de costos'!D70=0,"",'Estado de costos'!D70)</f>
        <v/>
      </c>
      <c r="L40">
        <f>'Estado de costos'!E70</f>
        <v>0</v>
      </c>
      <c r="M40" s="6">
        <f t="shared" si="0"/>
        <v>0</v>
      </c>
      <c r="N40" s="6" t="str">
        <f>'Estado de costos'!J70</f>
        <v>TOTAL F.E.E. VARIABLE</v>
      </c>
      <c r="O40" s="6">
        <f>'Estado de costos'!K70</f>
        <v>0</v>
      </c>
      <c r="P40">
        <f t="shared" si="1"/>
        <v>1</v>
      </c>
    </row>
    <row r="41" spans="1:16" x14ac:dyDescent="0.25">
      <c r="A41" s="118"/>
      <c r="B41" s="118"/>
      <c r="C41" s="118"/>
      <c r="D41" s="118"/>
      <c r="E41" s="118"/>
      <c r="F41" s="120"/>
      <c r="J41" s="104">
        <f>'Estado de costos'!B71</f>
        <v>0</v>
      </c>
      <c r="K41" s="104" t="str">
        <f>IF('Estado de costos'!D71=0,"",'Estado de costos'!D71)</f>
        <v/>
      </c>
      <c r="L41">
        <f>'Estado de costos'!E71</f>
        <v>0</v>
      </c>
      <c r="M41" s="6">
        <f t="shared" ca="1" si="0"/>
        <v>0</v>
      </c>
      <c r="N41" s="6">
        <f ca="1">'Estado de costos'!J71</f>
        <v>850</v>
      </c>
      <c r="O41" s="6">
        <f>'Estado de costos'!K71</f>
        <v>0</v>
      </c>
      <c r="P41">
        <f t="shared" ca="1" si="1"/>
        <v>1</v>
      </c>
    </row>
    <row r="42" spans="1:16" x14ac:dyDescent="0.25">
      <c r="A42" s="118"/>
      <c r="B42" s="118"/>
      <c r="C42" s="118"/>
      <c r="D42" s="118"/>
      <c r="E42" s="118"/>
      <c r="F42" s="120"/>
      <c r="J42" s="104">
        <f>'Estado de costos'!B72</f>
        <v>0</v>
      </c>
      <c r="K42" s="104" t="str">
        <f>IF('Estado de costos'!D72=0,"",'Estado de costos'!D72)</f>
        <v/>
      </c>
      <c r="L42">
        <f>'Estado de costos'!E72</f>
        <v>0</v>
      </c>
      <c r="M42" s="6">
        <f t="shared" ca="1" si="0"/>
        <v>0</v>
      </c>
      <c r="N42" s="6">
        <f ca="1">'Estado de costos'!J72</f>
        <v>144.5</v>
      </c>
      <c r="O42" s="6">
        <f>'Estado de costos'!K72</f>
        <v>0</v>
      </c>
      <c r="P42">
        <f t="shared" ca="1" si="1"/>
        <v>1</v>
      </c>
    </row>
    <row r="43" spans="1:16" x14ac:dyDescent="0.25">
      <c r="A43" s="118"/>
      <c r="B43" s="118"/>
      <c r="C43" s="118"/>
      <c r="D43" s="118"/>
      <c r="E43" s="118"/>
      <c r="F43" s="120"/>
      <c r="J43" s="104">
        <f>'Estado de costos'!B73</f>
        <v>0</v>
      </c>
      <c r="K43" s="104" t="str">
        <f>IF('Estado de costos'!D73=0,"",'Estado de costos'!D73)</f>
        <v/>
      </c>
      <c r="L43">
        <f>'Estado de costos'!E73</f>
        <v>0</v>
      </c>
      <c r="M43" s="6">
        <f t="shared" si="0"/>
        <v>0</v>
      </c>
      <c r="N43" s="6">
        <f>'Estado de costos'!J73</f>
        <v>0</v>
      </c>
      <c r="O43" s="6">
        <f>'Estado de costos'!K73</f>
        <v>0</v>
      </c>
      <c r="P43">
        <f t="shared" si="1"/>
        <v>0</v>
      </c>
    </row>
    <row r="44" spans="1:16" x14ac:dyDescent="0.25">
      <c r="A44" s="118"/>
      <c r="B44" s="118"/>
      <c r="C44" s="118"/>
      <c r="D44" s="118"/>
      <c r="E44" s="118"/>
      <c r="F44" s="120"/>
      <c r="J44" s="104">
        <f>'Estado de costos'!B74</f>
        <v>0</v>
      </c>
      <c r="K44" s="104" t="str">
        <f>IF('Estado de costos'!D74=0,"",'Estado de costos'!D74)</f>
        <v/>
      </c>
      <c r="L44">
        <f>'Estado de costos'!E74</f>
        <v>0</v>
      </c>
      <c r="M44" s="6">
        <f t="shared" ca="1" si="0"/>
        <v>0</v>
      </c>
      <c r="N44" s="6">
        <f ca="1">'Estado de costos'!J74</f>
        <v>994.5</v>
      </c>
      <c r="O44" s="6">
        <f>'Estado de costos'!K74</f>
        <v>0</v>
      </c>
      <c r="P44">
        <f t="shared" ca="1" si="1"/>
        <v>1</v>
      </c>
    </row>
    <row r="45" spans="1:16" x14ac:dyDescent="0.25">
      <c r="A45" s="118"/>
      <c r="B45" s="118"/>
      <c r="C45" s="118"/>
      <c r="D45" s="118"/>
      <c r="E45" s="118"/>
      <c r="F45" s="120"/>
      <c r="J45" s="104">
        <f>'Estado de costos'!B75</f>
        <v>0</v>
      </c>
      <c r="K45" s="104" t="str">
        <f>IF('Estado de costos'!D75=0,"",'Estado de costos'!D75)</f>
        <v/>
      </c>
      <c r="L45">
        <f>'Estado de costos'!E75</f>
        <v>0</v>
      </c>
      <c r="M45" s="6">
        <f t="shared" si="0"/>
        <v>0</v>
      </c>
      <c r="N45" s="6">
        <f>'Estado de costos'!J75</f>
        <v>0</v>
      </c>
      <c r="O45" s="6">
        <f>'Estado de costos'!K75</f>
        <v>0</v>
      </c>
      <c r="P45">
        <f t="shared" si="1"/>
        <v>0</v>
      </c>
    </row>
    <row r="46" spans="1:16" x14ac:dyDescent="0.25">
      <c r="A46" s="118"/>
      <c r="B46" s="118"/>
      <c r="C46" s="118"/>
      <c r="D46" s="118"/>
      <c r="E46" s="118"/>
      <c r="F46" s="120"/>
      <c r="J46" s="104">
        <f>'Estado de costos'!B76</f>
        <v>0</v>
      </c>
      <c r="K46" s="104" t="str">
        <f>IF('Estado de costos'!D76=0,"",'Estado de costos'!D76)</f>
        <v/>
      </c>
      <c r="L46">
        <f>'Estado de costos'!E76</f>
        <v>0</v>
      </c>
      <c r="M46" s="6">
        <f t="shared" si="0"/>
        <v>0</v>
      </c>
      <c r="N46" s="6">
        <f>'Estado de costos'!J76</f>
        <v>0</v>
      </c>
      <c r="O46" s="6">
        <f>'Estado de costos'!K76</f>
        <v>0</v>
      </c>
      <c r="P46">
        <f t="shared" si="1"/>
        <v>0</v>
      </c>
    </row>
    <row r="47" spans="1:16" x14ac:dyDescent="0.25">
      <c r="A47" s="118"/>
      <c r="B47" s="118"/>
      <c r="C47" s="118"/>
      <c r="D47" s="118"/>
      <c r="E47" s="118"/>
      <c r="F47" s="120"/>
      <c r="J47" s="104">
        <f>'Estado de costos'!B77</f>
        <v>0</v>
      </c>
      <c r="K47" s="104" t="str">
        <f>IF('Estado de costos'!D77=0,"",'Estado de costos'!D77)</f>
        <v/>
      </c>
      <c r="L47">
        <f>'Estado de costos'!E77</f>
        <v>0</v>
      </c>
      <c r="M47" s="6">
        <f t="shared" si="0"/>
        <v>0</v>
      </c>
      <c r="N47" s="6">
        <f>'Estado de costos'!J77</f>
        <v>0</v>
      </c>
      <c r="O47" s="6">
        <f>'Estado de costos'!K77</f>
        <v>0</v>
      </c>
      <c r="P47">
        <f t="shared" si="1"/>
        <v>0</v>
      </c>
    </row>
    <row r="48" spans="1:16" x14ac:dyDescent="0.25">
      <c r="A48" s="118"/>
      <c r="B48" s="118"/>
      <c r="C48" s="118"/>
      <c r="D48" s="118"/>
      <c r="E48" s="118"/>
      <c r="F48" s="120"/>
      <c r="J48" s="104">
        <f>'Estado de costos'!B78</f>
        <v>0</v>
      </c>
      <c r="K48" s="104" t="str">
        <f>IF('Estado de costos'!D78=0,"",'Estado de costos'!D78)</f>
        <v/>
      </c>
      <c r="L48">
        <f>'Estado de costos'!E78</f>
        <v>0</v>
      </c>
      <c r="M48" s="6">
        <f t="shared" si="0"/>
        <v>0</v>
      </c>
      <c r="N48" s="6">
        <f>'Estado de costos'!J78</f>
        <v>0</v>
      </c>
      <c r="O48" s="6">
        <f>'Estado de costos'!K78</f>
        <v>0</v>
      </c>
      <c r="P48">
        <f t="shared" si="1"/>
        <v>0</v>
      </c>
    </row>
    <row r="49" spans="1:16" x14ac:dyDescent="0.25">
      <c r="A49" s="118"/>
      <c r="B49" s="118"/>
      <c r="C49" s="118"/>
      <c r="D49" s="118"/>
      <c r="E49" s="118"/>
      <c r="F49" s="120"/>
      <c r="J49" s="104">
        <f>'Estado de costos'!B79</f>
        <v>0</v>
      </c>
      <c r="K49" s="104" t="str">
        <f>IF('Estado de costos'!D79=0,"",'Estado de costos'!D79)</f>
        <v/>
      </c>
      <c r="L49">
        <f>'Estado de costos'!E79</f>
        <v>0</v>
      </c>
      <c r="M49" s="6">
        <f t="shared" si="0"/>
        <v>0</v>
      </c>
      <c r="N49" s="6">
        <f>'Estado de costos'!J79</f>
        <v>0</v>
      </c>
      <c r="O49" s="6">
        <f>'Estado de costos'!K79</f>
        <v>0</v>
      </c>
      <c r="P49">
        <f t="shared" si="1"/>
        <v>0</v>
      </c>
    </row>
    <row r="50" spans="1:16" x14ac:dyDescent="0.25">
      <c r="A50" s="118"/>
      <c r="B50" s="118"/>
      <c r="C50" s="118"/>
      <c r="D50" s="118"/>
      <c r="E50" s="118"/>
      <c r="F50" s="120"/>
      <c r="J50" s="104">
        <f>'Estado de costos'!B80</f>
        <v>0</v>
      </c>
      <c r="K50" s="104" t="str">
        <f>IF('Estado de costos'!D80=0,"",'Estado de costos'!D80)</f>
        <v/>
      </c>
      <c r="L50">
        <f>'Estado de costos'!E80</f>
        <v>0</v>
      </c>
      <c r="M50" s="6">
        <f t="shared" si="0"/>
        <v>0</v>
      </c>
      <c r="N50" s="6">
        <f>'Estado de costos'!J80</f>
        <v>0</v>
      </c>
      <c r="O50" s="6">
        <f>'Estado de costos'!K80</f>
        <v>0</v>
      </c>
      <c r="P50">
        <f t="shared" si="1"/>
        <v>0</v>
      </c>
    </row>
    <row r="51" spans="1:16" x14ac:dyDescent="0.25">
      <c r="A51" s="118"/>
      <c r="B51" s="118"/>
      <c r="C51" s="118"/>
      <c r="D51" s="118"/>
      <c r="E51" s="118"/>
      <c r="F51" s="120"/>
      <c r="J51" s="104">
        <f>'Estado de costos'!B81</f>
        <v>0</v>
      </c>
      <c r="K51" s="104" t="str">
        <f>IF('Estado de costos'!D81=0,"",'Estado de costos'!D81)</f>
        <v/>
      </c>
      <c r="L51">
        <f>'Estado de costos'!E81</f>
        <v>0</v>
      </c>
      <c r="M51" s="6">
        <f t="shared" si="0"/>
        <v>0</v>
      </c>
      <c r="N51" s="6">
        <f>'Estado de costos'!J81</f>
        <v>0</v>
      </c>
      <c r="O51" s="6">
        <f>'Estado de costos'!K81</f>
        <v>0</v>
      </c>
      <c r="P51">
        <f t="shared" si="1"/>
        <v>0</v>
      </c>
    </row>
    <row r="52" spans="1:16" x14ac:dyDescent="0.25">
      <c r="A52" s="118"/>
      <c r="B52" s="118"/>
      <c r="C52" s="118"/>
      <c r="D52" s="118"/>
      <c r="E52" s="118"/>
      <c r="F52" s="120"/>
      <c r="J52" s="104">
        <f>'Estado de costos'!B82</f>
        <v>0</v>
      </c>
      <c r="K52" s="104" t="str">
        <f>IF('Estado de costos'!D82=0,"",'Estado de costos'!D82)</f>
        <v/>
      </c>
      <c r="L52">
        <f>'Estado de costos'!E82</f>
        <v>0</v>
      </c>
      <c r="M52" s="6">
        <f t="shared" si="0"/>
        <v>0</v>
      </c>
      <c r="N52" s="6">
        <f>'Estado de costos'!J82</f>
        <v>0</v>
      </c>
      <c r="O52" s="6">
        <f>'Estado de costos'!K82</f>
        <v>0</v>
      </c>
      <c r="P52">
        <f t="shared" si="1"/>
        <v>0</v>
      </c>
    </row>
    <row r="53" spans="1:16" x14ac:dyDescent="0.25">
      <c r="A53" s="118"/>
      <c r="B53" s="118"/>
      <c r="C53" s="118"/>
      <c r="D53" s="118"/>
      <c r="E53" s="118"/>
      <c r="F53" s="120"/>
      <c r="J53" s="104">
        <f>'Estado de costos'!B83</f>
        <v>0</v>
      </c>
      <c r="K53" s="104" t="str">
        <f>IF('Estado de costos'!D83=0,"",'Estado de costos'!D83)</f>
        <v/>
      </c>
      <c r="L53">
        <f>'Estado de costos'!E83</f>
        <v>0</v>
      </c>
      <c r="M53" s="6">
        <f t="shared" si="0"/>
        <v>0</v>
      </c>
      <c r="N53" s="6">
        <f>'Estado de costos'!J83</f>
        <v>0</v>
      </c>
      <c r="O53" s="6">
        <f>'Estado de costos'!K83</f>
        <v>0</v>
      </c>
      <c r="P53">
        <f t="shared" si="1"/>
        <v>0</v>
      </c>
    </row>
    <row r="54" spans="1:16" x14ac:dyDescent="0.25">
      <c r="A54" s="118"/>
      <c r="B54" s="118"/>
      <c r="C54" s="118"/>
      <c r="D54" s="118"/>
      <c r="E54" s="118"/>
      <c r="F54" s="120"/>
      <c r="J54" s="104">
        <f>'Estado de costos'!B84</f>
        <v>0</v>
      </c>
      <c r="K54" s="104" t="str">
        <f>IF('Estado de costos'!D84=0,"",'Estado de costos'!D84)</f>
        <v/>
      </c>
      <c r="L54">
        <f>'Estado de costos'!E84</f>
        <v>0</v>
      </c>
      <c r="M54" s="6">
        <f t="shared" si="0"/>
        <v>0</v>
      </c>
      <c r="N54" s="6">
        <f>'Estado de costos'!J84</f>
        <v>0</v>
      </c>
      <c r="O54" s="6">
        <f>'Estado de costos'!K84</f>
        <v>0</v>
      </c>
      <c r="P54">
        <f t="shared" si="1"/>
        <v>0</v>
      </c>
    </row>
    <row r="55" spans="1:16" x14ac:dyDescent="0.25">
      <c r="A55" s="118"/>
      <c r="B55" s="118"/>
      <c r="C55" s="118"/>
      <c r="D55" s="118"/>
      <c r="E55" s="118"/>
      <c r="F55" s="120"/>
      <c r="J55" s="104">
        <f>'Estado de costos'!B85</f>
        <v>0</v>
      </c>
      <c r="K55" s="104" t="str">
        <f>IF('Estado de costos'!D85=0,"",'Estado de costos'!D85)</f>
        <v/>
      </c>
      <c r="L55">
        <f>'Estado de costos'!E85</f>
        <v>0</v>
      </c>
      <c r="M55" s="6">
        <f t="shared" si="0"/>
        <v>0</v>
      </c>
      <c r="N55" s="6">
        <f>'Estado de costos'!J85</f>
        <v>0</v>
      </c>
      <c r="O55" s="6">
        <f>'Estado de costos'!K85</f>
        <v>0</v>
      </c>
      <c r="P55">
        <f t="shared" si="1"/>
        <v>0</v>
      </c>
    </row>
    <row r="56" spans="1:16" x14ac:dyDescent="0.25">
      <c r="A56" s="118"/>
      <c r="B56" s="118"/>
      <c r="C56" s="118"/>
      <c r="D56" s="118"/>
      <c r="E56" s="118"/>
      <c r="F56" s="120"/>
      <c r="J56" s="104">
        <f>'Estado de costos'!B86</f>
        <v>0</v>
      </c>
      <c r="K56" s="104" t="str">
        <f>IF('Estado de costos'!D86=0,"",'Estado de costos'!D86)</f>
        <v/>
      </c>
      <c r="L56">
        <f>'Estado de costos'!E86</f>
        <v>0</v>
      </c>
      <c r="M56" s="6">
        <f t="shared" si="0"/>
        <v>0</v>
      </c>
      <c r="N56" s="6">
        <f>'Estado de costos'!J86</f>
        <v>0</v>
      </c>
      <c r="O56" s="6">
        <f>'Estado de costos'!K86</f>
        <v>0</v>
      </c>
      <c r="P56">
        <f t="shared" si="1"/>
        <v>0</v>
      </c>
    </row>
    <row r="57" spans="1:16" x14ac:dyDescent="0.25">
      <c r="A57" s="118"/>
      <c r="B57" s="118"/>
      <c r="C57" s="118"/>
      <c r="D57" s="118"/>
      <c r="E57" s="118"/>
      <c r="F57" s="120"/>
      <c r="J57" s="104">
        <f>'Estado de costos'!B87</f>
        <v>0</v>
      </c>
      <c r="K57" s="104" t="str">
        <f>IF('Estado de costos'!D87=0,"",'Estado de costos'!D87)</f>
        <v/>
      </c>
      <c r="L57">
        <f>'Estado de costos'!E87</f>
        <v>0</v>
      </c>
      <c r="M57" s="6">
        <f t="shared" si="0"/>
        <v>0</v>
      </c>
      <c r="N57" s="6">
        <f>'Estado de costos'!J87</f>
        <v>0</v>
      </c>
      <c r="O57" s="6">
        <f>'Estado de costos'!K87</f>
        <v>0</v>
      </c>
      <c r="P57">
        <f t="shared" si="1"/>
        <v>0</v>
      </c>
    </row>
    <row r="58" spans="1:16" x14ac:dyDescent="0.25">
      <c r="A58" s="118"/>
      <c r="B58" s="118"/>
      <c r="C58" s="118"/>
      <c r="D58" s="118"/>
      <c r="E58" s="118"/>
      <c r="F58" s="120"/>
      <c r="J58" s="104">
        <f>'Estado de costos'!B88</f>
        <v>0</v>
      </c>
      <c r="K58" s="104" t="str">
        <f>IF('Estado de costos'!D88=0,"",'Estado de costos'!D88)</f>
        <v/>
      </c>
      <c r="L58">
        <f>'Estado de costos'!E88</f>
        <v>0</v>
      </c>
      <c r="M58" s="6">
        <f t="shared" si="0"/>
        <v>0</v>
      </c>
      <c r="N58" s="6">
        <f>'Estado de costos'!J88</f>
        <v>0</v>
      </c>
      <c r="O58" s="6">
        <f>'Estado de costos'!K88</f>
        <v>0</v>
      </c>
      <c r="P58">
        <f t="shared" si="1"/>
        <v>0</v>
      </c>
    </row>
    <row r="59" spans="1:16" x14ac:dyDescent="0.25">
      <c r="A59" s="118"/>
      <c r="B59" s="118"/>
      <c r="C59" s="118"/>
      <c r="D59" s="118"/>
      <c r="E59" s="118"/>
      <c r="F59" s="120"/>
      <c r="J59" s="104">
        <f>'Estado de costos'!B89</f>
        <v>0</v>
      </c>
      <c r="K59" s="104" t="str">
        <f>IF('Estado de costos'!D89=0,"",'Estado de costos'!D89)</f>
        <v/>
      </c>
      <c r="L59">
        <f>'Estado de costos'!E89</f>
        <v>0</v>
      </c>
      <c r="M59" s="6">
        <f t="shared" si="0"/>
        <v>0</v>
      </c>
      <c r="N59" s="6">
        <f>'Estado de costos'!J89</f>
        <v>0</v>
      </c>
      <c r="O59" s="6">
        <f>'Estado de costos'!K89</f>
        <v>0</v>
      </c>
      <c r="P59">
        <f t="shared" si="1"/>
        <v>0</v>
      </c>
    </row>
    <row r="60" spans="1:16" x14ac:dyDescent="0.25">
      <c r="A60" s="118"/>
      <c r="B60" s="118"/>
      <c r="C60" s="118"/>
      <c r="D60" s="118"/>
      <c r="E60" s="118"/>
      <c r="F60" s="120"/>
      <c r="J60" s="104">
        <f>'Estado de costos'!B90</f>
        <v>0</v>
      </c>
      <c r="K60" s="104" t="str">
        <f>IF('Estado de costos'!D90=0,"",'Estado de costos'!D90)</f>
        <v/>
      </c>
      <c r="L60">
        <f>'Estado de costos'!E90</f>
        <v>0</v>
      </c>
      <c r="M60" s="6">
        <f t="shared" si="0"/>
        <v>0</v>
      </c>
      <c r="N60" s="6">
        <f>'Estado de costos'!J90</f>
        <v>0</v>
      </c>
      <c r="O60" s="6">
        <f>'Estado de costos'!K90</f>
        <v>0</v>
      </c>
      <c r="P60">
        <f t="shared" si="1"/>
        <v>0</v>
      </c>
    </row>
    <row r="61" spans="1:16" x14ac:dyDescent="0.25">
      <c r="A61" s="118"/>
      <c r="B61" s="118"/>
      <c r="C61" s="118"/>
      <c r="D61" s="118"/>
      <c r="E61" s="118"/>
      <c r="F61" s="120"/>
      <c r="J61" s="104">
        <f>'Estado de costos'!B91</f>
        <v>0</v>
      </c>
      <c r="K61" s="104" t="str">
        <f>IF('Estado de costos'!D91=0,"",'Estado de costos'!D91)</f>
        <v/>
      </c>
      <c r="L61">
        <f>'Estado de costos'!E91</f>
        <v>0</v>
      </c>
      <c r="M61" s="6">
        <f t="shared" si="0"/>
        <v>0</v>
      </c>
      <c r="N61" s="6">
        <f>'Estado de costos'!J91</f>
        <v>0</v>
      </c>
      <c r="O61" s="6">
        <f>'Estado de costos'!K91</f>
        <v>0</v>
      </c>
      <c r="P61">
        <f t="shared" si="1"/>
        <v>0</v>
      </c>
    </row>
    <row r="62" spans="1:16" x14ac:dyDescent="0.25">
      <c r="A62" s="118"/>
      <c r="B62" s="118"/>
      <c r="C62" s="118"/>
      <c r="D62" s="118"/>
      <c r="E62" s="118"/>
      <c r="F62" s="120"/>
      <c r="J62" s="104">
        <f>'Estado de costos'!B92</f>
        <v>0</v>
      </c>
      <c r="K62" s="104" t="str">
        <f>IF('Estado de costos'!D92=0,"",'Estado de costos'!D92)</f>
        <v/>
      </c>
      <c r="L62">
        <f>'Estado de costos'!E92</f>
        <v>0</v>
      </c>
      <c r="M62" s="6">
        <f t="shared" si="0"/>
        <v>0</v>
      </c>
      <c r="N62" s="6">
        <f>'Estado de costos'!J92</f>
        <v>0</v>
      </c>
      <c r="O62" s="6">
        <f>'Estado de costos'!K92</f>
        <v>0</v>
      </c>
      <c r="P62">
        <f t="shared" si="1"/>
        <v>0</v>
      </c>
    </row>
    <row r="63" spans="1:16" x14ac:dyDescent="0.25">
      <c r="A63" s="118"/>
      <c r="B63" s="118"/>
      <c r="C63" s="118"/>
      <c r="D63" s="118"/>
      <c r="E63" s="118"/>
      <c r="F63" s="120"/>
      <c r="J63" s="104">
        <f>'Estado de costos'!B93</f>
        <v>0</v>
      </c>
      <c r="K63" s="104" t="str">
        <f>IF('Estado de costos'!D93=0,"",'Estado de costos'!D93)</f>
        <v/>
      </c>
      <c r="L63">
        <f>'Estado de costos'!E93</f>
        <v>0</v>
      </c>
      <c r="M63" s="6">
        <f t="shared" si="0"/>
        <v>0</v>
      </c>
      <c r="N63" s="6">
        <f>'Estado de costos'!J93</f>
        <v>0</v>
      </c>
      <c r="O63" s="6">
        <f>'Estado de costos'!K93</f>
        <v>0</v>
      </c>
      <c r="P63">
        <f t="shared" si="1"/>
        <v>0</v>
      </c>
    </row>
    <row r="64" spans="1:16" x14ac:dyDescent="0.25">
      <c r="A64" s="118"/>
      <c r="B64" s="118"/>
      <c r="C64" s="118"/>
      <c r="D64" s="118"/>
      <c r="E64" s="118"/>
      <c r="F64" s="120"/>
      <c r="J64" s="104">
        <f>'Estado de costos'!B94</f>
        <v>0</v>
      </c>
      <c r="K64" s="104" t="str">
        <f>IF('Estado de costos'!D94=0,"",'Estado de costos'!D94)</f>
        <v/>
      </c>
      <c r="L64">
        <f>'Estado de costos'!E94</f>
        <v>0</v>
      </c>
      <c r="M64" s="6">
        <f t="shared" si="0"/>
        <v>0</v>
      </c>
      <c r="N64" s="6">
        <f>'Estado de costos'!J94</f>
        <v>0</v>
      </c>
      <c r="O64" s="6">
        <f>'Estado de costos'!K94</f>
        <v>0</v>
      </c>
      <c r="P64">
        <f t="shared" si="1"/>
        <v>0</v>
      </c>
    </row>
    <row r="65" spans="1:16" x14ac:dyDescent="0.25">
      <c r="A65" s="118"/>
      <c r="B65" s="118"/>
      <c r="C65" s="118"/>
      <c r="D65" s="118"/>
      <c r="E65" s="118"/>
      <c r="F65" s="120"/>
      <c r="J65" s="104">
        <f>'Estado de costos'!B95</f>
        <v>0</v>
      </c>
      <c r="K65" s="104" t="str">
        <f>IF('Estado de costos'!D95=0,"",'Estado de costos'!D95)</f>
        <v/>
      </c>
      <c r="L65">
        <f>'Estado de costos'!E95</f>
        <v>0</v>
      </c>
      <c r="M65" s="6">
        <f t="shared" si="0"/>
        <v>0</v>
      </c>
      <c r="N65" s="6">
        <f>'Estado de costos'!J95</f>
        <v>0</v>
      </c>
      <c r="O65" s="6">
        <f>'Estado de costos'!K95</f>
        <v>0</v>
      </c>
      <c r="P65">
        <f t="shared" si="1"/>
        <v>0</v>
      </c>
    </row>
    <row r="66" spans="1:16" x14ac:dyDescent="0.25">
      <c r="A66" s="118"/>
      <c r="B66" s="118"/>
      <c r="C66" s="118"/>
      <c r="D66" s="118"/>
      <c r="E66" s="118"/>
      <c r="F66" s="120"/>
      <c r="J66" s="104">
        <f>'Estado de costos'!B96</f>
        <v>0</v>
      </c>
      <c r="K66" s="104" t="str">
        <f>IF('Estado de costos'!D96=0,"",'Estado de costos'!D96)</f>
        <v/>
      </c>
      <c r="L66">
        <f>'Estado de costos'!E96</f>
        <v>0</v>
      </c>
      <c r="M66" s="6">
        <f t="shared" si="0"/>
        <v>0</v>
      </c>
      <c r="N66" s="6">
        <f>'Estado de costos'!J96</f>
        <v>0</v>
      </c>
      <c r="O66" s="6">
        <f>'Estado de costos'!K96</f>
        <v>0</v>
      </c>
      <c r="P66">
        <f t="shared" si="1"/>
        <v>0</v>
      </c>
    </row>
    <row r="67" spans="1:16" x14ac:dyDescent="0.25">
      <c r="A67" s="118"/>
      <c r="B67" s="118"/>
      <c r="C67" s="118"/>
      <c r="D67" s="118"/>
      <c r="E67" s="118"/>
      <c r="F67" s="120"/>
      <c r="J67" s="104">
        <f>'Estado de costos'!B97</f>
        <v>0</v>
      </c>
      <c r="K67" s="104" t="str">
        <f>IF('Estado de costos'!D97=0,"",'Estado de costos'!D97)</f>
        <v/>
      </c>
      <c r="L67">
        <f>'Estado de costos'!E97</f>
        <v>0</v>
      </c>
      <c r="M67" s="6">
        <f t="shared" ref="M67:M130" si="2">IFERROR(+N67/L67/IF(K67="",1,K67),0)</f>
        <v>0</v>
      </c>
      <c r="N67" s="6">
        <f>'Estado de costos'!J97</f>
        <v>0</v>
      </c>
      <c r="O67" s="6">
        <f>'Estado de costos'!K97</f>
        <v>0</v>
      </c>
      <c r="P67">
        <f t="shared" ref="P67:P130" si="3">IF(N67=0,0,1)</f>
        <v>0</v>
      </c>
    </row>
    <row r="68" spans="1:16" x14ac:dyDescent="0.25">
      <c r="A68" s="118"/>
      <c r="B68" s="118"/>
      <c r="C68" s="118"/>
      <c r="D68" s="118"/>
      <c r="E68" s="118"/>
      <c r="F68" s="120"/>
      <c r="J68" s="104">
        <f>'Estado de costos'!B98</f>
        <v>0</v>
      </c>
      <c r="K68" s="104" t="str">
        <f>IF('Estado de costos'!D98=0,"",'Estado de costos'!D98)</f>
        <v/>
      </c>
      <c r="L68">
        <f>'Estado de costos'!E98</f>
        <v>0</v>
      </c>
      <c r="M68" s="6">
        <f t="shared" si="2"/>
        <v>0</v>
      </c>
      <c r="N68" s="6">
        <f>'Estado de costos'!J98</f>
        <v>0</v>
      </c>
      <c r="O68" s="6">
        <f>'Estado de costos'!K98</f>
        <v>0</v>
      </c>
      <c r="P68">
        <f t="shared" si="3"/>
        <v>0</v>
      </c>
    </row>
    <row r="69" spans="1:16" x14ac:dyDescent="0.25">
      <c r="A69" s="118"/>
      <c r="B69" s="118"/>
      <c r="C69" s="118"/>
      <c r="D69" s="118"/>
      <c r="E69" s="118"/>
      <c r="F69" s="120"/>
      <c r="J69" s="104">
        <f>'Estado de costos'!B99</f>
        <v>0</v>
      </c>
      <c r="K69" s="104" t="str">
        <f>IF('Estado de costos'!D99=0,"",'Estado de costos'!D99)</f>
        <v/>
      </c>
      <c r="L69">
        <f>'Estado de costos'!E99</f>
        <v>0</v>
      </c>
      <c r="M69" s="6">
        <f t="shared" si="2"/>
        <v>0</v>
      </c>
      <c r="N69" s="6">
        <f>'Estado de costos'!J99</f>
        <v>0</v>
      </c>
      <c r="O69" s="6">
        <f>'Estado de costos'!K99</f>
        <v>0</v>
      </c>
      <c r="P69">
        <f t="shared" si="3"/>
        <v>0</v>
      </c>
    </row>
    <row r="70" spans="1:16" x14ac:dyDescent="0.25">
      <c r="A70" s="118"/>
      <c r="B70" s="118"/>
      <c r="C70" s="118"/>
      <c r="D70" s="118"/>
      <c r="E70" s="118"/>
      <c r="F70" s="120"/>
      <c r="J70" s="104">
        <f>'Estado de costos'!B100</f>
        <v>0</v>
      </c>
      <c r="K70" s="104" t="str">
        <f>IF('Estado de costos'!D100=0,"",'Estado de costos'!D100)</f>
        <v/>
      </c>
      <c r="L70">
        <f>'Estado de costos'!E100</f>
        <v>0</v>
      </c>
      <c r="M70" s="6">
        <f t="shared" si="2"/>
        <v>0</v>
      </c>
      <c r="N70" s="6">
        <f>'Estado de costos'!J100</f>
        <v>0</v>
      </c>
      <c r="O70" s="6">
        <f>'Estado de costos'!K100</f>
        <v>0</v>
      </c>
      <c r="P70">
        <f t="shared" si="3"/>
        <v>0</v>
      </c>
    </row>
    <row r="71" spans="1:16" x14ac:dyDescent="0.25">
      <c r="A71" s="118"/>
      <c r="B71" s="118"/>
      <c r="C71" s="118"/>
      <c r="D71" s="118"/>
      <c r="E71" s="118"/>
      <c r="F71" s="120"/>
      <c r="J71" s="104">
        <f>'Estado de costos'!B101</f>
        <v>0</v>
      </c>
      <c r="K71" s="104" t="str">
        <f>IF('Estado de costos'!D101=0,"",'Estado de costos'!D101)</f>
        <v/>
      </c>
      <c r="L71">
        <f>'Estado de costos'!E101</f>
        <v>0</v>
      </c>
      <c r="M71" s="6">
        <f t="shared" si="2"/>
        <v>0</v>
      </c>
      <c r="N71" s="6">
        <f>'Estado de costos'!J101</f>
        <v>0</v>
      </c>
      <c r="O71" s="6">
        <f>'Estado de costos'!K101</f>
        <v>0</v>
      </c>
      <c r="P71">
        <f t="shared" si="3"/>
        <v>0</v>
      </c>
    </row>
    <row r="72" spans="1:16" x14ac:dyDescent="0.25">
      <c r="A72" s="118"/>
      <c r="B72" s="118"/>
      <c r="C72" s="118"/>
      <c r="D72" s="118"/>
      <c r="E72" s="118"/>
      <c r="F72" s="120"/>
      <c r="J72" s="104">
        <f>'Estado de costos'!B102</f>
        <v>0</v>
      </c>
      <c r="K72" s="104" t="str">
        <f>IF('Estado de costos'!D102=0,"",'Estado de costos'!D102)</f>
        <v/>
      </c>
      <c r="L72">
        <f>'Estado de costos'!E102</f>
        <v>0</v>
      </c>
      <c r="M72" s="6">
        <f t="shared" si="2"/>
        <v>0</v>
      </c>
      <c r="N72" s="6">
        <f>'Estado de costos'!J102</f>
        <v>0</v>
      </c>
      <c r="O72" s="6">
        <f>'Estado de costos'!K102</f>
        <v>0</v>
      </c>
      <c r="P72">
        <f t="shared" si="3"/>
        <v>0</v>
      </c>
    </row>
    <row r="73" spans="1:16" x14ac:dyDescent="0.25">
      <c r="A73" s="118"/>
      <c r="B73" s="118"/>
      <c r="C73" s="118"/>
      <c r="D73" s="118"/>
      <c r="E73" s="118"/>
      <c r="F73" s="120"/>
      <c r="J73" s="104">
        <f>'Estado de costos'!B103</f>
        <v>0</v>
      </c>
      <c r="K73" s="104" t="str">
        <f>IF('Estado de costos'!D103=0,"",'Estado de costos'!D103)</f>
        <v/>
      </c>
      <c r="L73">
        <f>'Estado de costos'!E103</f>
        <v>0</v>
      </c>
      <c r="M73" s="6">
        <f t="shared" si="2"/>
        <v>0</v>
      </c>
      <c r="N73" s="6">
        <f>'Estado de costos'!J103</f>
        <v>0</v>
      </c>
      <c r="O73" s="6">
        <f>'Estado de costos'!K103</f>
        <v>0</v>
      </c>
      <c r="P73">
        <f t="shared" si="3"/>
        <v>0</v>
      </c>
    </row>
    <row r="74" spans="1:16" x14ac:dyDescent="0.25">
      <c r="A74" s="118"/>
      <c r="B74" s="118"/>
      <c r="C74" s="118"/>
      <c r="D74" s="118"/>
      <c r="E74" s="118"/>
      <c r="F74" s="120"/>
      <c r="J74" s="104">
        <f>'Estado de costos'!B104</f>
        <v>0</v>
      </c>
      <c r="K74" s="104" t="str">
        <f>IF('Estado de costos'!D104=0,"",'Estado de costos'!D104)</f>
        <v/>
      </c>
      <c r="L74">
        <f>'Estado de costos'!E104</f>
        <v>0</v>
      </c>
      <c r="M74" s="6">
        <f t="shared" si="2"/>
        <v>0</v>
      </c>
      <c r="N74" s="6">
        <f>'Estado de costos'!J104</f>
        <v>0</v>
      </c>
      <c r="O74" s="6">
        <f>'Estado de costos'!K104</f>
        <v>0</v>
      </c>
      <c r="P74">
        <f t="shared" si="3"/>
        <v>0</v>
      </c>
    </row>
    <row r="75" spans="1:16" x14ac:dyDescent="0.25">
      <c r="A75" s="118"/>
      <c r="B75" s="118"/>
      <c r="C75" s="118"/>
      <c r="D75" s="118"/>
      <c r="E75" s="118"/>
      <c r="F75" s="120"/>
      <c r="J75" s="104">
        <f>'Estado de costos'!B105</f>
        <v>0</v>
      </c>
      <c r="K75" s="104" t="str">
        <f>IF('Estado de costos'!D105=0,"",'Estado de costos'!D105)</f>
        <v/>
      </c>
      <c r="L75">
        <f>'Estado de costos'!E105</f>
        <v>0</v>
      </c>
      <c r="M75" s="6">
        <f t="shared" si="2"/>
        <v>0</v>
      </c>
      <c r="N75" s="6">
        <f>'Estado de costos'!J105</f>
        <v>0</v>
      </c>
      <c r="O75" s="6">
        <f>'Estado de costos'!K105</f>
        <v>0</v>
      </c>
      <c r="P75">
        <f t="shared" si="3"/>
        <v>0</v>
      </c>
    </row>
    <row r="76" spans="1:16" x14ac:dyDescent="0.25">
      <c r="A76" s="118"/>
      <c r="B76" s="118"/>
      <c r="C76" s="118"/>
      <c r="D76" s="118"/>
      <c r="E76" s="118"/>
      <c r="F76" s="120"/>
      <c r="J76" s="104">
        <f>'Estado de costos'!B106</f>
        <v>0</v>
      </c>
      <c r="K76" s="104" t="str">
        <f>IF('Estado de costos'!D106=0,"",'Estado de costos'!D106)</f>
        <v/>
      </c>
      <c r="L76">
        <f>'Estado de costos'!E106</f>
        <v>0</v>
      </c>
      <c r="M76" s="6">
        <f t="shared" si="2"/>
        <v>0</v>
      </c>
      <c r="N76" s="6">
        <f>'Estado de costos'!J106</f>
        <v>0</v>
      </c>
      <c r="O76" s="6">
        <f>'Estado de costos'!K106</f>
        <v>0</v>
      </c>
      <c r="P76">
        <f t="shared" si="3"/>
        <v>0</v>
      </c>
    </row>
    <row r="77" spans="1:16" x14ac:dyDescent="0.25">
      <c r="A77" s="118"/>
      <c r="B77" s="118"/>
      <c r="C77" s="118"/>
      <c r="D77" s="118"/>
      <c r="E77" s="118"/>
      <c r="F77" s="120"/>
      <c r="J77" s="104">
        <f>'Estado de costos'!B107</f>
        <v>0</v>
      </c>
      <c r="K77" s="104" t="str">
        <f>IF('Estado de costos'!D107=0,"",'Estado de costos'!D107)</f>
        <v/>
      </c>
      <c r="L77">
        <f>'Estado de costos'!E107</f>
        <v>0</v>
      </c>
      <c r="M77" s="6">
        <f t="shared" si="2"/>
        <v>0</v>
      </c>
      <c r="N77" s="6">
        <f>'Estado de costos'!J107</f>
        <v>0</v>
      </c>
      <c r="O77" s="6">
        <f>'Estado de costos'!K107</f>
        <v>0</v>
      </c>
      <c r="P77">
        <f t="shared" si="3"/>
        <v>0</v>
      </c>
    </row>
    <row r="78" spans="1:16" x14ac:dyDescent="0.25">
      <c r="A78" s="118"/>
      <c r="B78" s="118"/>
      <c r="C78" s="118"/>
      <c r="D78" s="118"/>
      <c r="E78" s="118"/>
      <c r="F78" s="120"/>
      <c r="J78" s="104">
        <f>'Estado de costos'!B108</f>
        <v>0</v>
      </c>
      <c r="K78" s="104" t="str">
        <f>IF('Estado de costos'!D108=0,"",'Estado de costos'!D108)</f>
        <v/>
      </c>
      <c r="L78">
        <f>'Estado de costos'!E108</f>
        <v>0</v>
      </c>
      <c r="M78" s="6">
        <f t="shared" si="2"/>
        <v>0</v>
      </c>
      <c r="N78" s="6">
        <f>'Estado de costos'!J108</f>
        <v>0</v>
      </c>
      <c r="O78" s="6">
        <f>'Estado de costos'!K108</f>
        <v>0</v>
      </c>
      <c r="P78">
        <f t="shared" si="3"/>
        <v>0</v>
      </c>
    </row>
    <row r="79" spans="1:16" x14ac:dyDescent="0.25">
      <c r="A79" s="118"/>
      <c r="B79" s="118"/>
      <c r="C79" s="118"/>
      <c r="D79" s="118"/>
      <c r="E79" s="118"/>
      <c r="F79" s="120"/>
      <c r="J79" s="104">
        <f>'Estado de costos'!B109</f>
        <v>0</v>
      </c>
      <c r="K79" s="104" t="str">
        <f>IF('Estado de costos'!D109=0,"",'Estado de costos'!D109)</f>
        <v/>
      </c>
      <c r="L79">
        <f>'Estado de costos'!E109</f>
        <v>0</v>
      </c>
      <c r="M79" s="6">
        <f t="shared" si="2"/>
        <v>0</v>
      </c>
      <c r="N79" s="6">
        <f>'Estado de costos'!J109</f>
        <v>0</v>
      </c>
      <c r="O79" s="6">
        <f>'Estado de costos'!K109</f>
        <v>0</v>
      </c>
      <c r="P79">
        <f t="shared" si="3"/>
        <v>0</v>
      </c>
    </row>
    <row r="80" spans="1:16" x14ac:dyDescent="0.25">
      <c r="A80" s="118"/>
      <c r="B80" s="118"/>
      <c r="C80" s="118"/>
      <c r="D80" s="118"/>
      <c r="E80" s="118"/>
      <c r="F80" s="120"/>
      <c r="J80" s="104">
        <f>'Estado de costos'!B110</f>
        <v>0</v>
      </c>
      <c r="K80" s="104" t="str">
        <f>IF('Estado de costos'!D110=0,"",'Estado de costos'!D110)</f>
        <v/>
      </c>
      <c r="L80">
        <f>'Estado de costos'!E110</f>
        <v>0</v>
      </c>
      <c r="M80" s="6">
        <f t="shared" si="2"/>
        <v>0</v>
      </c>
      <c r="N80" s="6">
        <f>'Estado de costos'!J110</f>
        <v>0</v>
      </c>
      <c r="O80" s="6">
        <f>'Estado de costos'!K110</f>
        <v>0</v>
      </c>
      <c r="P80">
        <f t="shared" si="3"/>
        <v>0</v>
      </c>
    </row>
    <row r="81" spans="1:16" x14ac:dyDescent="0.25">
      <c r="A81" s="118"/>
      <c r="B81" s="118"/>
      <c r="C81" s="118"/>
      <c r="D81" s="118"/>
      <c r="E81" s="118"/>
      <c r="F81" s="120"/>
      <c r="J81" s="104">
        <f>'Estado de costos'!B111</f>
        <v>0</v>
      </c>
      <c r="K81" s="104" t="str">
        <f>IF('Estado de costos'!D111=0,"",'Estado de costos'!D111)</f>
        <v/>
      </c>
      <c r="L81">
        <f>'Estado de costos'!E111</f>
        <v>0</v>
      </c>
      <c r="M81" s="6">
        <f t="shared" si="2"/>
        <v>0</v>
      </c>
      <c r="N81" s="6">
        <f>'Estado de costos'!J111</f>
        <v>0</v>
      </c>
      <c r="O81" s="6">
        <f>'Estado de costos'!K111</f>
        <v>0</v>
      </c>
      <c r="P81">
        <f t="shared" si="3"/>
        <v>0</v>
      </c>
    </row>
    <row r="82" spans="1:16" x14ac:dyDescent="0.25">
      <c r="A82" s="118"/>
      <c r="B82" s="118"/>
      <c r="C82" s="118"/>
      <c r="D82" s="118"/>
      <c r="E82" s="118"/>
      <c r="F82" s="120"/>
      <c r="J82" s="104">
        <f>'Estado de costos'!B112</f>
        <v>0</v>
      </c>
      <c r="K82" s="104" t="str">
        <f>IF('Estado de costos'!D112=0,"",'Estado de costos'!D112)</f>
        <v/>
      </c>
      <c r="L82">
        <f>'Estado de costos'!E112</f>
        <v>0</v>
      </c>
      <c r="M82" s="6">
        <f t="shared" si="2"/>
        <v>0</v>
      </c>
      <c r="N82" s="6">
        <f>'Estado de costos'!J112</f>
        <v>0</v>
      </c>
      <c r="O82" s="6">
        <f>'Estado de costos'!K112</f>
        <v>0</v>
      </c>
      <c r="P82">
        <f t="shared" si="3"/>
        <v>0</v>
      </c>
    </row>
    <row r="83" spans="1:16" x14ac:dyDescent="0.25">
      <c r="A83" s="118"/>
      <c r="B83" s="118"/>
      <c r="C83" s="118"/>
      <c r="D83" s="118"/>
      <c r="E83" s="118"/>
      <c r="F83" s="120"/>
      <c r="J83" s="104">
        <f>'Estado de costos'!B113</f>
        <v>0</v>
      </c>
      <c r="K83" s="104" t="str">
        <f>IF('Estado de costos'!D113=0,"",'Estado de costos'!D113)</f>
        <v/>
      </c>
      <c r="L83">
        <f>'Estado de costos'!E113</f>
        <v>0</v>
      </c>
      <c r="M83" s="6">
        <f t="shared" si="2"/>
        <v>0</v>
      </c>
      <c r="N83" s="6">
        <f>'Estado de costos'!J113</f>
        <v>0</v>
      </c>
      <c r="O83" s="6">
        <f>'Estado de costos'!K113</f>
        <v>0</v>
      </c>
      <c r="P83">
        <f t="shared" si="3"/>
        <v>0</v>
      </c>
    </row>
    <row r="84" spans="1:16" x14ac:dyDescent="0.25">
      <c r="A84" s="118"/>
      <c r="B84" s="118"/>
      <c r="C84" s="118"/>
      <c r="D84" s="118"/>
      <c r="E84" s="118"/>
      <c r="F84" s="120"/>
      <c r="J84" s="104">
        <f>'Estado de costos'!B114</f>
        <v>0</v>
      </c>
      <c r="K84" s="104" t="str">
        <f>IF('Estado de costos'!D114=0,"",'Estado de costos'!D114)</f>
        <v/>
      </c>
      <c r="L84">
        <f>'Estado de costos'!E114</f>
        <v>0</v>
      </c>
      <c r="M84" s="6">
        <f t="shared" si="2"/>
        <v>0</v>
      </c>
      <c r="N84" s="6">
        <f>'Estado de costos'!J114</f>
        <v>0</v>
      </c>
      <c r="O84" s="6">
        <f>'Estado de costos'!K114</f>
        <v>0</v>
      </c>
      <c r="P84">
        <f t="shared" si="3"/>
        <v>0</v>
      </c>
    </row>
    <row r="85" spans="1:16" x14ac:dyDescent="0.25">
      <c r="A85" s="118"/>
      <c r="B85" s="118"/>
      <c r="C85" s="118"/>
      <c r="D85" s="118"/>
      <c r="E85" s="118"/>
      <c r="F85" s="120"/>
      <c r="J85" s="104">
        <f>'Estado de costos'!B115</f>
        <v>0</v>
      </c>
      <c r="K85" s="104" t="str">
        <f>IF('Estado de costos'!D115=0,"",'Estado de costos'!D115)</f>
        <v/>
      </c>
      <c r="L85">
        <f>'Estado de costos'!E115</f>
        <v>0</v>
      </c>
      <c r="M85" s="6">
        <f t="shared" si="2"/>
        <v>0</v>
      </c>
      <c r="N85" s="6">
        <f>'Estado de costos'!J115</f>
        <v>0</v>
      </c>
      <c r="O85" s="6">
        <f>'Estado de costos'!K115</f>
        <v>0</v>
      </c>
      <c r="P85">
        <f t="shared" si="3"/>
        <v>0</v>
      </c>
    </row>
    <row r="86" spans="1:16" x14ac:dyDescent="0.25">
      <c r="A86" s="118"/>
      <c r="B86" s="118"/>
      <c r="C86" s="118"/>
      <c r="D86" s="118"/>
      <c r="E86" s="118"/>
      <c r="F86" s="120"/>
      <c r="J86" s="104">
        <f>'Estado de costos'!B116</f>
        <v>0</v>
      </c>
      <c r="K86" s="104" t="str">
        <f>IF('Estado de costos'!D116=0,"",'Estado de costos'!D116)</f>
        <v/>
      </c>
      <c r="L86">
        <f>'Estado de costos'!E116</f>
        <v>0</v>
      </c>
      <c r="M86" s="6">
        <f t="shared" si="2"/>
        <v>0</v>
      </c>
      <c r="N86" s="6">
        <f>'Estado de costos'!J116</f>
        <v>0</v>
      </c>
      <c r="O86" s="6">
        <f>'Estado de costos'!K116</f>
        <v>0</v>
      </c>
      <c r="P86">
        <f t="shared" si="3"/>
        <v>0</v>
      </c>
    </row>
    <row r="87" spans="1:16" x14ac:dyDescent="0.25">
      <c r="A87" s="118"/>
      <c r="B87" s="118"/>
      <c r="C87" s="118"/>
      <c r="D87" s="118"/>
      <c r="E87" s="118"/>
      <c r="F87" s="120"/>
      <c r="J87" s="104">
        <f>'Estado de costos'!B117</f>
        <v>0</v>
      </c>
      <c r="K87" s="104" t="str">
        <f>IF('Estado de costos'!D117=0,"",'Estado de costos'!D117)</f>
        <v/>
      </c>
      <c r="L87">
        <f>'Estado de costos'!E117</f>
        <v>0</v>
      </c>
      <c r="M87" s="6">
        <f t="shared" si="2"/>
        <v>0</v>
      </c>
      <c r="N87" s="6">
        <f>'Estado de costos'!J117</f>
        <v>0</v>
      </c>
      <c r="O87" s="6">
        <f>'Estado de costos'!K117</f>
        <v>0</v>
      </c>
      <c r="P87">
        <f t="shared" si="3"/>
        <v>0</v>
      </c>
    </row>
    <row r="88" spans="1:16" x14ac:dyDescent="0.25">
      <c r="A88" s="118"/>
      <c r="B88" s="118"/>
      <c r="C88" s="118"/>
      <c r="D88" s="118"/>
      <c r="E88" s="118"/>
      <c r="F88" s="120"/>
      <c r="J88" s="104">
        <f>'Estado de costos'!B118</f>
        <v>0</v>
      </c>
      <c r="K88" s="104" t="str">
        <f>IF('Estado de costos'!D118=0,"",'Estado de costos'!D118)</f>
        <v/>
      </c>
      <c r="L88">
        <f>'Estado de costos'!E118</f>
        <v>0</v>
      </c>
      <c r="M88" s="6">
        <f t="shared" si="2"/>
        <v>0</v>
      </c>
      <c r="N88" s="6">
        <f>'Estado de costos'!J118</f>
        <v>0</v>
      </c>
      <c r="O88" s="6">
        <f>'Estado de costos'!K118</f>
        <v>0</v>
      </c>
      <c r="P88">
        <f t="shared" si="3"/>
        <v>0</v>
      </c>
    </row>
    <row r="89" spans="1:16" x14ac:dyDescent="0.25">
      <c r="A89" s="118"/>
      <c r="B89" s="118"/>
      <c r="C89" s="118"/>
      <c r="D89" s="118"/>
      <c r="E89" s="118"/>
      <c r="F89" s="120"/>
      <c r="J89" s="104">
        <f>'Estado de costos'!B119</f>
        <v>0</v>
      </c>
      <c r="K89" s="104" t="str">
        <f>IF('Estado de costos'!D119=0,"",'Estado de costos'!D119)</f>
        <v/>
      </c>
      <c r="L89">
        <f>'Estado de costos'!E119</f>
        <v>0</v>
      </c>
      <c r="M89" s="6">
        <f t="shared" si="2"/>
        <v>0</v>
      </c>
      <c r="N89" s="6">
        <f>'Estado de costos'!J119</f>
        <v>0</v>
      </c>
      <c r="O89" s="6">
        <f>'Estado de costos'!K119</f>
        <v>0</v>
      </c>
      <c r="P89">
        <f t="shared" si="3"/>
        <v>0</v>
      </c>
    </row>
    <row r="90" spans="1:16" x14ac:dyDescent="0.25">
      <c r="A90" s="118"/>
      <c r="B90" s="118"/>
      <c r="C90" s="118"/>
      <c r="D90" s="118"/>
      <c r="E90" s="118"/>
      <c r="F90" s="120"/>
      <c r="J90" s="104">
        <f>'Estado de costos'!B120</f>
        <v>0</v>
      </c>
      <c r="K90" s="104" t="str">
        <f>IF('Estado de costos'!D120=0,"",'Estado de costos'!D120)</f>
        <v/>
      </c>
      <c r="L90">
        <f>'Estado de costos'!E120</f>
        <v>0</v>
      </c>
      <c r="M90" s="6">
        <f t="shared" si="2"/>
        <v>0</v>
      </c>
      <c r="N90" s="6">
        <f>'Estado de costos'!J120</f>
        <v>0</v>
      </c>
      <c r="O90" s="6">
        <f>'Estado de costos'!K120</f>
        <v>0</v>
      </c>
      <c r="P90">
        <f t="shared" si="3"/>
        <v>0</v>
      </c>
    </row>
    <row r="91" spans="1:16" x14ac:dyDescent="0.25">
      <c r="A91" s="118"/>
      <c r="B91" s="118"/>
      <c r="C91" s="118"/>
      <c r="D91" s="118"/>
      <c r="E91" s="118"/>
      <c r="F91" s="120"/>
      <c r="J91" s="104">
        <f>'Estado de costos'!B121</f>
        <v>0</v>
      </c>
      <c r="K91" s="104" t="str">
        <f>IF('Estado de costos'!D121=0,"",'Estado de costos'!D121)</f>
        <v/>
      </c>
      <c r="L91">
        <f>'Estado de costos'!E121</f>
        <v>0</v>
      </c>
      <c r="M91" s="6">
        <f t="shared" si="2"/>
        <v>0</v>
      </c>
      <c r="N91" s="6">
        <f>'Estado de costos'!J121</f>
        <v>0</v>
      </c>
      <c r="O91" s="6">
        <f>'Estado de costos'!K121</f>
        <v>0</v>
      </c>
      <c r="P91">
        <f t="shared" si="3"/>
        <v>0</v>
      </c>
    </row>
    <row r="92" spans="1:16" x14ac:dyDescent="0.25">
      <c r="A92" s="118"/>
      <c r="B92" s="118"/>
      <c r="C92" s="118"/>
      <c r="D92" s="118"/>
      <c r="E92" s="118"/>
      <c r="F92" s="120"/>
      <c r="J92" s="104">
        <f>'Estado de costos'!B122</f>
        <v>0</v>
      </c>
      <c r="K92" s="104" t="str">
        <f>IF('Estado de costos'!D122=0,"",'Estado de costos'!D122)</f>
        <v/>
      </c>
      <c r="L92">
        <f>'Estado de costos'!E122</f>
        <v>0</v>
      </c>
      <c r="M92" s="6">
        <f t="shared" si="2"/>
        <v>0</v>
      </c>
      <c r="N92" s="6">
        <f>'Estado de costos'!J122</f>
        <v>0</v>
      </c>
      <c r="O92" s="6">
        <f>'Estado de costos'!K122</f>
        <v>0</v>
      </c>
      <c r="P92">
        <f t="shared" si="3"/>
        <v>0</v>
      </c>
    </row>
    <row r="93" spans="1:16" x14ac:dyDescent="0.25">
      <c r="A93" s="118"/>
      <c r="B93" s="118"/>
      <c r="C93" s="118"/>
      <c r="D93" s="118"/>
      <c r="E93" s="118"/>
      <c r="F93" s="120"/>
      <c r="J93" s="104">
        <f>'Estado de costos'!B123</f>
        <v>0</v>
      </c>
      <c r="K93" s="104" t="str">
        <f>IF('Estado de costos'!D123=0,"",'Estado de costos'!D123)</f>
        <v/>
      </c>
      <c r="L93">
        <f>'Estado de costos'!E123</f>
        <v>0</v>
      </c>
      <c r="M93" s="6">
        <f t="shared" si="2"/>
        <v>0</v>
      </c>
      <c r="N93" s="6">
        <f>'Estado de costos'!J123</f>
        <v>0</v>
      </c>
      <c r="O93" s="6">
        <f>'Estado de costos'!K123</f>
        <v>0</v>
      </c>
      <c r="P93">
        <f t="shared" si="3"/>
        <v>0</v>
      </c>
    </row>
    <row r="94" spans="1:16" x14ac:dyDescent="0.25">
      <c r="A94" s="118"/>
      <c r="B94" s="118"/>
      <c r="C94" s="118"/>
      <c r="D94" s="118"/>
      <c r="E94" s="118"/>
      <c r="F94" s="120"/>
      <c r="J94" s="104">
        <f>'Estado de costos'!B124</f>
        <v>0</v>
      </c>
      <c r="K94" s="104" t="str">
        <f>IF('Estado de costos'!D124=0,"",'Estado de costos'!D124)</f>
        <v/>
      </c>
      <c r="L94">
        <f>'Estado de costos'!E124</f>
        <v>0</v>
      </c>
      <c r="M94" s="6">
        <f t="shared" si="2"/>
        <v>0</v>
      </c>
      <c r="N94" s="6">
        <f>'Estado de costos'!J124</f>
        <v>0</v>
      </c>
      <c r="O94" s="6">
        <f>'Estado de costos'!K124</f>
        <v>0</v>
      </c>
      <c r="P94">
        <f t="shared" si="3"/>
        <v>0</v>
      </c>
    </row>
    <row r="95" spans="1:16" x14ac:dyDescent="0.25">
      <c r="A95" s="118"/>
      <c r="B95" s="118"/>
      <c r="C95" s="118"/>
      <c r="D95" s="118"/>
      <c r="E95" s="118"/>
      <c r="F95" s="120"/>
      <c r="J95" s="104">
        <f>'Estado de costos'!B125</f>
        <v>0</v>
      </c>
      <c r="K95" s="104" t="str">
        <f>IF('Estado de costos'!D125=0,"",'Estado de costos'!D125)</f>
        <v/>
      </c>
      <c r="L95">
        <f>'Estado de costos'!E125</f>
        <v>0</v>
      </c>
      <c r="M95" s="6">
        <f t="shared" si="2"/>
        <v>0</v>
      </c>
      <c r="N95" s="6">
        <f>'Estado de costos'!J125</f>
        <v>0</v>
      </c>
      <c r="O95" s="6">
        <f>'Estado de costos'!K125</f>
        <v>0</v>
      </c>
      <c r="P95">
        <f t="shared" si="3"/>
        <v>0</v>
      </c>
    </row>
    <row r="96" spans="1:16" x14ac:dyDescent="0.25">
      <c r="A96" s="118"/>
      <c r="B96" s="118"/>
      <c r="C96" s="118"/>
      <c r="D96" s="118"/>
      <c r="E96" s="118"/>
      <c r="F96" s="120"/>
      <c r="J96" s="104">
        <f>'Estado de costos'!B126</f>
        <v>0</v>
      </c>
      <c r="K96" s="104" t="str">
        <f>IF('Estado de costos'!D126=0,"",'Estado de costos'!D126)</f>
        <v/>
      </c>
      <c r="L96">
        <f>'Estado de costos'!E126</f>
        <v>0</v>
      </c>
      <c r="M96" s="6">
        <f t="shared" si="2"/>
        <v>0</v>
      </c>
      <c r="N96" s="6">
        <f>'Estado de costos'!J126</f>
        <v>0</v>
      </c>
      <c r="O96" s="6">
        <f>'Estado de costos'!K126</f>
        <v>0</v>
      </c>
      <c r="P96">
        <f t="shared" si="3"/>
        <v>0</v>
      </c>
    </row>
    <row r="97" spans="1:16" x14ac:dyDescent="0.25">
      <c r="A97" s="118"/>
      <c r="B97" s="118"/>
      <c r="C97" s="118"/>
      <c r="D97" s="118"/>
      <c r="E97" s="118"/>
      <c r="F97" s="120"/>
      <c r="J97" s="104">
        <f>'Estado de costos'!B127</f>
        <v>0</v>
      </c>
      <c r="K97" s="104" t="str">
        <f>IF('Estado de costos'!D127=0,"",'Estado de costos'!D127)</f>
        <v/>
      </c>
      <c r="L97">
        <f>'Estado de costos'!E127</f>
        <v>0</v>
      </c>
      <c r="M97" s="6">
        <f t="shared" si="2"/>
        <v>0</v>
      </c>
      <c r="N97" s="6">
        <f>'Estado de costos'!J127</f>
        <v>0</v>
      </c>
      <c r="O97" s="6">
        <f>'Estado de costos'!K127</f>
        <v>0</v>
      </c>
      <c r="P97">
        <f t="shared" si="3"/>
        <v>0</v>
      </c>
    </row>
    <row r="98" spans="1:16" x14ac:dyDescent="0.25">
      <c r="A98" s="118"/>
      <c r="B98" s="118"/>
      <c r="C98" s="118"/>
      <c r="D98" s="118"/>
      <c r="E98" s="118"/>
      <c r="F98" s="120"/>
      <c r="J98" s="104">
        <f>'Estado de costos'!B128</f>
        <v>0</v>
      </c>
      <c r="K98" s="104" t="str">
        <f>IF('Estado de costos'!D128=0,"",'Estado de costos'!D128)</f>
        <v/>
      </c>
      <c r="L98">
        <f>'Estado de costos'!E128</f>
        <v>0</v>
      </c>
      <c r="M98" s="6">
        <f t="shared" si="2"/>
        <v>0</v>
      </c>
      <c r="N98" s="6">
        <f>'Estado de costos'!J128</f>
        <v>0</v>
      </c>
      <c r="O98" s="6">
        <f>'Estado de costos'!K128</f>
        <v>0</v>
      </c>
      <c r="P98">
        <f t="shared" si="3"/>
        <v>0</v>
      </c>
    </row>
    <row r="99" spans="1:16" x14ac:dyDescent="0.25">
      <c r="A99" s="118"/>
      <c r="B99" s="118"/>
      <c r="C99" s="118"/>
      <c r="D99" s="118"/>
      <c r="E99" s="118"/>
      <c r="F99" s="120"/>
      <c r="J99" s="104">
        <f>'Estado de costos'!B129</f>
        <v>0</v>
      </c>
      <c r="K99" s="104" t="str">
        <f>IF('Estado de costos'!D129=0,"",'Estado de costos'!D129)</f>
        <v/>
      </c>
      <c r="L99">
        <f>'Estado de costos'!E129</f>
        <v>0</v>
      </c>
      <c r="M99" s="6">
        <f t="shared" si="2"/>
        <v>0</v>
      </c>
      <c r="N99" s="6">
        <f>'Estado de costos'!J129</f>
        <v>0</v>
      </c>
      <c r="O99" s="6">
        <f>'Estado de costos'!K129</f>
        <v>0</v>
      </c>
      <c r="P99">
        <f t="shared" si="3"/>
        <v>0</v>
      </c>
    </row>
    <row r="100" spans="1:16" x14ac:dyDescent="0.25">
      <c r="A100" s="118"/>
      <c r="B100" s="118"/>
      <c r="C100" s="118"/>
      <c r="D100" s="118"/>
      <c r="E100" s="118"/>
      <c r="F100" s="120"/>
      <c r="J100" s="104">
        <f>'Estado de costos'!B130</f>
        <v>0</v>
      </c>
      <c r="K100" s="104" t="str">
        <f>IF('Estado de costos'!D130=0,"",'Estado de costos'!D130)</f>
        <v/>
      </c>
      <c r="L100">
        <f>'Estado de costos'!E130</f>
        <v>0</v>
      </c>
      <c r="M100" s="6">
        <f t="shared" si="2"/>
        <v>0</v>
      </c>
      <c r="N100" s="6">
        <f>'Estado de costos'!J130</f>
        <v>0</v>
      </c>
      <c r="O100" s="6">
        <f>'Estado de costos'!K130</f>
        <v>0</v>
      </c>
      <c r="P100">
        <f t="shared" si="3"/>
        <v>0</v>
      </c>
    </row>
    <row r="101" spans="1:16" x14ac:dyDescent="0.25">
      <c r="A101" s="118"/>
      <c r="B101" s="118"/>
      <c r="C101" s="118"/>
      <c r="D101" s="118"/>
      <c r="E101" s="118"/>
      <c r="F101" s="120"/>
      <c r="J101" s="104">
        <f>'Estado de costos'!B131</f>
        <v>0</v>
      </c>
      <c r="K101" s="104" t="str">
        <f>IF('Estado de costos'!D131=0,"",'Estado de costos'!D131)</f>
        <v/>
      </c>
      <c r="L101">
        <f>'Estado de costos'!E131</f>
        <v>0</v>
      </c>
      <c r="M101" s="6">
        <f t="shared" si="2"/>
        <v>0</v>
      </c>
      <c r="N101" s="6">
        <f>'Estado de costos'!J131</f>
        <v>0</v>
      </c>
      <c r="O101" s="6">
        <f>'Estado de costos'!K131</f>
        <v>0</v>
      </c>
      <c r="P101">
        <f t="shared" si="3"/>
        <v>0</v>
      </c>
    </row>
    <row r="102" spans="1:16" x14ac:dyDescent="0.25">
      <c r="A102" s="118"/>
      <c r="B102" s="118"/>
      <c r="C102" s="118"/>
      <c r="D102" s="118"/>
      <c r="E102" s="118"/>
      <c r="F102" s="120"/>
      <c r="J102" s="104">
        <f>'Estado de costos'!B132</f>
        <v>0</v>
      </c>
      <c r="K102" s="104" t="str">
        <f>IF('Estado de costos'!D132=0,"",'Estado de costos'!D132)</f>
        <v/>
      </c>
      <c r="L102">
        <f>'Estado de costos'!E132</f>
        <v>0</v>
      </c>
      <c r="M102" s="6">
        <f t="shared" si="2"/>
        <v>0</v>
      </c>
      <c r="N102" s="6">
        <f>'Estado de costos'!J132</f>
        <v>0</v>
      </c>
      <c r="O102" s="6">
        <f>'Estado de costos'!K132</f>
        <v>0</v>
      </c>
      <c r="P102">
        <f t="shared" si="3"/>
        <v>0</v>
      </c>
    </row>
    <row r="103" spans="1:16" x14ac:dyDescent="0.25">
      <c r="A103" s="118"/>
      <c r="B103" s="118"/>
      <c r="C103" s="118"/>
      <c r="D103" s="118"/>
      <c r="E103" s="118"/>
      <c r="F103" s="120"/>
      <c r="J103" s="104">
        <f>'Estado de costos'!B133</f>
        <v>0</v>
      </c>
      <c r="K103" s="104" t="str">
        <f>IF('Estado de costos'!D133=0,"",'Estado de costos'!D133)</f>
        <v/>
      </c>
      <c r="L103">
        <f>'Estado de costos'!E133</f>
        <v>0</v>
      </c>
      <c r="M103" s="6">
        <f t="shared" si="2"/>
        <v>0</v>
      </c>
      <c r="N103" s="6">
        <f>'Estado de costos'!J133</f>
        <v>0</v>
      </c>
      <c r="O103" s="6">
        <f>'Estado de costos'!K133</f>
        <v>0</v>
      </c>
      <c r="P103">
        <f t="shared" si="3"/>
        <v>0</v>
      </c>
    </row>
    <row r="104" spans="1:16" x14ac:dyDescent="0.25">
      <c r="A104" s="118"/>
      <c r="B104" s="118"/>
      <c r="C104" s="118"/>
      <c r="D104" s="118"/>
      <c r="E104" s="118"/>
      <c r="F104" s="120"/>
      <c r="J104" s="104">
        <f>'Estado de costos'!B134</f>
        <v>0</v>
      </c>
      <c r="K104" s="104" t="str">
        <f>IF('Estado de costos'!D134=0,"",'Estado de costos'!D134)</f>
        <v/>
      </c>
      <c r="L104">
        <f>'Estado de costos'!E134</f>
        <v>0</v>
      </c>
      <c r="M104" s="6">
        <f t="shared" si="2"/>
        <v>0</v>
      </c>
      <c r="N104" s="6">
        <f>'Estado de costos'!J134</f>
        <v>0</v>
      </c>
      <c r="O104" s="6">
        <f>'Estado de costos'!K134</f>
        <v>0</v>
      </c>
      <c r="P104">
        <f t="shared" si="3"/>
        <v>0</v>
      </c>
    </row>
    <row r="105" spans="1:16" x14ac:dyDescent="0.25">
      <c r="A105" s="118"/>
      <c r="B105" s="118"/>
      <c r="C105" s="118"/>
      <c r="D105" s="118"/>
      <c r="E105" s="118"/>
      <c r="F105" s="120"/>
      <c r="J105" s="104">
        <f>'Estado de costos'!B135</f>
        <v>0</v>
      </c>
      <c r="K105" s="104" t="str">
        <f>IF('Estado de costos'!D135=0,"",'Estado de costos'!D135)</f>
        <v/>
      </c>
      <c r="L105">
        <f>'Estado de costos'!E135</f>
        <v>0</v>
      </c>
      <c r="M105" s="6">
        <f t="shared" si="2"/>
        <v>0</v>
      </c>
      <c r="N105" s="6">
        <f>'Estado de costos'!J135</f>
        <v>0</v>
      </c>
      <c r="O105" s="6">
        <f>'Estado de costos'!K135</f>
        <v>0</v>
      </c>
      <c r="P105">
        <f t="shared" si="3"/>
        <v>0</v>
      </c>
    </row>
    <row r="106" spans="1:16" x14ac:dyDescent="0.25">
      <c r="A106" s="118"/>
      <c r="B106" s="118"/>
      <c r="C106" s="118"/>
      <c r="D106" s="118"/>
      <c r="E106" s="118"/>
      <c r="F106" s="120"/>
      <c r="J106" s="104">
        <f>'Estado de costos'!B136</f>
        <v>0</v>
      </c>
      <c r="K106" s="104" t="str">
        <f>IF('Estado de costos'!D136=0,"",'Estado de costos'!D136)</f>
        <v/>
      </c>
      <c r="L106">
        <f>'Estado de costos'!E136</f>
        <v>0</v>
      </c>
      <c r="M106" s="6">
        <f t="shared" si="2"/>
        <v>0</v>
      </c>
      <c r="N106" s="6">
        <f>'Estado de costos'!J136</f>
        <v>0</v>
      </c>
      <c r="O106" s="6">
        <f>'Estado de costos'!K136</f>
        <v>0</v>
      </c>
      <c r="P106">
        <f t="shared" si="3"/>
        <v>0</v>
      </c>
    </row>
    <row r="107" spans="1:16" x14ac:dyDescent="0.25">
      <c r="A107" s="118"/>
      <c r="B107" s="118"/>
      <c r="C107" s="118"/>
      <c r="D107" s="118"/>
      <c r="E107" s="118"/>
      <c r="F107" s="120"/>
      <c r="J107" s="104">
        <f>'Estado de costos'!B137</f>
        <v>0</v>
      </c>
      <c r="K107" s="104" t="str">
        <f>IF('Estado de costos'!D137=0,"",'Estado de costos'!D137)</f>
        <v/>
      </c>
      <c r="L107">
        <f>'Estado de costos'!E137</f>
        <v>0</v>
      </c>
      <c r="M107" s="6">
        <f t="shared" si="2"/>
        <v>0</v>
      </c>
      <c r="N107" s="6">
        <f>'Estado de costos'!J137</f>
        <v>0</v>
      </c>
      <c r="O107" s="6">
        <f>'Estado de costos'!K137</f>
        <v>0</v>
      </c>
      <c r="P107">
        <f t="shared" si="3"/>
        <v>0</v>
      </c>
    </row>
    <row r="108" spans="1:16" x14ac:dyDescent="0.25">
      <c r="A108" s="118"/>
      <c r="B108" s="118"/>
      <c r="C108" s="118"/>
      <c r="D108" s="118"/>
      <c r="E108" s="118"/>
      <c r="F108" s="120"/>
      <c r="J108" s="104">
        <f>'Estado de costos'!B138</f>
        <v>0</v>
      </c>
      <c r="K108" s="104" t="str">
        <f>IF('Estado de costos'!D138=0,"",'Estado de costos'!D138)</f>
        <v/>
      </c>
      <c r="L108">
        <f>'Estado de costos'!E138</f>
        <v>0</v>
      </c>
      <c r="M108" s="6">
        <f t="shared" si="2"/>
        <v>0</v>
      </c>
      <c r="N108" s="6">
        <f>'Estado de costos'!J138</f>
        <v>0</v>
      </c>
      <c r="O108" s="6">
        <f>'Estado de costos'!K138</f>
        <v>0</v>
      </c>
      <c r="P108">
        <f t="shared" si="3"/>
        <v>0</v>
      </c>
    </row>
    <row r="109" spans="1:16" x14ac:dyDescent="0.25">
      <c r="A109" s="118"/>
      <c r="B109" s="118"/>
      <c r="C109" s="118"/>
      <c r="D109" s="118"/>
      <c r="E109" s="118"/>
      <c r="F109" s="120"/>
      <c r="J109" s="104">
        <f>'Estado de costos'!B139</f>
        <v>0</v>
      </c>
      <c r="K109" s="104" t="str">
        <f>IF('Estado de costos'!D139=0,"",'Estado de costos'!D139)</f>
        <v/>
      </c>
      <c r="L109">
        <f>'Estado de costos'!E139</f>
        <v>0</v>
      </c>
      <c r="M109" s="6">
        <f t="shared" si="2"/>
        <v>0</v>
      </c>
      <c r="N109" s="6">
        <f>'Estado de costos'!J139</f>
        <v>0</v>
      </c>
      <c r="O109" s="6">
        <f>'Estado de costos'!K139</f>
        <v>0</v>
      </c>
      <c r="P109">
        <f t="shared" si="3"/>
        <v>0</v>
      </c>
    </row>
    <row r="110" spans="1:16" x14ac:dyDescent="0.25">
      <c r="A110" s="118"/>
      <c r="B110" s="118"/>
      <c r="C110" s="118"/>
      <c r="D110" s="118"/>
      <c r="E110" s="118"/>
      <c r="F110" s="120"/>
      <c r="J110" s="104">
        <f>'Estado de costos'!B140</f>
        <v>0</v>
      </c>
      <c r="K110" s="104" t="str">
        <f>IF('Estado de costos'!D140=0,"",'Estado de costos'!D140)</f>
        <v/>
      </c>
      <c r="L110">
        <f>'Estado de costos'!E140</f>
        <v>0</v>
      </c>
      <c r="M110" s="6">
        <f t="shared" si="2"/>
        <v>0</v>
      </c>
      <c r="N110" s="6">
        <f>'Estado de costos'!J140</f>
        <v>0</v>
      </c>
      <c r="O110" s="6">
        <f>'Estado de costos'!K140</f>
        <v>0</v>
      </c>
      <c r="P110">
        <f t="shared" si="3"/>
        <v>0</v>
      </c>
    </row>
    <row r="111" spans="1:16" x14ac:dyDescent="0.25">
      <c r="A111" s="118"/>
      <c r="B111" s="118"/>
      <c r="C111" s="118"/>
      <c r="D111" s="118"/>
      <c r="E111" s="118"/>
      <c r="F111" s="120"/>
      <c r="J111" s="104">
        <f>'Estado de costos'!B141</f>
        <v>0</v>
      </c>
      <c r="K111" s="104" t="str">
        <f>IF('Estado de costos'!D141=0,"",'Estado de costos'!D141)</f>
        <v/>
      </c>
      <c r="L111">
        <f>'Estado de costos'!E141</f>
        <v>0</v>
      </c>
      <c r="M111" s="6">
        <f t="shared" si="2"/>
        <v>0</v>
      </c>
      <c r="N111" s="6">
        <f>'Estado de costos'!J141</f>
        <v>0</v>
      </c>
      <c r="O111" s="6">
        <f>'Estado de costos'!K141</f>
        <v>0</v>
      </c>
      <c r="P111">
        <f t="shared" si="3"/>
        <v>0</v>
      </c>
    </row>
    <row r="112" spans="1:16" x14ac:dyDescent="0.25">
      <c r="A112" s="118"/>
      <c r="B112" s="118"/>
      <c r="C112" s="118"/>
      <c r="D112" s="118"/>
      <c r="E112" s="118"/>
      <c r="F112" s="120"/>
      <c r="J112" s="104">
        <f>'Estado de costos'!B142</f>
        <v>0</v>
      </c>
      <c r="K112" s="104" t="str">
        <f>IF('Estado de costos'!D142=0,"",'Estado de costos'!D142)</f>
        <v/>
      </c>
      <c r="L112">
        <f>'Estado de costos'!E142</f>
        <v>0</v>
      </c>
      <c r="M112" s="6">
        <f t="shared" si="2"/>
        <v>0</v>
      </c>
      <c r="N112" s="6">
        <f>'Estado de costos'!J142</f>
        <v>0</v>
      </c>
      <c r="O112" s="6">
        <f>'Estado de costos'!K142</f>
        <v>0</v>
      </c>
      <c r="P112">
        <f t="shared" si="3"/>
        <v>0</v>
      </c>
    </row>
    <row r="113" spans="1:16" x14ac:dyDescent="0.25">
      <c r="A113" s="118"/>
      <c r="B113" s="118"/>
      <c r="C113" s="118"/>
      <c r="D113" s="118"/>
      <c r="E113" s="118"/>
      <c r="F113" s="120"/>
      <c r="J113" s="104">
        <f>'Estado de costos'!B143</f>
        <v>0</v>
      </c>
      <c r="K113" s="104" t="str">
        <f>IF('Estado de costos'!D143=0,"",'Estado de costos'!D143)</f>
        <v/>
      </c>
      <c r="L113">
        <f>'Estado de costos'!E143</f>
        <v>0</v>
      </c>
      <c r="M113" s="6">
        <f t="shared" si="2"/>
        <v>0</v>
      </c>
      <c r="N113" s="6">
        <f>'Estado de costos'!J143</f>
        <v>0</v>
      </c>
      <c r="O113" s="6">
        <f>'Estado de costos'!K143</f>
        <v>0</v>
      </c>
      <c r="P113">
        <f t="shared" si="3"/>
        <v>0</v>
      </c>
    </row>
    <row r="114" spans="1:16" x14ac:dyDescent="0.25">
      <c r="A114" s="118"/>
      <c r="B114" s="118"/>
      <c r="C114" s="118"/>
      <c r="D114" s="118"/>
      <c r="E114" s="118"/>
      <c r="F114" s="120"/>
      <c r="J114" s="104">
        <f>'Estado de costos'!B144</f>
        <v>0</v>
      </c>
      <c r="K114" s="104" t="str">
        <f>IF('Estado de costos'!D144=0,"",'Estado de costos'!D144)</f>
        <v/>
      </c>
      <c r="L114">
        <f>'Estado de costos'!E144</f>
        <v>0</v>
      </c>
      <c r="M114" s="6">
        <f t="shared" si="2"/>
        <v>0</v>
      </c>
      <c r="N114" s="6">
        <f>'Estado de costos'!J144</f>
        <v>0</v>
      </c>
      <c r="O114" s="6">
        <f>'Estado de costos'!K144</f>
        <v>0</v>
      </c>
      <c r="P114">
        <f t="shared" si="3"/>
        <v>0</v>
      </c>
    </row>
    <row r="115" spans="1:16" x14ac:dyDescent="0.25">
      <c r="A115" s="118"/>
      <c r="B115" s="118"/>
      <c r="C115" s="118"/>
      <c r="D115" s="118"/>
      <c r="E115" s="118"/>
      <c r="F115" s="120"/>
      <c r="J115" s="104">
        <f>'Estado de costos'!B145</f>
        <v>0</v>
      </c>
      <c r="K115" s="104" t="str">
        <f>IF('Estado de costos'!D145=0,"",'Estado de costos'!D145)</f>
        <v/>
      </c>
      <c r="L115">
        <f>'Estado de costos'!E145</f>
        <v>0</v>
      </c>
      <c r="M115" s="6">
        <f t="shared" si="2"/>
        <v>0</v>
      </c>
      <c r="N115" s="6">
        <f>'Estado de costos'!J145</f>
        <v>0</v>
      </c>
      <c r="O115" s="6">
        <f>'Estado de costos'!K145</f>
        <v>0</v>
      </c>
      <c r="P115">
        <f t="shared" si="3"/>
        <v>0</v>
      </c>
    </row>
    <row r="116" spans="1:16" x14ac:dyDescent="0.25">
      <c r="A116" s="118"/>
      <c r="B116" s="118"/>
      <c r="C116" s="118"/>
      <c r="D116" s="118"/>
      <c r="E116" s="118"/>
      <c r="F116" s="120"/>
      <c r="J116" s="104">
        <f>'Estado de costos'!B146</f>
        <v>0</v>
      </c>
      <c r="K116" s="104" t="str">
        <f>IF('Estado de costos'!D146=0,"",'Estado de costos'!D146)</f>
        <v/>
      </c>
      <c r="L116">
        <f>'Estado de costos'!E146</f>
        <v>0</v>
      </c>
      <c r="M116" s="6">
        <f t="shared" si="2"/>
        <v>0</v>
      </c>
      <c r="N116" s="6">
        <f>'Estado de costos'!J146</f>
        <v>0</v>
      </c>
      <c r="O116" s="6">
        <f>'Estado de costos'!K146</f>
        <v>0</v>
      </c>
      <c r="P116">
        <f t="shared" si="3"/>
        <v>0</v>
      </c>
    </row>
    <row r="117" spans="1:16" x14ac:dyDescent="0.25">
      <c r="A117" s="118"/>
      <c r="B117" s="118"/>
      <c r="C117" s="118"/>
      <c r="D117" s="118"/>
      <c r="E117" s="118"/>
      <c r="F117" s="120"/>
      <c r="J117" s="104">
        <f>'Estado de costos'!B147</f>
        <v>0</v>
      </c>
      <c r="K117" s="104" t="str">
        <f>IF('Estado de costos'!D147=0,"",'Estado de costos'!D147)</f>
        <v/>
      </c>
      <c r="L117">
        <f>'Estado de costos'!E147</f>
        <v>0</v>
      </c>
      <c r="M117" s="6">
        <f t="shared" si="2"/>
        <v>0</v>
      </c>
      <c r="N117" s="6">
        <f>'Estado de costos'!J147</f>
        <v>0</v>
      </c>
      <c r="O117" s="6">
        <f>'Estado de costos'!K147</f>
        <v>0</v>
      </c>
      <c r="P117">
        <f t="shared" si="3"/>
        <v>0</v>
      </c>
    </row>
    <row r="118" spans="1:16" x14ac:dyDescent="0.25">
      <c r="A118" s="118"/>
      <c r="B118" s="118"/>
      <c r="C118" s="118"/>
      <c r="D118" s="118"/>
      <c r="E118" s="118"/>
      <c r="F118" s="120"/>
      <c r="J118" s="104">
        <f>'Estado de costos'!B148</f>
        <v>0</v>
      </c>
      <c r="K118" s="104" t="str">
        <f>IF('Estado de costos'!D148=0,"",'Estado de costos'!D148)</f>
        <v/>
      </c>
      <c r="L118">
        <f>'Estado de costos'!E148</f>
        <v>0</v>
      </c>
      <c r="M118" s="6">
        <f t="shared" si="2"/>
        <v>0</v>
      </c>
      <c r="N118" s="6">
        <f>'Estado de costos'!J148</f>
        <v>0</v>
      </c>
      <c r="O118" s="6">
        <f>'Estado de costos'!K148</f>
        <v>0</v>
      </c>
      <c r="P118">
        <f t="shared" si="3"/>
        <v>0</v>
      </c>
    </row>
    <row r="119" spans="1:16" x14ac:dyDescent="0.25">
      <c r="A119" s="118"/>
      <c r="B119" s="118"/>
      <c r="C119" s="118"/>
      <c r="D119" s="118"/>
      <c r="E119" s="118"/>
      <c r="F119" s="120"/>
      <c r="J119" s="104">
        <f>'Estado de costos'!B149</f>
        <v>0</v>
      </c>
      <c r="K119" s="104" t="str">
        <f>IF('Estado de costos'!D149=0,"",'Estado de costos'!D149)</f>
        <v/>
      </c>
      <c r="L119">
        <f>'Estado de costos'!E149</f>
        <v>0</v>
      </c>
      <c r="M119" s="6">
        <f t="shared" si="2"/>
        <v>0</v>
      </c>
      <c r="N119" s="6">
        <f>'Estado de costos'!J149</f>
        <v>0</v>
      </c>
      <c r="O119" s="6">
        <f>'Estado de costos'!K149</f>
        <v>0</v>
      </c>
      <c r="P119">
        <f t="shared" si="3"/>
        <v>0</v>
      </c>
    </row>
    <row r="120" spans="1:16" x14ac:dyDescent="0.25">
      <c r="A120" s="118"/>
      <c r="B120" s="118"/>
      <c r="C120" s="118"/>
      <c r="D120" s="118"/>
      <c r="E120" s="118"/>
      <c r="F120" s="120"/>
      <c r="J120" s="104">
        <f>'Estado de costos'!B150</f>
        <v>0</v>
      </c>
      <c r="K120" s="104" t="str">
        <f>IF('Estado de costos'!D150=0,"",'Estado de costos'!D150)</f>
        <v/>
      </c>
      <c r="L120">
        <f>'Estado de costos'!E150</f>
        <v>0</v>
      </c>
      <c r="M120" s="6">
        <f t="shared" si="2"/>
        <v>0</v>
      </c>
      <c r="N120" s="6">
        <f>'Estado de costos'!J150</f>
        <v>0</v>
      </c>
      <c r="O120" s="6">
        <f>'Estado de costos'!K150</f>
        <v>0</v>
      </c>
      <c r="P120">
        <f t="shared" si="3"/>
        <v>0</v>
      </c>
    </row>
    <row r="121" spans="1:16" x14ac:dyDescent="0.25">
      <c r="A121" s="118"/>
      <c r="B121" s="118"/>
      <c r="C121" s="118"/>
      <c r="D121" s="118"/>
      <c r="E121" s="118"/>
      <c r="F121" s="120"/>
      <c r="J121" s="104">
        <f>'Estado de costos'!B151</f>
        <v>0</v>
      </c>
      <c r="K121" s="104" t="str">
        <f>IF('Estado de costos'!D151=0,"",'Estado de costos'!D151)</f>
        <v/>
      </c>
      <c r="L121">
        <f>'Estado de costos'!E151</f>
        <v>0</v>
      </c>
      <c r="M121" s="6">
        <f t="shared" si="2"/>
        <v>0</v>
      </c>
      <c r="N121" s="6">
        <f>'Estado de costos'!J151</f>
        <v>0</v>
      </c>
      <c r="O121" s="6">
        <f>'Estado de costos'!K151</f>
        <v>0</v>
      </c>
      <c r="P121">
        <f t="shared" si="3"/>
        <v>0</v>
      </c>
    </row>
    <row r="122" spans="1:16" x14ac:dyDescent="0.25">
      <c r="A122" s="118"/>
      <c r="B122" s="118"/>
      <c r="C122" s="118"/>
      <c r="D122" s="118"/>
      <c r="E122" s="118"/>
      <c r="F122" s="120"/>
      <c r="J122" s="104">
        <f>'Estado de costos'!B152</f>
        <v>0</v>
      </c>
      <c r="K122" s="104" t="str">
        <f>IF('Estado de costos'!D152=0,"",'Estado de costos'!D152)</f>
        <v/>
      </c>
      <c r="L122">
        <f>'Estado de costos'!E152</f>
        <v>0</v>
      </c>
      <c r="M122" s="6">
        <f t="shared" si="2"/>
        <v>0</v>
      </c>
      <c r="N122" s="6">
        <f>'Estado de costos'!J152</f>
        <v>0</v>
      </c>
      <c r="O122" s="6">
        <f>'Estado de costos'!K152</f>
        <v>0</v>
      </c>
      <c r="P122">
        <f t="shared" si="3"/>
        <v>0</v>
      </c>
    </row>
    <row r="123" spans="1:16" x14ac:dyDescent="0.25">
      <c r="A123" s="118"/>
      <c r="B123" s="118"/>
      <c r="C123" s="118"/>
      <c r="D123" s="118"/>
      <c r="E123" s="118"/>
      <c r="F123" s="120"/>
      <c r="J123" s="104">
        <f>'Estado de costos'!B153</f>
        <v>0</v>
      </c>
      <c r="K123" s="104" t="str">
        <f>IF('Estado de costos'!D153=0,"",'Estado de costos'!D153)</f>
        <v/>
      </c>
      <c r="L123">
        <f>'Estado de costos'!E153</f>
        <v>0</v>
      </c>
      <c r="M123" s="6">
        <f t="shared" si="2"/>
        <v>0</v>
      </c>
      <c r="N123" s="6">
        <f>'Estado de costos'!J153</f>
        <v>0</v>
      </c>
      <c r="O123" s="6">
        <f>'Estado de costos'!K153</f>
        <v>0</v>
      </c>
      <c r="P123">
        <f t="shared" si="3"/>
        <v>0</v>
      </c>
    </row>
    <row r="124" spans="1:16" x14ac:dyDescent="0.25">
      <c r="A124" s="118"/>
      <c r="B124" s="118"/>
      <c r="C124" s="118"/>
      <c r="D124" s="118"/>
      <c r="E124" s="118"/>
      <c r="F124" s="120"/>
      <c r="J124" s="104">
        <f>'Estado de costos'!B154</f>
        <v>0</v>
      </c>
      <c r="K124" s="104" t="str">
        <f>IF('Estado de costos'!D154=0,"",'Estado de costos'!D154)</f>
        <v/>
      </c>
      <c r="L124">
        <f>'Estado de costos'!E154</f>
        <v>0</v>
      </c>
      <c r="M124" s="6">
        <f t="shared" si="2"/>
        <v>0</v>
      </c>
      <c r="N124" s="6">
        <f>'Estado de costos'!J154</f>
        <v>0</v>
      </c>
      <c r="O124" s="6">
        <f>'Estado de costos'!K154</f>
        <v>0</v>
      </c>
      <c r="P124">
        <f t="shared" si="3"/>
        <v>0</v>
      </c>
    </row>
    <row r="125" spans="1:16" x14ac:dyDescent="0.25">
      <c r="A125" s="118"/>
      <c r="B125" s="118"/>
      <c r="C125" s="118"/>
      <c r="D125" s="118"/>
      <c r="E125" s="118"/>
      <c r="F125" s="120"/>
      <c r="J125" s="104">
        <f>'Estado de costos'!B155</f>
        <v>0</v>
      </c>
      <c r="K125" s="104" t="str">
        <f>IF('Estado de costos'!D155=0,"",'Estado de costos'!D155)</f>
        <v/>
      </c>
      <c r="L125">
        <f>'Estado de costos'!E155</f>
        <v>0</v>
      </c>
      <c r="M125" s="6">
        <f t="shared" si="2"/>
        <v>0</v>
      </c>
      <c r="N125" s="6">
        <f>'Estado de costos'!J155</f>
        <v>0</v>
      </c>
      <c r="O125" s="6">
        <f>'Estado de costos'!K155</f>
        <v>0</v>
      </c>
      <c r="P125">
        <f t="shared" si="3"/>
        <v>0</v>
      </c>
    </row>
    <row r="126" spans="1:16" x14ac:dyDescent="0.25">
      <c r="A126" s="118"/>
      <c r="B126" s="118"/>
      <c r="C126" s="118"/>
      <c r="D126" s="118"/>
      <c r="E126" s="118"/>
      <c r="F126" s="120"/>
      <c r="J126" s="104">
        <f>'Estado de costos'!B156</f>
        <v>0</v>
      </c>
      <c r="K126" s="104" t="str">
        <f>IF('Estado de costos'!D156=0,"",'Estado de costos'!D156)</f>
        <v/>
      </c>
      <c r="L126">
        <f>'Estado de costos'!E156</f>
        <v>0</v>
      </c>
      <c r="M126" s="6">
        <f t="shared" si="2"/>
        <v>0</v>
      </c>
      <c r="N126" s="6">
        <f>'Estado de costos'!J156</f>
        <v>0</v>
      </c>
      <c r="O126" s="6">
        <f>'Estado de costos'!K156</f>
        <v>0</v>
      </c>
      <c r="P126">
        <f t="shared" si="3"/>
        <v>0</v>
      </c>
    </row>
    <row r="127" spans="1:16" x14ac:dyDescent="0.25">
      <c r="A127" s="118"/>
      <c r="B127" s="118"/>
      <c r="C127" s="118"/>
      <c r="D127" s="118"/>
      <c r="E127" s="118"/>
      <c r="F127" s="120"/>
      <c r="J127" s="104">
        <f>'Estado de costos'!B157</f>
        <v>0</v>
      </c>
      <c r="K127" s="104" t="str">
        <f>IF('Estado de costos'!D157=0,"",'Estado de costos'!D157)</f>
        <v/>
      </c>
      <c r="L127">
        <f>'Estado de costos'!E157</f>
        <v>0</v>
      </c>
      <c r="M127" s="6">
        <f t="shared" si="2"/>
        <v>0</v>
      </c>
      <c r="N127" s="6">
        <f>'Estado de costos'!J157</f>
        <v>0</v>
      </c>
      <c r="O127" s="6">
        <f>'Estado de costos'!K157</f>
        <v>0</v>
      </c>
      <c r="P127">
        <f t="shared" si="3"/>
        <v>0</v>
      </c>
    </row>
    <row r="128" spans="1:16" x14ac:dyDescent="0.25">
      <c r="A128" s="118"/>
      <c r="B128" s="118"/>
      <c r="C128" s="118"/>
      <c r="D128" s="118"/>
      <c r="E128" s="118"/>
      <c r="F128" s="120"/>
      <c r="J128" s="104">
        <f>'Estado de costos'!B158</f>
        <v>0</v>
      </c>
      <c r="K128" s="104" t="str">
        <f>IF('Estado de costos'!D158=0,"",'Estado de costos'!D158)</f>
        <v/>
      </c>
      <c r="L128">
        <f>'Estado de costos'!E158</f>
        <v>0</v>
      </c>
      <c r="M128" s="6">
        <f t="shared" si="2"/>
        <v>0</v>
      </c>
      <c r="N128" s="6">
        <f>'Estado de costos'!J158</f>
        <v>0</v>
      </c>
      <c r="O128" s="6">
        <f>'Estado de costos'!K158</f>
        <v>0</v>
      </c>
      <c r="P128">
        <f t="shared" si="3"/>
        <v>0</v>
      </c>
    </row>
    <row r="129" spans="1:16" x14ac:dyDescent="0.25">
      <c r="A129" s="118"/>
      <c r="B129" s="118"/>
      <c r="C129" s="118"/>
      <c r="D129" s="118"/>
      <c r="E129" s="118"/>
      <c r="F129" s="120"/>
      <c r="J129" s="104">
        <f>'Estado de costos'!B159</f>
        <v>0</v>
      </c>
      <c r="K129" s="104" t="str">
        <f>IF('Estado de costos'!D159=0,"",'Estado de costos'!D159)</f>
        <v/>
      </c>
      <c r="L129">
        <f>'Estado de costos'!E159</f>
        <v>0</v>
      </c>
      <c r="M129" s="6">
        <f t="shared" si="2"/>
        <v>0</v>
      </c>
      <c r="N129" s="6">
        <f>'Estado de costos'!J159</f>
        <v>0</v>
      </c>
      <c r="O129" s="6">
        <f>'Estado de costos'!K159</f>
        <v>0</v>
      </c>
      <c r="P129">
        <f t="shared" si="3"/>
        <v>0</v>
      </c>
    </row>
    <row r="130" spans="1:16" x14ac:dyDescent="0.25">
      <c r="A130" s="118"/>
      <c r="B130" s="118"/>
      <c r="C130" s="118"/>
      <c r="D130" s="118"/>
      <c r="E130" s="118"/>
      <c r="F130" s="120"/>
      <c r="J130" s="104">
        <f>'Estado de costos'!B160</f>
        <v>0</v>
      </c>
      <c r="K130" s="104" t="str">
        <f>IF('Estado de costos'!D160=0,"",'Estado de costos'!D160)</f>
        <v/>
      </c>
      <c r="L130">
        <f>'Estado de costos'!E160</f>
        <v>0</v>
      </c>
      <c r="M130" s="6">
        <f t="shared" si="2"/>
        <v>0</v>
      </c>
      <c r="N130" s="6">
        <f>'Estado de costos'!J160</f>
        <v>0</v>
      </c>
      <c r="O130" s="6">
        <f>'Estado de costos'!K160</f>
        <v>0</v>
      </c>
      <c r="P130">
        <f t="shared" si="3"/>
        <v>0</v>
      </c>
    </row>
    <row r="131" spans="1:16" x14ac:dyDescent="0.25">
      <c r="A131" s="118"/>
      <c r="B131" s="118"/>
      <c r="C131" s="118"/>
      <c r="D131" s="118"/>
      <c r="E131" s="118"/>
      <c r="F131" s="120"/>
      <c r="J131" s="104">
        <f>'Estado de costos'!B161</f>
        <v>0</v>
      </c>
      <c r="K131" s="104" t="str">
        <f>IF('Estado de costos'!D161=0,"",'Estado de costos'!D161)</f>
        <v/>
      </c>
      <c r="L131">
        <f>'Estado de costos'!E161</f>
        <v>0</v>
      </c>
      <c r="M131" s="6">
        <f t="shared" ref="M131:M194" si="4">IFERROR(+N131/L131/IF(K131="",1,K131),0)</f>
        <v>0</v>
      </c>
      <c r="N131" s="6">
        <f>'Estado de costos'!J161</f>
        <v>0</v>
      </c>
      <c r="O131" s="6">
        <f>'Estado de costos'!K161</f>
        <v>0</v>
      </c>
      <c r="P131">
        <f t="shared" ref="P131:P194" si="5">IF(N131=0,0,1)</f>
        <v>0</v>
      </c>
    </row>
    <row r="132" spans="1:16" x14ac:dyDescent="0.25">
      <c r="A132" s="118"/>
      <c r="B132" s="118"/>
      <c r="C132" s="118"/>
      <c r="D132" s="118"/>
      <c r="E132" s="118"/>
      <c r="F132" s="120"/>
      <c r="J132" s="104">
        <f>'Estado de costos'!B162</f>
        <v>0</v>
      </c>
      <c r="K132" s="104" t="str">
        <f>IF('Estado de costos'!D162=0,"",'Estado de costos'!D162)</f>
        <v/>
      </c>
      <c r="L132">
        <f>'Estado de costos'!E162</f>
        <v>0</v>
      </c>
      <c r="M132" s="6">
        <f t="shared" si="4"/>
        <v>0</v>
      </c>
      <c r="N132" s="6">
        <f>'Estado de costos'!J162</f>
        <v>0</v>
      </c>
      <c r="O132" s="6">
        <f>'Estado de costos'!K162</f>
        <v>0</v>
      </c>
      <c r="P132">
        <f t="shared" si="5"/>
        <v>0</v>
      </c>
    </row>
    <row r="133" spans="1:16" x14ac:dyDescent="0.25">
      <c r="A133" s="118"/>
      <c r="B133" s="118"/>
      <c r="C133" s="118"/>
      <c r="D133" s="118"/>
      <c r="E133" s="118"/>
      <c r="F133" s="120"/>
      <c r="J133" s="104">
        <f>'Estado de costos'!B163</f>
        <v>0</v>
      </c>
      <c r="K133" s="104" t="str">
        <f>IF('Estado de costos'!D163=0,"",'Estado de costos'!D163)</f>
        <v/>
      </c>
      <c r="L133">
        <f>'Estado de costos'!E163</f>
        <v>0</v>
      </c>
      <c r="M133" s="6">
        <f t="shared" si="4"/>
        <v>0</v>
      </c>
      <c r="N133" s="6">
        <f>'Estado de costos'!J163</f>
        <v>0</v>
      </c>
      <c r="O133" s="6">
        <f>'Estado de costos'!K163</f>
        <v>0</v>
      </c>
      <c r="P133">
        <f t="shared" si="5"/>
        <v>0</v>
      </c>
    </row>
    <row r="134" spans="1:16" x14ac:dyDescent="0.25">
      <c r="A134" s="118"/>
      <c r="B134" s="118"/>
      <c r="C134" s="118"/>
      <c r="D134" s="118"/>
      <c r="E134" s="118"/>
      <c r="F134" s="120"/>
      <c r="J134" s="104">
        <f>'Estado de costos'!B164</f>
        <v>0</v>
      </c>
      <c r="K134" s="104" t="str">
        <f>IF('Estado de costos'!D164=0,"",'Estado de costos'!D164)</f>
        <v/>
      </c>
      <c r="L134">
        <f>'Estado de costos'!E164</f>
        <v>0</v>
      </c>
      <c r="M134" s="6">
        <f t="shared" si="4"/>
        <v>0</v>
      </c>
      <c r="N134" s="6">
        <f>'Estado de costos'!J164</f>
        <v>0</v>
      </c>
      <c r="O134" s="6">
        <f>'Estado de costos'!K164</f>
        <v>0</v>
      </c>
      <c r="P134">
        <f t="shared" si="5"/>
        <v>0</v>
      </c>
    </row>
    <row r="135" spans="1:16" x14ac:dyDescent="0.25">
      <c r="A135" s="118"/>
      <c r="B135" s="118"/>
      <c r="C135" s="118"/>
      <c r="D135" s="118"/>
      <c r="E135" s="118"/>
      <c r="F135" s="120"/>
      <c r="J135" s="104">
        <f>'Estado de costos'!B165</f>
        <v>0</v>
      </c>
      <c r="K135" s="104" t="str">
        <f>IF('Estado de costos'!D165=0,"",'Estado de costos'!D165)</f>
        <v/>
      </c>
      <c r="L135">
        <f>'Estado de costos'!E165</f>
        <v>0</v>
      </c>
      <c r="M135" s="6">
        <f t="shared" si="4"/>
        <v>0</v>
      </c>
      <c r="N135" s="6">
        <f>'Estado de costos'!J165</f>
        <v>0</v>
      </c>
      <c r="O135" s="6">
        <f>'Estado de costos'!K165</f>
        <v>0</v>
      </c>
      <c r="P135">
        <f t="shared" si="5"/>
        <v>0</v>
      </c>
    </row>
    <row r="136" spans="1:16" x14ac:dyDescent="0.25">
      <c r="A136" s="118"/>
      <c r="B136" s="118"/>
      <c r="C136" s="118"/>
      <c r="D136" s="118"/>
      <c r="E136" s="118"/>
      <c r="F136" s="120"/>
      <c r="J136" s="104">
        <f>'Estado de costos'!B166</f>
        <v>0</v>
      </c>
      <c r="K136" s="104" t="str">
        <f>IF('Estado de costos'!D166=0,"",'Estado de costos'!D166)</f>
        <v/>
      </c>
      <c r="L136">
        <f>'Estado de costos'!E166</f>
        <v>0</v>
      </c>
      <c r="M136" s="6">
        <f t="shared" si="4"/>
        <v>0</v>
      </c>
      <c r="N136" s="6">
        <f>'Estado de costos'!J166</f>
        <v>0</v>
      </c>
      <c r="O136" s="6">
        <f>'Estado de costos'!K166</f>
        <v>0</v>
      </c>
      <c r="P136">
        <f t="shared" si="5"/>
        <v>0</v>
      </c>
    </row>
    <row r="137" spans="1:16" x14ac:dyDescent="0.25">
      <c r="A137" s="118"/>
      <c r="B137" s="118"/>
      <c r="C137" s="118"/>
      <c r="D137" s="118"/>
      <c r="E137" s="118"/>
      <c r="F137" s="120"/>
      <c r="J137" s="104">
        <f>'Estado de costos'!B167</f>
        <v>0</v>
      </c>
      <c r="K137" s="104" t="str">
        <f>IF('Estado de costos'!D167=0,"",'Estado de costos'!D167)</f>
        <v/>
      </c>
      <c r="L137">
        <f>'Estado de costos'!E167</f>
        <v>0</v>
      </c>
      <c r="M137" s="6">
        <f t="shared" si="4"/>
        <v>0</v>
      </c>
      <c r="N137" s="6">
        <f>'Estado de costos'!J167</f>
        <v>0</v>
      </c>
      <c r="O137" s="6">
        <f>'Estado de costos'!K167</f>
        <v>0</v>
      </c>
      <c r="P137">
        <f t="shared" si="5"/>
        <v>0</v>
      </c>
    </row>
    <row r="138" spans="1:16" x14ac:dyDescent="0.25">
      <c r="A138" s="118"/>
      <c r="B138" s="118"/>
      <c r="C138" s="118"/>
      <c r="D138" s="118"/>
      <c r="E138" s="118"/>
      <c r="F138" s="120"/>
      <c r="J138" s="104">
        <f>'Estado de costos'!B168</f>
        <v>0</v>
      </c>
      <c r="K138" s="104" t="str">
        <f>IF('Estado de costos'!D168=0,"",'Estado de costos'!D168)</f>
        <v/>
      </c>
      <c r="L138">
        <f>'Estado de costos'!E168</f>
        <v>0</v>
      </c>
      <c r="M138" s="6">
        <f t="shared" si="4"/>
        <v>0</v>
      </c>
      <c r="N138" s="6">
        <f>'Estado de costos'!J168</f>
        <v>0</v>
      </c>
      <c r="O138" s="6">
        <f>'Estado de costos'!K168</f>
        <v>0</v>
      </c>
      <c r="P138">
        <f t="shared" si="5"/>
        <v>0</v>
      </c>
    </row>
    <row r="139" spans="1:16" x14ac:dyDescent="0.25">
      <c r="A139" s="118"/>
      <c r="B139" s="118"/>
      <c r="C139" s="118"/>
      <c r="D139" s="118"/>
      <c r="E139" s="118"/>
      <c r="F139" s="120"/>
      <c r="J139" s="104">
        <f>'Estado de costos'!B169</f>
        <v>0</v>
      </c>
      <c r="K139" s="104" t="str">
        <f>IF('Estado de costos'!D169=0,"",'Estado de costos'!D169)</f>
        <v/>
      </c>
      <c r="L139">
        <f>'Estado de costos'!E169</f>
        <v>0</v>
      </c>
      <c r="M139" s="6">
        <f t="shared" si="4"/>
        <v>0</v>
      </c>
      <c r="N139" s="6">
        <f>'Estado de costos'!J169</f>
        <v>0</v>
      </c>
      <c r="O139" s="6">
        <f>'Estado de costos'!K169</f>
        <v>0</v>
      </c>
      <c r="P139">
        <f t="shared" si="5"/>
        <v>0</v>
      </c>
    </row>
    <row r="140" spans="1:16" x14ac:dyDescent="0.25">
      <c r="A140" s="118"/>
      <c r="B140" s="118"/>
      <c r="C140" s="118"/>
      <c r="D140" s="118"/>
      <c r="E140" s="118"/>
      <c r="F140" s="120"/>
      <c r="J140" s="104">
        <f>'Estado de costos'!B170</f>
        <v>0</v>
      </c>
      <c r="K140" s="104" t="str">
        <f>IF('Estado de costos'!D170=0,"",'Estado de costos'!D170)</f>
        <v/>
      </c>
      <c r="L140">
        <f>'Estado de costos'!E170</f>
        <v>0</v>
      </c>
      <c r="M140" s="6">
        <f t="shared" si="4"/>
        <v>0</v>
      </c>
      <c r="N140" s="6">
        <f>'Estado de costos'!J170</f>
        <v>0</v>
      </c>
      <c r="O140" s="6">
        <f>'Estado de costos'!K170</f>
        <v>0</v>
      </c>
      <c r="P140">
        <f t="shared" si="5"/>
        <v>0</v>
      </c>
    </row>
    <row r="141" spans="1:16" x14ac:dyDescent="0.25">
      <c r="A141" s="118"/>
      <c r="B141" s="118"/>
      <c r="C141" s="118"/>
      <c r="D141" s="118"/>
      <c r="E141" s="118"/>
      <c r="F141" s="120"/>
      <c r="J141" s="104">
        <f>'Estado de costos'!B171</f>
        <v>0</v>
      </c>
      <c r="K141" s="104" t="str">
        <f>IF('Estado de costos'!D171=0,"",'Estado de costos'!D171)</f>
        <v/>
      </c>
      <c r="L141">
        <f>'Estado de costos'!E171</f>
        <v>0</v>
      </c>
      <c r="M141" s="6">
        <f t="shared" si="4"/>
        <v>0</v>
      </c>
      <c r="N141" s="6">
        <f>'Estado de costos'!J171</f>
        <v>0</v>
      </c>
      <c r="O141" s="6">
        <f>'Estado de costos'!K171</f>
        <v>0</v>
      </c>
      <c r="P141">
        <f t="shared" si="5"/>
        <v>0</v>
      </c>
    </row>
    <row r="142" spans="1:16" x14ac:dyDescent="0.25">
      <c r="A142" s="118"/>
      <c r="B142" s="118"/>
      <c r="C142" s="118"/>
      <c r="D142" s="118"/>
      <c r="E142" s="118"/>
      <c r="F142" s="120"/>
      <c r="J142" s="104">
        <f>'Estado de costos'!B172</f>
        <v>0</v>
      </c>
      <c r="K142" s="104" t="str">
        <f>IF('Estado de costos'!D172=0,"",'Estado de costos'!D172)</f>
        <v/>
      </c>
      <c r="L142">
        <f>'Estado de costos'!E172</f>
        <v>0</v>
      </c>
      <c r="M142" s="6">
        <f t="shared" si="4"/>
        <v>0</v>
      </c>
      <c r="N142" s="6">
        <f>'Estado de costos'!J172</f>
        <v>0</v>
      </c>
      <c r="O142" s="6">
        <f>'Estado de costos'!K172</f>
        <v>0</v>
      </c>
      <c r="P142">
        <f t="shared" si="5"/>
        <v>0</v>
      </c>
    </row>
    <row r="143" spans="1:16" x14ac:dyDescent="0.25">
      <c r="A143" s="118"/>
      <c r="B143" s="118"/>
      <c r="C143" s="118"/>
      <c r="D143" s="118"/>
      <c r="E143" s="118"/>
      <c r="F143" s="120"/>
      <c r="J143" s="104">
        <f>'Estado de costos'!B173</f>
        <v>0</v>
      </c>
      <c r="K143" s="104" t="str">
        <f>IF('Estado de costos'!D173=0,"",'Estado de costos'!D173)</f>
        <v/>
      </c>
      <c r="L143">
        <f>'Estado de costos'!E173</f>
        <v>0</v>
      </c>
      <c r="M143" s="6">
        <f t="shared" si="4"/>
        <v>0</v>
      </c>
      <c r="N143" s="6">
        <f>'Estado de costos'!J173</f>
        <v>0</v>
      </c>
      <c r="O143" s="6">
        <f>'Estado de costos'!K173</f>
        <v>0</v>
      </c>
      <c r="P143">
        <f t="shared" si="5"/>
        <v>0</v>
      </c>
    </row>
    <row r="144" spans="1:16" x14ac:dyDescent="0.25">
      <c r="A144" s="118"/>
      <c r="B144" s="118"/>
      <c r="C144" s="118"/>
      <c r="D144" s="118"/>
      <c r="E144" s="118"/>
      <c r="F144" s="120"/>
      <c r="J144" s="104">
        <f>'Estado de costos'!B174</f>
        <v>0</v>
      </c>
      <c r="K144" s="104" t="str">
        <f>IF('Estado de costos'!D174=0,"",'Estado de costos'!D174)</f>
        <v/>
      </c>
      <c r="L144">
        <f>'Estado de costos'!E174</f>
        <v>0</v>
      </c>
      <c r="M144" s="6">
        <f t="shared" si="4"/>
        <v>0</v>
      </c>
      <c r="N144" s="6">
        <f>'Estado de costos'!J174</f>
        <v>0</v>
      </c>
      <c r="O144" s="6">
        <f>'Estado de costos'!K174</f>
        <v>0</v>
      </c>
      <c r="P144">
        <f t="shared" si="5"/>
        <v>0</v>
      </c>
    </row>
    <row r="145" spans="1:16" x14ac:dyDescent="0.25">
      <c r="A145" s="118"/>
      <c r="B145" s="118"/>
      <c r="C145" s="118"/>
      <c r="D145" s="118"/>
      <c r="E145" s="118"/>
      <c r="F145" s="120"/>
      <c r="J145" s="104">
        <f>'Estado de costos'!B175</f>
        <v>0</v>
      </c>
      <c r="K145" s="104" t="str">
        <f>IF('Estado de costos'!D175=0,"",'Estado de costos'!D175)</f>
        <v/>
      </c>
      <c r="L145">
        <f>'Estado de costos'!E175</f>
        <v>0</v>
      </c>
      <c r="M145" s="6">
        <f t="shared" si="4"/>
        <v>0</v>
      </c>
      <c r="N145" s="6">
        <f>'Estado de costos'!J175</f>
        <v>0</v>
      </c>
      <c r="O145" s="6">
        <f>'Estado de costos'!K175</f>
        <v>0</v>
      </c>
      <c r="P145">
        <f t="shared" si="5"/>
        <v>0</v>
      </c>
    </row>
    <row r="146" spans="1:16" x14ac:dyDescent="0.25">
      <c r="A146" s="118"/>
      <c r="B146" s="118"/>
      <c r="C146" s="118"/>
      <c r="D146" s="118"/>
      <c r="E146" s="118"/>
      <c r="F146" s="120"/>
      <c r="J146" s="104">
        <f>'Estado de costos'!B176</f>
        <v>0</v>
      </c>
      <c r="K146" s="104" t="str">
        <f>IF('Estado de costos'!D176=0,"",'Estado de costos'!D176)</f>
        <v/>
      </c>
      <c r="L146">
        <f>'Estado de costos'!E176</f>
        <v>0</v>
      </c>
      <c r="M146" s="6">
        <f t="shared" si="4"/>
        <v>0</v>
      </c>
      <c r="N146" s="6">
        <f>'Estado de costos'!J176</f>
        <v>0</v>
      </c>
      <c r="O146" s="6">
        <f>'Estado de costos'!K176</f>
        <v>0</v>
      </c>
      <c r="P146">
        <f t="shared" si="5"/>
        <v>0</v>
      </c>
    </row>
    <row r="147" spans="1:16" x14ac:dyDescent="0.25">
      <c r="A147" s="118"/>
      <c r="B147" s="118"/>
      <c r="C147" s="118"/>
      <c r="D147" s="118"/>
      <c r="E147" s="118"/>
      <c r="F147" s="120"/>
      <c r="J147" s="104">
        <f>'Estado de costos'!B177</f>
        <v>0</v>
      </c>
      <c r="K147" s="104" t="str">
        <f>IF('Estado de costos'!D177=0,"",'Estado de costos'!D177)</f>
        <v/>
      </c>
      <c r="L147">
        <f>'Estado de costos'!E177</f>
        <v>0</v>
      </c>
      <c r="M147" s="6">
        <f t="shared" si="4"/>
        <v>0</v>
      </c>
      <c r="N147" s="6">
        <f>'Estado de costos'!J177</f>
        <v>0</v>
      </c>
      <c r="O147" s="6">
        <f>'Estado de costos'!K177</f>
        <v>0</v>
      </c>
      <c r="P147">
        <f t="shared" si="5"/>
        <v>0</v>
      </c>
    </row>
    <row r="148" spans="1:16" x14ac:dyDescent="0.25">
      <c r="A148" s="118"/>
      <c r="B148" s="118"/>
      <c r="C148" s="118"/>
      <c r="D148" s="118"/>
      <c r="E148" s="118"/>
      <c r="F148" s="120"/>
      <c r="J148" s="104">
        <f>'Estado de costos'!B178</f>
        <v>0</v>
      </c>
      <c r="K148" s="104" t="str">
        <f>IF('Estado de costos'!D178=0,"",'Estado de costos'!D178)</f>
        <v/>
      </c>
      <c r="L148">
        <f>'Estado de costos'!E178</f>
        <v>0</v>
      </c>
      <c r="M148" s="6">
        <f t="shared" si="4"/>
        <v>0</v>
      </c>
      <c r="N148" s="6">
        <f>'Estado de costos'!J178</f>
        <v>0</v>
      </c>
      <c r="O148" s="6">
        <f>'Estado de costos'!K178</f>
        <v>0</v>
      </c>
      <c r="P148">
        <f t="shared" si="5"/>
        <v>0</v>
      </c>
    </row>
    <row r="149" spans="1:16" x14ac:dyDescent="0.25">
      <c r="A149" s="118"/>
      <c r="B149" s="118"/>
      <c r="C149" s="118"/>
      <c r="D149" s="118"/>
      <c r="E149" s="118"/>
      <c r="F149" s="120"/>
      <c r="J149" s="104">
        <f>'Estado de costos'!B179</f>
        <v>0</v>
      </c>
      <c r="K149" s="104" t="str">
        <f>IF('Estado de costos'!D179=0,"",'Estado de costos'!D179)</f>
        <v/>
      </c>
      <c r="L149">
        <f>'Estado de costos'!E179</f>
        <v>0</v>
      </c>
      <c r="M149" s="6">
        <f t="shared" si="4"/>
        <v>0</v>
      </c>
      <c r="N149" s="6">
        <f>'Estado de costos'!J179</f>
        <v>0</v>
      </c>
      <c r="O149" s="6">
        <f>'Estado de costos'!K179</f>
        <v>0</v>
      </c>
      <c r="P149">
        <f t="shared" si="5"/>
        <v>0</v>
      </c>
    </row>
    <row r="150" spans="1:16" x14ac:dyDescent="0.25">
      <c r="A150" s="118"/>
      <c r="B150" s="118"/>
      <c r="C150" s="118"/>
      <c r="D150" s="118"/>
      <c r="E150" s="118"/>
      <c r="F150" s="120"/>
      <c r="J150" s="104">
        <f>'Estado de costos'!B180</f>
        <v>0</v>
      </c>
      <c r="K150" s="104" t="str">
        <f>IF('Estado de costos'!D180=0,"",'Estado de costos'!D180)</f>
        <v/>
      </c>
      <c r="L150">
        <f>'Estado de costos'!E180</f>
        <v>0</v>
      </c>
      <c r="M150" s="6">
        <f t="shared" si="4"/>
        <v>0</v>
      </c>
      <c r="N150" s="6">
        <f>'Estado de costos'!J180</f>
        <v>0</v>
      </c>
      <c r="O150" s="6">
        <f>'Estado de costos'!K180</f>
        <v>0</v>
      </c>
      <c r="P150">
        <f t="shared" si="5"/>
        <v>0</v>
      </c>
    </row>
    <row r="151" spans="1:16" x14ac:dyDescent="0.25">
      <c r="A151" s="118"/>
      <c r="B151" s="118"/>
      <c r="C151" s="118"/>
      <c r="D151" s="118"/>
      <c r="E151" s="118"/>
      <c r="F151" s="120"/>
      <c r="J151" s="104">
        <f>'Estado de costos'!B181</f>
        <v>0</v>
      </c>
      <c r="K151" s="104" t="str">
        <f>IF('Estado de costos'!D181=0,"",'Estado de costos'!D181)</f>
        <v/>
      </c>
      <c r="L151">
        <f>'Estado de costos'!E181</f>
        <v>0</v>
      </c>
      <c r="M151" s="6">
        <f t="shared" si="4"/>
        <v>0</v>
      </c>
      <c r="N151" s="6">
        <f>'Estado de costos'!J181</f>
        <v>0</v>
      </c>
      <c r="O151" s="6">
        <f>'Estado de costos'!K181</f>
        <v>0</v>
      </c>
      <c r="P151">
        <f t="shared" si="5"/>
        <v>0</v>
      </c>
    </row>
    <row r="152" spans="1:16" x14ac:dyDescent="0.25">
      <c r="A152" s="118"/>
      <c r="B152" s="118"/>
      <c r="C152" s="118"/>
      <c r="D152" s="118"/>
      <c r="E152" s="118"/>
      <c r="F152" s="120"/>
      <c r="J152" s="104">
        <f>'Estado de costos'!B182</f>
        <v>0</v>
      </c>
      <c r="K152" s="104" t="str">
        <f>IF('Estado de costos'!D182=0,"",'Estado de costos'!D182)</f>
        <v/>
      </c>
      <c r="L152">
        <f>'Estado de costos'!E182</f>
        <v>0</v>
      </c>
      <c r="M152" s="6">
        <f t="shared" si="4"/>
        <v>0</v>
      </c>
      <c r="N152" s="6">
        <f>'Estado de costos'!J182</f>
        <v>0</v>
      </c>
      <c r="O152" s="6">
        <f>'Estado de costos'!K182</f>
        <v>0</v>
      </c>
      <c r="P152">
        <f t="shared" si="5"/>
        <v>0</v>
      </c>
    </row>
    <row r="153" spans="1:16" x14ac:dyDescent="0.25">
      <c r="A153" s="118"/>
      <c r="B153" s="118"/>
      <c r="C153" s="118"/>
      <c r="D153" s="118"/>
      <c r="E153" s="118"/>
      <c r="F153" s="120"/>
      <c r="J153" s="104">
        <f>'Estado de costos'!B183</f>
        <v>0</v>
      </c>
      <c r="K153" s="104" t="str">
        <f>IF('Estado de costos'!D183=0,"",'Estado de costos'!D183)</f>
        <v/>
      </c>
      <c r="L153">
        <f>'Estado de costos'!E183</f>
        <v>0</v>
      </c>
      <c r="M153" s="6">
        <f t="shared" si="4"/>
        <v>0</v>
      </c>
      <c r="N153" s="6">
        <f>'Estado de costos'!J183</f>
        <v>0</v>
      </c>
      <c r="O153" s="6">
        <f>'Estado de costos'!K183</f>
        <v>0</v>
      </c>
      <c r="P153">
        <f t="shared" si="5"/>
        <v>0</v>
      </c>
    </row>
    <row r="154" spans="1:16" x14ac:dyDescent="0.25">
      <c r="A154" s="118"/>
      <c r="B154" s="118"/>
      <c r="C154" s="118"/>
      <c r="D154" s="118"/>
      <c r="E154" s="118"/>
      <c r="F154" s="120"/>
      <c r="J154" s="104">
        <f>'Estado de costos'!B184</f>
        <v>0</v>
      </c>
      <c r="K154" s="104" t="str">
        <f>IF('Estado de costos'!D184=0,"",'Estado de costos'!D184)</f>
        <v/>
      </c>
      <c r="L154">
        <f>'Estado de costos'!E184</f>
        <v>0</v>
      </c>
      <c r="M154" s="6">
        <f t="shared" si="4"/>
        <v>0</v>
      </c>
      <c r="N154" s="6">
        <f>'Estado de costos'!J184</f>
        <v>0</v>
      </c>
      <c r="O154" s="6">
        <f>'Estado de costos'!K184</f>
        <v>0</v>
      </c>
      <c r="P154">
        <f t="shared" si="5"/>
        <v>0</v>
      </c>
    </row>
    <row r="155" spans="1:16" x14ac:dyDescent="0.25">
      <c r="A155" s="118"/>
      <c r="B155" s="118"/>
      <c r="C155" s="118"/>
      <c r="D155" s="118"/>
      <c r="E155" s="118"/>
      <c r="F155" s="120"/>
      <c r="J155" s="104">
        <f>'Estado de costos'!B185</f>
        <v>0</v>
      </c>
      <c r="K155" s="104" t="str">
        <f>IF('Estado de costos'!D185=0,"",'Estado de costos'!D185)</f>
        <v/>
      </c>
      <c r="L155">
        <f>'Estado de costos'!E185</f>
        <v>0</v>
      </c>
      <c r="M155" s="6">
        <f t="shared" si="4"/>
        <v>0</v>
      </c>
      <c r="N155" s="6">
        <f>'Estado de costos'!J185</f>
        <v>0</v>
      </c>
      <c r="O155" s="6">
        <f>'Estado de costos'!K185</f>
        <v>0</v>
      </c>
      <c r="P155">
        <f t="shared" si="5"/>
        <v>0</v>
      </c>
    </row>
    <row r="156" spans="1:16" x14ac:dyDescent="0.25">
      <c r="A156" s="118"/>
      <c r="B156" s="118"/>
      <c r="C156" s="118"/>
      <c r="D156" s="118"/>
      <c r="E156" s="118"/>
      <c r="F156" s="120"/>
      <c r="J156" s="104">
        <f>'Estado de costos'!B186</f>
        <v>0</v>
      </c>
      <c r="K156" s="104" t="str">
        <f>IF('Estado de costos'!D186=0,"",'Estado de costos'!D186)</f>
        <v/>
      </c>
      <c r="L156">
        <f>'Estado de costos'!E186</f>
        <v>0</v>
      </c>
      <c r="M156" s="6">
        <f t="shared" si="4"/>
        <v>0</v>
      </c>
      <c r="N156" s="6">
        <f>'Estado de costos'!J186</f>
        <v>0</v>
      </c>
      <c r="O156" s="6">
        <f>'Estado de costos'!K186</f>
        <v>0</v>
      </c>
      <c r="P156">
        <f t="shared" si="5"/>
        <v>0</v>
      </c>
    </row>
    <row r="157" spans="1:16" x14ac:dyDescent="0.25">
      <c r="A157" s="118"/>
      <c r="B157" s="118"/>
      <c r="C157" s="118"/>
      <c r="D157" s="118"/>
      <c r="E157" s="118"/>
      <c r="F157" s="120"/>
      <c r="J157" s="104">
        <f>'Estado de costos'!B187</f>
        <v>0</v>
      </c>
      <c r="K157" s="104" t="str">
        <f>IF('Estado de costos'!D187=0,"",'Estado de costos'!D187)</f>
        <v/>
      </c>
      <c r="L157">
        <f>'Estado de costos'!E187</f>
        <v>0</v>
      </c>
      <c r="M157" s="6">
        <f t="shared" si="4"/>
        <v>0</v>
      </c>
      <c r="N157" s="6">
        <f>'Estado de costos'!J187</f>
        <v>0</v>
      </c>
      <c r="O157" s="6">
        <f>'Estado de costos'!K187</f>
        <v>0</v>
      </c>
      <c r="P157">
        <f t="shared" si="5"/>
        <v>0</v>
      </c>
    </row>
    <row r="158" spans="1:16" x14ac:dyDescent="0.25">
      <c r="A158" s="118"/>
      <c r="B158" s="118"/>
      <c r="C158" s="118"/>
      <c r="D158" s="118"/>
      <c r="E158" s="118"/>
      <c r="F158" s="120"/>
      <c r="J158" s="104">
        <f>'Estado de costos'!B188</f>
        <v>0</v>
      </c>
      <c r="K158" s="104" t="str">
        <f>IF('Estado de costos'!D188=0,"",'Estado de costos'!D188)</f>
        <v/>
      </c>
      <c r="L158">
        <f>'Estado de costos'!E188</f>
        <v>0</v>
      </c>
      <c r="M158" s="6">
        <f t="shared" si="4"/>
        <v>0</v>
      </c>
      <c r="N158" s="6">
        <f>'Estado de costos'!J188</f>
        <v>0</v>
      </c>
      <c r="O158" s="6">
        <f>'Estado de costos'!K188</f>
        <v>0</v>
      </c>
      <c r="P158">
        <f t="shared" si="5"/>
        <v>0</v>
      </c>
    </row>
    <row r="159" spans="1:16" x14ac:dyDescent="0.25">
      <c r="A159" s="118"/>
      <c r="B159" s="118"/>
      <c r="C159" s="118"/>
      <c r="D159" s="118"/>
      <c r="E159" s="118"/>
      <c r="F159" s="120"/>
      <c r="J159" s="104">
        <f>'Estado de costos'!B189</f>
        <v>0</v>
      </c>
      <c r="K159" s="104" t="str">
        <f>IF('Estado de costos'!D189=0,"",'Estado de costos'!D189)</f>
        <v/>
      </c>
      <c r="L159">
        <f>'Estado de costos'!E189</f>
        <v>0</v>
      </c>
      <c r="M159" s="6">
        <f t="shared" si="4"/>
        <v>0</v>
      </c>
      <c r="N159" s="6">
        <f>'Estado de costos'!J189</f>
        <v>0</v>
      </c>
      <c r="O159" s="6">
        <f>'Estado de costos'!K189</f>
        <v>0</v>
      </c>
      <c r="P159">
        <f t="shared" si="5"/>
        <v>0</v>
      </c>
    </row>
    <row r="160" spans="1:16" x14ac:dyDescent="0.25">
      <c r="A160" s="118"/>
      <c r="B160" s="118"/>
      <c r="C160" s="118"/>
      <c r="D160" s="118"/>
      <c r="E160" s="118"/>
      <c r="F160" s="120"/>
      <c r="J160" s="104">
        <f>'Estado de costos'!B190</f>
        <v>0</v>
      </c>
      <c r="K160" s="104" t="str">
        <f>IF('Estado de costos'!D190=0,"",'Estado de costos'!D190)</f>
        <v/>
      </c>
      <c r="L160">
        <f>'Estado de costos'!E190</f>
        <v>0</v>
      </c>
      <c r="M160" s="6">
        <f t="shared" si="4"/>
        <v>0</v>
      </c>
      <c r="N160" s="6">
        <f>'Estado de costos'!J190</f>
        <v>0</v>
      </c>
      <c r="O160" s="6">
        <f>'Estado de costos'!K190</f>
        <v>0</v>
      </c>
      <c r="P160">
        <f t="shared" si="5"/>
        <v>0</v>
      </c>
    </row>
    <row r="161" spans="1:16" x14ac:dyDescent="0.25">
      <c r="A161" s="118"/>
      <c r="B161" s="118"/>
      <c r="C161" s="118"/>
      <c r="D161" s="118"/>
      <c r="E161" s="118"/>
      <c r="F161" s="120"/>
      <c r="J161" s="104">
        <f>'Estado de costos'!B191</f>
        <v>0</v>
      </c>
      <c r="K161" s="104" t="str">
        <f>IF('Estado de costos'!D191=0,"",'Estado de costos'!D191)</f>
        <v/>
      </c>
      <c r="L161">
        <f>'Estado de costos'!E191</f>
        <v>0</v>
      </c>
      <c r="M161" s="6">
        <f t="shared" si="4"/>
        <v>0</v>
      </c>
      <c r="N161" s="6">
        <f>'Estado de costos'!J191</f>
        <v>0</v>
      </c>
      <c r="O161" s="6">
        <f>'Estado de costos'!K191</f>
        <v>0</v>
      </c>
      <c r="P161">
        <f t="shared" si="5"/>
        <v>0</v>
      </c>
    </row>
    <row r="162" spans="1:16" x14ac:dyDescent="0.25">
      <c r="A162" s="118"/>
      <c r="B162" s="118"/>
      <c r="C162" s="118"/>
      <c r="D162" s="118"/>
      <c r="E162" s="118"/>
      <c r="F162" s="120"/>
      <c r="J162" s="104">
        <f>'Estado de costos'!B192</f>
        <v>0</v>
      </c>
      <c r="K162" s="104" t="str">
        <f>IF('Estado de costos'!D192=0,"",'Estado de costos'!D192)</f>
        <v/>
      </c>
      <c r="L162">
        <f>'Estado de costos'!E192</f>
        <v>0</v>
      </c>
      <c r="M162" s="6">
        <f t="shared" si="4"/>
        <v>0</v>
      </c>
      <c r="N162" s="6">
        <f>'Estado de costos'!J192</f>
        <v>0</v>
      </c>
      <c r="O162" s="6">
        <f>'Estado de costos'!K192</f>
        <v>0</v>
      </c>
      <c r="P162">
        <f t="shared" si="5"/>
        <v>0</v>
      </c>
    </row>
    <row r="163" spans="1:16" x14ac:dyDescent="0.25">
      <c r="A163" s="118"/>
      <c r="B163" s="118"/>
      <c r="C163" s="118"/>
      <c r="D163" s="118"/>
      <c r="E163" s="118"/>
      <c r="F163" s="120"/>
      <c r="J163" s="104">
        <f>'Estado de costos'!B193</f>
        <v>0</v>
      </c>
      <c r="K163" s="104" t="str">
        <f>IF('Estado de costos'!D193=0,"",'Estado de costos'!D193)</f>
        <v/>
      </c>
      <c r="L163">
        <f>'Estado de costos'!E193</f>
        <v>0</v>
      </c>
      <c r="M163" s="6">
        <f t="shared" si="4"/>
        <v>0</v>
      </c>
      <c r="N163" s="6">
        <f>'Estado de costos'!J193</f>
        <v>0</v>
      </c>
      <c r="O163" s="6">
        <f>'Estado de costos'!K193</f>
        <v>0</v>
      </c>
      <c r="P163">
        <f t="shared" si="5"/>
        <v>0</v>
      </c>
    </row>
    <row r="164" spans="1:16" x14ac:dyDescent="0.25">
      <c r="A164" s="118"/>
      <c r="B164" s="118"/>
      <c r="C164" s="118"/>
      <c r="D164" s="118"/>
      <c r="E164" s="118"/>
      <c r="F164" s="120"/>
      <c r="J164" s="104">
        <f>'Estado de costos'!B194</f>
        <v>0</v>
      </c>
      <c r="K164" s="104" t="str">
        <f>IF('Estado de costos'!D194=0,"",'Estado de costos'!D194)</f>
        <v/>
      </c>
      <c r="L164">
        <f>'Estado de costos'!E194</f>
        <v>0</v>
      </c>
      <c r="M164" s="6">
        <f t="shared" si="4"/>
        <v>0</v>
      </c>
      <c r="N164" s="6">
        <f>'Estado de costos'!J194</f>
        <v>0</v>
      </c>
      <c r="O164" s="6">
        <f>'Estado de costos'!K194</f>
        <v>0</v>
      </c>
      <c r="P164">
        <f t="shared" si="5"/>
        <v>0</v>
      </c>
    </row>
    <row r="165" spans="1:16" x14ac:dyDescent="0.25">
      <c r="A165" s="118"/>
      <c r="B165" s="118"/>
      <c r="C165" s="118"/>
      <c r="D165" s="118"/>
      <c r="E165" s="118"/>
      <c r="F165" s="120"/>
      <c r="J165" s="104">
        <f>'Estado de costos'!B195</f>
        <v>0</v>
      </c>
      <c r="K165" s="104" t="str">
        <f>IF('Estado de costos'!D195=0,"",'Estado de costos'!D195)</f>
        <v/>
      </c>
      <c r="L165">
        <f>'Estado de costos'!E195</f>
        <v>0</v>
      </c>
      <c r="M165" s="6">
        <f t="shared" si="4"/>
        <v>0</v>
      </c>
      <c r="N165" s="6">
        <f>'Estado de costos'!J195</f>
        <v>0</v>
      </c>
      <c r="O165" s="6">
        <f>'Estado de costos'!K195</f>
        <v>0</v>
      </c>
      <c r="P165">
        <f t="shared" si="5"/>
        <v>0</v>
      </c>
    </row>
    <row r="166" spans="1:16" x14ac:dyDescent="0.25">
      <c r="A166" s="118"/>
      <c r="B166" s="118"/>
      <c r="C166" s="118"/>
      <c r="D166" s="118"/>
      <c r="E166" s="118"/>
      <c r="F166" s="120"/>
      <c r="J166" s="104">
        <f>'Estado de costos'!B196</f>
        <v>0</v>
      </c>
      <c r="K166" s="104" t="str">
        <f>IF('Estado de costos'!D196=0,"",'Estado de costos'!D196)</f>
        <v/>
      </c>
      <c r="L166">
        <f>'Estado de costos'!E196</f>
        <v>0</v>
      </c>
      <c r="M166" s="6">
        <f t="shared" si="4"/>
        <v>0</v>
      </c>
      <c r="N166" s="6">
        <f>'Estado de costos'!J196</f>
        <v>0</v>
      </c>
      <c r="O166" s="6">
        <f>'Estado de costos'!K196</f>
        <v>0</v>
      </c>
      <c r="P166">
        <f t="shared" si="5"/>
        <v>0</v>
      </c>
    </row>
    <row r="167" spans="1:16" x14ac:dyDescent="0.25">
      <c r="A167" s="118"/>
      <c r="B167" s="118"/>
      <c r="C167" s="118"/>
      <c r="D167" s="118"/>
      <c r="E167" s="118"/>
      <c r="F167" s="120"/>
      <c r="J167" s="104">
        <f>'Estado de costos'!B197</f>
        <v>0</v>
      </c>
      <c r="K167" s="104" t="str">
        <f>IF('Estado de costos'!D197=0,"",'Estado de costos'!D197)</f>
        <v/>
      </c>
      <c r="L167">
        <f>'Estado de costos'!E197</f>
        <v>0</v>
      </c>
      <c r="M167" s="6">
        <f t="shared" si="4"/>
        <v>0</v>
      </c>
      <c r="N167" s="6">
        <f>'Estado de costos'!J197</f>
        <v>0</v>
      </c>
      <c r="O167" s="6">
        <f>'Estado de costos'!K197</f>
        <v>0</v>
      </c>
      <c r="P167">
        <f t="shared" si="5"/>
        <v>0</v>
      </c>
    </row>
    <row r="168" spans="1:16" x14ac:dyDescent="0.25">
      <c r="A168" s="118"/>
      <c r="B168" s="118"/>
      <c r="C168" s="118"/>
      <c r="D168" s="118"/>
      <c r="E168" s="118"/>
      <c r="F168" s="120"/>
      <c r="J168" s="104">
        <f>'Estado de costos'!B198</f>
        <v>0</v>
      </c>
      <c r="K168" s="104" t="str">
        <f>IF('Estado de costos'!D198=0,"",'Estado de costos'!D198)</f>
        <v/>
      </c>
      <c r="L168">
        <f>'Estado de costos'!E198</f>
        <v>0</v>
      </c>
      <c r="M168" s="6">
        <f t="shared" si="4"/>
        <v>0</v>
      </c>
      <c r="N168" s="6">
        <f>'Estado de costos'!J198</f>
        <v>0</v>
      </c>
      <c r="O168" s="6">
        <f>'Estado de costos'!K198</f>
        <v>0</v>
      </c>
      <c r="P168">
        <f t="shared" si="5"/>
        <v>0</v>
      </c>
    </row>
    <row r="169" spans="1:16" x14ac:dyDescent="0.25">
      <c r="A169" s="118"/>
      <c r="B169" s="118"/>
      <c r="C169" s="118"/>
      <c r="D169" s="118"/>
      <c r="E169" s="118"/>
      <c r="F169" s="120"/>
      <c r="J169" s="104">
        <f>'Estado de costos'!B199</f>
        <v>0</v>
      </c>
      <c r="K169" s="104" t="str">
        <f>IF('Estado de costos'!D199=0,"",'Estado de costos'!D199)</f>
        <v/>
      </c>
      <c r="L169">
        <f>'Estado de costos'!E199</f>
        <v>0</v>
      </c>
      <c r="M169" s="6">
        <f t="shared" si="4"/>
        <v>0</v>
      </c>
      <c r="N169" s="6">
        <f>'Estado de costos'!J199</f>
        <v>0</v>
      </c>
      <c r="O169" s="6">
        <f>'Estado de costos'!K199</f>
        <v>0</v>
      </c>
      <c r="P169">
        <f t="shared" si="5"/>
        <v>0</v>
      </c>
    </row>
    <row r="170" spans="1:16" x14ac:dyDescent="0.25">
      <c r="A170" s="118"/>
      <c r="B170" s="118"/>
      <c r="C170" s="118"/>
      <c r="D170" s="118"/>
      <c r="E170" s="118"/>
      <c r="F170" s="120"/>
      <c r="J170" s="104">
        <f>'Estado de costos'!B200</f>
        <v>0</v>
      </c>
      <c r="K170" s="104" t="str">
        <f>IF('Estado de costos'!D200=0,"",'Estado de costos'!D200)</f>
        <v/>
      </c>
      <c r="L170">
        <f>'Estado de costos'!E200</f>
        <v>0</v>
      </c>
      <c r="M170" s="6">
        <f t="shared" si="4"/>
        <v>0</v>
      </c>
      <c r="N170" s="6">
        <f>'Estado de costos'!J200</f>
        <v>0</v>
      </c>
      <c r="O170" s="6">
        <f>'Estado de costos'!K200</f>
        <v>0</v>
      </c>
      <c r="P170">
        <f t="shared" si="5"/>
        <v>0</v>
      </c>
    </row>
    <row r="171" spans="1:16" x14ac:dyDescent="0.25">
      <c r="A171" s="118"/>
      <c r="B171" s="118"/>
      <c r="C171" s="118"/>
      <c r="D171" s="118"/>
      <c r="E171" s="118"/>
      <c r="F171" s="120"/>
      <c r="J171" s="104">
        <f>'Estado de costos'!B201</f>
        <v>0</v>
      </c>
      <c r="K171" s="104" t="str">
        <f>IF('Estado de costos'!D201=0,"",'Estado de costos'!D201)</f>
        <v/>
      </c>
      <c r="L171">
        <f>'Estado de costos'!E201</f>
        <v>0</v>
      </c>
      <c r="M171" s="6">
        <f t="shared" si="4"/>
        <v>0</v>
      </c>
      <c r="N171" s="6">
        <f>'Estado de costos'!J201</f>
        <v>0</v>
      </c>
      <c r="O171" s="6">
        <f>'Estado de costos'!K201</f>
        <v>0</v>
      </c>
      <c r="P171">
        <f t="shared" si="5"/>
        <v>0</v>
      </c>
    </row>
    <row r="172" spans="1:16" x14ac:dyDescent="0.25">
      <c r="A172" s="118"/>
      <c r="B172" s="118"/>
      <c r="C172" s="118"/>
      <c r="D172" s="118"/>
      <c r="E172" s="118"/>
      <c r="F172" s="120"/>
      <c r="J172" s="104">
        <f>'Estado de costos'!B202</f>
        <v>0</v>
      </c>
      <c r="K172" s="104" t="str">
        <f>IF('Estado de costos'!D202=0,"",'Estado de costos'!D202)</f>
        <v/>
      </c>
      <c r="L172">
        <f>'Estado de costos'!E202</f>
        <v>0</v>
      </c>
      <c r="M172" s="6">
        <f t="shared" si="4"/>
        <v>0</v>
      </c>
      <c r="N172" s="6">
        <f>'Estado de costos'!J202</f>
        <v>0</v>
      </c>
      <c r="O172" s="6">
        <f>'Estado de costos'!K202</f>
        <v>0</v>
      </c>
      <c r="P172">
        <f t="shared" si="5"/>
        <v>0</v>
      </c>
    </row>
    <row r="173" spans="1:16" x14ac:dyDescent="0.25">
      <c r="A173" s="118"/>
      <c r="B173" s="118"/>
      <c r="C173" s="118"/>
      <c r="D173" s="118"/>
      <c r="E173" s="118"/>
      <c r="F173" s="120"/>
      <c r="J173" s="104">
        <f>'Estado de costos'!B203</f>
        <v>0</v>
      </c>
      <c r="K173" s="104" t="str">
        <f>IF('Estado de costos'!D203=0,"",'Estado de costos'!D203)</f>
        <v/>
      </c>
      <c r="L173">
        <f>'Estado de costos'!E203</f>
        <v>0</v>
      </c>
      <c r="M173" s="6">
        <f t="shared" si="4"/>
        <v>0</v>
      </c>
      <c r="N173" s="6">
        <f>'Estado de costos'!J203</f>
        <v>0</v>
      </c>
      <c r="O173" s="6">
        <f>'Estado de costos'!K203</f>
        <v>0</v>
      </c>
      <c r="P173">
        <f t="shared" si="5"/>
        <v>0</v>
      </c>
    </row>
    <row r="174" spans="1:16" x14ac:dyDescent="0.25">
      <c r="A174" s="118"/>
      <c r="B174" s="118"/>
      <c r="C174" s="118"/>
      <c r="D174" s="118"/>
      <c r="E174" s="118"/>
      <c r="F174" s="120"/>
      <c r="J174" s="104">
        <f>'Estado de costos'!B204</f>
        <v>0</v>
      </c>
      <c r="K174" s="104" t="str">
        <f>IF('Estado de costos'!D204=0,"",'Estado de costos'!D204)</f>
        <v/>
      </c>
      <c r="L174">
        <f>'Estado de costos'!E204</f>
        <v>0</v>
      </c>
      <c r="M174" s="6">
        <f t="shared" si="4"/>
        <v>0</v>
      </c>
      <c r="N174" s="6">
        <f>'Estado de costos'!J204</f>
        <v>0</v>
      </c>
      <c r="O174" s="6">
        <f>'Estado de costos'!K204</f>
        <v>0</v>
      </c>
      <c r="P174">
        <f t="shared" si="5"/>
        <v>0</v>
      </c>
    </row>
    <row r="175" spans="1:16" x14ac:dyDescent="0.25">
      <c r="A175" s="118"/>
      <c r="B175" s="118"/>
      <c r="C175" s="118"/>
      <c r="D175" s="118"/>
      <c r="E175" s="118"/>
      <c r="F175" s="120"/>
      <c r="J175" s="104">
        <f>'Estado de costos'!B205</f>
        <v>0</v>
      </c>
      <c r="K175" s="104" t="str">
        <f>IF('Estado de costos'!D205=0,"",'Estado de costos'!D205)</f>
        <v/>
      </c>
      <c r="L175">
        <f>'Estado de costos'!E205</f>
        <v>0</v>
      </c>
      <c r="M175" s="6">
        <f t="shared" si="4"/>
        <v>0</v>
      </c>
      <c r="N175" s="6">
        <f>'Estado de costos'!J205</f>
        <v>0</v>
      </c>
      <c r="O175" s="6">
        <f>'Estado de costos'!K205</f>
        <v>0</v>
      </c>
      <c r="P175">
        <f t="shared" si="5"/>
        <v>0</v>
      </c>
    </row>
    <row r="176" spans="1:16" x14ac:dyDescent="0.25">
      <c r="A176" s="118"/>
      <c r="B176" s="118"/>
      <c r="C176" s="118"/>
      <c r="D176" s="118"/>
      <c r="E176" s="118"/>
      <c r="F176" s="120"/>
      <c r="J176" s="104">
        <f>'Estado de costos'!B206</f>
        <v>0</v>
      </c>
      <c r="K176" s="104" t="str">
        <f>IF('Estado de costos'!D206=0,"",'Estado de costos'!D206)</f>
        <v/>
      </c>
      <c r="L176">
        <f>'Estado de costos'!E206</f>
        <v>0</v>
      </c>
      <c r="M176" s="6">
        <f t="shared" si="4"/>
        <v>0</v>
      </c>
      <c r="N176" s="6">
        <f>'Estado de costos'!J206</f>
        <v>0</v>
      </c>
      <c r="O176" s="6">
        <f>'Estado de costos'!K206</f>
        <v>0</v>
      </c>
      <c r="P176">
        <f t="shared" si="5"/>
        <v>0</v>
      </c>
    </row>
    <row r="177" spans="1:16" x14ac:dyDescent="0.25">
      <c r="A177" s="118"/>
      <c r="B177" s="118"/>
      <c r="C177" s="118"/>
      <c r="D177" s="118"/>
      <c r="E177" s="118"/>
      <c r="F177" s="120"/>
      <c r="J177" s="104">
        <f>'Estado de costos'!B207</f>
        <v>0</v>
      </c>
      <c r="K177" s="104" t="str">
        <f>IF('Estado de costos'!D207=0,"",'Estado de costos'!D207)</f>
        <v/>
      </c>
      <c r="L177">
        <f>'Estado de costos'!E207</f>
        <v>0</v>
      </c>
      <c r="M177" s="6">
        <f t="shared" si="4"/>
        <v>0</v>
      </c>
      <c r="N177" s="6">
        <f>'Estado de costos'!J207</f>
        <v>0</v>
      </c>
      <c r="O177" s="6">
        <f>'Estado de costos'!K207</f>
        <v>0</v>
      </c>
      <c r="P177">
        <f t="shared" si="5"/>
        <v>0</v>
      </c>
    </row>
    <row r="178" spans="1:16" x14ac:dyDescent="0.25">
      <c r="A178" s="118"/>
      <c r="B178" s="118"/>
      <c r="C178" s="118"/>
      <c r="D178" s="118"/>
      <c r="E178" s="118"/>
      <c r="F178" s="120"/>
      <c r="J178" s="104">
        <f>'Estado de costos'!B208</f>
        <v>0</v>
      </c>
      <c r="K178" s="104" t="str">
        <f>IF('Estado de costos'!D208=0,"",'Estado de costos'!D208)</f>
        <v/>
      </c>
      <c r="L178">
        <f>'Estado de costos'!E208</f>
        <v>0</v>
      </c>
      <c r="M178" s="6">
        <f t="shared" si="4"/>
        <v>0</v>
      </c>
      <c r="N178" s="6">
        <f>'Estado de costos'!J208</f>
        <v>0</v>
      </c>
      <c r="O178" s="6">
        <f>'Estado de costos'!K208</f>
        <v>0</v>
      </c>
      <c r="P178">
        <f t="shared" si="5"/>
        <v>0</v>
      </c>
    </row>
    <row r="179" spans="1:16" x14ac:dyDescent="0.25">
      <c r="A179" s="118"/>
      <c r="B179" s="118"/>
      <c r="C179" s="118"/>
      <c r="D179" s="118"/>
      <c r="E179" s="118"/>
      <c r="F179" s="120"/>
      <c r="J179" s="104">
        <f>'Estado de costos'!B209</f>
        <v>0</v>
      </c>
      <c r="K179" s="104" t="str">
        <f>IF('Estado de costos'!D209=0,"",'Estado de costos'!D209)</f>
        <v/>
      </c>
      <c r="L179">
        <f>'Estado de costos'!E209</f>
        <v>0</v>
      </c>
      <c r="M179" s="6">
        <f t="shared" si="4"/>
        <v>0</v>
      </c>
      <c r="N179" s="6">
        <f>'Estado de costos'!J209</f>
        <v>0</v>
      </c>
      <c r="O179" s="6">
        <f>'Estado de costos'!K209</f>
        <v>0</v>
      </c>
      <c r="P179">
        <f t="shared" si="5"/>
        <v>0</v>
      </c>
    </row>
    <row r="180" spans="1:16" x14ac:dyDescent="0.25">
      <c r="A180" s="118"/>
      <c r="B180" s="118"/>
      <c r="C180" s="118"/>
      <c r="D180" s="118"/>
      <c r="E180" s="118"/>
      <c r="F180" s="120"/>
      <c r="J180" s="104">
        <f>'Estado de costos'!B210</f>
        <v>0</v>
      </c>
      <c r="K180" s="104" t="str">
        <f>IF('Estado de costos'!D210=0,"",'Estado de costos'!D210)</f>
        <v/>
      </c>
      <c r="L180">
        <f>'Estado de costos'!E210</f>
        <v>0</v>
      </c>
      <c r="M180" s="6">
        <f t="shared" si="4"/>
        <v>0</v>
      </c>
      <c r="N180" s="6">
        <f>'Estado de costos'!J210</f>
        <v>0</v>
      </c>
      <c r="O180" s="6">
        <f>'Estado de costos'!K210</f>
        <v>0</v>
      </c>
      <c r="P180">
        <f t="shared" si="5"/>
        <v>0</v>
      </c>
    </row>
    <row r="181" spans="1:16" x14ac:dyDescent="0.25">
      <c r="A181" s="118"/>
      <c r="B181" s="118"/>
      <c r="C181" s="118"/>
      <c r="D181" s="118"/>
      <c r="E181" s="118"/>
      <c r="F181" s="120"/>
      <c r="J181" s="104">
        <f>'Estado de costos'!B211</f>
        <v>0</v>
      </c>
      <c r="K181" s="104" t="str">
        <f>IF('Estado de costos'!D211=0,"",'Estado de costos'!D211)</f>
        <v/>
      </c>
      <c r="L181">
        <f>'Estado de costos'!E211</f>
        <v>0</v>
      </c>
      <c r="M181" s="6">
        <f t="shared" si="4"/>
        <v>0</v>
      </c>
      <c r="N181" s="6">
        <f>'Estado de costos'!J211</f>
        <v>0</v>
      </c>
      <c r="O181" s="6">
        <f>'Estado de costos'!K211</f>
        <v>0</v>
      </c>
      <c r="P181">
        <f t="shared" si="5"/>
        <v>0</v>
      </c>
    </row>
    <row r="182" spans="1:16" x14ac:dyDescent="0.25">
      <c r="A182" s="118"/>
      <c r="B182" s="118"/>
      <c r="C182" s="118"/>
      <c r="D182" s="118"/>
      <c r="E182" s="118"/>
      <c r="F182" s="120"/>
      <c r="J182" s="104">
        <f>'Estado de costos'!B212</f>
        <v>0</v>
      </c>
      <c r="K182" s="104" t="str">
        <f>IF('Estado de costos'!D212=0,"",'Estado de costos'!D212)</f>
        <v/>
      </c>
      <c r="L182">
        <f>'Estado de costos'!E212</f>
        <v>0</v>
      </c>
      <c r="M182" s="6">
        <f t="shared" si="4"/>
        <v>0</v>
      </c>
      <c r="N182" s="6">
        <f>'Estado de costos'!J212</f>
        <v>0</v>
      </c>
      <c r="O182" s="6">
        <f>'Estado de costos'!K212</f>
        <v>0</v>
      </c>
      <c r="P182">
        <f t="shared" si="5"/>
        <v>0</v>
      </c>
    </row>
    <row r="183" spans="1:16" x14ac:dyDescent="0.25">
      <c r="A183" s="118"/>
      <c r="B183" s="118"/>
      <c r="C183" s="118"/>
      <c r="D183" s="118"/>
      <c r="E183" s="118"/>
      <c r="F183" s="120"/>
      <c r="J183" s="104">
        <f>'Estado de costos'!B213</f>
        <v>0</v>
      </c>
      <c r="K183" s="104" t="str">
        <f>IF('Estado de costos'!D213=0,"",'Estado de costos'!D213)</f>
        <v/>
      </c>
      <c r="L183">
        <f>'Estado de costos'!E213</f>
        <v>0</v>
      </c>
      <c r="M183" s="6">
        <f t="shared" si="4"/>
        <v>0</v>
      </c>
      <c r="N183" s="6">
        <f>'Estado de costos'!J213</f>
        <v>0</v>
      </c>
      <c r="O183" s="6">
        <f>'Estado de costos'!K213</f>
        <v>0</v>
      </c>
      <c r="P183">
        <f t="shared" si="5"/>
        <v>0</v>
      </c>
    </row>
    <row r="184" spans="1:16" x14ac:dyDescent="0.25">
      <c r="A184" s="118"/>
      <c r="B184" s="118"/>
      <c r="C184" s="118"/>
      <c r="D184" s="118"/>
      <c r="E184" s="118"/>
      <c r="F184" s="120"/>
      <c r="J184" s="104">
        <f>'Estado de costos'!B214</f>
        <v>0</v>
      </c>
      <c r="K184" s="104" t="str">
        <f>IF('Estado de costos'!D214=0,"",'Estado de costos'!D214)</f>
        <v/>
      </c>
      <c r="L184">
        <f>'Estado de costos'!E214</f>
        <v>0</v>
      </c>
      <c r="M184" s="6">
        <f t="shared" si="4"/>
        <v>0</v>
      </c>
      <c r="N184" s="6">
        <f>'Estado de costos'!J214</f>
        <v>0</v>
      </c>
      <c r="O184" s="6">
        <f>'Estado de costos'!K214</f>
        <v>0</v>
      </c>
      <c r="P184">
        <f t="shared" si="5"/>
        <v>0</v>
      </c>
    </row>
    <row r="185" spans="1:16" x14ac:dyDescent="0.25">
      <c r="A185" s="118"/>
      <c r="B185" s="118"/>
      <c r="C185" s="118"/>
      <c r="D185" s="118"/>
      <c r="E185" s="118"/>
      <c r="F185" s="120"/>
      <c r="J185" s="104">
        <f>'Estado de costos'!B215</f>
        <v>0</v>
      </c>
      <c r="K185" s="104" t="str">
        <f>IF('Estado de costos'!D215=0,"",'Estado de costos'!D215)</f>
        <v/>
      </c>
      <c r="L185">
        <f>'Estado de costos'!E215</f>
        <v>0</v>
      </c>
      <c r="M185" s="6">
        <f t="shared" si="4"/>
        <v>0</v>
      </c>
      <c r="N185" s="6">
        <f>'Estado de costos'!J215</f>
        <v>0</v>
      </c>
      <c r="O185" s="6">
        <f>'Estado de costos'!K215</f>
        <v>0</v>
      </c>
      <c r="P185">
        <f t="shared" si="5"/>
        <v>0</v>
      </c>
    </row>
    <row r="186" spans="1:16" x14ac:dyDescent="0.25">
      <c r="A186" s="118"/>
      <c r="B186" s="118"/>
      <c r="C186" s="118"/>
      <c r="D186" s="118"/>
      <c r="E186" s="118"/>
      <c r="F186" s="120"/>
      <c r="J186" s="104">
        <f>'Estado de costos'!B216</f>
        <v>0</v>
      </c>
      <c r="K186" s="104" t="str">
        <f>IF('Estado de costos'!D216=0,"",'Estado de costos'!D216)</f>
        <v/>
      </c>
      <c r="L186">
        <f>'Estado de costos'!E216</f>
        <v>0</v>
      </c>
      <c r="M186" s="6">
        <f t="shared" si="4"/>
        <v>0</v>
      </c>
      <c r="N186" s="6">
        <f>'Estado de costos'!J216</f>
        <v>0</v>
      </c>
      <c r="O186" s="6">
        <f>'Estado de costos'!K216</f>
        <v>0</v>
      </c>
      <c r="P186">
        <f t="shared" si="5"/>
        <v>0</v>
      </c>
    </row>
    <row r="187" spans="1:16" x14ac:dyDescent="0.25">
      <c r="A187" s="118"/>
      <c r="B187" s="118"/>
      <c r="C187" s="118"/>
      <c r="D187" s="118"/>
      <c r="E187" s="118"/>
      <c r="F187" s="120"/>
      <c r="J187" s="104">
        <f>'Estado de costos'!B217</f>
        <v>0</v>
      </c>
      <c r="K187" s="104" t="str">
        <f>IF('Estado de costos'!D217=0,"",'Estado de costos'!D217)</f>
        <v/>
      </c>
      <c r="L187">
        <f>'Estado de costos'!E217</f>
        <v>0</v>
      </c>
      <c r="M187" s="6">
        <f t="shared" si="4"/>
        <v>0</v>
      </c>
      <c r="N187" s="6">
        <f>'Estado de costos'!J217</f>
        <v>0</v>
      </c>
      <c r="O187" s="6">
        <f>'Estado de costos'!K217</f>
        <v>0</v>
      </c>
      <c r="P187">
        <f t="shared" si="5"/>
        <v>0</v>
      </c>
    </row>
    <row r="188" spans="1:16" x14ac:dyDescent="0.25">
      <c r="A188" s="118"/>
      <c r="B188" s="118"/>
      <c r="C188" s="118"/>
      <c r="D188" s="118"/>
      <c r="E188" s="118"/>
      <c r="F188" s="120"/>
      <c r="J188" s="104">
        <f>'Estado de costos'!B218</f>
        <v>0</v>
      </c>
      <c r="K188" s="104" t="str">
        <f>IF('Estado de costos'!D218=0,"",'Estado de costos'!D218)</f>
        <v/>
      </c>
      <c r="L188">
        <f>'Estado de costos'!E218</f>
        <v>0</v>
      </c>
      <c r="M188" s="6">
        <f t="shared" si="4"/>
        <v>0</v>
      </c>
      <c r="N188" s="6">
        <f>'Estado de costos'!J218</f>
        <v>0</v>
      </c>
      <c r="O188" s="6">
        <f>'Estado de costos'!K218</f>
        <v>0</v>
      </c>
      <c r="P188">
        <f t="shared" si="5"/>
        <v>0</v>
      </c>
    </row>
    <row r="189" spans="1:16" x14ac:dyDescent="0.25">
      <c r="A189" s="118"/>
      <c r="B189" s="118"/>
      <c r="C189" s="118"/>
      <c r="D189" s="118"/>
      <c r="E189" s="118"/>
      <c r="F189" s="120"/>
      <c r="J189" s="104">
        <f>'Estado de costos'!B219</f>
        <v>0</v>
      </c>
      <c r="K189" s="104" t="str">
        <f>IF('Estado de costos'!D219=0,"",'Estado de costos'!D219)</f>
        <v/>
      </c>
      <c r="L189">
        <f>'Estado de costos'!E219</f>
        <v>0</v>
      </c>
      <c r="M189" s="6">
        <f t="shared" si="4"/>
        <v>0</v>
      </c>
      <c r="N189" s="6">
        <f>'Estado de costos'!J219</f>
        <v>0</v>
      </c>
      <c r="O189" s="6">
        <f>'Estado de costos'!K219</f>
        <v>0</v>
      </c>
      <c r="P189">
        <f t="shared" si="5"/>
        <v>0</v>
      </c>
    </row>
    <row r="190" spans="1:16" x14ac:dyDescent="0.25">
      <c r="A190" s="118"/>
      <c r="B190" s="118"/>
      <c r="C190" s="118"/>
      <c r="D190" s="118"/>
      <c r="E190" s="118"/>
      <c r="F190" s="120"/>
      <c r="J190" s="104">
        <f>'Estado de costos'!B220</f>
        <v>0</v>
      </c>
      <c r="K190" s="104" t="str">
        <f>IF('Estado de costos'!D220=0,"",'Estado de costos'!D220)</f>
        <v/>
      </c>
      <c r="L190">
        <f>'Estado de costos'!E220</f>
        <v>0</v>
      </c>
      <c r="M190" s="6">
        <f t="shared" si="4"/>
        <v>0</v>
      </c>
      <c r="N190" s="6">
        <f>'Estado de costos'!J220</f>
        <v>0</v>
      </c>
      <c r="O190" s="6">
        <f>'Estado de costos'!K220</f>
        <v>0</v>
      </c>
      <c r="P190">
        <f t="shared" si="5"/>
        <v>0</v>
      </c>
    </row>
    <row r="191" spans="1:16" x14ac:dyDescent="0.25">
      <c r="A191" s="118"/>
      <c r="B191" s="118"/>
      <c r="C191" s="118"/>
      <c r="D191" s="118"/>
      <c r="E191" s="118"/>
      <c r="F191" s="120"/>
      <c r="J191" s="104">
        <f>'Estado de costos'!B221</f>
        <v>0</v>
      </c>
      <c r="K191" s="104" t="str">
        <f>IF('Estado de costos'!D221=0,"",'Estado de costos'!D221)</f>
        <v/>
      </c>
      <c r="L191">
        <f>'Estado de costos'!E221</f>
        <v>0</v>
      </c>
      <c r="M191" s="6">
        <f t="shared" si="4"/>
        <v>0</v>
      </c>
      <c r="N191" s="6">
        <f>'Estado de costos'!J221</f>
        <v>0</v>
      </c>
      <c r="O191" s="6">
        <f>'Estado de costos'!K221</f>
        <v>0</v>
      </c>
      <c r="P191">
        <f t="shared" si="5"/>
        <v>0</v>
      </c>
    </row>
    <row r="192" spans="1:16" x14ac:dyDescent="0.25">
      <c r="A192" s="118"/>
      <c r="B192" s="118"/>
      <c r="C192" s="118"/>
      <c r="D192" s="118"/>
      <c r="E192" s="118"/>
      <c r="F192" s="120"/>
      <c r="J192" s="104">
        <f>'Estado de costos'!B222</f>
        <v>0</v>
      </c>
      <c r="K192" s="104" t="str">
        <f>IF('Estado de costos'!D222=0,"",'Estado de costos'!D222)</f>
        <v/>
      </c>
      <c r="L192">
        <f>'Estado de costos'!E222</f>
        <v>0</v>
      </c>
      <c r="M192" s="6">
        <f t="shared" si="4"/>
        <v>0</v>
      </c>
      <c r="N192" s="6">
        <f>'Estado de costos'!J222</f>
        <v>0</v>
      </c>
      <c r="O192" s="6">
        <f>'Estado de costos'!K222</f>
        <v>0</v>
      </c>
      <c r="P192">
        <f t="shared" si="5"/>
        <v>0</v>
      </c>
    </row>
    <row r="193" spans="1:16" x14ac:dyDescent="0.25">
      <c r="A193" s="118"/>
      <c r="B193" s="118"/>
      <c r="C193" s="118"/>
      <c r="D193" s="118"/>
      <c r="E193" s="118"/>
      <c r="F193" s="120"/>
      <c r="J193" s="104">
        <f>'Estado de costos'!B223</f>
        <v>0</v>
      </c>
      <c r="K193" s="104" t="str">
        <f>IF('Estado de costos'!D223=0,"",'Estado de costos'!D223)</f>
        <v/>
      </c>
      <c r="L193">
        <f>'Estado de costos'!E223</f>
        <v>0</v>
      </c>
      <c r="M193" s="6">
        <f t="shared" si="4"/>
        <v>0</v>
      </c>
      <c r="N193" s="6">
        <f>'Estado de costos'!J223</f>
        <v>0</v>
      </c>
      <c r="O193" s="6">
        <f>'Estado de costos'!K223</f>
        <v>0</v>
      </c>
      <c r="P193">
        <f t="shared" si="5"/>
        <v>0</v>
      </c>
    </row>
    <row r="194" spans="1:16" x14ac:dyDescent="0.25">
      <c r="A194" s="118"/>
      <c r="B194" s="118"/>
      <c r="C194" s="118"/>
      <c r="D194" s="118"/>
      <c r="E194" s="118"/>
      <c r="F194" s="120"/>
      <c r="J194" s="104">
        <f>'Estado de costos'!B224</f>
        <v>0</v>
      </c>
      <c r="K194" s="104" t="str">
        <f>IF('Estado de costos'!D224=0,"",'Estado de costos'!D224)</f>
        <v/>
      </c>
      <c r="L194">
        <f>'Estado de costos'!E224</f>
        <v>0</v>
      </c>
      <c r="M194" s="6">
        <f t="shared" si="4"/>
        <v>0</v>
      </c>
      <c r="N194" s="6">
        <f>'Estado de costos'!J224</f>
        <v>0</v>
      </c>
      <c r="O194" s="6">
        <f>'Estado de costos'!K224</f>
        <v>0</v>
      </c>
      <c r="P194">
        <f t="shared" si="5"/>
        <v>0</v>
      </c>
    </row>
    <row r="195" spans="1:16" x14ac:dyDescent="0.25">
      <c r="A195" s="118"/>
      <c r="B195" s="118"/>
      <c r="C195" s="118"/>
      <c r="D195" s="118"/>
      <c r="E195" s="118"/>
      <c r="F195" s="120"/>
      <c r="J195" s="104">
        <f>'Estado de costos'!B225</f>
        <v>0</v>
      </c>
      <c r="K195" s="104" t="str">
        <f>IF('Estado de costos'!D225=0,"",'Estado de costos'!D225)</f>
        <v/>
      </c>
      <c r="L195">
        <f>'Estado de costos'!E225</f>
        <v>0</v>
      </c>
      <c r="M195" s="6">
        <f t="shared" ref="M195:M258" si="6">IFERROR(+N195/L195/IF(K195="",1,K195),0)</f>
        <v>0</v>
      </c>
      <c r="N195" s="6">
        <f>'Estado de costos'!J225</f>
        <v>0</v>
      </c>
      <c r="O195" s="6">
        <f>'Estado de costos'!K225</f>
        <v>0</v>
      </c>
      <c r="P195">
        <f t="shared" ref="P195:P258" si="7">IF(N195=0,0,1)</f>
        <v>0</v>
      </c>
    </row>
    <row r="196" spans="1:16" x14ac:dyDescent="0.25">
      <c r="A196" s="118"/>
      <c r="B196" s="118"/>
      <c r="C196" s="118"/>
      <c r="D196" s="118"/>
      <c r="E196" s="118"/>
      <c r="F196" s="120"/>
      <c r="J196" s="104">
        <f>'Estado de costos'!B226</f>
        <v>0</v>
      </c>
      <c r="K196" s="104" t="str">
        <f>IF('Estado de costos'!D226=0,"",'Estado de costos'!D226)</f>
        <v/>
      </c>
      <c r="L196">
        <f>'Estado de costos'!E226</f>
        <v>0</v>
      </c>
      <c r="M196" s="6">
        <f t="shared" si="6"/>
        <v>0</v>
      </c>
      <c r="N196" s="6">
        <f>'Estado de costos'!J226</f>
        <v>0</v>
      </c>
      <c r="O196" s="6">
        <f>'Estado de costos'!K226</f>
        <v>0</v>
      </c>
      <c r="P196">
        <f t="shared" si="7"/>
        <v>0</v>
      </c>
    </row>
    <row r="197" spans="1:16" x14ac:dyDescent="0.25">
      <c r="A197" s="118"/>
      <c r="B197" s="118"/>
      <c r="C197" s="118"/>
      <c r="D197" s="118"/>
      <c r="E197" s="118"/>
      <c r="F197" s="120"/>
      <c r="J197" s="104">
        <f>'Estado de costos'!B227</f>
        <v>0</v>
      </c>
      <c r="K197" s="104" t="str">
        <f>IF('Estado de costos'!D227=0,"",'Estado de costos'!D227)</f>
        <v/>
      </c>
      <c r="L197">
        <f>'Estado de costos'!E227</f>
        <v>0</v>
      </c>
      <c r="M197" s="6">
        <f t="shared" si="6"/>
        <v>0</v>
      </c>
      <c r="N197" s="6">
        <f>'Estado de costos'!J227</f>
        <v>0</v>
      </c>
      <c r="O197" s="6">
        <f>'Estado de costos'!K227</f>
        <v>0</v>
      </c>
      <c r="P197">
        <f t="shared" si="7"/>
        <v>0</v>
      </c>
    </row>
    <row r="198" spans="1:16" x14ac:dyDescent="0.25">
      <c r="A198" s="118"/>
      <c r="B198" s="118"/>
      <c r="C198" s="118"/>
      <c r="D198" s="118"/>
      <c r="E198" s="118"/>
      <c r="F198" s="120"/>
      <c r="J198" s="104">
        <f>'Estado de costos'!B228</f>
        <v>0</v>
      </c>
      <c r="K198" s="104" t="str">
        <f>IF('Estado de costos'!D228=0,"",'Estado de costos'!D228)</f>
        <v/>
      </c>
      <c r="L198">
        <f>'Estado de costos'!E228</f>
        <v>0</v>
      </c>
      <c r="M198" s="6">
        <f t="shared" si="6"/>
        <v>0</v>
      </c>
      <c r="N198" s="6">
        <f>'Estado de costos'!J228</f>
        <v>0</v>
      </c>
      <c r="O198" s="6">
        <f>'Estado de costos'!K228</f>
        <v>0</v>
      </c>
      <c r="P198">
        <f t="shared" si="7"/>
        <v>0</v>
      </c>
    </row>
    <row r="199" spans="1:16" x14ac:dyDescent="0.25">
      <c r="A199" s="118"/>
      <c r="B199" s="118"/>
      <c r="C199" s="118"/>
      <c r="D199" s="118"/>
      <c r="E199" s="118"/>
      <c r="F199" s="120"/>
      <c r="J199" s="104">
        <f>'Estado de costos'!B229</f>
        <v>0</v>
      </c>
      <c r="K199" s="104" t="str">
        <f>IF('Estado de costos'!D229=0,"",'Estado de costos'!D229)</f>
        <v/>
      </c>
      <c r="L199">
        <f>'Estado de costos'!E229</f>
        <v>0</v>
      </c>
      <c r="M199" s="6">
        <f t="shared" si="6"/>
        <v>0</v>
      </c>
      <c r="N199" s="6">
        <f>'Estado de costos'!J229</f>
        <v>0</v>
      </c>
      <c r="O199" s="6">
        <f>'Estado de costos'!K229</f>
        <v>0</v>
      </c>
      <c r="P199">
        <f t="shared" si="7"/>
        <v>0</v>
      </c>
    </row>
    <row r="200" spans="1:16" x14ac:dyDescent="0.25">
      <c r="A200" s="118"/>
      <c r="B200" s="118"/>
      <c r="C200" s="118"/>
      <c r="D200" s="118"/>
      <c r="E200" s="118"/>
      <c r="F200" s="120"/>
      <c r="J200" s="104">
        <f>'Estado de costos'!B230</f>
        <v>0</v>
      </c>
      <c r="K200" s="104" t="str">
        <f>IF('Estado de costos'!D230=0,"",'Estado de costos'!D230)</f>
        <v/>
      </c>
      <c r="L200">
        <f>'Estado de costos'!E230</f>
        <v>0</v>
      </c>
      <c r="M200" s="6">
        <f t="shared" si="6"/>
        <v>0</v>
      </c>
      <c r="N200" s="6">
        <f>'Estado de costos'!J230</f>
        <v>0</v>
      </c>
      <c r="O200" s="6">
        <f>'Estado de costos'!K230</f>
        <v>0</v>
      </c>
      <c r="P200">
        <f t="shared" si="7"/>
        <v>0</v>
      </c>
    </row>
    <row r="201" spans="1:16" x14ac:dyDescent="0.25">
      <c r="A201" s="118"/>
      <c r="B201" s="118"/>
      <c r="C201" s="118"/>
      <c r="D201" s="118"/>
      <c r="E201" s="118"/>
      <c r="F201" s="120"/>
      <c r="J201" s="104">
        <f>'Estado de costos'!B231</f>
        <v>0</v>
      </c>
      <c r="K201" s="104" t="str">
        <f>IF('Estado de costos'!D231=0,"",'Estado de costos'!D231)</f>
        <v/>
      </c>
      <c r="L201">
        <f>'Estado de costos'!E231</f>
        <v>0</v>
      </c>
      <c r="M201" s="6">
        <f t="shared" si="6"/>
        <v>0</v>
      </c>
      <c r="N201" s="6">
        <f>'Estado de costos'!J231</f>
        <v>0</v>
      </c>
      <c r="O201" s="6">
        <f>'Estado de costos'!K231</f>
        <v>0</v>
      </c>
      <c r="P201">
        <f t="shared" si="7"/>
        <v>0</v>
      </c>
    </row>
    <row r="202" spans="1:16" x14ac:dyDescent="0.25">
      <c r="A202" s="118"/>
      <c r="B202" s="118"/>
      <c r="C202" s="118"/>
      <c r="D202" s="118"/>
      <c r="E202" s="118"/>
      <c r="F202" s="120"/>
      <c r="J202" s="104">
        <f>'Estado de costos'!B232</f>
        <v>0</v>
      </c>
      <c r="K202" s="104" t="str">
        <f>IF('Estado de costos'!D232=0,"",'Estado de costos'!D232)</f>
        <v/>
      </c>
      <c r="L202">
        <f>'Estado de costos'!E232</f>
        <v>0</v>
      </c>
      <c r="M202" s="6">
        <f t="shared" si="6"/>
        <v>0</v>
      </c>
      <c r="N202" s="6">
        <f>'Estado de costos'!J232</f>
        <v>0</v>
      </c>
      <c r="O202" s="6">
        <f>'Estado de costos'!K232</f>
        <v>0</v>
      </c>
      <c r="P202">
        <f t="shared" si="7"/>
        <v>0</v>
      </c>
    </row>
    <row r="203" spans="1:16" x14ac:dyDescent="0.25">
      <c r="A203" s="118"/>
      <c r="B203" s="118"/>
      <c r="C203" s="118"/>
      <c r="D203" s="118"/>
      <c r="E203" s="118"/>
      <c r="F203" s="120"/>
      <c r="J203" s="104">
        <f>'Estado de costos'!B233</f>
        <v>0</v>
      </c>
      <c r="K203" s="104" t="str">
        <f>IF('Estado de costos'!D233=0,"",'Estado de costos'!D233)</f>
        <v/>
      </c>
      <c r="L203">
        <f>'Estado de costos'!E233</f>
        <v>0</v>
      </c>
      <c r="M203" s="6">
        <f t="shared" si="6"/>
        <v>0</v>
      </c>
      <c r="N203" s="6">
        <f>'Estado de costos'!J233</f>
        <v>0</v>
      </c>
      <c r="O203" s="6">
        <f>'Estado de costos'!K233</f>
        <v>0</v>
      </c>
      <c r="P203">
        <f t="shared" si="7"/>
        <v>0</v>
      </c>
    </row>
    <row r="204" spans="1:16" x14ac:dyDescent="0.25">
      <c r="A204" s="118"/>
      <c r="B204" s="118"/>
      <c r="C204" s="118"/>
      <c r="D204" s="118"/>
      <c r="E204" s="118"/>
      <c r="F204" s="120"/>
      <c r="J204" s="104">
        <f>'Estado de costos'!B234</f>
        <v>0</v>
      </c>
      <c r="K204" s="104" t="str">
        <f>IF('Estado de costos'!D234=0,"",'Estado de costos'!D234)</f>
        <v/>
      </c>
      <c r="L204">
        <f>'Estado de costos'!E234</f>
        <v>0</v>
      </c>
      <c r="M204" s="6">
        <f t="shared" si="6"/>
        <v>0</v>
      </c>
      <c r="N204" s="6">
        <f>'Estado de costos'!J234</f>
        <v>0</v>
      </c>
      <c r="O204" s="6">
        <f>'Estado de costos'!K234</f>
        <v>0</v>
      </c>
      <c r="P204">
        <f t="shared" si="7"/>
        <v>0</v>
      </c>
    </row>
    <row r="205" spans="1:16" x14ac:dyDescent="0.25">
      <c r="A205" s="118"/>
      <c r="B205" s="118"/>
      <c r="C205" s="118"/>
      <c r="D205" s="118"/>
      <c r="E205" s="118"/>
      <c r="F205" s="120"/>
      <c r="J205" s="104">
        <f>'Estado de costos'!B235</f>
        <v>0</v>
      </c>
      <c r="K205" s="104" t="str">
        <f>IF('Estado de costos'!D235=0,"",'Estado de costos'!D235)</f>
        <v/>
      </c>
      <c r="L205">
        <f>'Estado de costos'!E235</f>
        <v>0</v>
      </c>
      <c r="M205" s="6">
        <f t="shared" si="6"/>
        <v>0</v>
      </c>
      <c r="N205" s="6">
        <f>'Estado de costos'!J235</f>
        <v>0</v>
      </c>
      <c r="O205" s="6">
        <f>'Estado de costos'!K235</f>
        <v>0</v>
      </c>
      <c r="P205">
        <f t="shared" si="7"/>
        <v>0</v>
      </c>
    </row>
    <row r="206" spans="1:16" x14ac:dyDescent="0.25">
      <c r="A206" s="118"/>
      <c r="B206" s="118"/>
      <c r="C206" s="118"/>
      <c r="D206" s="118"/>
      <c r="E206" s="118"/>
      <c r="F206" s="120"/>
      <c r="J206" s="104">
        <f>'Estado de costos'!B236</f>
        <v>0</v>
      </c>
      <c r="K206" s="104" t="str">
        <f>IF('Estado de costos'!D236=0,"",'Estado de costos'!D236)</f>
        <v/>
      </c>
      <c r="L206">
        <f>'Estado de costos'!E236</f>
        <v>0</v>
      </c>
      <c r="M206" s="6">
        <f t="shared" si="6"/>
        <v>0</v>
      </c>
      <c r="N206" s="6">
        <f>'Estado de costos'!J236</f>
        <v>0</v>
      </c>
      <c r="O206" s="6">
        <f>'Estado de costos'!K236</f>
        <v>0</v>
      </c>
      <c r="P206">
        <f t="shared" si="7"/>
        <v>0</v>
      </c>
    </row>
    <row r="207" spans="1:16" x14ac:dyDescent="0.25">
      <c r="A207" s="118"/>
      <c r="B207" s="118"/>
      <c r="C207" s="118"/>
      <c r="D207" s="118"/>
      <c r="E207" s="118"/>
      <c r="F207" s="120"/>
      <c r="J207" s="104">
        <f>'Estado de costos'!B237</f>
        <v>0</v>
      </c>
      <c r="K207" s="104" t="str">
        <f>IF('Estado de costos'!D237=0,"",'Estado de costos'!D237)</f>
        <v/>
      </c>
      <c r="L207">
        <f>'Estado de costos'!E237</f>
        <v>0</v>
      </c>
      <c r="M207" s="6">
        <f t="shared" si="6"/>
        <v>0</v>
      </c>
      <c r="N207" s="6">
        <f>'Estado de costos'!J237</f>
        <v>0</v>
      </c>
      <c r="O207" s="6">
        <f>'Estado de costos'!K237</f>
        <v>0</v>
      </c>
      <c r="P207">
        <f t="shared" si="7"/>
        <v>0</v>
      </c>
    </row>
    <row r="208" spans="1:16" x14ac:dyDescent="0.25">
      <c r="A208" s="118"/>
      <c r="B208" s="118"/>
      <c r="C208" s="118"/>
      <c r="D208" s="118"/>
      <c r="E208" s="118"/>
      <c r="F208" s="120"/>
      <c r="J208" s="104">
        <f>'Estado de costos'!B238</f>
        <v>0</v>
      </c>
      <c r="K208" s="104" t="str">
        <f>IF('Estado de costos'!D238=0,"",'Estado de costos'!D238)</f>
        <v/>
      </c>
      <c r="L208">
        <f>'Estado de costos'!E238</f>
        <v>0</v>
      </c>
      <c r="M208" s="6">
        <f t="shared" si="6"/>
        <v>0</v>
      </c>
      <c r="N208" s="6">
        <f>'Estado de costos'!J238</f>
        <v>0</v>
      </c>
      <c r="O208" s="6">
        <f>'Estado de costos'!K238</f>
        <v>0</v>
      </c>
      <c r="P208">
        <f t="shared" si="7"/>
        <v>0</v>
      </c>
    </row>
    <row r="209" spans="1:16" x14ac:dyDescent="0.25">
      <c r="A209" s="118"/>
      <c r="B209" s="118"/>
      <c r="C209" s="118"/>
      <c r="D209" s="118"/>
      <c r="E209" s="118"/>
      <c r="F209" s="120"/>
      <c r="J209" s="104">
        <f>'Estado de costos'!B239</f>
        <v>0</v>
      </c>
      <c r="K209" s="104" t="str">
        <f>IF('Estado de costos'!D239=0,"",'Estado de costos'!D239)</f>
        <v/>
      </c>
      <c r="L209">
        <f>'Estado de costos'!E239</f>
        <v>0</v>
      </c>
      <c r="M209" s="6">
        <f t="shared" si="6"/>
        <v>0</v>
      </c>
      <c r="N209" s="6">
        <f>'Estado de costos'!J239</f>
        <v>0</v>
      </c>
      <c r="O209" s="6">
        <f>'Estado de costos'!K239</f>
        <v>0</v>
      </c>
      <c r="P209">
        <f t="shared" si="7"/>
        <v>0</v>
      </c>
    </row>
    <row r="210" spans="1:16" x14ac:dyDescent="0.25">
      <c r="A210" s="118"/>
      <c r="B210" s="118"/>
      <c r="C210" s="118"/>
      <c r="D210" s="118"/>
      <c r="E210" s="118"/>
      <c r="F210" s="120"/>
      <c r="J210" s="104">
        <f>'Estado de costos'!B240</f>
        <v>0</v>
      </c>
      <c r="K210" s="104" t="str">
        <f>IF('Estado de costos'!D240=0,"",'Estado de costos'!D240)</f>
        <v/>
      </c>
      <c r="L210">
        <f>'Estado de costos'!E240</f>
        <v>0</v>
      </c>
      <c r="M210" s="6">
        <f t="shared" si="6"/>
        <v>0</v>
      </c>
      <c r="N210" s="6">
        <f>'Estado de costos'!J240</f>
        <v>0</v>
      </c>
      <c r="O210" s="6">
        <f>'Estado de costos'!K240</f>
        <v>0</v>
      </c>
      <c r="P210">
        <f t="shared" si="7"/>
        <v>0</v>
      </c>
    </row>
    <row r="211" spans="1:16" x14ac:dyDescent="0.25">
      <c r="A211" s="118"/>
      <c r="B211" s="118"/>
      <c r="C211" s="118"/>
      <c r="D211" s="118"/>
      <c r="E211" s="118"/>
      <c r="F211" s="120"/>
      <c r="J211" s="104">
        <f>'Estado de costos'!B241</f>
        <v>0</v>
      </c>
      <c r="K211" s="104" t="str">
        <f>IF('Estado de costos'!D241=0,"",'Estado de costos'!D241)</f>
        <v/>
      </c>
      <c r="L211">
        <f>'Estado de costos'!E241</f>
        <v>0</v>
      </c>
      <c r="M211" s="6">
        <f t="shared" si="6"/>
        <v>0</v>
      </c>
      <c r="N211" s="6">
        <f>'Estado de costos'!J241</f>
        <v>0</v>
      </c>
      <c r="O211" s="6">
        <f>'Estado de costos'!K241</f>
        <v>0</v>
      </c>
      <c r="P211">
        <f t="shared" si="7"/>
        <v>0</v>
      </c>
    </row>
    <row r="212" spans="1:16" x14ac:dyDescent="0.25">
      <c r="A212" s="118"/>
      <c r="B212" s="118"/>
      <c r="C212" s="118"/>
      <c r="D212" s="118"/>
      <c r="E212" s="118"/>
      <c r="F212" s="120"/>
      <c r="J212" s="104">
        <f>'Estado de costos'!B242</f>
        <v>0</v>
      </c>
      <c r="K212" s="104" t="str">
        <f>IF('Estado de costos'!D242=0,"",'Estado de costos'!D242)</f>
        <v/>
      </c>
      <c r="L212">
        <f>'Estado de costos'!E242</f>
        <v>0</v>
      </c>
      <c r="M212" s="6">
        <f t="shared" si="6"/>
        <v>0</v>
      </c>
      <c r="N212" s="6">
        <f>'Estado de costos'!J242</f>
        <v>0</v>
      </c>
      <c r="O212" s="6">
        <f>'Estado de costos'!K242</f>
        <v>0</v>
      </c>
      <c r="P212">
        <f t="shared" si="7"/>
        <v>0</v>
      </c>
    </row>
    <row r="213" spans="1:16" x14ac:dyDescent="0.25">
      <c r="A213" s="118"/>
      <c r="B213" s="118"/>
      <c r="C213" s="118"/>
      <c r="D213" s="118"/>
      <c r="E213" s="118"/>
      <c r="F213" s="120"/>
      <c r="J213" s="104">
        <f>'Estado de costos'!B243</f>
        <v>0</v>
      </c>
      <c r="K213" s="104" t="str">
        <f>IF('Estado de costos'!D243=0,"",'Estado de costos'!D243)</f>
        <v/>
      </c>
      <c r="L213">
        <f>'Estado de costos'!E243</f>
        <v>0</v>
      </c>
      <c r="M213" s="6">
        <f t="shared" si="6"/>
        <v>0</v>
      </c>
      <c r="N213" s="6">
        <f>'Estado de costos'!J243</f>
        <v>0</v>
      </c>
      <c r="O213" s="6">
        <f>'Estado de costos'!K243</f>
        <v>0</v>
      </c>
      <c r="P213">
        <f t="shared" si="7"/>
        <v>0</v>
      </c>
    </row>
    <row r="214" spans="1:16" x14ac:dyDescent="0.25">
      <c r="A214" s="118"/>
      <c r="B214" s="118"/>
      <c r="C214" s="118"/>
      <c r="D214" s="118"/>
      <c r="E214" s="118"/>
      <c r="F214" s="120"/>
      <c r="J214" s="104">
        <f>'Estado de costos'!B244</f>
        <v>0</v>
      </c>
      <c r="K214" s="104" t="str">
        <f>IF('Estado de costos'!D244=0,"",'Estado de costos'!D244)</f>
        <v/>
      </c>
      <c r="L214">
        <f>'Estado de costos'!E244</f>
        <v>0</v>
      </c>
      <c r="M214" s="6">
        <f t="shared" si="6"/>
        <v>0</v>
      </c>
      <c r="N214" s="6">
        <f>'Estado de costos'!J244</f>
        <v>0</v>
      </c>
      <c r="O214" s="6">
        <f>'Estado de costos'!K244</f>
        <v>0</v>
      </c>
      <c r="P214">
        <f t="shared" si="7"/>
        <v>0</v>
      </c>
    </row>
    <row r="215" spans="1:16" x14ac:dyDescent="0.25">
      <c r="A215" s="118"/>
      <c r="B215" s="118"/>
      <c r="C215" s="118"/>
      <c r="D215" s="118"/>
      <c r="E215" s="118"/>
      <c r="F215" s="120"/>
      <c r="J215" s="104">
        <f>'Estado de costos'!B245</f>
        <v>0</v>
      </c>
      <c r="K215" s="104" t="str">
        <f>IF('Estado de costos'!D245=0,"",'Estado de costos'!D245)</f>
        <v/>
      </c>
      <c r="L215">
        <f>'Estado de costos'!E245</f>
        <v>0</v>
      </c>
      <c r="M215" s="6">
        <f t="shared" si="6"/>
        <v>0</v>
      </c>
      <c r="N215" s="6">
        <f>'Estado de costos'!J245</f>
        <v>0</v>
      </c>
      <c r="O215" s="6">
        <f>'Estado de costos'!K245</f>
        <v>0</v>
      </c>
      <c r="P215">
        <f t="shared" si="7"/>
        <v>0</v>
      </c>
    </row>
    <row r="216" spans="1:16" x14ac:dyDescent="0.25">
      <c r="A216" s="118"/>
      <c r="B216" s="118"/>
      <c r="C216" s="118"/>
      <c r="D216" s="118"/>
      <c r="E216" s="118"/>
      <c r="F216" s="120"/>
      <c r="J216" s="104">
        <f>'Estado de costos'!B246</f>
        <v>0</v>
      </c>
      <c r="K216" s="104" t="str">
        <f>IF('Estado de costos'!D246=0,"",'Estado de costos'!D246)</f>
        <v/>
      </c>
      <c r="L216">
        <f>'Estado de costos'!E246</f>
        <v>0</v>
      </c>
      <c r="M216" s="6">
        <f t="shared" si="6"/>
        <v>0</v>
      </c>
      <c r="N216" s="6">
        <f>'Estado de costos'!J246</f>
        <v>0</v>
      </c>
      <c r="O216" s="6">
        <f>'Estado de costos'!K246</f>
        <v>0</v>
      </c>
      <c r="P216">
        <f t="shared" si="7"/>
        <v>0</v>
      </c>
    </row>
    <row r="217" spans="1:16" x14ac:dyDescent="0.25">
      <c r="A217" s="118"/>
      <c r="B217" s="118"/>
      <c r="C217" s="118"/>
      <c r="D217" s="118"/>
      <c r="E217" s="118"/>
      <c r="F217" s="120"/>
      <c r="J217" s="104">
        <f>'Estado de costos'!B247</f>
        <v>0</v>
      </c>
      <c r="K217" s="104" t="str">
        <f>IF('Estado de costos'!D247=0,"",'Estado de costos'!D247)</f>
        <v/>
      </c>
      <c r="L217">
        <f>'Estado de costos'!E247</f>
        <v>0</v>
      </c>
      <c r="M217" s="6">
        <f t="shared" si="6"/>
        <v>0</v>
      </c>
      <c r="N217" s="6">
        <f>'Estado de costos'!J247</f>
        <v>0</v>
      </c>
      <c r="O217" s="6">
        <f>'Estado de costos'!K247</f>
        <v>0</v>
      </c>
      <c r="P217">
        <f t="shared" si="7"/>
        <v>0</v>
      </c>
    </row>
    <row r="218" spans="1:16" x14ac:dyDescent="0.25">
      <c r="A218" s="118"/>
      <c r="B218" s="118"/>
      <c r="C218" s="118"/>
      <c r="D218" s="118"/>
      <c r="E218" s="118"/>
      <c r="F218" s="120"/>
      <c r="J218" s="104">
        <f>'Estado de costos'!B248</f>
        <v>0</v>
      </c>
      <c r="K218" s="104" t="str">
        <f>IF('Estado de costos'!D248=0,"",'Estado de costos'!D248)</f>
        <v/>
      </c>
      <c r="L218">
        <f>'Estado de costos'!E248</f>
        <v>0</v>
      </c>
      <c r="M218" s="6">
        <f t="shared" si="6"/>
        <v>0</v>
      </c>
      <c r="N218" s="6">
        <f>'Estado de costos'!J248</f>
        <v>0</v>
      </c>
      <c r="O218" s="6">
        <f>'Estado de costos'!K248</f>
        <v>0</v>
      </c>
      <c r="P218">
        <f t="shared" si="7"/>
        <v>0</v>
      </c>
    </row>
    <row r="219" spans="1:16" x14ac:dyDescent="0.25">
      <c r="A219" s="118"/>
      <c r="B219" s="118"/>
      <c r="C219" s="118"/>
      <c r="D219" s="118"/>
      <c r="E219" s="118"/>
      <c r="F219" s="120"/>
      <c r="J219" s="104">
        <f>'Estado de costos'!B249</f>
        <v>0</v>
      </c>
      <c r="K219" s="104" t="str">
        <f>IF('Estado de costos'!D249=0,"",'Estado de costos'!D249)</f>
        <v/>
      </c>
      <c r="L219">
        <f>'Estado de costos'!E249</f>
        <v>0</v>
      </c>
      <c r="M219" s="6">
        <f t="shared" si="6"/>
        <v>0</v>
      </c>
      <c r="N219" s="6">
        <f>'Estado de costos'!J249</f>
        <v>0</v>
      </c>
      <c r="O219" s="6">
        <f>'Estado de costos'!K249</f>
        <v>0</v>
      </c>
      <c r="P219">
        <f t="shared" si="7"/>
        <v>0</v>
      </c>
    </row>
    <row r="220" spans="1:16" x14ac:dyDescent="0.25">
      <c r="A220" s="118"/>
      <c r="B220" s="118"/>
      <c r="C220" s="118"/>
      <c r="D220" s="118"/>
      <c r="E220" s="118"/>
      <c r="F220" s="120"/>
      <c r="J220" s="104">
        <f>'Estado de costos'!B250</f>
        <v>0</v>
      </c>
      <c r="K220" s="104" t="str">
        <f>IF('Estado de costos'!D250=0,"",'Estado de costos'!D250)</f>
        <v/>
      </c>
      <c r="L220">
        <f>'Estado de costos'!E250</f>
        <v>0</v>
      </c>
      <c r="M220" s="6">
        <f t="shared" si="6"/>
        <v>0</v>
      </c>
      <c r="N220" s="6">
        <f>'Estado de costos'!J250</f>
        <v>0</v>
      </c>
      <c r="O220" s="6">
        <f>'Estado de costos'!K250</f>
        <v>0</v>
      </c>
      <c r="P220">
        <f t="shared" si="7"/>
        <v>0</v>
      </c>
    </row>
    <row r="221" spans="1:16" x14ac:dyDescent="0.25">
      <c r="A221" s="118"/>
      <c r="B221" s="118"/>
      <c r="C221" s="118"/>
      <c r="D221" s="118"/>
      <c r="E221" s="118"/>
      <c r="F221" s="120"/>
      <c r="J221" s="104">
        <f>'Estado de costos'!B251</f>
        <v>0</v>
      </c>
      <c r="K221" s="104" t="str">
        <f>IF('Estado de costos'!D251=0,"",'Estado de costos'!D251)</f>
        <v/>
      </c>
      <c r="L221">
        <f>'Estado de costos'!E251</f>
        <v>0</v>
      </c>
      <c r="M221" s="6">
        <f t="shared" si="6"/>
        <v>0</v>
      </c>
      <c r="N221" s="6">
        <f>'Estado de costos'!J251</f>
        <v>0</v>
      </c>
      <c r="O221" s="6">
        <f>'Estado de costos'!K251</f>
        <v>0</v>
      </c>
      <c r="P221">
        <f t="shared" si="7"/>
        <v>0</v>
      </c>
    </row>
    <row r="222" spans="1:16" x14ac:dyDescent="0.25">
      <c r="A222" s="118"/>
      <c r="B222" s="118"/>
      <c r="C222" s="118"/>
      <c r="D222" s="118"/>
      <c r="E222" s="118"/>
      <c r="F222" s="120"/>
      <c r="J222" s="104">
        <f>'Estado de costos'!B252</f>
        <v>0</v>
      </c>
      <c r="K222" s="104" t="str">
        <f>IF('Estado de costos'!D252=0,"",'Estado de costos'!D252)</f>
        <v/>
      </c>
      <c r="L222">
        <f>'Estado de costos'!E252</f>
        <v>0</v>
      </c>
      <c r="M222" s="6">
        <f t="shared" si="6"/>
        <v>0</v>
      </c>
      <c r="N222" s="6">
        <f>'Estado de costos'!J252</f>
        <v>0</v>
      </c>
      <c r="O222" s="6">
        <f>'Estado de costos'!K252</f>
        <v>0</v>
      </c>
      <c r="P222">
        <f t="shared" si="7"/>
        <v>0</v>
      </c>
    </row>
    <row r="223" spans="1:16" x14ac:dyDescent="0.25">
      <c r="A223" s="118"/>
      <c r="B223" s="118"/>
      <c r="C223" s="118"/>
      <c r="D223" s="118"/>
      <c r="E223" s="118"/>
      <c r="F223" s="120"/>
      <c r="J223" s="104">
        <f>'Estado de costos'!B253</f>
        <v>0</v>
      </c>
      <c r="K223" s="104" t="str">
        <f>IF('Estado de costos'!D253=0,"",'Estado de costos'!D253)</f>
        <v/>
      </c>
      <c r="L223">
        <f>'Estado de costos'!E253</f>
        <v>0</v>
      </c>
      <c r="M223" s="6">
        <f t="shared" si="6"/>
        <v>0</v>
      </c>
      <c r="N223" s="6">
        <f>'Estado de costos'!J253</f>
        <v>0</v>
      </c>
      <c r="O223" s="6">
        <f>'Estado de costos'!K253</f>
        <v>0</v>
      </c>
      <c r="P223">
        <f t="shared" si="7"/>
        <v>0</v>
      </c>
    </row>
    <row r="224" spans="1:16" x14ac:dyDescent="0.25">
      <c r="A224" s="118"/>
      <c r="B224" s="118"/>
      <c r="C224" s="118"/>
      <c r="D224" s="118"/>
      <c r="E224" s="118"/>
      <c r="F224" s="120"/>
      <c r="J224" s="104">
        <f>'Estado de costos'!B254</f>
        <v>0</v>
      </c>
      <c r="K224" s="104" t="str">
        <f>IF('Estado de costos'!D254=0,"",'Estado de costos'!D254)</f>
        <v/>
      </c>
      <c r="L224">
        <f>'Estado de costos'!E254</f>
        <v>0</v>
      </c>
      <c r="M224" s="6">
        <f t="shared" si="6"/>
        <v>0</v>
      </c>
      <c r="N224" s="6">
        <f>'Estado de costos'!J254</f>
        <v>0</v>
      </c>
      <c r="O224" s="6">
        <f>'Estado de costos'!K254</f>
        <v>0</v>
      </c>
      <c r="P224">
        <f t="shared" si="7"/>
        <v>0</v>
      </c>
    </row>
    <row r="225" spans="1:16" x14ac:dyDescent="0.25">
      <c r="A225" s="118"/>
      <c r="B225" s="118"/>
      <c r="C225" s="118"/>
      <c r="D225" s="118"/>
      <c r="E225" s="118"/>
      <c r="F225" s="120"/>
      <c r="J225" s="104">
        <f>'Estado de costos'!B255</f>
        <v>0</v>
      </c>
      <c r="K225" s="104" t="str">
        <f>IF('Estado de costos'!D255=0,"",'Estado de costos'!D255)</f>
        <v/>
      </c>
      <c r="L225">
        <f>'Estado de costos'!E255</f>
        <v>0</v>
      </c>
      <c r="M225" s="6">
        <f t="shared" si="6"/>
        <v>0</v>
      </c>
      <c r="N225" s="6">
        <f>'Estado de costos'!J255</f>
        <v>0</v>
      </c>
      <c r="O225" s="6">
        <f>'Estado de costos'!K255</f>
        <v>0</v>
      </c>
      <c r="P225">
        <f t="shared" si="7"/>
        <v>0</v>
      </c>
    </row>
    <row r="226" spans="1:16" x14ac:dyDescent="0.25">
      <c r="A226" s="118"/>
      <c r="B226" s="118"/>
      <c r="C226" s="118"/>
      <c r="D226" s="118"/>
      <c r="E226" s="118"/>
      <c r="F226" s="120"/>
      <c r="J226" s="104">
        <f>'Estado de costos'!B256</f>
        <v>0</v>
      </c>
      <c r="K226" s="104" t="str">
        <f>IF('Estado de costos'!D256=0,"",'Estado de costos'!D256)</f>
        <v/>
      </c>
      <c r="L226">
        <f>'Estado de costos'!E256</f>
        <v>0</v>
      </c>
      <c r="M226" s="6">
        <f t="shared" si="6"/>
        <v>0</v>
      </c>
      <c r="N226" s="6">
        <f>'Estado de costos'!J256</f>
        <v>0</v>
      </c>
      <c r="O226" s="6">
        <f>'Estado de costos'!K256</f>
        <v>0</v>
      </c>
      <c r="P226">
        <f t="shared" si="7"/>
        <v>0</v>
      </c>
    </row>
    <row r="227" spans="1:16" x14ac:dyDescent="0.25">
      <c r="A227" s="118"/>
      <c r="B227" s="118"/>
      <c r="C227" s="118"/>
      <c r="D227" s="118"/>
      <c r="E227" s="118"/>
      <c r="F227" s="120"/>
      <c r="J227" s="104">
        <f>'Estado de costos'!B257</f>
        <v>0</v>
      </c>
      <c r="K227" s="104" t="str">
        <f>IF('Estado de costos'!D257=0,"",'Estado de costos'!D257)</f>
        <v/>
      </c>
      <c r="L227">
        <f>'Estado de costos'!E257</f>
        <v>0</v>
      </c>
      <c r="M227" s="6">
        <f t="shared" si="6"/>
        <v>0</v>
      </c>
      <c r="N227" s="6">
        <f>'Estado de costos'!J257</f>
        <v>0</v>
      </c>
      <c r="O227" s="6">
        <f>'Estado de costos'!K257</f>
        <v>0</v>
      </c>
      <c r="P227">
        <f t="shared" si="7"/>
        <v>0</v>
      </c>
    </row>
    <row r="228" spans="1:16" x14ac:dyDescent="0.25">
      <c r="A228" s="118"/>
      <c r="B228" s="118"/>
      <c r="C228" s="118"/>
      <c r="D228" s="118"/>
      <c r="E228" s="118"/>
      <c r="F228" s="120"/>
      <c r="J228" s="104">
        <f>'Estado de costos'!B258</f>
        <v>0</v>
      </c>
      <c r="K228" s="104" t="str">
        <f>IF('Estado de costos'!D258=0,"",'Estado de costos'!D258)</f>
        <v/>
      </c>
      <c r="L228">
        <f>'Estado de costos'!E258</f>
        <v>0</v>
      </c>
      <c r="M228" s="6">
        <f t="shared" si="6"/>
        <v>0</v>
      </c>
      <c r="N228" s="6">
        <f>'Estado de costos'!J258</f>
        <v>0</v>
      </c>
      <c r="O228" s="6">
        <f>'Estado de costos'!K258</f>
        <v>0</v>
      </c>
      <c r="P228">
        <f t="shared" si="7"/>
        <v>0</v>
      </c>
    </row>
    <row r="229" spans="1:16" x14ac:dyDescent="0.25">
      <c r="A229" s="118"/>
      <c r="B229" s="118"/>
      <c r="C229" s="118"/>
      <c r="D229" s="118"/>
      <c r="E229" s="118"/>
      <c r="F229" s="120"/>
      <c r="J229" s="104">
        <f>'Estado de costos'!B259</f>
        <v>0</v>
      </c>
      <c r="K229" s="104" t="str">
        <f>IF('Estado de costos'!D259=0,"",'Estado de costos'!D259)</f>
        <v/>
      </c>
      <c r="L229">
        <f>'Estado de costos'!E259</f>
        <v>0</v>
      </c>
      <c r="M229" s="6">
        <f t="shared" si="6"/>
        <v>0</v>
      </c>
      <c r="N229" s="6">
        <f>'Estado de costos'!J259</f>
        <v>0</v>
      </c>
      <c r="O229" s="6">
        <f>'Estado de costos'!K259</f>
        <v>0</v>
      </c>
      <c r="P229">
        <f t="shared" si="7"/>
        <v>0</v>
      </c>
    </row>
    <row r="230" spans="1:16" x14ac:dyDescent="0.25">
      <c r="A230" s="118"/>
      <c r="B230" s="118"/>
      <c r="C230" s="118"/>
      <c r="D230" s="118"/>
      <c r="E230" s="118"/>
      <c r="F230" s="120"/>
      <c r="J230" s="104">
        <f>'Estado de costos'!B260</f>
        <v>0</v>
      </c>
      <c r="K230" s="104" t="str">
        <f>IF('Estado de costos'!D260=0,"",'Estado de costos'!D260)</f>
        <v/>
      </c>
      <c r="L230">
        <f>'Estado de costos'!E260</f>
        <v>0</v>
      </c>
      <c r="M230" s="6">
        <f t="shared" si="6"/>
        <v>0</v>
      </c>
      <c r="N230" s="6">
        <f>'Estado de costos'!J260</f>
        <v>0</v>
      </c>
      <c r="O230" s="6">
        <f>'Estado de costos'!K260</f>
        <v>0</v>
      </c>
      <c r="P230">
        <f t="shared" si="7"/>
        <v>0</v>
      </c>
    </row>
    <row r="231" spans="1:16" x14ac:dyDescent="0.25">
      <c r="A231" s="118"/>
      <c r="B231" s="118"/>
      <c r="C231" s="118"/>
      <c r="D231" s="118"/>
      <c r="E231" s="118"/>
      <c r="F231" s="120"/>
      <c r="J231" s="104">
        <f>'Estado de costos'!B261</f>
        <v>0</v>
      </c>
      <c r="K231" s="104" t="str">
        <f>IF('Estado de costos'!D261=0,"",'Estado de costos'!D261)</f>
        <v/>
      </c>
      <c r="L231">
        <f>'Estado de costos'!E261</f>
        <v>0</v>
      </c>
      <c r="M231" s="6">
        <f t="shared" si="6"/>
        <v>0</v>
      </c>
      <c r="N231" s="6">
        <f>'Estado de costos'!J261</f>
        <v>0</v>
      </c>
      <c r="O231" s="6">
        <f>'Estado de costos'!K261</f>
        <v>0</v>
      </c>
      <c r="P231">
        <f t="shared" si="7"/>
        <v>0</v>
      </c>
    </row>
    <row r="232" spans="1:16" x14ac:dyDescent="0.25">
      <c r="A232" s="118"/>
      <c r="B232" s="118"/>
      <c r="C232" s="118"/>
      <c r="D232" s="118"/>
      <c r="E232" s="118"/>
      <c r="F232" s="120"/>
      <c r="J232" s="104">
        <f>'Estado de costos'!B262</f>
        <v>0</v>
      </c>
      <c r="K232" s="104" t="str">
        <f>IF('Estado de costos'!D262=0,"",'Estado de costos'!D262)</f>
        <v/>
      </c>
      <c r="L232">
        <f>'Estado de costos'!E262</f>
        <v>0</v>
      </c>
      <c r="M232" s="6">
        <f t="shared" si="6"/>
        <v>0</v>
      </c>
      <c r="N232" s="6">
        <f>'Estado de costos'!J262</f>
        <v>0</v>
      </c>
      <c r="O232" s="6">
        <f>'Estado de costos'!K262</f>
        <v>0</v>
      </c>
      <c r="P232">
        <f t="shared" si="7"/>
        <v>0</v>
      </c>
    </row>
    <row r="233" spans="1:16" x14ac:dyDescent="0.25">
      <c r="A233" s="118"/>
      <c r="B233" s="118"/>
      <c r="C233" s="118"/>
      <c r="D233" s="118"/>
      <c r="E233" s="118"/>
      <c r="F233" s="120"/>
      <c r="J233" s="104">
        <f>'Estado de costos'!B263</f>
        <v>0</v>
      </c>
      <c r="K233" s="104" t="str">
        <f>IF('Estado de costos'!D263=0,"",'Estado de costos'!D263)</f>
        <v/>
      </c>
      <c r="L233">
        <f>'Estado de costos'!E263</f>
        <v>0</v>
      </c>
      <c r="M233" s="6">
        <f t="shared" si="6"/>
        <v>0</v>
      </c>
      <c r="N233" s="6">
        <f>'Estado de costos'!J263</f>
        <v>0</v>
      </c>
      <c r="O233" s="6">
        <f>'Estado de costos'!K263</f>
        <v>0</v>
      </c>
      <c r="P233">
        <f t="shared" si="7"/>
        <v>0</v>
      </c>
    </row>
    <row r="234" spans="1:16" x14ac:dyDescent="0.25">
      <c r="A234" s="118"/>
      <c r="B234" s="118"/>
      <c r="C234" s="118"/>
      <c r="D234" s="118"/>
      <c r="E234" s="118"/>
      <c r="F234" s="120"/>
      <c r="J234" s="104">
        <f>'Estado de costos'!B264</f>
        <v>0</v>
      </c>
      <c r="K234" s="104" t="str">
        <f>IF('Estado de costos'!D264=0,"",'Estado de costos'!D264)</f>
        <v/>
      </c>
      <c r="L234">
        <f>'Estado de costos'!E264</f>
        <v>0</v>
      </c>
      <c r="M234" s="6">
        <f t="shared" si="6"/>
        <v>0</v>
      </c>
      <c r="N234" s="6">
        <f>'Estado de costos'!J264</f>
        <v>0</v>
      </c>
      <c r="O234" s="6">
        <f>'Estado de costos'!K264</f>
        <v>0</v>
      </c>
      <c r="P234">
        <f t="shared" si="7"/>
        <v>0</v>
      </c>
    </row>
    <row r="235" spans="1:16" x14ac:dyDescent="0.25">
      <c r="A235" s="118"/>
      <c r="B235" s="118"/>
      <c r="C235" s="118"/>
      <c r="D235" s="118"/>
      <c r="E235" s="118"/>
      <c r="F235" s="120"/>
      <c r="J235" s="104">
        <f>'Estado de costos'!B265</f>
        <v>0</v>
      </c>
      <c r="K235" s="104" t="str">
        <f>IF('Estado de costos'!D265=0,"",'Estado de costos'!D265)</f>
        <v/>
      </c>
      <c r="L235">
        <f>'Estado de costos'!E265</f>
        <v>0</v>
      </c>
      <c r="M235" s="6">
        <f t="shared" si="6"/>
        <v>0</v>
      </c>
      <c r="N235" s="6">
        <f>'Estado de costos'!J265</f>
        <v>0</v>
      </c>
      <c r="O235" s="6">
        <f>'Estado de costos'!K265</f>
        <v>0</v>
      </c>
      <c r="P235">
        <f t="shared" si="7"/>
        <v>0</v>
      </c>
    </row>
    <row r="236" spans="1:16" x14ac:dyDescent="0.25">
      <c r="A236" s="118"/>
      <c r="B236" s="118"/>
      <c r="C236" s="118"/>
      <c r="D236" s="118"/>
      <c r="E236" s="118"/>
      <c r="F236" s="120"/>
      <c r="J236" s="104">
        <f>'Estado de costos'!B266</f>
        <v>0</v>
      </c>
      <c r="K236" s="104" t="str">
        <f>IF('Estado de costos'!D266=0,"",'Estado de costos'!D266)</f>
        <v/>
      </c>
      <c r="L236">
        <f>'Estado de costos'!E266</f>
        <v>0</v>
      </c>
      <c r="M236" s="6">
        <f t="shared" si="6"/>
        <v>0</v>
      </c>
      <c r="N236" s="6">
        <f>'Estado de costos'!J266</f>
        <v>0</v>
      </c>
      <c r="O236" s="6">
        <f>'Estado de costos'!K266</f>
        <v>0</v>
      </c>
      <c r="P236">
        <f t="shared" si="7"/>
        <v>0</v>
      </c>
    </row>
    <row r="237" spans="1:16" x14ac:dyDescent="0.25">
      <c r="A237" s="118"/>
      <c r="B237" s="118"/>
      <c r="C237" s="118"/>
      <c r="D237" s="118"/>
      <c r="E237" s="118"/>
      <c r="F237" s="120"/>
      <c r="J237" s="104">
        <f>'Estado de costos'!B267</f>
        <v>0</v>
      </c>
      <c r="K237" s="104" t="str">
        <f>IF('Estado de costos'!D267=0,"",'Estado de costos'!D267)</f>
        <v/>
      </c>
      <c r="L237">
        <f>'Estado de costos'!E267</f>
        <v>0</v>
      </c>
      <c r="M237" s="6">
        <f t="shared" si="6"/>
        <v>0</v>
      </c>
      <c r="N237" s="6">
        <f>'Estado de costos'!J267</f>
        <v>0</v>
      </c>
      <c r="O237" s="6">
        <f>'Estado de costos'!K267</f>
        <v>0</v>
      </c>
      <c r="P237">
        <f t="shared" si="7"/>
        <v>0</v>
      </c>
    </row>
    <row r="238" spans="1:16" x14ac:dyDescent="0.25">
      <c r="A238" s="118"/>
      <c r="B238" s="118"/>
      <c r="C238" s="118"/>
      <c r="D238" s="118"/>
      <c r="E238" s="118"/>
      <c r="F238" s="120"/>
      <c r="J238" s="104">
        <f>'Estado de costos'!B268</f>
        <v>0</v>
      </c>
      <c r="K238" s="104" t="str">
        <f>IF('Estado de costos'!D268=0,"",'Estado de costos'!D268)</f>
        <v/>
      </c>
      <c r="L238">
        <f>'Estado de costos'!E268</f>
        <v>0</v>
      </c>
      <c r="M238" s="6">
        <f t="shared" si="6"/>
        <v>0</v>
      </c>
      <c r="N238" s="6">
        <f>'Estado de costos'!J268</f>
        <v>0</v>
      </c>
      <c r="O238" s="6">
        <f>'Estado de costos'!K268</f>
        <v>0</v>
      </c>
      <c r="P238">
        <f t="shared" si="7"/>
        <v>0</v>
      </c>
    </row>
    <row r="239" spans="1:16" x14ac:dyDescent="0.25">
      <c r="A239" s="118"/>
      <c r="B239" s="118"/>
      <c r="C239" s="118"/>
      <c r="D239" s="118"/>
      <c r="E239" s="118"/>
      <c r="F239" s="120"/>
      <c r="J239" s="104">
        <f>'Estado de costos'!B269</f>
        <v>0</v>
      </c>
      <c r="K239" s="104" t="str">
        <f>IF('Estado de costos'!D269=0,"",'Estado de costos'!D269)</f>
        <v/>
      </c>
      <c r="L239">
        <f>'Estado de costos'!E269</f>
        <v>0</v>
      </c>
      <c r="M239" s="6">
        <f t="shared" si="6"/>
        <v>0</v>
      </c>
      <c r="N239" s="6">
        <f>'Estado de costos'!J269</f>
        <v>0</v>
      </c>
      <c r="O239" s="6">
        <f>'Estado de costos'!K269</f>
        <v>0</v>
      </c>
      <c r="P239">
        <f t="shared" si="7"/>
        <v>0</v>
      </c>
    </row>
    <row r="240" spans="1:16" x14ac:dyDescent="0.25">
      <c r="A240" s="118"/>
      <c r="B240" s="118"/>
      <c r="C240" s="118"/>
      <c r="D240" s="118"/>
      <c r="E240" s="118"/>
      <c r="F240" s="120"/>
      <c r="J240" s="104">
        <f>'Estado de costos'!B270</f>
        <v>0</v>
      </c>
      <c r="K240" s="104" t="str">
        <f>IF('Estado de costos'!D270=0,"",'Estado de costos'!D270)</f>
        <v/>
      </c>
      <c r="L240">
        <f>'Estado de costos'!E270</f>
        <v>0</v>
      </c>
      <c r="M240" s="6">
        <f t="shared" si="6"/>
        <v>0</v>
      </c>
      <c r="N240" s="6">
        <f>'Estado de costos'!J270</f>
        <v>0</v>
      </c>
      <c r="O240" s="6">
        <f>'Estado de costos'!K270</f>
        <v>0</v>
      </c>
      <c r="P240">
        <f t="shared" si="7"/>
        <v>0</v>
      </c>
    </row>
    <row r="241" spans="1:16" x14ac:dyDescent="0.25">
      <c r="A241" s="118"/>
      <c r="B241" s="118"/>
      <c r="C241" s="118"/>
      <c r="D241" s="118"/>
      <c r="E241" s="118"/>
      <c r="F241" s="120"/>
      <c r="J241" s="104">
        <f>'Estado de costos'!B271</f>
        <v>0</v>
      </c>
      <c r="K241" s="104" t="str">
        <f>IF('Estado de costos'!D271=0,"",'Estado de costos'!D271)</f>
        <v/>
      </c>
      <c r="L241">
        <f>'Estado de costos'!E271</f>
        <v>0</v>
      </c>
      <c r="M241" s="6">
        <f t="shared" si="6"/>
        <v>0</v>
      </c>
      <c r="N241" s="6">
        <f>'Estado de costos'!J271</f>
        <v>0</v>
      </c>
      <c r="O241" s="6">
        <f>'Estado de costos'!K271</f>
        <v>0</v>
      </c>
      <c r="P241">
        <f t="shared" si="7"/>
        <v>0</v>
      </c>
    </row>
    <row r="242" spans="1:16" x14ac:dyDescent="0.25">
      <c r="A242" s="118"/>
      <c r="B242" s="118"/>
      <c r="C242" s="118"/>
      <c r="D242" s="118"/>
      <c r="E242" s="118"/>
      <c r="F242" s="120"/>
      <c r="J242" s="104">
        <f>'Estado de costos'!B272</f>
        <v>0</v>
      </c>
      <c r="K242" s="104" t="str">
        <f>IF('Estado de costos'!D272=0,"",'Estado de costos'!D272)</f>
        <v/>
      </c>
      <c r="L242">
        <f>'Estado de costos'!E272</f>
        <v>0</v>
      </c>
      <c r="M242" s="6">
        <f t="shared" si="6"/>
        <v>0</v>
      </c>
      <c r="N242" s="6">
        <f>'Estado de costos'!J272</f>
        <v>0</v>
      </c>
      <c r="O242" s="6">
        <f>'Estado de costos'!K272</f>
        <v>0</v>
      </c>
      <c r="P242">
        <f t="shared" si="7"/>
        <v>0</v>
      </c>
    </row>
    <row r="243" spans="1:16" x14ac:dyDescent="0.25">
      <c r="A243" s="118"/>
      <c r="B243" s="118"/>
      <c r="C243" s="118"/>
      <c r="D243" s="118"/>
      <c r="E243" s="118"/>
      <c r="F243" s="120"/>
      <c r="J243" s="104">
        <f>'Estado de costos'!B273</f>
        <v>0</v>
      </c>
      <c r="K243" s="104" t="str">
        <f>IF('Estado de costos'!D273=0,"",'Estado de costos'!D273)</f>
        <v/>
      </c>
      <c r="L243">
        <f>'Estado de costos'!E273</f>
        <v>0</v>
      </c>
      <c r="M243" s="6">
        <f t="shared" si="6"/>
        <v>0</v>
      </c>
      <c r="N243" s="6">
        <f>'Estado de costos'!J273</f>
        <v>0</v>
      </c>
      <c r="O243" s="6">
        <f>'Estado de costos'!K273</f>
        <v>0</v>
      </c>
      <c r="P243">
        <f t="shared" si="7"/>
        <v>0</v>
      </c>
    </row>
    <row r="244" spans="1:16" x14ac:dyDescent="0.25">
      <c r="A244" s="118"/>
      <c r="B244" s="118"/>
      <c r="C244" s="118"/>
      <c r="D244" s="118"/>
      <c r="E244" s="118"/>
      <c r="F244" s="120"/>
      <c r="J244" s="104">
        <f>'Estado de costos'!B274</f>
        <v>0</v>
      </c>
      <c r="K244" s="104" t="str">
        <f>IF('Estado de costos'!D274=0,"",'Estado de costos'!D274)</f>
        <v/>
      </c>
      <c r="L244">
        <f>'Estado de costos'!E274</f>
        <v>0</v>
      </c>
      <c r="M244" s="6">
        <f t="shared" si="6"/>
        <v>0</v>
      </c>
      <c r="N244" s="6">
        <f>'Estado de costos'!J274</f>
        <v>0</v>
      </c>
      <c r="O244" s="6">
        <f>'Estado de costos'!K274</f>
        <v>0</v>
      </c>
      <c r="P244">
        <f t="shared" si="7"/>
        <v>0</v>
      </c>
    </row>
    <row r="245" spans="1:16" x14ac:dyDescent="0.25">
      <c r="A245" s="118"/>
      <c r="B245" s="118"/>
      <c r="C245" s="118"/>
      <c r="D245" s="118"/>
      <c r="E245" s="118"/>
      <c r="F245" s="120"/>
      <c r="J245" s="104">
        <f>'Estado de costos'!B275</f>
        <v>0</v>
      </c>
      <c r="K245" s="104" t="str">
        <f>IF('Estado de costos'!D275=0,"",'Estado de costos'!D275)</f>
        <v/>
      </c>
      <c r="L245">
        <f>'Estado de costos'!E275</f>
        <v>0</v>
      </c>
      <c r="M245" s="6">
        <f t="shared" si="6"/>
        <v>0</v>
      </c>
      <c r="N245" s="6">
        <f>'Estado de costos'!J275</f>
        <v>0</v>
      </c>
      <c r="O245" s="6">
        <f>'Estado de costos'!K275</f>
        <v>0</v>
      </c>
      <c r="P245">
        <f t="shared" si="7"/>
        <v>0</v>
      </c>
    </row>
    <row r="246" spans="1:16" x14ac:dyDescent="0.25">
      <c r="A246" s="118"/>
      <c r="B246" s="118"/>
      <c r="C246" s="118"/>
      <c r="D246" s="118"/>
      <c r="E246" s="118"/>
      <c r="F246" s="120"/>
      <c r="J246" s="104">
        <f>'Estado de costos'!B276</f>
        <v>0</v>
      </c>
      <c r="K246" s="104" t="str">
        <f>IF('Estado de costos'!D276=0,"",'Estado de costos'!D276)</f>
        <v/>
      </c>
      <c r="L246">
        <f>'Estado de costos'!E276</f>
        <v>0</v>
      </c>
      <c r="M246" s="6">
        <f t="shared" si="6"/>
        <v>0</v>
      </c>
      <c r="N246" s="6">
        <f>'Estado de costos'!J276</f>
        <v>0</v>
      </c>
      <c r="O246" s="6">
        <f>'Estado de costos'!K276</f>
        <v>0</v>
      </c>
      <c r="P246">
        <f t="shared" si="7"/>
        <v>0</v>
      </c>
    </row>
    <row r="247" spans="1:16" x14ac:dyDescent="0.25">
      <c r="A247" s="118"/>
      <c r="B247" s="118"/>
      <c r="C247" s="118"/>
      <c r="D247" s="118"/>
      <c r="E247" s="118"/>
      <c r="F247" s="120"/>
      <c r="J247" s="104">
        <f>'Estado de costos'!B277</f>
        <v>0</v>
      </c>
      <c r="K247" s="104" t="str">
        <f>IF('Estado de costos'!D277=0,"",'Estado de costos'!D277)</f>
        <v/>
      </c>
      <c r="L247">
        <f>'Estado de costos'!E277</f>
        <v>0</v>
      </c>
      <c r="M247" s="6">
        <f t="shared" si="6"/>
        <v>0</v>
      </c>
      <c r="N247" s="6">
        <f>'Estado de costos'!J277</f>
        <v>0</v>
      </c>
      <c r="O247" s="6">
        <f>'Estado de costos'!K277</f>
        <v>0</v>
      </c>
      <c r="P247">
        <f t="shared" si="7"/>
        <v>0</v>
      </c>
    </row>
    <row r="248" spans="1:16" x14ac:dyDescent="0.25">
      <c r="A248" s="118"/>
      <c r="B248" s="118"/>
      <c r="C248" s="118"/>
      <c r="D248" s="118"/>
      <c r="E248" s="118"/>
      <c r="F248" s="120"/>
      <c r="J248" s="104">
        <f>'Estado de costos'!B278</f>
        <v>0</v>
      </c>
      <c r="K248" s="104" t="str">
        <f>IF('Estado de costos'!D278=0,"",'Estado de costos'!D278)</f>
        <v/>
      </c>
      <c r="L248">
        <f>'Estado de costos'!E278</f>
        <v>0</v>
      </c>
      <c r="M248" s="6">
        <f t="shared" si="6"/>
        <v>0</v>
      </c>
      <c r="N248" s="6">
        <f>'Estado de costos'!J278</f>
        <v>0</v>
      </c>
      <c r="O248" s="6">
        <f>'Estado de costos'!K278</f>
        <v>0</v>
      </c>
      <c r="P248">
        <f t="shared" si="7"/>
        <v>0</v>
      </c>
    </row>
    <row r="249" spans="1:16" x14ac:dyDescent="0.25">
      <c r="A249" s="118"/>
      <c r="B249" s="118"/>
      <c r="C249" s="118"/>
      <c r="D249" s="118"/>
      <c r="E249" s="118"/>
      <c r="F249" s="120"/>
      <c r="J249" s="104">
        <f>'Estado de costos'!B279</f>
        <v>0</v>
      </c>
      <c r="K249" s="104" t="str">
        <f>IF('Estado de costos'!D279=0,"",'Estado de costos'!D279)</f>
        <v/>
      </c>
      <c r="L249">
        <f>'Estado de costos'!E279</f>
        <v>0</v>
      </c>
      <c r="M249" s="6">
        <f t="shared" si="6"/>
        <v>0</v>
      </c>
      <c r="N249" s="6">
        <f>'Estado de costos'!J279</f>
        <v>0</v>
      </c>
      <c r="O249" s="6">
        <f>'Estado de costos'!K279</f>
        <v>0</v>
      </c>
      <c r="P249">
        <f t="shared" si="7"/>
        <v>0</v>
      </c>
    </row>
    <row r="250" spans="1:16" x14ac:dyDescent="0.25">
      <c r="A250" s="118"/>
      <c r="B250" s="118"/>
      <c r="C250" s="118"/>
      <c r="D250" s="118"/>
      <c r="E250" s="118"/>
      <c r="F250" s="120"/>
      <c r="J250" s="104">
        <f>'Estado de costos'!B280</f>
        <v>0</v>
      </c>
      <c r="K250" s="104" t="str">
        <f>IF('Estado de costos'!D280=0,"",'Estado de costos'!D280)</f>
        <v/>
      </c>
      <c r="L250">
        <f>'Estado de costos'!E280</f>
        <v>0</v>
      </c>
      <c r="M250" s="6">
        <f t="shared" si="6"/>
        <v>0</v>
      </c>
      <c r="N250" s="6">
        <f>'Estado de costos'!J280</f>
        <v>0</v>
      </c>
      <c r="O250" s="6">
        <f>'Estado de costos'!K280</f>
        <v>0</v>
      </c>
      <c r="P250">
        <f t="shared" si="7"/>
        <v>0</v>
      </c>
    </row>
    <row r="251" spans="1:16" x14ac:dyDescent="0.25">
      <c r="A251" s="118"/>
      <c r="B251" s="118"/>
      <c r="C251" s="118"/>
      <c r="D251" s="118"/>
      <c r="E251" s="118"/>
      <c r="F251" s="120"/>
      <c r="J251" s="104">
        <f>'Estado de costos'!B281</f>
        <v>0</v>
      </c>
      <c r="K251" s="104" t="str">
        <f>IF('Estado de costos'!D281=0,"",'Estado de costos'!D281)</f>
        <v/>
      </c>
      <c r="L251">
        <f>'Estado de costos'!E281</f>
        <v>0</v>
      </c>
      <c r="M251" s="6">
        <f t="shared" si="6"/>
        <v>0</v>
      </c>
      <c r="N251" s="6">
        <f>'Estado de costos'!J281</f>
        <v>0</v>
      </c>
      <c r="O251" s="6">
        <f>'Estado de costos'!K281</f>
        <v>0</v>
      </c>
      <c r="P251">
        <f t="shared" si="7"/>
        <v>0</v>
      </c>
    </row>
    <row r="252" spans="1:16" x14ac:dyDescent="0.25">
      <c r="A252" s="118"/>
      <c r="B252" s="118"/>
      <c r="C252" s="118"/>
      <c r="D252" s="118"/>
      <c r="E252" s="118"/>
      <c r="F252" s="120"/>
      <c r="J252" s="104">
        <f>'Estado de costos'!B282</f>
        <v>0</v>
      </c>
      <c r="K252" s="104" t="str">
        <f>IF('Estado de costos'!D282=0,"",'Estado de costos'!D282)</f>
        <v/>
      </c>
      <c r="L252">
        <f>'Estado de costos'!E282</f>
        <v>0</v>
      </c>
      <c r="M252" s="6">
        <f t="shared" si="6"/>
        <v>0</v>
      </c>
      <c r="N252" s="6">
        <f>'Estado de costos'!J282</f>
        <v>0</v>
      </c>
      <c r="O252" s="6">
        <f>'Estado de costos'!K282</f>
        <v>0</v>
      </c>
      <c r="P252">
        <f t="shared" si="7"/>
        <v>0</v>
      </c>
    </row>
    <row r="253" spans="1:16" x14ac:dyDescent="0.25">
      <c r="A253" s="118"/>
      <c r="B253" s="118"/>
      <c r="C253" s="118"/>
      <c r="D253" s="118"/>
      <c r="E253" s="118"/>
      <c r="F253" s="120"/>
      <c r="J253" s="104">
        <f>'Estado de costos'!B283</f>
        <v>0</v>
      </c>
      <c r="K253" s="104" t="str">
        <f>IF('Estado de costos'!D283=0,"",'Estado de costos'!D283)</f>
        <v/>
      </c>
      <c r="L253">
        <f>'Estado de costos'!E283</f>
        <v>0</v>
      </c>
      <c r="M253" s="6">
        <f t="shared" si="6"/>
        <v>0</v>
      </c>
      <c r="N253" s="6">
        <f>'Estado de costos'!J283</f>
        <v>0</v>
      </c>
      <c r="O253" s="6">
        <f>'Estado de costos'!K283</f>
        <v>0</v>
      </c>
      <c r="P253">
        <f t="shared" si="7"/>
        <v>0</v>
      </c>
    </row>
    <row r="254" spans="1:16" x14ac:dyDescent="0.25">
      <c r="A254" s="118"/>
      <c r="B254" s="118"/>
      <c r="C254" s="118"/>
      <c r="D254" s="118"/>
      <c r="E254" s="118"/>
      <c r="F254" s="120"/>
      <c r="J254" s="104">
        <f>'Estado de costos'!B284</f>
        <v>0</v>
      </c>
      <c r="K254" s="104" t="str">
        <f>IF('Estado de costos'!D284=0,"",'Estado de costos'!D284)</f>
        <v/>
      </c>
      <c r="L254">
        <f>'Estado de costos'!E284</f>
        <v>0</v>
      </c>
      <c r="M254" s="6">
        <f t="shared" si="6"/>
        <v>0</v>
      </c>
      <c r="N254" s="6">
        <f>'Estado de costos'!J284</f>
        <v>0</v>
      </c>
      <c r="O254" s="6">
        <f>'Estado de costos'!K284</f>
        <v>0</v>
      </c>
      <c r="P254">
        <f t="shared" si="7"/>
        <v>0</v>
      </c>
    </row>
    <row r="255" spans="1:16" x14ac:dyDescent="0.25">
      <c r="A255" s="118"/>
      <c r="B255" s="118"/>
      <c r="C255" s="118"/>
      <c r="D255" s="118"/>
      <c r="E255" s="118"/>
      <c r="F255" s="120"/>
      <c r="J255" s="104">
        <f>'Estado de costos'!B285</f>
        <v>0</v>
      </c>
      <c r="K255" s="104" t="str">
        <f>IF('Estado de costos'!D285=0,"",'Estado de costos'!D285)</f>
        <v/>
      </c>
      <c r="L255">
        <f>'Estado de costos'!E285</f>
        <v>0</v>
      </c>
      <c r="M255" s="6">
        <f t="shared" si="6"/>
        <v>0</v>
      </c>
      <c r="N255" s="6">
        <f>'Estado de costos'!J285</f>
        <v>0</v>
      </c>
      <c r="O255" s="6">
        <f>'Estado de costos'!K285</f>
        <v>0</v>
      </c>
      <c r="P255">
        <f t="shared" si="7"/>
        <v>0</v>
      </c>
    </row>
    <row r="256" spans="1:16" x14ac:dyDescent="0.25">
      <c r="A256" s="118"/>
      <c r="B256" s="118"/>
      <c r="C256" s="118"/>
      <c r="D256" s="118"/>
      <c r="E256" s="118"/>
      <c r="F256" s="120"/>
      <c r="J256" s="104">
        <f>'Estado de costos'!B286</f>
        <v>0</v>
      </c>
      <c r="K256" s="104" t="str">
        <f>IF('Estado de costos'!D286=0,"",'Estado de costos'!D286)</f>
        <v/>
      </c>
      <c r="L256">
        <f>'Estado de costos'!E286</f>
        <v>0</v>
      </c>
      <c r="M256" s="6">
        <f t="shared" si="6"/>
        <v>0</v>
      </c>
      <c r="N256" s="6">
        <f>'Estado de costos'!J286</f>
        <v>0</v>
      </c>
      <c r="O256" s="6">
        <f>'Estado de costos'!K286</f>
        <v>0</v>
      </c>
      <c r="P256">
        <f t="shared" si="7"/>
        <v>0</v>
      </c>
    </row>
    <row r="257" spans="1:16" x14ac:dyDescent="0.25">
      <c r="A257" s="118"/>
      <c r="B257" s="118"/>
      <c r="C257" s="118"/>
      <c r="D257" s="118"/>
      <c r="E257" s="118"/>
      <c r="F257" s="120"/>
      <c r="J257" s="104">
        <f>'Estado de costos'!B287</f>
        <v>0</v>
      </c>
      <c r="K257" s="104" t="str">
        <f>IF('Estado de costos'!D287=0,"",'Estado de costos'!D287)</f>
        <v/>
      </c>
      <c r="L257">
        <f>'Estado de costos'!E287</f>
        <v>0</v>
      </c>
      <c r="M257" s="6">
        <f t="shared" si="6"/>
        <v>0</v>
      </c>
      <c r="N257" s="6">
        <f>'Estado de costos'!J287</f>
        <v>0</v>
      </c>
      <c r="O257" s="6">
        <f>'Estado de costos'!K287</f>
        <v>0</v>
      </c>
      <c r="P257">
        <f t="shared" si="7"/>
        <v>0</v>
      </c>
    </row>
    <row r="258" spans="1:16" x14ac:dyDescent="0.25">
      <c r="A258" s="118"/>
      <c r="B258" s="118"/>
      <c r="C258" s="118"/>
      <c r="D258" s="118"/>
      <c r="E258" s="118"/>
      <c r="F258" s="120"/>
      <c r="J258" s="104">
        <f>'Estado de costos'!B288</f>
        <v>0</v>
      </c>
      <c r="K258" s="104" t="str">
        <f>IF('Estado de costos'!D288=0,"",'Estado de costos'!D288)</f>
        <v/>
      </c>
      <c r="L258">
        <f>'Estado de costos'!E288</f>
        <v>0</v>
      </c>
      <c r="M258" s="6">
        <f t="shared" si="6"/>
        <v>0</v>
      </c>
      <c r="N258" s="6">
        <f>'Estado de costos'!J288</f>
        <v>0</v>
      </c>
      <c r="O258" s="6">
        <f>'Estado de costos'!K288</f>
        <v>0</v>
      </c>
      <c r="P258">
        <f t="shared" si="7"/>
        <v>0</v>
      </c>
    </row>
    <row r="259" spans="1:16" x14ac:dyDescent="0.25">
      <c r="A259" s="118"/>
      <c r="B259" s="118"/>
      <c r="C259" s="118"/>
      <c r="D259" s="118"/>
      <c r="E259" s="118"/>
      <c r="F259" s="120"/>
      <c r="J259" s="104">
        <f>'Estado de costos'!B289</f>
        <v>0</v>
      </c>
      <c r="K259" s="104" t="str">
        <f>IF('Estado de costos'!D289=0,"",'Estado de costos'!D289)</f>
        <v/>
      </c>
      <c r="L259">
        <f>'Estado de costos'!E289</f>
        <v>0</v>
      </c>
      <c r="M259" s="6">
        <f t="shared" ref="M259:M300" si="8">IFERROR(+N259/L259/IF(K259="",1,K259),0)</f>
        <v>0</v>
      </c>
      <c r="N259" s="6">
        <f>'Estado de costos'!J289</f>
        <v>0</v>
      </c>
      <c r="O259" s="6">
        <f>'Estado de costos'!K289</f>
        <v>0</v>
      </c>
      <c r="P259">
        <f t="shared" ref="P259:P300" si="9">IF(N259=0,0,1)</f>
        <v>0</v>
      </c>
    </row>
    <row r="260" spans="1:16" x14ac:dyDescent="0.25">
      <c r="A260" s="118"/>
      <c r="B260" s="118"/>
      <c r="C260" s="118"/>
      <c r="D260" s="118"/>
      <c r="E260" s="118"/>
      <c r="F260" s="120"/>
      <c r="J260" s="104">
        <f>'Estado de costos'!B290</f>
        <v>0</v>
      </c>
      <c r="K260" s="104" t="str">
        <f>IF('Estado de costos'!D290=0,"",'Estado de costos'!D290)</f>
        <v/>
      </c>
      <c r="L260">
        <f>'Estado de costos'!E290</f>
        <v>0</v>
      </c>
      <c r="M260" s="6">
        <f t="shared" si="8"/>
        <v>0</v>
      </c>
      <c r="N260" s="6">
        <f>'Estado de costos'!J290</f>
        <v>0</v>
      </c>
      <c r="O260" s="6">
        <f>'Estado de costos'!K290</f>
        <v>0</v>
      </c>
      <c r="P260">
        <f t="shared" si="9"/>
        <v>0</v>
      </c>
    </row>
    <row r="261" spans="1:16" x14ac:dyDescent="0.25">
      <c r="A261" s="118"/>
      <c r="B261" s="118"/>
      <c r="C261" s="118"/>
      <c r="D261" s="118"/>
      <c r="E261" s="118"/>
      <c r="F261" s="120"/>
      <c r="J261" s="104">
        <f>'Estado de costos'!B291</f>
        <v>0</v>
      </c>
      <c r="K261" s="104" t="str">
        <f>IF('Estado de costos'!D291=0,"",'Estado de costos'!D291)</f>
        <v/>
      </c>
      <c r="L261">
        <f>'Estado de costos'!E291</f>
        <v>0</v>
      </c>
      <c r="M261" s="6">
        <f t="shared" si="8"/>
        <v>0</v>
      </c>
      <c r="N261" s="6">
        <f>'Estado de costos'!J291</f>
        <v>0</v>
      </c>
      <c r="O261" s="6">
        <f>'Estado de costos'!K291</f>
        <v>0</v>
      </c>
      <c r="P261">
        <f t="shared" si="9"/>
        <v>0</v>
      </c>
    </row>
    <row r="262" spans="1:16" x14ac:dyDescent="0.25">
      <c r="A262" s="118"/>
      <c r="B262" s="118"/>
      <c r="C262" s="118"/>
      <c r="D262" s="118"/>
      <c r="E262" s="118"/>
      <c r="F262" s="120"/>
      <c r="J262" s="104">
        <f>'Estado de costos'!B292</f>
        <v>0</v>
      </c>
      <c r="K262" s="104" t="str">
        <f>IF('Estado de costos'!D292=0,"",'Estado de costos'!D292)</f>
        <v/>
      </c>
      <c r="L262">
        <f>'Estado de costos'!E292</f>
        <v>0</v>
      </c>
      <c r="M262" s="6">
        <f t="shared" si="8"/>
        <v>0</v>
      </c>
      <c r="N262" s="6">
        <f>'Estado de costos'!J292</f>
        <v>0</v>
      </c>
      <c r="O262" s="6">
        <f>'Estado de costos'!K292</f>
        <v>0</v>
      </c>
      <c r="P262">
        <f t="shared" si="9"/>
        <v>0</v>
      </c>
    </row>
    <row r="263" spans="1:16" x14ac:dyDescent="0.25">
      <c r="A263" s="118"/>
      <c r="B263" s="118"/>
      <c r="C263" s="118"/>
      <c r="D263" s="118"/>
      <c r="E263" s="118"/>
      <c r="F263" s="120"/>
      <c r="J263" s="104">
        <f>'Estado de costos'!B293</f>
        <v>0</v>
      </c>
      <c r="K263" s="104" t="str">
        <f>IF('Estado de costos'!D293=0,"",'Estado de costos'!D293)</f>
        <v/>
      </c>
      <c r="L263">
        <f>'Estado de costos'!E293</f>
        <v>0</v>
      </c>
      <c r="M263" s="6">
        <f t="shared" si="8"/>
        <v>0</v>
      </c>
      <c r="N263" s="6">
        <f>'Estado de costos'!J293</f>
        <v>0</v>
      </c>
      <c r="O263" s="6">
        <f>'Estado de costos'!K293</f>
        <v>0</v>
      </c>
      <c r="P263">
        <f t="shared" si="9"/>
        <v>0</v>
      </c>
    </row>
    <row r="264" spans="1:16" x14ac:dyDescent="0.25">
      <c r="A264" s="118"/>
      <c r="B264" s="118"/>
      <c r="C264" s="118"/>
      <c r="D264" s="118"/>
      <c r="E264" s="118"/>
      <c r="F264" s="120"/>
      <c r="J264" s="104">
        <f>'Estado de costos'!B294</f>
        <v>0</v>
      </c>
      <c r="K264" s="104" t="str">
        <f>IF('Estado de costos'!D294=0,"",'Estado de costos'!D294)</f>
        <v/>
      </c>
      <c r="L264">
        <f>'Estado de costos'!E294</f>
        <v>0</v>
      </c>
      <c r="M264" s="6">
        <f t="shared" si="8"/>
        <v>0</v>
      </c>
      <c r="N264" s="6">
        <f>'Estado de costos'!J294</f>
        <v>0</v>
      </c>
      <c r="O264" s="6">
        <f>'Estado de costos'!K294</f>
        <v>0</v>
      </c>
      <c r="P264">
        <f t="shared" si="9"/>
        <v>0</v>
      </c>
    </row>
    <row r="265" spans="1:16" x14ac:dyDescent="0.25">
      <c r="A265" s="118"/>
      <c r="B265" s="118"/>
      <c r="C265" s="118"/>
      <c r="D265" s="118"/>
      <c r="E265" s="118"/>
      <c r="F265" s="120"/>
      <c r="J265" s="104">
        <f>'Estado de costos'!B295</f>
        <v>0</v>
      </c>
      <c r="K265" s="104" t="str">
        <f>IF('Estado de costos'!D295=0,"",'Estado de costos'!D295)</f>
        <v/>
      </c>
      <c r="L265">
        <f>'Estado de costos'!E295</f>
        <v>0</v>
      </c>
      <c r="M265" s="6">
        <f t="shared" si="8"/>
        <v>0</v>
      </c>
      <c r="N265" s="6">
        <f>'Estado de costos'!J295</f>
        <v>0</v>
      </c>
      <c r="O265" s="6">
        <f>'Estado de costos'!K295</f>
        <v>0</v>
      </c>
      <c r="P265">
        <f t="shared" si="9"/>
        <v>0</v>
      </c>
    </row>
    <row r="266" spans="1:16" x14ac:dyDescent="0.25">
      <c r="A266" s="118"/>
      <c r="B266" s="118"/>
      <c r="C266" s="118"/>
      <c r="D266" s="118"/>
      <c r="E266" s="118"/>
      <c r="F266" s="120"/>
      <c r="J266" s="104">
        <f>'Estado de costos'!B296</f>
        <v>0</v>
      </c>
      <c r="K266" s="104" t="str">
        <f>IF('Estado de costos'!D296=0,"",'Estado de costos'!D296)</f>
        <v/>
      </c>
      <c r="L266">
        <f>'Estado de costos'!E296</f>
        <v>0</v>
      </c>
      <c r="M266" s="6">
        <f t="shared" si="8"/>
        <v>0</v>
      </c>
      <c r="N266" s="6">
        <f>'Estado de costos'!J296</f>
        <v>0</v>
      </c>
      <c r="O266" s="6">
        <f>'Estado de costos'!K296</f>
        <v>0</v>
      </c>
      <c r="P266">
        <f t="shared" si="9"/>
        <v>0</v>
      </c>
    </row>
    <row r="267" spans="1:16" x14ac:dyDescent="0.25">
      <c r="A267" s="118"/>
      <c r="B267" s="118"/>
      <c r="C267" s="118"/>
      <c r="D267" s="118"/>
      <c r="E267" s="118"/>
      <c r="F267" s="120"/>
      <c r="J267" s="104">
        <f>'Estado de costos'!B297</f>
        <v>0</v>
      </c>
      <c r="K267" s="104" t="str">
        <f>IF('Estado de costos'!D297=0,"",'Estado de costos'!D297)</f>
        <v/>
      </c>
      <c r="L267">
        <f>'Estado de costos'!E297</f>
        <v>0</v>
      </c>
      <c r="M267" s="6">
        <f t="shared" si="8"/>
        <v>0</v>
      </c>
      <c r="N267" s="6">
        <f>'Estado de costos'!J297</f>
        <v>0</v>
      </c>
      <c r="O267" s="6">
        <f>'Estado de costos'!K297</f>
        <v>0</v>
      </c>
      <c r="P267">
        <f t="shared" si="9"/>
        <v>0</v>
      </c>
    </row>
    <row r="268" spans="1:16" x14ac:dyDescent="0.25">
      <c r="A268" s="118"/>
      <c r="B268" s="118"/>
      <c r="C268" s="118"/>
      <c r="D268" s="118"/>
      <c r="E268" s="118"/>
      <c r="F268" s="120"/>
      <c r="J268" s="104">
        <f>'Estado de costos'!B298</f>
        <v>0</v>
      </c>
      <c r="K268" s="104" t="str">
        <f>IF('Estado de costos'!D298=0,"",'Estado de costos'!D298)</f>
        <v/>
      </c>
      <c r="L268">
        <f>'Estado de costos'!E298</f>
        <v>0</v>
      </c>
      <c r="M268" s="6">
        <f t="shared" si="8"/>
        <v>0</v>
      </c>
      <c r="N268" s="6">
        <f>'Estado de costos'!J298</f>
        <v>0</v>
      </c>
      <c r="O268" s="6">
        <f>'Estado de costos'!K298</f>
        <v>0</v>
      </c>
      <c r="P268">
        <f t="shared" si="9"/>
        <v>0</v>
      </c>
    </row>
    <row r="269" spans="1:16" x14ac:dyDescent="0.25">
      <c r="A269" s="118"/>
      <c r="B269" s="118"/>
      <c r="C269" s="118"/>
      <c r="D269" s="118"/>
      <c r="E269" s="118"/>
      <c r="F269" s="120"/>
      <c r="J269" s="104">
        <f>'Estado de costos'!B299</f>
        <v>0</v>
      </c>
      <c r="K269" s="104" t="str">
        <f>IF('Estado de costos'!D299=0,"",'Estado de costos'!D299)</f>
        <v/>
      </c>
      <c r="L269">
        <f>'Estado de costos'!E299</f>
        <v>0</v>
      </c>
      <c r="M269" s="6">
        <f t="shared" si="8"/>
        <v>0</v>
      </c>
      <c r="N269" s="6">
        <f>'Estado de costos'!J299</f>
        <v>0</v>
      </c>
      <c r="O269" s="6">
        <f>'Estado de costos'!K299</f>
        <v>0</v>
      </c>
      <c r="P269">
        <f t="shared" si="9"/>
        <v>0</v>
      </c>
    </row>
    <row r="270" spans="1:16" x14ac:dyDescent="0.25">
      <c r="A270" s="118"/>
      <c r="B270" s="118"/>
      <c r="C270" s="118"/>
      <c r="D270" s="118"/>
      <c r="E270" s="118"/>
      <c r="F270" s="120"/>
      <c r="J270" s="104">
        <f>'Estado de costos'!B300</f>
        <v>0</v>
      </c>
      <c r="K270" s="104" t="str">
        <f>IF('Estado de costos'!D300=0,"",'Estado de costos'!D300)</f>
        <v/>
      </c>
      <c r="L270">
        <f>'Estado de costos'!E300</f>
        <v>0</v>
      </c>
      <c r="M270" s="6">
        <f t="shared" si="8"/>
        <v>0</v>
      </c>
      <c r="N270" s="6">
        <f>'Estado de costos'!J300</f>
        <v>0</v>
      </c>
      <c r="O270" s="6">
        <f>'Estado de costos'!K300</f>
        <v>0</v>
      </c>
      <c r="P270">
        <f t="shared" si="9"/>
        <v>0</v>
      </c>
    </row>
    <row r="271" spans="1:16" x14ac:dyDescent="0.25">
      <c r="A271" s="118"/>
      <c r="B271" s="118"/>
      <c r="C271" s="118"/>
      <c r="D271" s="118"/>
      <c r="E271" s="118"/>
      <c r="F271" s="120"/>
      <c r="J271" s="104">
        <f>'Estado de costos'!B301</f>
        <v>0</v>
      </c>
      <c r="K271" s="104" t="str">
        <f>IF('Estado de costos'!D301=0,"",'Estado de costos'!D301)</f>
        <v/>
      </c>
      <c r="L271">
        <f>'Estado de costos'!E301</f>
        <v>0</v>
      </c>
      <c r="M271" s="6">
        <f t="shared" si="8"/>
        <v>0</v>
      </c>
      <c r="N271" s="6">
        <f>'Estado de costos'!J301</f>
        <v>0</v>
      </c>
      <c r="O271" s="6">
        <f>'Estado de costos'!K301</f>
        <v>0</v>
      </c>
      <c r="P271">
        <f t="shared" si="9"/>
        <v>0</v>
      </c>
    </row>
    <row r="272" spans="1:16" x14ac:dyDescent="0.25">
      <c r="A272" s="118"/>
      <c r="B272" s="118"/>
      <c r="C272" s="118"/>
      <c r="D272" s="118"/>
      <c r="E272" s="118"/>
      <c r="F272" s="120"/>
      <c r="J272" s="104">
        <f>'Estado de costos'!B302</f>
        <v>0</v>
      </c>
      <c r="K272" s="104" t="str">
        <f>IF('Estado de costos'!D302=0,"",'Estado de costos'!D302)</f>
        <v/>
      </c>
      <c r="L272">
        <f>'Estado de costos'!E302</f>
        <v>0</v>
      </c>
      <c r="M272" s="6">
        <f t="shared" si="8"/>
        <v>0</v>
      </c>
      <c r="N272" s="6">
        <f>'Estado de costos'!J302</f>
        <v>0</v>
      </c>
      <c r="O272" s="6">
        <f>'Estado de costos'!K302</f>
        <v>0</v>
      </c>
      <c r="P272">
        <f t="shared" si="9"/>
        <v>0</v>
      </c>
    </row>
    <row r="273" spans="1:16" x14ac:dyDescent="0.25">
      <c r="A273" s="118"/>
      <c r="B273" s="118"/>
      <c r="C273" s="118"/>
      <c r="D273" s="118"/>
      <c r="E273" s="118"/>
      <c r="F273" s="120"/>
      <c r="J273" s="104">
        <f>'Estado de costos'!B303</f>
        <v>0</v>
      </c>
      <c r="K273" s="104" t="str">
        <f>IF('Estado de costos'!D303=0,"",'Estado de costos'!D303)</f>
        <v/>
      </c>
      <c r="L273">
        <f>'Estado de costos'!E303</f>
        <v>0</v>
      </c>
      <c r="M273" s="6">
        <f t="shared" si="8"/>
        <v>0</v>
      </c>
      <c r="N273" s="6">
        <f>'Estado de costos'!J303</f>
        <v>0</v>
      </c>
      <c r="O273" s="6">
        <f>'Estado de costos'!K303</f>
        <v>0</v>
      </c>
      <c r="P273">
        <f t="shared" si="9"/>
        <v>0</v>
      </c>
    </row>
    <row r="274" spans="1:16" x14ac:dyDescent="0.25">
      <c r="A274" s="118"/>
      <c r="B274" s="118"/>
      <c r="C274" s="118"/>
      <c r="D274" s="118"/>
      <c r="E274" s="118"/>
      <c r="F274" s="120"/>
      <c r="J274" s="104">
        <f>'Estado de costos'!B304</f>
        <v>0</v>
      </c>
      <c r="K274" s="104" t="str">
        <f>IF('Estado de costos'!D304=0,"",'Estado de costos'!D304)</f>
        <v/>
      </c>
      <c r="L274">
        <f>'Estado de costos'!E304</f>
        <v>0</v>
      </c>
      <c r="M274" s="6">
        <f t="shared" si="8"/>
        <v>0</v>
      </c>
      <c r="N274" s="6">
        <f>'Estado de costos'!J304</f>
        <v>0</v>
      </c>
      <c r="O274" s="6">
        <f>'Estado de costos'!K304</f>
        <v>0</v>
      </c>
      <c r="P274">
        <f t="shared" si="9"/>
        <v>0</v>
      </c>
    </row>
    <row r="275" spans="1:16" x14ac:dyDescent="0.25">
      <c r="A275" s="118"/>
      <c r="B275" s="118"/>
      <c r="C275" s="118"/>
      <c r="D275" s="118"/>
      <c r="E275" s="118"/>
      <c r="F275" s="120"/>
      <c r="J275" s="104">
        <f>'Estado de costos'!B305</f>
        <v>0</v>
      </c>
      <c r="K275" s="104" t="str">
        <f>IF('Estado de costos'!D305=0,"",'Estado de costos'!D305)</f>
        <v/>
      </c>
      <c r="L275">
        <f>'Estado de costos'!E305</f>
        <v>0</v>
      </c>
      <c r="M275" s="6">
        <f t="shared" si="8"/>
        <v>0</v>
      </c>
      <c r="N275" s="6">
        <f>'Estado de costos'!J305</f>
        <v>0</v>
      </c>
      <c r="O275" s="6">
        <f>'Estado de costos'!K305</f>
        <v>0</v>
      </c>
      <c r="P275">
        <f t="shared" si="9"/>
        <v>0</v>
      </c>
    </row>
    <row r="276" spans="1:16" x14ac:dyDescent="0.25">
      <c r="A276" s="118"/>
      <c r="B276" s="118"/>
      <c r="C276" s="118"/>
      <c r="D276" s="118"/>
      <c r="E276" s="118"/>
      <c r="F276" s="120"/>
      <c r="J276" s="104">
        <f>'Estado de costos'!B306</f>
        <v>0</v>
      </c>
      <c r="K276" s="104" t="str">
        <f>IF('Estado de costos'!D306=0,"",'Estado de costos'!D306)</f>
        <v/>
      </c>
      <c r="L276">
        <f>'Estado de costos'!E306</f>
        <v>0</v>
      </c>
      <c r="M276" s="6">
        <f t="shared" si="8"/>
        <v>0</v>
      </c>
      <c r="N276" s="6">
        <f>'Estado de costos'!J306</f>
        <v>0</v>
      </c>
      <c r="O276" s="6">
        <f>'Estado de costos'!K306</f>
        <v>0</v>
      </c>
      <c r="P276">
        <f t="shared" si="9"/>
        <v>0</v>
      </c>
    </row>
    <row r="277" spans="1:16" x14ac:dyDescent="0.25">
      <c r="A277" s="118"/>
      <c r="B277" s="118"/>
      <c r="C277" s="118"/>
      <c r="D277" s="118"/>
      <c r="E277" s="118"/>
      <c r="F277" s="120"/>
      <c r="J277" s="104">
        <f>'Estado de costos'!B307</f>
        <v>0</v>
      </c>
      <c r="K277" s="104" t="str">
        <f>IF('Estado de costos'!D307=0,"",'Estado de costos'!D307)</f>
        <v/>
      </c>
      <c r="L277">
        <f>'Estado de costos'!E307</f>
        <v>0</v>
      </c>
      <c r="M277" s="6">
        <f t="shared" si="8"/>
        <v>0</v>
      </c>
      <c r="N277" s="6">
        <f>'Estado de costos'!J307</f>
        <v>0</v>
      </c>
      <c r="O277" s="6">
        <f>'Estado de costos'!K307</f>
        <v>0</v>
      </c>
      <c r="P277">
        <f t="shared" si="9"/>
        <v>0</v>
      </c>
    </row>
    <row r="278" spans="1:16" x14ac:dyDescent="0.25">
      <c r="A278" s="118"/>
      <c r="B278" s="118"/>
      <c r="C278" s="118"/>
      <c r="D278" s="118"/>
      <c r="E278" s="118"/>
      <c r="F278" s="120"/>
      <c r="J278" s="104">
        <f>'Estado de costos'!B308</f>
        <v>0</v>
      </c>
      <c r="K278" s="104" t="str">
        <f>IF('Estado de costos'!D308=0,"",'Estado de costos'!D308)</f>
        <v/>
      </c>
      <c r="L278">
        <f>'Estado de costos'!E308</f>
        <v>0</v>
      </c>
      <c r="M278" s="6">
        <f t="shared" si="8"/>
        <v>0</v>
      </c>
      <c r="N278" s="6">
        <f>'Estado de costos'!J308</f>
        <v>0</v>
      </c>
      <c r="O278" s="6">
        <f>'Estado de costos'!K308</f>
        <v>0</v>
      </c>
      <c r="P278">
        <f t="shared" si="9"/>
        <v>0</v>
      </c>
    </row>
    <row r="279" spans="1:16" x14ac:dyDescent="0.25">
      <c r="A279" s="118"/>
      <c r="B279" s="118"/>
      <c r="C279" s="118"/>
      <c r="D279" s="118"/>
      <c r="E279" s="118"/>
      <c r="F279" s="120"/>
      <c r="J279" s="104">
        <f>'Estado de costos'!B309</f>
        <v>0</v>
      </c>
      <c r="K279" s="104" t="str">
        <f>IF('Estado de costos'!D309=0,"",'Estado de costos'!D309)</f>
        <v/>
      </c>
      <c r="L279">
        <f>'Estado de costos'!E309</f>
        <v>0</v>
      </c>
      <c r="M279" s="6">
        <f t="shared" si="8"/>
        <v>0</v>
      </c>
      <c r="N279" s="6">
        <f>'Estado de costos'!J309</f>
        <v>0</v>
      </c>
      <c r="O279" s="6">
        <f>'Estado de costos'!K309</f>
        <v>0</v>
      </c>
      <c r="P279">
        <f t="shared" si="9"/>
        <v>0</v>
      </c>
    </row>
    <row r="280" spans="1:16" x14ac:dyDescent="0.25">
      <c r="A280" s="118"/>
      <c r="B280" s="118"/>
      <c r="C280" s="118"/>
      <c r="D280" s="118"/>
      <c r="E280" s="118"/>
      <c r="F280" s="120"/>
      <c r="J280" s="104">
        <f>'Estado de costos'!B310</f>
        <v>0</v>
      </c>
      <c r="K280" s="104" t="str">
        <f>IF('Estado de costos'!D310=0,"",'Estado de costos'!D310)</f>
        <v/>
      </c>
      <c r="L280">
        <f>'Estado de costos'!E310</f>
        <v>0</v>
      </c>
      <c r="M280" s="6">
        <f t="shared" si="8"/>
        <v>0</v>
      </c>
      <c r="N280" s="6">
        <f>'Estado de costos'!J310</f>
        <v>0</v>
      </c>
      <c r="O280" s="6">
        <f>'Estado de costos'!K310</f>
        <v>0</v>
      </c>
      <c r="P280">
        <f t="shared" si="9"/>
        <v>0</v>
      </c>
    </row>
    <row r="281" spans="1:16" x14ac:dyDescent="0.25">
      <c r="A281" s="118"/>
      <c r="B281" s="118"/>
      <c r="C281" s="118"/>
      <c r="D281" s="118"/>
      <c r="E281" s="118"/>
      <c r="F281" s="120"/>
      <c r="J281" s="104">
        <f>'Estado de costos'!B311</f>
        <v>0</v>
      </c>
      <c r="K281" s="104" t="str">
        <f>IF('Estado de costos'!D311=0,"",'Estado de costos'!D311)</f>
        <v/>
      </c>
      <c r="L281">
        <f>'Estado de costos'!E311</f>
        <v>0</v>
      </c>
      <c r="M281" s="6">
        <f t="shared" si="8"/>
        <v>0</v>
      </c>
      <c r="N281" s="6">
        <f>'Estado de costos'!J311</f>
        <v>0</v>
      </c>
      <c r="O281" s="6">
        <f>'Estado de costos'!K311</f>
        <v>0</v>
      </c>
      <c r="P281">
        <f t="shared" si="9"/>
        <v>0</v>
      </c>
    </row>
    <row r="282" spans="1:16" x14ac:dyDescent="0.25">
      <c r="A282" s="118"/>
      <c r="B282" s="118"/>
      <c r="C282" s="118"/>
      <c r="D282" s="118"/>
      <c r="E282" s="118"/>
      <c r="F282" s="120"/>
      <c r="J282" s="104">
        <f>'Estado de costos'!B312</f>
        <v>0</v>
      </c>
      <c r="K282" s="104" t="str">
        <f>IF('Estado de costos'!D312=0,"",'Estado de costos'!D312)</f>
        <v/>
      </c>
      <c r="L282">
        <f>'Estado de costos'!E312</f>
        <v>0</v>
      </c>
      <c r="M282" s="6">
        <f t="shared" si="8"/>
        <v>0</v>
      </c>
      <c r="N282" s="6">
        <f>'Estado de costos'!J312</f>
        <v>0</v>
      </c>
      <c r="O282" s="6">
        <f>'Estado de costos'!K312</f>
        <v>0</v>
      </c>
      <c r="P282">
        <f t="shared" si="9"/>
        <v>0</v>
      </c>
    </row>
    <row r="283" spans="1:16" x14ac:dyDescent="0.25">
      <c r="A283" s="118"/>
      <c r="B283" s="118"/>
      <c r="C283" s="118"/>
      <c r="D283" s="118"/>
      <c r="E283" s="118"/>
      <c r="F283" s="120"/>
      <c r="J283" s="104">
        <f>'Estado de costos'!B313</f>
        <v>0</v>
      </c>
      <c r="K283" s="104" t="str">
        <f>IF('Estado de costos'!D313=0,"",'Estado de costos'!D313)</f>
        <v/>
      </c>
      <c r="L283">
        <f>'Estado de costos'!E313</f>
        <v>0</v>
      </c>
      <c r="M283" s="6">
        <f t="shared" si="8"/>
        <v>0</v>
      </c>
      <c r="N283" s="6">
        <f>'Estado de costos'!J313</f>
        <v>0</v>
      </c>
      <c r="O283" s="6">
        <f>'Estado de costos'!K313</f>
        <v>0</v>
      </c>
      <c r="P283">
        <f t="shared" si="9"/>
        <v>0</v>
      </c>
    </row>
    <row r="284" spans="1:16" x14ac:dyDescent="0.25">
      <c r="A284" s="118"/>
      <c r="B284" s="118"/>
      <c r="C284" s="118"/>
      <c r="D284" s="118"/>
      <c r="E284" s="118"/>
      <c r="F284" s="120"/>
      <c r="J284" s="104">
        <f>'Estado de costos'!B314</f>
        <v>0</v>
      </c>
      <c r="K284" s="104" t="str">
        <f>IF('Estado de costos'!D314=0,"",'Estado de costos'!D314)</f>
        <v/>
      </c>
      <c r="L284">
        <f>'Estado de costos'!E314</f>
        <v>0</v>
      </c>
      <c r="M284" s="6">
        <f t="shared" si="8"/>
        <v>0</v>
      </c>
      <c r="N284" s="6">
        <f>'Estado de costos'!J314</f>
        <v>0</v>
      </c>
      <c r="O284" s="6">
        <f>'Estado de costos'!K314</f>
        <v>0</v>
      </c>
      <c r="P284">
        <f t="shared" si="9"/>
        <v>0</v>
      </c>
    </row>
    <row r="285" spans="1:16" x14ac:dyDescent="0.25">
      <c r="A285" s="118"/>
      <c r="B285" s="118"/>
      <c r="C285" s="118"/>
      <c r="D285" s="118"/>
      <c r="E285" s="118"/>
      <c r="F285" s="120"/>
      <c r="J285" s="104">
        <f>'Estado de costos'!B315</f>
        <v>0</v>
      </c>
      <c r="K285" s="104" t="str">
        <f>IF('Estado de costos'!D315=0,"",'Estado de costos'!D315)</f>
        <v/>
      </c>
      <c r="L285">
        <f>'Estado de costos'!E315</f>
        <v>0</v>
      </c>
      <c r="M285" s="6">
        <f t="shared" si="8"/>
        <v>0</v>
      </c>
      <c r="N285" s="6">
        <f>'Estado de costos'!J315</f>
        <v>0</v>
      </c>
      <c r="O285" s="6">
        <f>'Estado de costos'!K315</f>
        <v>0</v>
      </c>
      <c r="P285">
        <f t="shared" si="9"/>
        <v>0</v>
      </c>
    </row>
    <row r="286" spans="1:16" x14ac:dyDescent="0.25">
      <c r="A286" s="118"/>
      <c r="B286" s="118"/>
      <c r="C286" s="118"/>
      <c r="D286" s="118"/>
      <c r="E286" s="118"/>
      <c r="F286" s="120"/>
      <c r="J286" s="104">
        <f>'Estado de costos'!B316</f>
        <v>0</v>
      </c>
      <c r="K286" s="104" t="str">
        <f>IF('Estado de costos'!D316=0,"",'Estado de costos'!D316)</f>
        <v/>
      </c>
      <c r="L286">
        <f>'Estado de costos'!E316</f>
        <v>0</v>
      </c>
      <c r="M286" s="6">
        <f t="shared" si="8"/>
        <v>0</v>
      </c>
      <c r="N286" s="6">
        <f>'Estado de costos'!J316</f>
        <v>0</v>
      </c>
      <c r="O286" s="6">
        <f>'Estado de costos'!K316</f>
        <v>0</v>
      </c>
      <c r="P286">
        <f t="shared" si="9"/>
        <v>0</v>
      </c>
    </row>
    <row r="287" spans="1:16" x14ac:dyDescent="0.25">
      <c r="A287" s="118"/>
      <c r="B287" s="118"/>
      <c r="C287" s="118"/>
      <c r="D287" s="118"/>
      <c r="E287" s="118"/>
      <c r="F287" s="120"/>
      <c r="J287" s="104">
        <f>'Estado de costos'!B317</f>
        <v>0</v>
      </c>
      <c r="K287" s="104" t="str">
        <f>IF('Estado de costos'!D317=0,"",'Estado de costos'!D317)</f>
        <v/>
      </c>
      <c r="L287">
        <f>'Estado de costos'!E317</f>
        <v>0</v>
      </c>
      <c r="M287" s="6">
        <f t="shared" si="8"/>
        <v>0</v>
      </c>
      <c r="N287" s="6">
        <f>'Estado de costos'!J317</f>
        <v>0</v>
      </c>
      <c r="O287" s="6">
        <f>'Estado de costos'!K317</f>
        <v>0</v>
      </c>
      <c r="P287">
        <f t="shared" si="9"/>
        <v>0</v>
      </c>
    </row>
    <row r="288" spans="1:16" x14ac:dyDescent="0.25">
      <c r="A288" s="118"/>
      <c r="B288" s="118"/>
      <c r="C288" s="118"/>
      <c r="D288" s="118"/>
      <c r="E288" s="118"/>
      <c r="F288" s="120"/>
      <c r="J288" s="104">
        <f>'Estado de costos'!B318</f>
        <v>0</v>
      </c>
      <c r="K288" s="104" t="str">
        <f>IF('Estado de costos'!D318=0,"",'Estado de costos'!D318)</f>
        <v/>
      </c>
      <c r="L288">
        <f>'Estado de costos'!E318</f>
        <v>0</v>
      </c>
      <c r="M288" s="6">
        <f t="shared" si="8"/>
        <v>0</v>
      </c>
      <c r="N288" s="6">
        <f>'Estado de costos'!J318</f>
        <v>0</v>
      </c>
      <c r="O288" s="6">
        <f>'Estado de costos'!K318</f>
        <v>0</v>
      </c>
      <c r="P288">
        <f t="shared" si="9"/>
        <v>0</v>
      </c>
    </row>
    <row r="289" spans="1:16" x14ac:dyDescent="0.25">
      <c r="A289" s="118"/>
      <c r="B289" s="118"/>
      <c r="C289" s="118"/>
      <c r="D289" s="118"/>
      <c r="E289" s="118"/>
      <c r="F289" s="120"/>
      <c r="J289" s="104">
        <f>'Estado de costos'!B319</f>
        <v>0</v>
      </c>
      <c r="K289" s="104" t="str">
        <f>IF('Estado de costos'!D319=0,"",'Estado de costos'!D319)</f>
        <v/>
      </c>
      <c r="L289">
        <f>'Estado de costos'!E319</f>
        <v>0</v>
      </c>
      <c r="M289" s="6">
        <f t="shared" si="8"/>
        <v>0</v>
      </c>
      <c r="N289" s="6">
        <f>'Estado de costos'!J319</f>
        <v>0</v>
      </c>
      <c r="O289" s="6">
        <f>'Estado de costos'!K319</f>
        <v>0</v>
      </c>
      <c r="P289">
        <f t="shared" si="9"/>
        <v>0</v>
      </c>
    </row>
    <row r="290" spans="1:16" x14ac:dyDescent="0.25">
      <c r="A290" s="118"/>
      <c r="B290" s="118"/>
      <c r="C290" s="118"/>
      <c r="D290" s="118"/>
      <c r="E290" s="118"/>
      <c r="F290" s="120"/>
      <c r="J290" s="104">
        <f>'Estado de costos'!B320</f>
        <v>0</v>
      </c>
      <c r="K290" s="104" t="str">
        <f>IF('Estado de costos'!D320=0,"",'Estado de costos'!D320)</f>
        <v/>
      </c>
      <c r="L290">
        <f>'Estado de costos'!E320</f>
        <v>0</v>
      </c>
      <c r="M290" s="6">
        <f t="shared" si="8"/>
        <v>0</v>
      </c>
      <c r="N290" s="6">
        <f>'Estado de costos'!J320</f>
        <v>0</v>
      </c>
      <c r="O290" s="6">
        <f>'Estado de costos'!K320</f>
        <v>0</v>
      </c>
      <c r="P290">
        <f t="shared" si="9"/>
        <v>0</v>
      </c>
    </row>
    <row r="291" spans="1:16" x14ac:dyDescent="0.25">
      <c r="A291" s="118"/>
      <c r="B291" s="118"/>
      <c r="C291" s="118"/>
      <c r="D291" s="118"/>
      <c r="E291" s="118"/>
      <c r="F291" s="120"/>
      <c r="J291" s="104">
        <f>'Estado de costos'!B321</f>
        <v>0</v>
      </c>
      <c r="K291" s="104" t="str">
        <f>IF('Estado de costos'!D321=0,"",'Estado de costos'!D321)</f>
        <v/>
      </c>
      <c r="L291">
        <f>'Estado de costos'!E321</f>
        <v>0</v>
      </c>
      <c r="M291" s="6">
        <f t="shared" si="8"/>
        <v>0</v>
      </c>
      <c r="N291" s="6">
        <f>'Estado de costos'!J321</f>
        <v>0</v>
      </c>
      <c r="O291" s="6">
        <f>'Estado de costos'!K321</f>
        <v>0</v>
      </c>
      <c r="P291">
        <f t="shared" si="9"/>
        <v>0</v>
      </c>
    </row>
    <row r="292" spans="1:16" x14ac:dyDescent="0.25">
      <c r="A292" s="118"/>
      <c r="B292" s="118"/>
      <c r="C292" s="118"/>
      <c r="D292" s="118"/>
      <c r="E292" s="118"/>
      <c r="F292" s="120"/>
      <c r="J292" s="104">
        <f>'Estado de costos'!B322</f>
        <v>0</v>
      </c>
      <c r="K292" s="104" t="str">
        <f>IF('Estado de costos'!D322=0,"",'Estado de costos'!D322)</f>
        <v/>
      </c>
      <c r="L292">
        <f>'Estado de costos'!E322</f>
        <v>0</v>
      </c>
      <c r="M292" s="6">
        <f t="shared" si="8"/>
        <v>0</v>
      </c>
      <c r="N292" s="6">
        <f>'Estado de costos'!J322</f>
        <v>0</v>
      </c>
      <c r="O292" s="6">
        <f>'Estado de costos'!K322</f>
        <v>0</v>
      </c>
      <c r="P292">
        <f t="shared" si="9"/>
        <v>0</v>
      </c>
    </row>
    <row r="293" spans="1:16" x14ac:dyDescent="0.25">
      <c r="A293" s="118"/>
      <c r="B293" s="118"/>
      <c r="C293" s="118"/>
      <c r="D293" s="118"/>
      <c r="E293" s="118"/>
      <c r="F293" s="120"/>
      <c r="J293" s="104">
        <f>'Estado de costos'!B323</f>
        <v>0</v>
      </c>
      <c r="K293" s="104" t="str">
        <f>IF('Estado de costos'!D323=0,"",'Estado de costos'!D323)</f>
        <v/>
      </c>
      <c r="L293">
        <f>'Estado de costos'!E323</f>
        <v>0</v>
      </c>
      <c r="M293" s="6">
        <f t="shared" si="8"/>
        <v>0</v>
      </c>
      <c r="N293" s="6">
        <f>'Estado de costos'!J323</f>
        <v>0</v>
      </c>
      <c r="O293" s="6">
        <f>'Estado de costos'!K323</f>
        <v>0</v>
      </c>
      <c r="P293">
        <f t="shared" si="9"/>
        <v>0</v>
      </c>
    </row>
    <row r="294" spans="1:16" x14ac:dyDescent="0.25">
      <c r="A294" s="118"/>
      <c r="B294" s="118"/>
      <c r="C294" s="118"/>
      <c r="D294" s="118"/>
      <c r="E294" s="118"/>
      <c r="F294" s="120"/>
      <c r="J294" s="104">
        <f>'Estado de costos'!B324</f>
        <v>0</v>
      </c>
      <c r="K294" s="104" t="str">
        <f>IF('Estado de costos'!D324=0,"",'Estado de costos'!D324)</f>
        <v/>
      </c>
      <c r="L294">
        <f>'Estado de costos'!E324</f>
        <v>0</v>
      </c>
      <c r="M294" s="6">
        <f t="shared" si="8"/>
        <v>0</v>
      </c>
      <c r="N294" s="6">
        <f>'Estado de costos'!J324</f>
        <v>0</v>
      </c>
      <c r="O294" s="6">
        <f>'Estado de costos'!K324</f>
        <v>0</v>
      </c>
      <c r="P294">
        <f t="shared" si="9"/>
        <v>0</v>
      </c>
    </row>
    <row r="295" spans="1:16" x14ac:dyDescent="0.25">
      <c r="A295" s="118"/>
      <c r="B295" s="118"/>
      <c r="C295" s="118"/>
      <c r="D295" s="118"/>
      <c r="E295" s="118"/>
      <c r="F295" s="120"/>
      <c r="J295" s="104">
        <f>'Estado de costos'!B325</f>
        <v>0</v>
      </c>
      <c r="K295" s="104" t="str">
        <f>IF('Estado de costos'!D325=0,"",'Estado de costos'!D325)</f>
        <v/>
      </c>
      <c r="L295">
        <f>'Estado de costos'!E325</f>
        <v>0</v>
      </c>
      <c r="M295" s="6">
        <f t="shared" si="8"/>
        <v>0</v>
      </c>
      <c r="N295" s="6">
        <f>'Estado de costos'!J325</f>
        <v>0</v>
      </c>
      <c r="O295" s="6">
        <f>'Estado de costos'!K325</f>
        <v>0</v>
      </c>
      <c r="P295">
        <f t="shared" si="9"/>
        <v>0</v>
      </c>
    </row>
    <row r="296" spans="1:16" x14ac:dyDescent="0.25">
      <c r="A296" s="118"/>
      <c r="B296" s="118"/>
      <c r="C296" s="118"/>
      <c r="D296" s="118"/>
      <c r="E296" s="118"/>
      <c r="F296" s="120"/>
      <c r="J296" s="104">
        <f>'Estado de costos'!B326</f>
        <v>0</v>
      </c>
      <c r="K296" s="104" t="str">
        <f>IF('Estado de costos'!D326=0,"",'Estado de costos'!D326)</f>
        <v/>
      </c>
      <c r="L296">
        <f>'Estado de costos'!E326</f>
        <v>0</v>
      </c>
      <c r="M296" s="6">
        <f t="shared" si="8"/>
        <v>0</v>
      </c>
      <c r="N296" s="6">
        <f>'Estado de costos'!J326</f>
        <v>0</v>
      </c>
      <c r="O296" s="6">
        <f>'Estado de costos'!K326</f>
        <v>0</v>
      </c>
      <c r="P296">
        <f t="shared" si="9"/>
        <v>0</v>
      </c>
    </row>
    <row r="297" spans="1:16" x14ac:dyDescent="0.25">
      <c r="A297" s="118"/>
      <c r="B297" s="118"/>
      <c r="C297" s="118"/>
      <c r="D297" s="118"/>
      <c r="E297" s="118"/>
      <c r="F297" s="120"/>
      <c r="J297" s="104">
        <f>'Estado de costos'!B327</f>
        <v>0</v>
      </c>
      <c r="K297" s="104" t="str">
        <f>IF('Estado de costos'!D327=0,"",'Estado de costos'!D327)</f>
        <v/>
      </c>
      <c r="L297">
        <f>'Estado de costos'!E327</f>
        <v>0</v>
      </c>
      <c r="M297" s="6">
        <f t="shared" si="8"/>
        <v>0</v>
      </c>
      <c r="N297" s="6">
        <f>'Estado de costos'!J327</f>
        <v>0</v>
      </c>
      <c r="O297" s="6">
        <f>'Estado de costos'!K327</f>
        <v>0</v>
      </c>
      <c r="P297">
        <f t="shared" si="9"/>
        <v>0</v>
      </c>
    </row>
    <row r="298" spans="1:16" x14ac:dyDescent="0.25">
      <c r="A298" s="118"/>
      <c r="B298" s="118"/>
      <c r="C298" s="118"/>
      <c r="D298" s="118"/>
      <c r="E298" s="118"/>
      <c r="F298" s="120"/>
      <c r="J298" s="104">
        <f>'Estado de costos'!B328</f>
        <v>0</v>
      </c>
      <c r="K298" s="104" t="str">
        <f>IF('Estado de costos'!D328=0,"",'Estado de costos'!D328)</f>
        <v/>
      </c>
      <c r="L298">
        <f>'Estado de costos'!E328</f>
        <v>0</v>
      </c>
      <c r="M298" s="6">
        <f t="shared" si="8"/>
        <v>0</v>
      </c>
      <c r="N298" s="6">
        <f>'Estado de costos'!J328</f>
        <v>0</v>
      </c>
      <c r="O298" s="6">
        <f>'Estado de costos'!K328</f>
        <v>0</v>
      </c>
      <c r="P298">
        <f t="shared" si="9"/>
        <v>0</v>
      </c>
    </row>
    <row r="299" spans="1:16" x14ac:dyDescent="0.25">
      <c r="A299" s="118"/>
      <c r="B299" s="118"/>
      <c r="C299" s="118"/>
      <c r="D299" s="118"/>
      <c r="E299" s="118"/>
      <c r="F299" s="120"/>
      <c r="J299" s="104">
        <f>'Estado de costos'!B329</f>
        <v>0</v>
      </c>
      <c r="K299" s="104" t="str">
        <f>IF('Estado de costos'!D329=0,"",'Estado de costos'!D329)</f>
        <v/>
      </c>
      <c r="L299">
        <f>'Estado de costos'!E329</f>
        <v>0</v>
      </c>
      <c r="M299" s="6">
        <f t="shared" si="8"/>
        <v>0</v>
      </c>
      <c r="N299" s="6">
        <f>'Estado de costos'!J329</f>
        <v>0</v>
      </c>
      <c r="O299" s="6">
        <f>'Estado de costos'!K329</f>
        <v>0</v>
      </c>
      <c r="P299">
        <f t="shared" si="9"/>
        <v>0</v>
      </c>
    </row>
    <row r="300" spans="1:16" x14ac:dyDescent="0.25">
      <c r="A300" s="118"/>
      <c r="B300" s="118"/>
      <c r="C300" s="118"/>
      <c r="D300" s="118"/>
      <c r="E300" s="118"/>
      <c r="F300" s="120"/>
      <c r="J300" s="104">
        <f>'Estado de costos'!B330</f>
        <v>0</v>
      </c>
      <c r="K300" s="104" t="str">
        <f>IF('Estado de costos'!D330=0,"",'Estado de costos'!D330)</f>
        <v/>
      </c>
      <c r="L300">
        <f>'Estado de costos'!E330</f>
        <v>0</v>
      </c>
      <c r="M300" s="6">
        <f t="shared" si="8"/>
        <v>0</v>
      </c>
      <c r="N300" s="6">
        <f>'Estado de costos'!J330</f>
        <v>0</v>
      </c>
      <c r="O300" s="6">
        <f>'Estado de costos'!K330</f>
        <v>0</v>
      </c>
      <c r="P300">
        <f t="shared" si="9"/>
        <v>0</v>
      </c>
    </row>
    <row r="301" spans="1:16" x14ac:dyDescent="0.25">
      <c r="A301" s="118"/>
      <c r="B301" s="118"/>
      <c r="C301" s="118"/>
      <c r="D301" s="118"/>
      <c r="E301" s="118"/>
      <c r="F301" s="120"/>
    </row>
    <row r="302" spans="1:16" x14ac:dyDescent="0.25">
      <c r="A302" s="118"/>
      <c r="B302" s="118"/>
      <c r="C302" s="118"/>
      <c r="D302" s="118"/>
      <c r="E302" s="118"/>
      <c r="F302" s="120"/>
    </row>
    <row r="303" spans="1:16" x14ac:dyDescent="0.25">
      <c r="A303" s="118"/>
      <c r="B303" s="118"/>
      <c r="C303" s="118"/>
      <c r="D303" s="118"/>
      <c r="E303" s="118"/>
      <c r="F303" s="120"/>
    </row>
    <row r="304" spans="1:16" x14ac:dyDescent="0.25">
      <c r="A304" s="118"/>
      <c r="B304" s="118"/>
      <c r="C304" s="118"/>
      <c r="D304" s="118"/>
      <c r="E304" s="118"/>
      <c r="F304" s="120"/>
    </row>
    <row r="305" spans="1:6" x14ac:dyDescent="0.25">
      <c r="A305" s="118"/>
      <c r="B305" s="118"/>
      <c r="C305" s="118"/>
      <c r="D305" s="118"/>
      <c r="E305" s="118"/>
      <c r="F305" s="120"/>
    </row>
    <row r="306" spans="1:6" x14ac:dyDescent="0.25">
      <c r="A306" s="118"/>
      <c r="B306" s="118"/>
      <c r="C306" s="118"/>
      <c r="D306" s="118"/>
      <c r="E306" s="118"/>
      <c r="F306" s="120"/>
    </row>
    <row r="307" spans="1:6" x14ac:dyDescent="0.25">
      <c r="A307" s="118"/>
      <c r="B307" s="118"/>
      <c r="C307" s="118"/>
      <c r="D307" s="118"/>
      <c r="E307" s="118"/>
      <c r="F307" s="120"/>
    </row>
    <row r="308" spans="1:6" x14ac:dyDescent="0.25">
      <c r="A308" s="118"/>
      <c r="B308" s="118"/>
      <c r="C308" s="118"/>
      <c r="D308" s="118"/>
      <c r="E308" s="118"/>
      <c r="F308" s="120"/>
    </row>
    <row r="309" spans="1:6" x14ac:dyDescent="0.25">
      <c r="A309" s="118"/>
      <c r="B309" s="118"/>
      <c r="C309" s="118"/>
      <c r="D309" s="118"/>
      <c r="E309" s="118"/>
      <c r="F309" s="120"/>
    </row>
    <row r="310" spans="1:6" x14ac:dyDescent="0.25">
      <c r="A310" s="118"/>
      <c r="B310" s="118"/>
      <c r="C310" s="118"/>
      <c r="D310" s="118"/>
      <c r="E310" s="118"/>
      <c r="F310" s="120"/>
    </row>
    <row r="311" spans="1:6" x14ac:dyDescent="0.25">
      <c r="A311" s="118"/>
      <c r="B311" s="118"/>
      <c r="C311" s="118"/>
      <c r="D311" s="118"/>
      <c r="E311" s="118"/>
      <c r="F311" s="120"/>
    </row>
    <row r="312" spans="1:6" x14ac:dyDescent="0.25">
      <c r="A312" s="118"/>
      <c r="B312" s="118"/>
      <c r="C312" s="118"/>
      <c r="D312" s="118"/>
      <c r="E312" s="118"/>
      <c r="F312" s="120"/>
    </row>
    <row r="313" spans="1:6" x14ac:dyDescent="0.25">
      <c r="A313" s="118"/>
      <c r="B313" s="118"/>
      <c r="C313" s="118"/>
      <c r="D313" s="118"/>
      <c r="E313" s="118"/>
      <c r="F313" s="120"/>
    </row>
    <row r="314" spans="1:6" x14ac:dyDescent="0.25">
      <c r="A314" s="118"/>
      <c r="B314" s="118"/>
      <c r="C314" s="118"/>
      <c r="D314" s="118"/>
      <c r="E314" s="118"/>
      <c r="F314" s="120"/>
    </row>
    <row r="315" spans="1:6" x14ac:dyDescent="0.25">
      <c r="A315" s="118"/>
      <c r="B315" s="118"/>
      <c r="C315" s="118"/>
      <c r="D315" s="118"/>
      <c r="E315" s="118"/>
      <c r="F315" s="120"/>
    </row>
    <row r="316" spans="1:6" x14ac:dyDescent="0.25">
      <c r="A316" s="118"/>
      <c r="B316" s="118"/>
      <c r="C316" s="118"/>
      <c r="D316" s="118"/>
      <c r="E316" s="118"/>
      <c r="F316" s="120"/>
    </row>
    <row r="317" spans="1:6" x14ac:dyDescent="0.25">
      <c r="A317" s="118"/>
      <c r="B317" s="118"/>
      <c r="C317" s="118"/>
      <c r="D317" s="118"/>
      <c r="E317" s="118"/>
      <c r="F317" s="120"/>
    </row>
    <row r="318" spans="1:6" x14ac:dyDescent="0.25">
      <c r="A318" s="118"/>
      <c r="B318" s="118"/>
      <c r="C318" s="118"/>
      <c r="D318" s="118"/>
      <c r="E318" s="118"/>
      <c r="F318" s="120"/>
    </row>
    <row r="319" spans="1:6" x14ac:dyDescent="0.25">
      <c r="A319" s="118"/>
      <c r="B319" s="118"/>
      <c r="C319" s="118"/>
      <c r="D319" s="118"/>
      <c r="E319" s="118"/>
      <c r="F319" s="120"/>
    </row>
    <row r="320" spans="1:6" x14ac:dyDescent="0.25">
      <c r="A320" s="118"/>
      <c r="B320" s="118"/>
      <c r="C320" s="118"/>
      <c r="D320" s="118"/>
      <c r="E320" s="118"/>
      <c r="F320" s="120"/>
    </row>
    <row r="321" spans="1:6" x14ac:dyDescent="0.25">
      <c r="A321" s="118"/>
      <c r="B321" s="118"/>
      <c r="C321" s="118"/>
      <c r="D321" s="118"/>
      <c r="E321" s="118"/>
      <c r="F321" s="120"/>
    </row>
    <row r="322" spans="1:6" x14ac:dyDescent="0.25">
      <c r="A322" s="118"/>
      <c r="B322" s="118"/>
      <c r="C322" s="118"/>
      <c r="D322" s="118"/>
      <c r="E322" s="118"/>
      <c r="F322" s="120"/>
    </row>
    <row r="323" spans="1:6" x14ac:dyDescent="0.25">
      <c r="A323" s="118"/>
      <c r="B323" s="118"/>
      <c r="C323" s="118"/>
      <c r="D323" s="118"/>
      <c r="E323" s="118"/>
      <c r="F323" s="120"/>
    </row>
    <row r="324" spans="1:6" x14ac:dyDescent="0.25">
      <c r="A324" s="118"/>
      <c r="B324" s="118"/>
      <c r="C324" s="118"/>
      <c r="D324" s="118"/>
      <c r="E324" s="118"/>
      <c r="F324" s="120"/>
    </row>
    <row r="325" spans="1:6" x14ac:dyDescent="0.25">
      <c r="A325" s="118"/>
      <c r="B325" s="118"/>
      <c r="C325" s="118"/>
      <c r="D325" s="118"/>
      <c r="E325" s="118"/>
      <c r="F325" s="120"/>
    </row>
    <row r="326" spans="1:6" x14ac:dyDescent="0.25">
      <c r="A326" s="118"/>
      <c r="B326" s="118"/>
      <c r="C326" s="118"/>
      <c r="D326" s="118"/>
      <c r="E326" s="118"/>
      <c r="F326" s="120"/>
    </row>
    <row r="327" spans="1:6" x14ac:dyDescent="0.25">
      <c r="A327" s="118"/>
      <c r="B327" s="118"/>
      <c r="C327" s="118"/>
      <c r="D327" s="118"/>
      <c r="E327" s="118"/>
      <c r="F327" s="120"/>
    </row>
    <row r="328" spans="1:6" x14ac:dyDescent="0.25">
      <c r="A328" s="118"/>
      <c r="B328" s="118"/>
      <c r="C328" s="118"/>
      <c r="D328" s="118"/>
      <c r="E328" s="118"/>
      <c r="F328" s="120"/>
    </row>
    <row r="329" spans="1:6" x14ac:dyDescent="0.25">
      <c r="A329" s="118"/>
      <c r="B329" s="118"/>
      <c r="C329" s="118"/>
      <c r="D329" s="118"/>
      <c r="E329" s="118"/>
      <c r="F329" s="120"/>
    </row>
    <row r="330" spans="1:6" x14ac:dyDescent="0.25">
      <c r="A330" s="118"/>
      <c r="B330" s="118"/>
      <c r="C330" s="118"/>
      <c r="D330" s="118"/>
      <c r="E330" s="118"/>
      <c r="F330" s="120"/>
    </row>
    <row r="331" spans="1:6" x14ac:dyDescent="0.25">
      <c r="A331" s="118"/>
      <c r="B331" s="118"/>
      <c r="C331" s="118"/>
      <c r="D331" s="118"/>
      <c r="E331" s="118"/>
      <c r="F331" s="120"/>
    </row>
    <row r="332" spans="1:6" x14ac:dyDescent="0.25">
      <c r="A332" s="118"/>
      <c r="B332" s="118"/>
      <c r="C332" s="118"/>
      <c r="D332" s="118"/>
      <c r="E332" s="118"/>
      <c r="F332" s="120"/>
    </row>
    <row r="333" spans="1:6" x14ac:dyDescent="0.25">
      <c r="A333" s="118"/>
      <c r="B333" s="118"/>
      <c r="C333" s="118"/>
      <c r="D333" s="118"/>
      <c r="E333" s="118"/>
      <c r="F333" s="120"/>
    </row>
    <row r="334" spans="1:6" x14ac:dyDescent="0.25">
      <c r="A334" s="118"/>
      <c r="B334" s="118"/>
      <c r="C334" s="118"/>
      <c r="D334" s="118"/>
      <c r="E334" s="118"/>
      <c r="F334" s="120"/>
    </row>
    <row r="335" spans="1:6" x14ac:dyDescent="0.25">
      <c r="A335" s="118"/>
      <c r="B335" s="118"/>
      <c r="C335" s="118"/>
      <c r="D335" s="118"/>
      <c r="E335" s="118"/>
      <c r="F335" s="120"/>
    </row>
    <row r="336" spans="1:6" x14ac:dyDescent="0.25">
      <c r="A336" s="118"/>
      <c r="B336" s="118"/>
      <c r="C336" s="118"/>
      <c r="D336" s="118"/>
      <c r="E336" s="118"/>
      <c r="F336" s="120"/>
    </row>
    <row r="337" spans="1:6" x14ac:dyDescent="0.25">
      <c r="A337" s="118"/>
      <c r="B337" s="118"/>
      <c r="C337" s="118"/>
      <c r="D337" s="118"/>
      <c r="E337" s="118"/>
      <c r="F337" s="120"/>
    </row>
    <row r="338" spans="1:6" x14ac:dyDescent="0.25">
      <c r="A338" s="118"/>
      <c r="B338" s="118"/>
      <c r="C338" s="118"/>
      <c r="D338" s="118"/>
      <c r="E338" s="118"/>
      <c r="F338" s="120"/>
    </row>
    <row r="339" spans="1:6" x14ac:dyDescent="0.25">
      <c r="A339" s="118"/>
      <c r="B339" s="118"/>
      <c r="C339" s="118"/>
      <c r="D339" s="118"/>
      <c r="E339" s="118"/>
      <c r="F339" s="120"/>
    </row>
    <row r="340" spans="1:6" x14ac:dyDescent="0.25">
      <c r="A340" s="118"/>
      <c r="B340" s="118"/>
      <c r="C340" s="118"/>
      <c r="D340" s="118"/>
      <c r="E340" s="118"/>
      <c r="F340" s="120"/>
    </row>
    <row r="341" spans="1:6" x14ac:dyDescent="0.25">
      <c r="A341" s="118"/>
      <c r="B341" s="118"/>
      <c r="C341" s="118"/>
      <c r="D341" s="118"/>
      <c r="E341" s="118"/>
      <c r="F341" s="120"/>
    </row>
    <row r="342" spans="1:6" x14ac:dyDescent="0.25">
      <c r="A342" s="118"/>
      <c r="B342" s="118"/>
      <c r="C342" s="118"/>
      <c r="D342" s="118"/>
      <c r="E342" s="118"/>
      <c r="F342" s="120"/>
    </row>
    <row r="343" spans="1:6" x14ac:dyDescent="0.25">
      <c r="A343" s="118"/>
      <c r="B343" s="118"/>
      <c r="C343" s="118"/>
      <c r="D343" s="118"/>
      <c r="E343" s="118"/>
      <c r="F343" s="120"/>
    </row>
    <row r="344" spans="1:6" x14ac:dyDescent="0.25">
      <c r="A344" s="118"/>
      <c r="B344" s="118"/>
      <c r="C344" s="118"/>
      <c r="D344" s="118"/>
      <c r="E344" s="118"/>
      <c r="F344" s="120"/>
    </row>
    <row r="345" spans="1:6" x14ac:dyDescent="0.25">
      <c r="A345" s="118"/>
      <c r="B345" s="118"/>
      <c r="C345" s="118"/>
      <c r="D345" s="118"/>
      <c r="E345" s="118"/>
      <c r="F345" s="120"/>
    </row>
    <row r="346" spans="1:6" x14ac:dyDescent="0.25">
      <c r="A346" s="118"/>
      <c r="B346" s="118"/>
      <c r="C346" s="118"/>
      <c r="D346" s="118"/>
      <c r="E346" s="118"/>
      <c r="F346" s="120"/>
    </row>
    <row r="347" spans="1:6" x14ac:dyDescent="0.25">
      <c r="A347" s="118"/>
      <c r="B347" s="118"/>
      <c r="C347" s="118"/>
      <c r="D347" s="118"/>
      <c r="E347" s="118"/>
      <c r="F347" s="120"/>
    </row>
    <row r="348" spans="1:6" x14ac:dyDescent="0.25">
      <c r="A348" s="118"/>
      <c r="B348" s="118"/>
      <c r="C348" s="118"/>
      <c r="D348" s="118"/>
      <c r="E348" s="118"/>
      <c r="F348" s="120"/>
    </row>
    <row r="349" spans="1:6" x14ac:dyDescent="0.25">
      <c r="A349" s="118"/>
      <c r="B349" s="118"/>
      <c r="C349" s="118"/>
      <c r="D349" s="118"/>
      <c r="E349" s="118"/>
      <c r="F349" s="120"/>
    </row>
    <row r="350" spans="1:6" x14ac:dyDescent="0.25">
      <c r="A350" s="118"/>
      <c r="B350" s="118"/>
      <c r="C350" s="118"/>
      <c r="D350" s="118"/>
      <c r="E350" s="118"/>
      <c r="F350" s="120"/>
    </row>
    <row r="351" spans="1:6" x14ac:dyDescent="0.25">
      <c r="A351" s="118"/>
      <c r="B351" s="118"/>
      <c r="C351" s="118"/>
      <c r="D351" s="118"/>
      <c r="E351" s="118"/>
      <c r="F351" s="120"/>
    </row>
    <row r="352" spans="1:6" x14ac:dyDescent="0.25">
      <c r="A352" s="118"/>
      <c r="B352" s="118"/>
      <c r="C352" s="118"/>
      <c r="D352" s="118"/>
      <c r="E352" s="118"/>
      <c r="F352" s="120"/>
    </row>
    <row r="353" spans="1:6" x14ac:dyDescent="0.25">
      <c r="A353" s="118"/>
      <c r="B353" s="118"/>
      <c r="C353" s="118"/>
      <c r="D353" s="118"/>
      <c r="E353" s="118"/>
      <c r="F353" s="120"/>
    </row>
    <row r="354" spans="1:6" x14ac:dyDescent="0.25">
      <c r="A354" s="118"/>
      <c r="B354" s="118"/>
      <c r="C354" s="118"/>
      <c r="D354" s="118"/>
      <c r="E354" s="118"/>
      <c r="F354" s="120"/>
    </row>
    <row r="355" spans="1:6" x14ac:dyDescent="0.25">
      <c r="A355" s="118"/>
      <c r="B355" s="118"/>
      <c r="C355" s="118"/>
      <c r="D355" s="118"/>
      <c r="E355" s="118"/>
      <c r="F355" s="120"/>
    </row>
    <row r="356" spans="1:6" x14ac:dyDescent="0.25">
      <c r="A356" s="118"/>
      <c r="B356" s="118"/>
      <c r="C356" s="118"/>
      <c r="D356" s="118"/>
      <c r="E356" s="118"/>
      <c r="F356" s="120"/>
    </row>
    <row r="357" spans="1:6" x14ac:dyDescent="0.25">
      <c r="A357" s="118"/>
      <c r="B357" s="118"/>
      <c r="C357" s="118"/>
      <c r="D357" s="118"/>
      <c r="E357" s="118"/>
      <c r="F357" s="120"/>
    </row>
    <row r="358" spans="1:6" x14ac:dyDescent="0.25">
      <c r="A358" s="118"/>
      <c r="B358" s="118"/>
      <c r="C358" s="118"/>
      <c r="D358" s="118"/>
      <c r="E358" s="118"/>
      <c r="F358" s="120"/>
    </row>
    <row r="359" spans="1:6" x14ac:dyDescent="0.25">
      <c r="A359" s="118"/>
      <c r="B359" s="118"/>
      <c r="C359" s="118"/>
      <c r="D359" s="118"/>
      <c r="E359" s="118"/>
      <c r="F359" s="120"/>
    </row>
    <row r="360" spans="1:6" x14ac:dyDescent="0.25">
      <c r="A360" s="118"/>
      <c r="B360" s="118"/>
      <c r="C360" s="118"/>
      <c r="D360" s="118"/>
      <c r="E360" s="118"/>
      <c r="F360" s="120"/>
    </row>
    <row r="361" spans="1:6" x14ac:dyDescent="0.25">
      <c r="A361" s="118"/>
      <c r="B361" s="118"/>
      <c r="C361" s="118"/>
      <c r="D361" s="118"/>
      <c r="E361" s="118"/>
      <c r="F361" s="120"/>
    </row>
    <row r="362" spans="1:6" x14ac:dyDescent="0.25">
      <c r="A362" s="118"/>
      <c r="B362" s="118"/>
      <c r="C362" s="118"/>
      <c r="D362" s="118"/>
      <c r="E362" s="118"/>
      <c r="F362" s="120"/>
    </row>
    <row r="363" spans="1:6" x14ac:dyDescent="0.25">
      <c r="A363" s="118"/>
      <c r="B363" s="118"/>
      <c r="C363" s="118"/>
      <c r="D363" s="118"/>
      <c r="E363" s="118"/>
      <c r="F363" s="120"/>
    </row>
    <row r="364" spans="1:6" x14ac:dyDescent="0.25">
      <c r="A364" s="118"/>
      <c r="B364" s="118"/>
      <c r="C364" s="118"/>
      <c r="D364" s="118"/>
      <c r="E364" s="118"/>
      <c r="F364" s="120"/>
    </row>
    <row r="365" spans="1:6" x14ac:dyDescent="0.25">
      <c r="A365" s="118"/>
      <c r="B365" s="118"/>
      <c r="C365" s="118"/>
      <c r="D365" s="118"/>
      <c r="E365" s="118"/>
      <c r="F365" s="120"/>
    </row>
    <row r="366" spans="1:6" x14ac:dyDescent="0.25">
      <c r="A366" s="118"/>
      <c r="B366" s="118"/>
      <c r="C366" s="118"/>
      <c r="D366" s="118"/>
      <c r="E366" s="118"/>
      <c r="F366" s="120"/>
    </row>
    <row r="367" spans="1:6" x14ac:dyDescent="0.25">
      <c r="A367" s="118"/>
      <c r="B367" s="118"/>
      <c r="C367" s="118"/>
      <c r="D367" s="118"/>
      <c r="E367" s="118"/>
      <c r="F367" s="120"/>
    </row>
    <row r="368" spans="1:6" x14ac:dyDescent="0.25">
      <c r="A368" s="118"/>
      <c r="B368" s="118"/>
      <c r="C368" s="118"/>
      <c r="D368" s="118"/>
      <c r="E368" s="118"/>
      <c r="F368" s="120"/>
    </row>
    <row r="369" spans="1:6" x14ac:dyDescent="0.25">
      <c r="A369" s="118"/>
      <c r="B369" s="118"/>
      <c r="C369" s="118"/>
      <c r="D369" s="118"/>
      <c r="E369" s="118"/>
      <c r="F369" s="120"/>
    </row>
    <row r="370" spans="1:6" x14ac:dyDescent="0.25">
      <c r="A370" s="118"/>
      <c r="B370" s="118"/>
      <c r="C370" s="118"/>
      <c r="D370" s="118"/>
      <c r="E370" s="118"/>
      <c r="F370" s="120"/>
    </row>
    <row r="371" spans="1:6" x14ac:dyDescent="0.25">
      <c r="A371" s="118"/>
      <c r="B371" s="118"/>
      <c r="C371" s="118"/>
      <c r="D371" s="118"/>
      <c r="E371" s="118"/>
      <c r="F371" s="120"/>
    </row>
    <row r="372" spans="1:6" x14ac:dyDescent="0.25">
      <c r="A372" s="118"/>
      <c r="B372" s="118"/>
      <c r="C372" s="118"/>
      <c r="D372" s="118"/>
      <c r="E372" s="118"/>
      <c r="F372" s="120"/>
    </row>
    <row r="373" spans="1:6" x14ac:dyDescent="0.25">
      <c r="A373" s="118"/>
      <c r="B373" s="118"/>
      <c r="C373" s="118"/>
      <c r="D373" s="118"/>
      <c r="E373" s="118"/>
      <c r="F373" s="120"/>
    </row>
    <row r="374" spans="1:6" x14ac:dyDescent="0.25">
      <c r="A374" s="118"/>
      <c r="B374" s="118"/>
      <c r="C374" s="118"/>
      <c r="D374" s="118"/>
      <c r="E374" s="118"/>
      <c r="F374" s="120"/>
    </row>
    <row r="375" spans="1:6" x14ac:dyDescent="0.25">
      <c r="A375" s="118"/>
      <c r="B375" s="118"/>
      <c r="C375" s="118"/>
      <c r="D375" s="118"/>
      <c r="E375" s="118"/>
      <c r="F375" s="120"/>
    </row>
    <row r="376" spans="1:6" x14ac:dyDescent="0.25">
      <c r="A376" s="118"/>
      <c r="B376" s="118"/>
      <c r="C376" s="118"/>
      <c r="D376" s="118"/>
      <c r="E376" s="118"/>
      <c r="F376" s="120"/>
    </row>
    <row r="377" spans="1:6" x14ac:dyDescent="0.25">
      <c r="A377" s="118"/>
      <c r="B377" s="118"/>
      <c r="C377" s="118"/>
      <c r="D377" s="118"/>
      <c r="E377" s="118"/>
      <c r="F377" s="120"/>
    </row>
    <row r="378" spans="1:6" x14ac:dyDescent="0.25">
      <c r="A378" s="118"/>
      <c r="B378" s="118"/>
      <c r="C378" s="118"/>
      <c r="D378" s="118"/>
      <c r="E378" s="118"/>
      <c r="F378" s="120"/>
    </row>
    <row r="379" spans="1:6" x14ac:dyDescent="0.25">
      <c r="A379" s="118"/>
      <c r="B379" s="118"/>
      <c r="C379" s="118"/>
      <c r="D379" s="118"/>
      <c r="E379" s="118"/>
      <c r="F379" s="120"/>
    </row>
    <row r="380" spans="1:6" x14ac:dyDescent="0.25">
      <c r="A380" s="118"/>
      <c r="B380" s="118"/>
      <c r="C380" s="118"/>
      <c r="D380" s="118"/>
      <c r="E380" s="118"/>
      <c r="F380" s="120"/>
    </row>
    <row r="381" spans="1:6" x14ac:dyDescent="0.25">
      <c r="A381" s="118"/>
      <c r="B381" s="118"/>
      <c r="C381" s="118"/>
      <c r="D381" s="118"/>
      <c r="E381" s="118"/>
      <c r="F381" s="120"/>
    </row>
    <row r="382" spans="1:6" x14ac:dyDescent="0.25">
      <c r="C382" s="114"/>
    </row>
    <row r="383" spans="1:6" x14ac:dyDescent="0.25">
      <c r="C383" s="1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Hoja1</vt:lpstr>
      <vt:lpstr>Estado de costos</vt:lpstr>
      <vt:lpstr>Hoja3</vt:lpstr>
      <vt:lpstr>Carta PDF</vt:lpstr>
      <vt:lpstr>Adquisicion(ISA) </vt:lpstr>
      <vt:lpstr>Hoja2</vt:lpstr>
      <vt:lpstr>Hoja2!Área_de_extracción</vt:lpstr>
      <vt:lpstr>'Carta PDF'!Área_de_impresión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2018-06-11T15:06:15Z</cp:lastPrinted>
  <dcterms:created xsi:type="dcterms:W3CDTF">2016-10-17T20:34:40Z</dcterms:created>
  <dcterms:modified xsi:type="dcterms:W3CDTF">2018-12-27T20:52:16Z</dcterms:modified>
</cp:coreProperties>
</file>