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backupFile="1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"/>
    </mc:Choice>
  </mc:AlternateContent>
  <bookViews>
    <workbookView xWindow="0" yWindow="0" windowWidth="20490" windowHeight="7650" firstSheet="4" activeTab="4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Hoja2" sheetId="11" state="hidden" r:id="rId7"/>
    <sheet name="Adquisicion(ISA) " sheetId="13" state="hidden" r:id="rId8"/>
  </sheets>
  <externalReferences>
    <externalReference r:id="rId9"/>
  </externalReferences>
  <definedNames>
    <definedName name="_xlnm._FilterDatabase" localSheetId="7" hidden="1">'Adquisicion(ISA) '!$B$43:$K$49</definedName>
    <definedName name="_xlnm.Print_Area" localSheetId="0">'PARA FOTOS'!$A$1:$O$49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9" i="8" l="1"/>
  <c r="M49" i="8" l="1"/>
  <c r="M50" i="8"/>
  <c r="M39" i="8"/>
  <c r="P39" i="8"/>
  <c r="M40" i="8"/>
  <c r="P40" i="8"/>
  <c r="M31" i="8" l="1"/>
  <c r="P31" i="8"/>
  <c r="D28" i="12" l="1"/>
  <c r="H24" i="8" l="1"/>
  <c r="H1" i="8" l="1"/>
  <c r="D57" i="12" l="1"/>
  <c r="D59" i="12" l="1"/>
  <c r="D58" i="12"/>
  <c r="K80" i="8"/>
  <c r="B23" i="12" s="1"/>
  <c r="C18" i="12" l="1"/>
  <c r="L51" i="8" l="1"/>
  <c r="K51" i="8"/>
  <c r="A14" i="12" l="1"/>
  <c r="B33" i="12"/>
  <c r="L75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E28" i="12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B28" i="12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48" i="8" l="1"/>
  <c r="M51" i="8" s="1"/>
  <c r="J21" i="8" l="1"/>
  <c r="K21" i="8" s="1"/>
  <c r="J22" i="8"/>
  <c r="K22" i="8" s="1"/>
  <c r="J23" i="8"/>
  <c r="K23" i="8" s="1"/>
  <c r="G24" i="8"/>
  <c r="F63" i="8"/>
  <c r="D18" i="11"/>
  <c r="J20" i="8" s="1"/>
  <c r="K20" i="8" s="1"/>
  <c r="D19" i="11"/>
  <c r="D20" i="11"/>
  <c r="D21" i="11"/>
  <c r="D17" i="11"/>
  <c r="K24" i="8" l="1"/>
  <c r="J24" i="8"/>
  <c r="D13" i="11"/>
  <c r="E13" i="11" s="1"/>
  <c r="F13" i="11" s="1"/>
  <c r="G63" i="8" s="1"/>
  <c r="K12" i="11"/>
  <c r="P38" i="8"/>
  <c r="M38" i="8" s="1"/>
  <c r="M41" i="8" s="1"/>
  <c r="P30" i="8"/>
  <c r="M30" i="8" s="1"/>
  <c r="M32" i="8" s="1"/>
  <c r="I21" i="5"/>
  <c r="F59" i="8" l="1"/>
  <c r="H59" i="8" s="1"/>
  <c r="H63" i="8" s="1"/>
  <c r="L71" i="8" s="1"/>
  <c r="L72" i="8" s="1"/>
  <c r="L73" i="8" s="1"/>
  <c r="F28" i="12"/>
  <c r="F31" i="12" s="1"/>
  <c r="C23" i="12" s="1"/>
  <c r="D23" i="12" s="1"/>
  <c r="G66" i="8" l="1"/>
  <c r="L74" i="8"/>
  <c r="F1" i="8" l="1"/>
  <c r="J1" i="8" s="1"/>
</calcChain>
</file>

<file path=xl/comments1.xml><?xml version="1.0" encoding="utf-8"?>
<comments xmlns="http://schemas.openxmlformats.org/spreadsheetml/2006/main">
  <authors>
    <author>GRUPOREGIONAL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47" authorId="0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6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<sst xmlns="http://schemas.openxmlformats.org/spreadsheetml/2006/main" count="263" uniqueCount="205">
  <si>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</si>
  <si>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</si>
  <si>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</si>
  <si>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</si>
  <si>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</si>
  <si>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</si>
  <si>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</si>
  <si>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</si>
  <si>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</si>
  <si>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</si>
  <si>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</si>
  <si>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</si>
  <si>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</si>
  <si>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</si>
  <si>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</si>
  <si>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</si>
  <si>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</si>
  <si>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</si>
  <si>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</si>
  <si>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</si>
  <si>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</si>
  <si>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</si>
  <si>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</si>
  <si>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</si>
  <si>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</si>
  <si>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</si>
  <si>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</si>
  <si>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</si>
  <si>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</si>
  <si>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</si>
  <si>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</si>
  <si>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</si>
  <si>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</si>
  <si>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</si>
  <si>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</si>
  <si>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</si>
  <si>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</si>
  <si>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</si>
  <si>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</si>
  <si>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</si>
  <si>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</si>
  <si>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</si>
  <si>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</si>
  <si>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</si>
  <si>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</si>
  <si>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</si>
  <si>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</si>
  <si>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</si>
  <si>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</si>
  <si>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</si>
  <si>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</si>
  <si>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</si>
  <si>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</si>
  <si>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</si>
  <si>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</si>
  <si>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</si>
  <si>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</si>
  <si>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</si>
  <si>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</si>
  <si>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</si>
  <si>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</si>
  <si>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</si>
  <si>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</si>
  <si>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</si>
  <si>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</si>
  <si>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</si>
  <si>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</si>
  <si>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</si>
  <si>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</si>
  <si>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</si>
  <si>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</si>
  <si>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</si>
  <si>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</si>
  <si>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</si>
  <si>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</si>
  <si>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</si>
  <si>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</si>
  <si>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</si>
  <si>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</si>
  <si>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</si>
  <si>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</si>
  <si>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</si>
  <si>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</si>
  <si>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</si>
  <si>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</si>
  <si>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</si>
  <si>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</si>
  <si>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</si>
  <si>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</si>
  <si>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</si>
  <si>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</si>
  <si>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</si>
  <si>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</si>
  <si>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</si>
  <si>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</si>
  <si>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</si>
  <si>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</si>
  <si>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</si>
  <si>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</si>
  <si>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</si>
  <si>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</si>
  <si>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</si>
  <si>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</si>
  <si>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</si>
  <si>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</si>
  <si>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</si>
  <si>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</si>
  <si>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</si>
  <si>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</si>
  <si>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</si>
  <si>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</si>
  <si>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</si>
  <si>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</si>
  <si>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</si>
  <si>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</si>
  <si>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</si>
  <si>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</si>
  <si>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</si>
  <si>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</si>
  <si>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</si>
  <si>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</si>
  <si>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</si>
  <si>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</si>
  <si>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</si>
  <si>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</si>
  <si>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</si>
  <si>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</si>
  <si>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</si>
  <si>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</si>
  <si>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</si>
  <si>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</si>
  <si>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</si>
  <si>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</si>
  <si>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</si>
  <si>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</si>
  <si>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COSTO UNITARIO (Bs.)</t>
  </si>
  <si>
    <t>COSTO TOTAL (Bs.)</t>
  </si>
  <si>
    <t>Total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</si>
  <si>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</si>
  <si>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</si>
  <si>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</si>
  <si>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</si>
  <si>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</si>
  <si>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</si>
  <si>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</si>
  <si>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</si>
  <si>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</si>
  <si>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</si>
  <si>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</si>
  <si>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</si>
  <si>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</si>
  <si>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</si>
  <si>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</si>
  <si>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</si>
  <si>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</si>
  <si>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</si>
  <si>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</si>
  <si>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</si>
  <si>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</si>
  <si>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</si>
  <si>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</si>
  <si>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</si>
  <si>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</si>
  <si>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</si>
  <si>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</si>
  <si>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</si>
  <si>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</si>
  <si>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</si>
  <si>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</si>
  <si>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</si>
  <si>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</si>
  <si>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</si>
  <si>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</si>
  <si>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</si>
  <si>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</si>
  <si>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</si>
  <si>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</si>
  <si>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</si>
  <si>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</si>
  <si>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</si>
  <si>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</si>
  <si>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</si>
  <si>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</si>
  <si>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</si>
  <si>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</si>
  <si>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</si>
  <si>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</si>
  <si>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F.E.E. VARIABLE</t>
  </si>
  <si>
    <t>HOJA DE COSTO DE TALLER V. 3</t>
  </si>
  <si>
    <t>Unilever</t>
  </si>
  <si>
    <t>correo@unilever.com</t>
  </si>
  <si>
    <t>ejemplo</t>
  </si>
  <si>
    <t>lona</t>
  </si>
  <si>
    <t>metal</t>
  </si>
  <si>
    <t>acricolor</t>
  </si>
  <si>
    <t>ferreteria</t>
  </si>
  <si>
    <t>metros</t>
  </si>
  <si>
    <t>auxiliar</t>
  </si>
  <si>
    <t>RECIBO</t>
  </si>
  <si>
    <t>auxiliar 2</t>
  </si>
  <si>
    <t>F.E.E PROGRAMADO PARA EL PROYECTO</t>
  </si>
  <si>
    <t>COSTO PROYECTO MAS F.E.E.</t>
  </si>
  <si>
    <t>MATERIALES Y SERVICIOS QUE INTERVIENE EN LA OPERACION  (quitar internoi)</t>
  </si>
  <si>
    <t xml:space="preserve"> </t>
  </si>
  <si>
    <t>COCHABAMBA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</si>
</sst>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000%"/>
    <numFmt numFmtId="165" formatCode="0.00000000%"/>
    <numFmt numFmtId="166" formatCode="#,##0.0000"/>
    <numFmt numFmtId="167" formatCode="[$-F800]dddd\,\ mmmm\ dd\,\ yyyy"/>
    <numFmt numFmtId="168" formatCode="_(* #,##0.00_);_(* \(#,##0.00\);_(* &quot;-&quot;??_);_(@_)"/>
    <numFmt numFmtId="169" formatCode="_(* #,##0_);_(* \(#,##0\);_(* &quot;-&quot;??_);_(@_)"/>
    <numFmt numFmtId="170" formatCode="0.0000%"/>
  </numFmts>
  <fonts count="6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168" fontId="21" fillId="0" borderId="0" applyFont="0" applyFill="0" applyBorder="0" applyAlignment="0" applyProtection="0"/>
    <xf numFmtId="0" fontId="21" fillId="15" borderId="0" applyNumberFormat="0" applyBorder="0" applyAlignment="0" applyProtection="0"/>
  </cellStyleXfs>
  <cellXfs count="470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4" fontId="0" fillId="0" borderId="11" xfId="1" applyNumberFormat="1" applyFont="1" applyBorder="1" applyAlignment="1">
      <alignment horizontal="center" vertical="center"/>
    </xf>
    <xf numFmtId="165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169" fontId="0" fillId="0" borderId="0" xfId="0" applyNumberFormat="1"/>
    <xf numFmtId="0" fontId="5" fillId="0" borderId="0" xfId="0" applyFont="1" applyFill="1" applyBorder="1" applyAlignment="1">
      <alignment horizontal="center"/>
    </xf>
    <xf numFmtId="4" fontId="38" fillId="0" borderId="0" xfId="6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0" fontId="40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3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4" fillId="0" borderId="0" xfId="0" applyFont="1"/>
    <xf numFmtId="0" fontId="32" fillId="0" borderId="26" xfId="0" applyFont="1" applyBorder="1" applyAlignment="1">
      <alignment horizontal="center" vertical="center" wrapText="1"/>
    </xf>
    <xf numFmtId="0" fontId="35" fillId="0" borderId="0" xfId="0" applyFont="1" applyAlignment="1"/>
    <xf numFmtId="0" fontId="48" fillId="11" borderId="27" xfId="0" applyFont="1" applyFill="1" applyBorder="1" applyAlignment="1">
      <alignment horizontal="center" vertical="center"/>
    </xf>
    <xf numFmtId="4" fontId="49" fillId="11" borderId="27" xfId="6" applyNumberFormat="1" applyFont="1" applyFill="1" applyBorder="1" applyAlignment="1" applyProtection="1">
      <alignment horizontal="center" vertical="center"/>
    </xf>
    <xf numFmtId="0" fontId="30" fillId="11" borderId="11" xfId="0" applyFont="1" applyFill="1" applyBorder="1" applyAlignment="1">
      <alignment horizontal="center" vertical="center"/>
    </xf>
    <xf numFmtId="4" fontId="30" fillId="11" borderId="11" xfId="0" applyNumberFormat="1" applyFont="1" applyFill="1" applyBorder="1" applyAlignment="1">
      <alignment horizontal="center" vertical="center"/>
    </xf>
    <xf numFmtId="0" fontId="29" fillId="0" borderId="28" xfId="0" applyFont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9" fillId="0" borderId="29" xfId="0" applyFont="1" applyBorder="1" applyProtection="1"/>
    <xf numFmtId="0" fontId="61" fillId="0" borderId="0" xfId="0" applyFont="1"/>
    <xf numFmtId="4" fontId="61" fillId="0" borderId="0" xfId="0" applyNumberFormat="1" applyFont="1"/>
    <xf numFmtId="0" fontId="35" fillId="0" borderId="0" xfId="0" applyFont="1" applyAlignment="1">
      <alignment horizontal="center"/>
    </xf>
    <xf numFmtId="0" fontId="56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56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56" fillId="2" borderId="58" xfId="0" applyFont="1" applyFill="1" applyBorder="1" applyAlignment="1" applyProtection="1">
      <alignment horizontal="center" vertical="center" wrapText="1"/>
    </xf>
    <xf numFmtId="0" fontId="45" fillId="0" borderId="0" xfId="4" applyFont="1" applyAlignment="1"/>
    <xf numFmtId="0" fontId="46" fillId="0" borderId="0" xfId="0" applyFont="1" applyAlignment="1"/>
    <xf numFmtId="0" fontId="47" fillId="0" borderId="0" xfId="0" applyFont="1" applyAlignment="1"/>
    <xf numFmtId="3" fontId="35" fillId="0" borderId="0" xfId="0" applyNumberFormat="1" applyFont="1" applyAlignment="1">
      <alignment horizontal="center"/>
    </xf>
    <xf numFmtId="0" fontId="62" fillId="0" borderId="0" xfId="0" applyFont="1" applyAlignment="1">
      <alignment horizontal="center"/>
    </xf>
    <xf numFmtId="3" fontId="61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3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47" xfId="0" applyFont="1" applyFill="1" applyBorder="1" applyAlignment="1" applyProtection="1">
      <alignment horizontal="center" vertical="center"/>
    </xf>
    <xf numFmtId="1" fontId="57" fillId="16" borderId="47" xfId="0" applyNumberFormat="1" applyFont="1" applyFill="1" applyBorder="1" applyAlignment="1" applyProtection="1">
      <alignment horizontal="center" vertical="center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32" xfId="0" applyNumberFormat="1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56" fillId="16" borderId="40" xfId="0" applyFont="1" applyFill="1" applyBorder="1" applyAlignment="1" applyProtection="1">
      <alignment horizontal="center" vertical="center" wrapText="1"/>
    </xf>
    <xf numFmtId="4" fontId="58" fillId="16" borderId="44" xfId="0" applyNumberFormat="1" applyFont="1" applyFill="1" applyBorder="1" applyAlignment="1" applyProtection="1">
      <alignment horizontal="center" vertical="center"/>
    </xf>
    <xf numFmtId="4" fontId="58" fillId="16" borderId="43" xfId="0" applyNumberFormat="1" applyFont="1" applyFill="1" applyBorder="1" applyAlignment="1" applyProtection="1">
      <alignment horizontal="center"/>
    </xf>
    <xf numFmtId="0" fontId="58" fillId="16" borderId="47" xfId="0" applyFont="1" applyFill="1" applyBorder="1" applyProtection="1"/>
    <xf numFmtId="0" fontId="58" fillId="16" borderId="47" xfId="0" applyFont="1" applyFill="1" applyBorder="1" applyAlignment="1" applyProtection="1">
      <alignment horizontal="left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38" xfId="0" applyFont="1" applyFill="1" applyBorder="1" applyAlignment="1" applyProtection="1">
      <alignment horizontal="center" vertical="center" wrapText="1"/>
    </xf>
    <xf numFmtId="4" fontId="59" fillId="16" borderId="44" xfId="0" applyNumberFormat="1" applyFont="1" applyFill="1" applyBorder="1" applyAlignment="1" applyProtection="1">
      <alignment horizontal="center" vertical="center"/>
    </xf>
    <xf numFmtId="4" fontId="59" fillId="16" borderId="43" xfId="0" applyNumberFormat="1" applyFont="1" applyFill="1" applyBorder="1" applyAlignment="1" applyProtection="1">
      <alignment horizontal="center" vertical="center"/>
    </xf>
    <xf numFmtId="0" fontId="59" fillId="16" borderId="47" xfId="0" applyFont="1" applyFill="1" applyBorder="1" applyAlignment="1" applyProtection="1">
      <alignment horizontal="left"/>
    </xf>
    <xf numFmtId="0" fontId="59" fillId="16" borderId="47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vertical="center"/>
    </xf>
    <xf numFmtId="0" fontId="60" fillId="16" borderId="49" xfId="0" applyFont="1" applyFill="1" applyBorder="1" applyAlignment="1" applyProtection="1">
      <alignment horizontal="center" vertical="center" wrapText="1"/>
    </xf>
    <xf numFmtId="0" fontId="60" fillId="16" borderId="38" xfId="0" applyFont="1" applyFill="1" applyBorder="1" applyAlignment="1" applyProtection="1">
      <alignment horizontal="center" vertical="center" wrapText="1"/>
    </xf>
    <xf numFmtId="3" fontId="59" fillId="16" borderId="47" xfId="0" applyNumberFormat="1" applyFont="1" applyFill="1" applyBorder="1" applyAlignment="1" applyProtection="1">
      <alignment horizontal="center" vertical="center"/>
    </xf>
    <xf numFmtId="2" fontId="60" fillId="16" borderId="47" xfId="0" applyNumberFormat="1" applyFont="1" applyFill="1" applyBorder="1" applyAlignment="1" applyProtection="1">
      <alignment horizontal="center" vertical="center" wrapText="1"/>
    </xf>
    <xf numFmtId="4" fontId="60" fillId="16" borderId="43" xfId="0" applyNumberFormat="1" applyFont="1" applyFill="1" applyBorder="1" applyAlignment="1" applyProtection="1">
      <alignment horizontal="center" vertical="center" wrapText="1"/>
    </xf>
    <xf numFmtId="4" fontId="60" fillId="16" borderId="44" xfId="0" applyNumberFormat="1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left" vertical="center" wrapText="1"/>
    </xf>
    <xf numFmtId="1" fontId="59" fillId="16" borderId="11" xfId="7" applyNumberFormat="1" applyFont="1" applyFill="1" applyBorder="1" applyAlignment="1" applyProtection="1">
      <alignment horizontal="center" vertical="center" wrapText="1"/>
    </xf>
    <xf numFmtId="170" fontId="59" fillId="16" borderId="11" xfId="7" applyNumberFormat="1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166" fontId="59" fillId="16" borderId="11" xfId="7" applyNumberFormat="1" applyFont="1" applyFill="1" applyBorder="1" applyAlignment="1" applyProtection="1">
      <alignment horizontal="center" vertical="center" wrapText="1"/>
    </xf>
    <xf numFmtId="9" fontId="59" fillId="16" borderId="11" xfId="1" applyFont="1" applyFill="1" applyBorder="1" applyAlignment="1" applyProtection="1">
      <alignment horizontal="center" vertical="center"/>
      <protection locked="0"/>
    </xf>
    <xf numFmtId="9" fontId="30" fillId="17" borderId="11" xfId="1" applyFont="1" applyFill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0" fillId="16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0" fontId="59" fillId="16" borderId="11" xfId="7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0" fontId="30" fillId="13" borderId="0" xfId="0" applyFont="1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64" fillId="13" borderId="61" xfId="0" applyNumberFormat="1" applyFont="1" applyFill="1" applyBorder="1" applyAlignment="1" applyProtection="1">
      <alignment horizontal="center" vertical="center"/>
    </xf>
    <xf numFmtId="4" fontId="64" fillId="13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65" fillId="19" borderId="25" xfId="0" applyNumberFormat="1" applyFont="1" applyFill="1" applyBorder="1" applyAlignment="1">
      <alignment horizontal="center" vertical="center"/>
    </xf>
    <xf numFmtId="4" fontId="65" fillId="19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56" fillId="16" borderId="45" xfId="0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59" fillId="16" borderId="49" xfId="0" applyFont="1" applyFill="1" applyBorder="1" applyAlignment="1" applyProtection="1">
      <alignment horizontal="center" vertical="center" wrapText="1"/>
    </xf>
    <xf numFmtId="0" fontId="60" fillId="16" borderId="37" xfId="0" applyFont="1" applyFill="1" applyBorder="1" applyAlignment="1" applyProtection="1">
      <alignment horizontal="center" vertical="center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3" fontId="60" fillId="16" borderId="42" xfId="0" applyNumberFormat="1" applyFont="1" applyFill="1" applyBorder="1" applyAlignment="1" applyProtection="1">
      <alignment horizontal="center" vertical="center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60" fillId="16" borderId="48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horizontal="center" vertical="center"/>
    </xf>
    <xf numFmtId="0" fontId="63" fillId="0" borderId="29" xfId="0" applyFont="1" applyBorder="1" applyAlignment="1" applyProtection="1">
      <alignment horizontal="center" vertical="center"/>
    </xf>
    <xf numFmtId="0" fontId="8" fillId="14" borderId="28" xfId="0" applyFont="1" applyFill="1" applyBorder="1" applyAlignment="1" applyProtection="1">
      <alignment horizontal="center" vertical="center" wrapText="1"/>
      <protection locked="0"/>
    </xf>
    <xf numFmtId="0" fontId="56" fillId="16" borderId="28" xfId="0" applyFont="1" applyFill="1" applyBorder="1" applyAlignment="1" applyProtection="1">
      <alignment horizontal="center" vertical="center"/>
    </xf>
    <xf numFmtId="0" fontId="8" fillId="14" borderId="28" xfId="0" applyNumberFormat="1" applyFont="1" applyFill="1" applyBorder="1" applyAlignment="1" applyProtection="1">
      <alignment horizontal="center" vertical="center"/>
      <protection locked="0"/>
    </xf>
    <xf numFmtId="4" fontId="59" fillId="16" borderId="39" xfId="0" applyNumberFormat="1" applyFont="1" applyFill="1" applyBorder="1" applyAlignment="1" applyProtection="1">
      <alignment horizontal="center" vertical="center"/>
    </xf>
    <xf numFmtId="4" fontId="59" fillId="16" borderId="40" xfId="0" applyNumberFormat="1" applyFont="1" applyFill="1" applyBorder="1" applyAlignment="1" applyProtection="1">
      <alignment horizontal="center" vertical="center"/>
    </xf>
    <xf numFmtId="0" fontId="58" fillId="16" borderId="36" xfId="0" applyFont="1" applyFill="1" applyBorder="1" applyAlignment="1" applyProtection="1">
      <alignment horizontal="center"/>
    </xf>
    <xf numFmtId="0" fontId="58" fillId="16" borderId="37" xfId="0" applyFont="1" applyFill="1" applyBorder="1" applyAlignment="1" applyProtection="1">
      <alignment horizontal="center"/>
    </xf>
    <xf numFmtId="0" fontId="59" fillId="16" borderId="46" xfId="0" applyFont="1" applyFill="1" applyBorder="1" applyAlignment="1" applyProtection="1">
      <alignment horizontal="center"/>
    </xf>
    <xf numFmtId="0" fontId="59" fillId="16" borderId="47" xfId="0" applyFont="1" applyFill="1" applyBorder="1" applyAlignment="1" applyProtection="1">
      <alignment horizontal="center"/>
    </xf>
    <xf numFmtId="0" fontId="58" fillId="16" borderId="46" xfId="0" applyFont="1" applyFill="1" applyBorder="1" applyAlignment="1" applyProtection="1">
      <alignment horizontal="center"/>
    </xf>
    <xf numFmtId="0" fontId="58" fillId="16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0" fontId="59" fillId="16" borderId="11" xfId="0" applyFont="1" applyFill="1" applyBorder="1" applyAlignment="1" applyProtection="1">
      <alignment horizontal="left" vertical="center"/>
    </xf>
    <xf numFmtId="4" fontId="59" fillId="16" borderId="39" xfId="1" applyNumberFormat="1" applyFont="1" applyFill="1" applyBorder="1" applyAlignment="1" applyProtection="1">
      <alignment horizontal="center" vertical="center"/>
    </xf>
    <xf numFmtId="4" fontId="59" fillId="16" borderId="40" xfId="1" applyNumberFormat="1" applyFont="1" applyFill="1" applyBorder="1" applyAlignment="1" applyProtection="1">
      <alignment horizontal="center" vertical="center"/>
    </xf>
    <xf numFmtId="0" fontId="30" fillId="0" borderId="28" xfId="0" applyFont="1" applyBorder="1" applyAlignment="1" applyProtection="1">
      <alignment horizont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59" fillId="16" borderId="11" xfId="7" applyFont="1" applyFill="1" applyBorder="1" applyAlignment="1" applyProtection="1">
      <alignment horizontal="center" vertical="center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59" fillId="16" borderId="36" xfId="0" applyFont="1" applyFill="1" applyBorder="1" applyAlignment="1" applyProtection="1">
      <alignment horizontal="center"/>
    </xf>
    <xf numFmtId="0" fontId="59" fillId="16" borderId="38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 vertical="center"/>
      <protection locked="0"/>
    </xf>
    <xf numFmtId="0" fontId="59" fillId="16" borderId="48" xfId="0" applyFont="1" applyFill="1" applyBorder="1" applyAlignment="1" applyProtection="1">
      <alignment horizontal="center" vertical="center" wrapText="1"/>
    </xf>
    <xf numFmtId="0" fontId="56" fillId="16" borderId="28" xfId="0" applyFont="1" applyFill="1" applyBorder="1" applyAlignment="1" applyProtection="1">
      <alignment horizontal="center" vertical="center" wrapText="1"/>
    </xf>
    <xf numFmtId="0" fontId="52" fillId="14" borderId="28" xfId="4" applyNumberFormat="1" applyFont="1" applyFill="1" applyBorder="1" applyAlignment="1" applyProtection="1">
      <alignment horizontal="center" vertical="center"/>
      <protection locked="0"/>
    </xf>
    <xf numFmtId="0" fontId="53" fillId="14" borderId="28" xfId="0" applyNumberFormat="1" applyFont="1" applyFill="1" applyBorder="1" applyAlignment="1" applyProtection="1">
      <alignment horizontal="center" vertical="center"/>
      <protection locked="0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43" xfId="0" applyNumberFormat="1" applyFont="1" applyFill="1" applyBorder="1" applyAlignment="1" applyProtection="1">
      <alignment horizontal="center" vertical="center"/>
    </xf>
    <xf numFmtId="0" fontId="57" fillId="16" borderId="39" xfId="0" applyFont="1" applyFill="1" applyBorder="1" applyAlignment="1" applyProtection="1">
      <alignment horizontal="center" vertical="center"/>
    </xf>
    <xf numFmtId="0" fontId="57" fillId="16" borderId="29" xfId="0" applyFont="1" applyFill="1" applyBorder="1" applyAlignment="1" applyProtection="1">
      <alignment horizontal="center" vertical="center"/>
    </xf>
    <xf numFmtId="0" fontId="57" fillId="16" borderId="30" xfId="0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  <protection locked="0"/>
    </xf>
    <xf numFmtId="0" fontId="29" fillId="0" borderId="67" xfId="0" applyFont="1" applyFill="1" applyBorder="1" applyAlignment="1" applyProtection="1">
      <alignment horizontal="center" vertical="center"/>
      <protection locked="0"/>
    </xf>
    <xf numFmtId="4" fontId="57" fillId="16" borderId="29" xfId="0" applyNumberFormat="1" applyFont="1" applyFill="1" applyBorder="1" applyAlignment="1" applyProtection="1">
      <alignment horizontal="center" vertical="center"/>
    </xf>
    <xf numFmtId="4" fontId="57" fillId="16" borderId="40" xfId="0" applyNumberFormat="1" applyFont="1" applyFill="1" applyBorder="1" applyAlignment="1" applyProtection="1">
      <alignment horizontal="center" vertical="center"/>
    </xf>
    <xf numFmtId="0" fontId="29" fillId="0" borderId="70" xfId="0" applyFont="1" applyFill="1" applyBorder="1" applyAlignment="1" applyProtection="1">
      <alignment horizontal="center" vertical="center"/>
      <protection locked="0"/>
    </xf>
    <xf numFmtId="0" fontId="29" fillId="0" borderId="71" xfId="0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 wrapText="1"/>
    </xf>
    <xf numFmtId="0" fontId="56" fillId="16" borderId="55" xfId="0" applyFont="1" applyFill="1" applyBorder="1" applyAlignment="1" applyProtection="1">
      <alignment horizontal="center" vertical="center" wrapText="1"/>
    </xf>
    <xf numFmtId="0" fontId="56" fillId="16" borderId="54" xfId="0" applyFont="1" applyFill="1" applyBorder="1" applyAlignment="1" applyProtection="1">
      <alignment horizontal="center" vertical="center" wrapText="1"/>
    </xf>
    <xf numFmtId="3" fontId="24" fillId="14" borderId="57" xfId="0" applyNumberFormat="1" applyFont="1" applyFill="1" applyBorder="1" applyAlignment="1" applyProtection="1">
      <alignment horizontal="center" vertical="center"/>
      <protection locked="0"/>
    </xf>
    <xf numFmtId="3" fontId="24" fillId="14" borderId="56" xfId="0" applyNumberFormat="1" applyFont="1" applyFill="1" applyBorder="1" applyAlignment="1" applyProtection="1">
      <alignment horizontal="center" vertical="center"/>
      <protection locked="0"/>
    </xf>
    <xf numFmtId="14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8" fillId="14" borderId="28" xfId="0" applyFont="1" applyFill="1" applyBorder="1" applyAlignment="1" applyProtection="1">
      <alignment horizontal="center" vertical="center"/>
      <protection locked="0"/>
    </xf>
    <xf numFmtId="3" fontId="24" fillId="14" borderId="28" xfId="0" applyNumberFormat="1" applyFont="1" applyFill="1" applyBorder="1" applyAlignment="1" applyProtection="1">
      <alignment horizontal="center" vertical="center"/>
      <protection locked="0"/>
    </xf>
    <xf numFmtId="0" fontId="24" fillId="14" borderId="28" xfId="0" applyFont="1" applyFill="1" applyBorder="1" applyAlignment="1" applyProtection="1">
      <alignment horizontal="center" vertical="center" wrapText="1"/>
      <protection locked="0"/>
    </xf>
    <xf numFmtId="0" fontId="56" fillId="16" borderId="72" xfId="0" applyFont="1" applyFill="1" applyBorder="1" applyAlignment="1" applyProtection="1">
      <alignment horizontal="center" vertical="center" wrapText="1"/>
    </xf>
    <xf numFmtId="3" fontId="24" fillId="14" borderId="72" xfId="0" applyNumberFormat="1" applyFont="1" applyFill="1" applyBorder="1" applyAlignment="1" applyProtection="1">
      <alignment horizontal="center" vertical="center"/>
      <protection locked="0"/>
    </xf>
    <xf numFmtId="0" fontId="50" fillId="12" borderId="29" xfId="0" applyFont="1" applyFill="1" applyBorder="1" applyAlignment="1" applyProtection="1">
      <alignment horizontal="center" vertical="center"/>
    </xf>
    <xf numFmtId="4" fontId="50" fillId="12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50" fillId="12" borderId="29" xfId="0" applyFont="1" applyFill="1" applyBorder="1" applyAlignment="1" applyProtection="1">
      <alignment horizontal="center" vertical="center"/>
      <protection locked="0"/>
    </xf>
    <xf numFmtId="4" fontId="59" fillId="18" borderId="41" xfId="0" applyNumberFormat="1" applyFont="1" applyFill="1" applyBorder="1" applyAlignment="1" applyProtection="1">
      <alignment horizontal="center" vertical="center" wrapText="1"/>
    </xf>
    <xf numFmtId="4" fontId="59" fillId="18" borderId="43" xfId="0" applyNumberFormat="1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8" fillId="16" borderId="38" xfId="0" applyFont="1" applyFill="1" applyBorder="1" applyAlignment="1" applyProtection="1">
      <alignment horizontal="center"/>
    </xf>
    <xf numFmtId="0" fontId="57" fillId="16" borderId="36" xfId="0" applyFont="1" applyFill="1" applyBorder="1" applyAlignment="1" applyProtection="1">
      <alignment horizontal="center" vertical="center"/>
    </xf>
    <xf numFmtId="0" fontId="57" fillId="16" borderId="37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 wrapText="1"/>
    </xf>
    <xf numFmtId="0" fontId="57" fillId="16" borderId="65" xfId="0" applyFont="1" applyFill="1" applyBorder="1" applyAlignment="1" applyProtection="1">
      <alignment horizontal="center"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38" xfId="0" applyFont="1" applyFill="1" applyBorder="1" applyAlignment="1" applyProtection="1">
      <alignment horizontal="center" vertical="center" wrapText="1"/>
    </xf>
    <xf numFmtId="0" fontId="29" fillId="0" borderId="68" xfId="0" applyFont="1" applyFill="1" applyBorder="1" applyAlignment="1" applyProtection="1">
      <alignment horizontal="center" vertical="center"/>
      <protection locked="0"/>
    </xf>
    <xf numFmtId="0" fontId="29" fillId="0" borderId="69" xfId="0" applyFont="1" applyFill="1" applyBorder="1" applyAlignment="1" applyProtection="1">
      <alignment horizontal="center" vertical="center"/>
      <protection locked="0"/>
    </xf>
    <xf numFmtId="0" fontId="57" fillId="16" borderId="41" xfId="0" applyFont="1" applyFill="1" applyBorder="1" applyAlignment="1" applyProtection="1">
      <alignment horizontal="center" vertical="center"/>
    </xf>
    <xf numFmtId="0" fontId="57" fillId="16" borderId="42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/>
    </xf>
    <xf numFmtId="0" fontId="57" fillId="16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60" fillId="16" borderId="46" xfId="0" applyNumberFormat="1" applyFont="1" applyFill="1" applyBorder="1" applyAlignment="1" applyProtection="1">
      <alignment horizontal="center" vertical="center"/>
    </xf>
    <xf numFmtId="1" fontId="60" fillId="16" borderId="47" xfId="0" applyNumberFormat="1" applyFont="1" applyFill="1" applyBorder="1" applyAlignment="1" applyProtection="1">
      <alignment horizontal="center" vertical="center"/>
    </xf>
    <xf numFmtId="1" fontId="60" fillId="16" borderId="42" xfId="0" applyNumberFormat="1" applyFont="1" applyFill="1" applyBorder="1" applyAlignment="1" applyProtection="1">
      <alignment horizontal="center" vertical="center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167" fontId="35" fillId="0" borderId="0" xfId="0" applyNumberFormat="1" applyFont="1" applyAlignment="1">
      <alignment horizontal="right"/>
    </xf>
    <xf numFmtId="0" fontId="35" fillId="0" borderId="0" xfId="0" applyFont="1"/>
    <xf numFmtId="0" fontId="37" fillId="0" borderId="0" xfId="0" applyFont="1"/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 vertical="top" wrapText="1"/>
    </xf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0" fontId="5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 wrapText="1"/>
    </xf>
    <xf numFmtId="0" fontId="30" fillId="11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51" fillId="7" borderId="0" xfId="4" applyFont="1" applyFill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2" fillId="7" borderId="0" xfId="0" applyNumberFormat="1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/>
    <cellStyle name="Normal" xfId="0" builtinId="0"/>
    <cellStyle name="Normal 10" xfId="3"/>
    <cellStyle name="Normal 2" xfId="5"/>
    <cellStyle name="Normal 6" xfId="2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15</xdr:col>
          <xdr:colOff>0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65</xdr:row>
      <xdr:rowOff>114905</xdr:rowOff>
    </xdr:from>
    <xdr:to>
      <xdr:col>7</xdr:col>
      <xdr:colOff>260048</xdr:colOff>
      <xdr:row>65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65</xdr:row>
      <xdr:rowOff>128211</xdr:rowOff>
    </xdr:from>
    <xdr:to>
      <xdr:col>8</xdr:col>
      <xdr:colOff>136829</xdr:colOff>
      <xdr:row>65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65</xdr:row>
      <xdr:rowOff>123371</xdr:rowOff>
    </xdr:from>
    <xdr:to>
      <xdr:col>8</xdr:col>
      <xdr:colOff>603250</xdr:colOff>
      <xdr:row>65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266700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9"/>
  <sheetViews>
    <sheetView topLeftCell="A37" zoomScaleNormal="100" zoomScaleSheetLayoutView="85" zoomScalePageLayoutView="80" workbookViewId="0">
      <selection activeCell="A39" sqref="A39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95" t="s">
        <v>20</v>
      </c>
      <c r="C1" s="295"/>
      <c r="D1" s="295"/>
      <c r="E1" s="2"/>
      <c r="F1" s="2"/>
      <c r="G1" s="2"/>
      <c r="H1" s="2"/>
      <c r="J1" s="14" t="s">
        <v>9</v>
      </c>
      <c r="L1" s="2"/>
      <c r="M1" s="295" t="s">
        <v>20</v>
      </c>
      <c r="N1" s="295"/>
      <c r="O1" s="295"/>
    </row>
    <row r="2" spans="1:15" ht="17.25" customHeight="1" thickBot="1" x14ac:dyDescent="0.25">
      <c r="A2" s="10" t="s">
        <v>1</v>
      </c>
      <c r="B2" s="296"/>
      <c r="C2" s="296"/>
      <c r="D2" s="296"/>
      <c r="E2" s="296"/>
      <c r="F2" s="296"/>
      <c r="G2" s="296"/>
      <c r="H2" s="296"/>
      <c r="I2" s="296"/>
      <c r="J2" s="296"/>
      <c r="K2" s="2"/>
      <c r="L2" s="2"/>
    </row>
    <row r="3" spans="1:15" ht="17.25" customHeight="1" thickBot="1" x14ac:dyDescent="0.25">
      <c r="A3" s="10" t="s">
        <v>2</v>
      </c>
      <c r="B3" s="297"/>
      <c r="C3" s="297"/>
      <c r="D3" s="297"/>
      <c r="E3" s="297"/>
      <c r="F3" s="297"/>
      <c r="G3" s="297"/>
      <c r="H3" s="297"/>
      <c r="I3" s="297"/>
      <c r="J3" s="297"/>
      <c r="K3" s="298" t="s">
        <v>15</v>
      </c>
      <c r="L3" s="298"/>
      <c r="M3" s="299"/>
      <c r="N3" s="300"/>
      <c r="O3" s="301"/>
    </row>
    <row r="4" spans="1:15" ht="17.25" customHeight="1" x14ac:dyDescent="0.2">
      <c r="A4" s="10" t="s">
        <v>3</v>
      </c>
      <c r="B4" s="296"/>
      <c r="C4" s="296"/>
      <c r="D4" s="296"/>
      <c r="E4" s="296"/>
      <c r="F4" s="296"/>
      <c r="G4" s="296"/>
      <c r="H4" s="296"/>
      <c r="I4" s="296"/>
      <c r="J4" s="296"/>
      <c r="K4" s="296"/>
      <c r="L4" s="296"/>
      <c r="M4" s="296"/>
      <c r="N4" s="296"/>
      <c r="O4" s="296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</row>
    <row r="9" spans="1:15" ht="17.25" customHeight="1" x14ac:dyDescent="0.2">
      <c r="A9" s="297"/>
      <c r="B9" s="297"/>
      <c r="C9" s="297"/>
      <c r="D9" s="297"/>
      <c r="E9" s="297"/>
      <c r="F9" s="297"/>
      <c r="G9" s="297"/>
      <c r="H9" s="297"/>
      <c r="I9" s="297"/>
      <c r="J9" s="297"/>
      <c r="K9" s="297"/>
      <c r="L9" s="297"/>
      <c r="M9" s="297"/>
      <c r="N9" s="297"/>
      <c r="O9" s="297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94" t="s">
        <v>10</v>
      </c>
      <c r="F36" s="294"/>
      <c r="G36" s="294"/>
      <c r="H36" s="19" t="s">
        <v>16</v>
      </c>
      <c r="I36" s="19" t="s">
        <v>14</v>
      </c>
      <c r="J36" s="10"/>
      <c r="K36" s="294" t="s">
        <v>10</v>
      </c>
      <c r="L36" s="294"/>
      <c r="M36" s="294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94"/>
      <c r="F37" s="294"/>
      <c r="G37" s="294"/>
      <c r="H37" s="18"/>
      <c r="I37" s="18"/>
      <c r="J37" s="2"/>
      <c r="K37" s="294"/>
      <c r="L37" s="294"/>
      <c r="M37" s="294"/>
      <c r="N37" s="18"/>
      <c r="O37" s="18"/>
    </row>
    <row r="38" spans="1:15" ht="14.1" customHeight="1" x14ac:dyDescent="0.2">
      <c r="A38" s="18"/>
      <c r="B38" s="18"/>
      <c r="C38" s="18"/>
      <c r="D38" s="2"/>
      <c r="E38" s="294"/>
      <c r="F38" s="294"/>
      <c r="G38" s="294"/>
      <c r="H38" s="18"/>
      <c r="I38" s="18"/>
      <c r="J38" s="2"/>
      <c r="K38" s="294"/>
      <c r="L38" s="294"/>
      <c r="M38" s="294"/>
      <c r="N38" s="18"/>
      <c r="O38" s="18"/>
    </row>
    <row r="39" spans="1:15" ht="14.1" customHeight="1" x14ac:dyDescent="0.2">
      <c r="A39" s="18"/>
      <c r="B39" s="18"/>
      <c r="C39" s="18"/>
      <c r="D39" s="2"/>
      <c r="E39" s="294"/>
      <c r="F39" s="294"/>
      <c r="G39" s="294"/>
      <c r="H39" s="18"/>
      <c r="I39" s="18"/>
      <c r="J39" s="2"/>
      <c r="K39" s="294"/>
      <c r="L39" s="294"/>
      <c r="M39" s="294"/>
      <c r="N39" s="18"/>
      <c r="O39" s="18"/>
    </row>
    <row r="40" spans="1:15" ht="14.1" customHeight="1" x14ac:dyDescent="0.2">
      <c r="A40" s="18"/>
      <c r="B40" s="18"/>
      <c r="C40" s="18"/>
      <c r="D40" s="2"/>
      <c r="E40" s="294"/>
      <c r="F40" s="294"/>
      <c r="G40" s="294"/>
      <c r="H40" s="18"/>
      <c r="I40" s="18"/>
      <c r="J40" s="2"/>
      <c r="K40" s="294"/>
      <c r="L40" s="294"/>
      <c r="M40" s="294"/>
      <c r="N40" s="18"/>
      <c r="O40" s="18"/>
    </row>
    <row r="41" spans="1:15" ht="14.1" customHeight="1" x14ac:dyDescent="0.2">
      <c r="A41" s="18"/>
      <c r="B41" s="18"/>
      <c r="C41" s="18"/>
      <c r="D41" s="2"/>
      <c r="E41" s="294"/>
      <c r="F41" s="294"/>
      <c r="G41" s="294"/>
      <c r="H41" s="18"/>
      <c r="I41" s="18"/>
      <c r="J41" s="2"/>
      <c r="K41" s="294"/>
      <c r="L41" s="294"/>
      <c r="M41" s="294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302" t="s">
        <v>18</v>
      </c>
      <c r="L43" s="303"/>
      <c r="M43" s="303"/>
      <c r="N43" s="299"/>
      <c r="O43" s="301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95" t="s">
        <v>20</v>
      </c>
      <c r="C49" s="295"/>
      <c r="D49" s="295"/>
      <c r="I49" s="10" t="s">
        <v>19</v>
      </c>
      <c r="J49" s="295" t="s">
        <v>20</v>
      </c>
      <c r="K49" s="295"/>
      <c r="L49" s="295"/>
    </row>
  </sheetData>
  <mergeCells count="25">
    <mergeCell ref="E41:G41"/>
    <mergeCell ref="K41:M41"/>
    <mergeCell ref="K43:M43"/>
    <mergeCell ref="N43:O43"/>
    <mergeCell ref="B49:D49"/>
    <mergeCell ref="J49:L49"/>
    <mergeCell ref="E38:G38"/>
    <mergeCell ref="K38:M38"/>
    <mergeCell ref="E39:G39"/>
    <mergeCell ref="K39:M39"/>
    <mergeCell ref="E40:G40"/>
    <mergeCell ref="K40:M40"/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I27"/>
  <sheetViews>
    <sheetView topLeftCell="A16" workbookViewId="0">
      <selection activeCell="I17" sqref="I17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304" t="s">
        <v>30</v>
      </c>
      <c r="D9" s="304"/>
      <c r="E9" s="304"/>
      <c r="F9" s="304"/>
      <c r="G9" s="304"/>
      <c r="H9" s="304"/>
      <c r="I9" s="304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306" t="s">
        <v>57</v>
      </c>
      <c r="B11" s="306"/>
      <c r="C11" s="306"/>
      <c r="D11" s="306"/>
      <c r="E11" s="306"/>
      <c r="F11" s="306"/>
      <c r="G11" s="306"/>
      <c r="H11" s="306"/>
      <c r="I11" s="306"/>
    </row>
    <row r="12" spans="1:9" x14ac:dyDescent="0.25">
      <c r="A12" s="306" t="s">
        <v>58</v>
      </c>
      <c r="B12" s="306"/>
      <c r="C12" s="306"/>
      <c r="D12" s="306"/>
      <c r="E12" s="306"/>
      <c r="F12" s="306"/>
      <c r="G12" s="306"/>
      <c r="H12" s="306"/>
      <c r="I12" s="306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305" t="s">
        <v>28</v>
      </c>
      <c r="B26" s="305"/>
      <c r="C26" s="305"/>
      <c r="D26" s="305"/>
      <c r="E26" s="305"/>
      <c r="F26" s="305"/>
      <c r="G26" s="305"/>
      <c r="H26" s="305"/>
      <c r="I26" s="305"/>
    </row>
    <row r="27" spans="1:9" x14ac:dyDescent="0.25">
      <c r="A27" s="305"/>
      <c r="B27" s="305"/>
      <c r="C27" s="305"/>
      <c r="D27" s="305"/>
      <c r="E27" s="305"/>
      <c r="F27" s="305"/>
      <c r="G27" s="305"/>
      <c r="H27" s="305"/>
      <c r="I27" s="305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G43"/>
  <sheetViews>
    <sheetView zoomScale="50" zoomScaleNormal="50" workbookViewId="0">
      <selection activeCell="F31" sqref="F31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307" t="s">
        <v>38</v>
      </c>
      <c r="D8" s="308"/>
      <c r="E8" s="309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310" t="s">
        <v>40</v>
      </c>
      <c r="F21" s="310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307" t="s">
        <v>38</v>
      </c>
      <c r="D30" s="308"/>
      <c r="E30" s="309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310" t="s">
        <v>40</v>
      </c>
      <c r="F43" s="310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G16"/>
  <sheetViews>
    <sheetView topLeftCell="A4" workbookViewId="0">
      <selection activeCell="C11" sqref="C11:F11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15" t="s">
        <v>44</v>
      </c>
      <c r="C3" s="315"/>
      <c r="D3" s="315"/>
      <c r="E3" s="315"/>
      <c r="F3" s="315"/>
      <c r="G3" s="315"/>
    </row>
    <row r="4" spans="2:7" ht="18.75" x14ac:dyDescent="0.3">
      <c r="B4" s="316" t="s">
        <v>45</v>
      </c>
      <c r="C4" s="316"/>
      <c r="D4" s="316"/>
      <c r="E4" s="316"/>
      <c r="F4" s="316"/>
      <c r="G4" s="316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311" t="s">
        <v>46</v>
      </c>
      <c r="D9" s="312"/>
      <c r="E9" s="312"/>
      <c r="F9" s="313"/>
      <c r="G9" s="72" t="s">
        <v>47</v>
      </c>
    </row>
    <row r="10" spans="2:7" ht="15.75" thickBot="1" x14ac:dyDescent="0.3">
      <c r="B10" s="73"/>
      <c r="C10" s="311"/>
      <c r="D10" s="312"/>
      <c r="E10" s="312"/>
      <c r="F10" s="313"/>
      <c r="G10" s="73"/>
    </row>
    <row r="11" spans="2:7" ht="30" customHeight="1" x14ac:dyDescent="0.25">
      <c r="B11" s="74">
        <v>1</v>
      </c>
      <c r="C11" s="317" t="s">
        <v>53</v>
      </c>
      <c r="D11" s="318"/>
      <c r="E11" s="318"/>
      <c r="F11" s="319"/>
      <c r="G11" s="74">
        <v>6</v>
      </c>
    </row>
    <row r="12" spans="2:7" ht="45.75" customHeight="1" thickBot="1" x14ac:dyDescent="0.3">
      <c r="B12" s="75"/>
      <c r="C12" s="320"/>
      <c r="D12" s="321"/>
      <c r="E12" s="321"/>
      <c r="F12" s="322"/>
      <c r="G12" s="75"/>
    </row>
    <row r="16" spans="2:7" x14ac:dyDescent="0.25">
      <c r="F16" s="314" t="s">
        <v>48</v>
      </c>
      <c r="G16" s="314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P80"/>
  <sheetViews>
    <sheetView tabSelected="1" zoomScale="70" zoomScaleNormal="70" zoomScalePageLayoutView="85" workbookViewId="0">
      <pane ySplit="2" topLeftCell="A72" activePane="bottomLeft" state="frozen"/>
      <selection pane="bottomLeft" activeCell="N14" sqref="N14"/>
    </sheetView>
  </sheetViews>
  <sheetFormatPr baseColWidth="10" defaultRowHeight="15.75" x14ac:dyDescent="0.25"/>
  <cols>
    <col min="1" max="1" width="4.85546875" style="143" customWidth="1"/>
    <col min="2" max="2" width="16.85546875" style="170" customWidth="1"/>
    <col min="3" max="3" width="11.42578125" style="170"/>
    <col min="4" max="4" width="2.140625" style="170" customWidth="1"/>
    <col min="5" max="5" width="13" style="170" customWidth="1"/>
    <col min="6" max="6" width="14.5703125" style="170" customWidth="1"/>
    <col min="7" max="7" width="20.28515625" style="170" customWidth="1"/>
    <col min="8" max="8" width="8.28515625" style="170" customWidth="1"/>
    <col min="9" max="9" width="13.140625" style="170" customWidth="1"/>
    <col min="10" max="10" width="14.85546875" style="170" customWidth="1"/>
    <col min="11" max="11" width="14.140625" style="170" customWidth="1"/>
    <col min="12" max="13" width="17.140625" style="170" customWidth="1"/>
    <col min="14" max="14" width="11.42578125" style="142"/>
    <col min="15" max="15" width="11" style="142" customWidth="1"/>
    <col min="16" max="16" width="6.28515625" style="142" bestFit="1" customWidth="1"/>
    <col min="17" max="16384" width="11.42578125" style="142"/>
  </cols>
  <sheetData>
    <row r="1" spans="1:14" s="328" customFormat="1" ht="39.950000000000003" customHeight="1" x14ac:dyDescent="0.25">
      <c r="A1" s="329"/>
      <c r="B1" s="330" t="s">
        <v>178</v>
      </c>
      <c r="C1" s="331"/>
      <c r="D1" s="331"/>
      <c r="E1" s="332"/>
      <c r="F1" s="336">
        <f ca="1">IF(K13="EXTERNO",L73/0.84,IF(K13="INTERNO",L71))</f>
        <v>1142.3745962732919</v>
      </c>
      <c r="G1" s="337"/>
      <c r="H1" s="340">
        <f>+L78</f>
        <v>2000</v>
      </c>
      <c r="I1" s="341"/>
      <c r="J1" s="251">
        <f ca="1">H1-F1</f>
        <v>857.6254037267081</v>
      </c>
    </row>
    <row r="2" spans="1:14" s="328" customFormat="1" ht="15.75" customHeight="1" x14ac:dyDescent="0.25">
      <c r="A2" s="329"/>
      <c r="B2" s="333"/>
      <c r="C2" s="334"/>
      <c r="D2" s="334"/>
      <c r="E2" s="335"/>
      <c r="F2" s="338" t="s">
        <v>184</v>
      </c>
      <c r="G2" s="339"/>
      <c r="H2" s="338" t="s">
        <v>183</v>
      </c>
      <c r="I2" s="342"/>
      <c r="J2" s="250" t="s">
        <v>185</v>
      </c>
    </row>
    <row r="3" spans="1:14" s="248" customFormat="1" ht="15" x14ac:dyDescent="0.25"/>
    <row r="4" spans="1:14" ht="28.5" x14ac:dyDescent="0.25">
      <c r="A4" s="142"/>
      <c r="B4" s="354" t="s">
        <v>188</v>
      </c>
      <c r="C4" s="354"/>
      <c r="D4" s="354"/>
      <c r="E4" s="354"/>
      <c r="F4" s="354"/>
      <c r="G4" s="354"/>
      <c r="H4" s="354"/>
      <c r="I4" s="354"/>
      <c r="J4" s="354"/>
      <c r="K4" s="354"/>
      <c r="L4" s="354"/>
      <c r="M4" s="354"/>
    </row>
    <row r="5" spans="1:14" ht="28.5" x14ac:dyDescent="0.25">
      <c r="A5" s="142"/>
      <c r="B5" s="354" t="s">
        <v>181</v>
      </c>
      <c r="C5" s="354"/>
      <c r="D5" s="354"/>
      <c r="E5" s="354"/>
      <c r="F5" s="354"/>
      <c r="G5" s="354"/>
      <c r="H5" s="354"/>
      <c r="I5" s="354"/>
      <c r="J5" s="354"/>
      <c r="K5" s="354"/>
      <c r="L5" s="354"/>
      <c r="M5" s="354"/>
    </row>
    <row r="6" spans="1:14" ht="28.5" x14ac:dyDescent="0.25">
      <c r="A6" s="142"/>
      <c r="B6" s="172"/>
      <c r="C6" s="172"/>
      <c r="D6" s="172"/>
      <c r="E6" s="172"/>
      <c r="F6" s="172"/>
      <c r="G6" s="172"/>
      <c r="H6" s="144"/>
      <c r="I6" s="172"/>
      <c r="J6" s="172"/>
      <c r="K6" s="172"/>
      <c r="L6" s="172"/>
      <c r="M6" s="172"/>
    </row>
    <row r="7" spans="1:14" ht="30" customHeight="1" x14ac:dyDescent="0.25">
      <c r="A7" s="171" t="s">
        <v>98</v>
      </c>
      <c r="B7" s="356" t="s">
        <v>1</v>
      </c>
      <c r="C7" s="356"/>
      <c r="D7" s="357" t="s">
        <v>189</v>
      </c>
      <c r="E7" s="357"/>
      <c r="F7" s="357"/>
      <c r="G7" s="357"/>
      <c r="H7" s="173" t="s">
        <v>99</v>
      </c>
      <c r="I7" s="356" t="s">
        <v>96</v>
      </c>
      <c r="J7" s="356"/>
      <c r="K7" s="398">
        <v>1010101</v>
      </c>
      <c r="L7" s="398"/>
      <c r="M7" s="398"/>
      <c r="N7" s="224"/>
    </row>
    <row r="8" spans="1:14" ht="18.75" x14ac:dyDescent="0.25">
      <c r="A8" s="145"/>
      <c r="B8" s="177"/>
      <c r="C8" s="177"/>
      <c r="D8" s="177"/>
      <c r="E8" s="177"/>
      <c r="F8" s="177"/>
      <c r="G8" s="177"/>
      <c r="H8" s="146"/>
      <c r="I8" s="177"/>
      <c r="J8" s="177"/>
      <c r="K8" s="177"/>
      <c r="L8" s="177"/>
      <c r="M8" s="177"/>
    </row>
    <row r="9" spans="1:14" ht="75.75" customHeight="1" x14ac:dyDescent="0.25">
      <c r="A9" s="171" t="s">
        <v>100</v>
      </c>
      <c r="B9" s="378" t="s">
        <v>101</v>
      </c>
      <c r="C9" s="378"/>
      <c r="D9" s="379" t="s">
        <v>190</v>
      </c>
      <c r="E9" s="380"/>
      <c r="F9" s="380"/>
      <c r="G9" s="380"/>
      <c r="H9" s="173" t="s">
        <v>106</v>
      </c>
      <c r="I9" s="356" t="s">
        <v>105</v>
      </c>
      <c r="J9" s="356"/>
      <c r="K9" s="355" t="s">
        <v>191</v>
      </c>
      <c r="L9" s="355"/>
      <c r="M9" s="355"/>
      <c r="N9" s="224"/>
    </row>
    <row r="10" spans="1:14" ht="18.75" x14ac:dyDescent="0.25">
      <c r="A10" s="145"/>
      <c r="B10" s="177"/>
      <c r="C10" s="177"/>
      <c r="D10" s="177"/>
      <c r="E10" s="177"/>
      <c r="F10" s="177"/>
      <c r="G10" s="177"/>
      <c r="H10" s="146"/>
      <c r="I10" s="177"/>
      <c r="J10" s="177"/>
      <c r="K10" s="177"/>
      <c r="L10" s="177"/>
      <c r="M10" s="177"/>
    </row>
    <row r="11" spans="1:14" ht="37.5" customHeight="1" x14ac:dyDescent="0.25">
      <c r="A11" s="171" t="s">
        <v>108</v>
      </c>
      <c r="B11" s="378" t="s">
        <v>102</v>
      </c>
      <c r="C11" s="378"/>
      <c r="D11" s="397">
        <v>43424</v>
      </c>
      <c r="E11" s="397"/>
      <c r="F11" s="397"/>
      <c r="G11" s="397"/>
      <c r="H11" s="173" t="s">
        <v>109</v>
      </c>
      <c r="I11" s="378" t="s">
        <v>103</v>
      </c>
      <c r="J11" s="378"/>
      <c r="K11" s="397">
        <v>43429</v>
      </c>
      <c r="L11" s="398"/>
      <c r="M11" s="398"/>
      <c r="N11" s="224"/>
    </row>
    <row r="12" spans="1:14" s="225" customFormat="1" ht="19.5" customHeight="1" x14ac:dyDescent="0.3">
      <c r="A12" s="147"/>
      <c r="B12" s="183"/>
      <c r="C12" s="188"/>
      <c r="D12" s="189"/>
      <c r="E12" s="190"/>
      <c r="F12" s="182"/>
      <c r="G12" s="191"/>
      <c r="H12" s="149"/>
      <c r="I12" s="182"/>
      <c r="J12" s="182"/>
      <c r="K12" s="183"/>
      <c r="L12" s="184"/>
      <c r="M12" s="185"/>
    </row>
    <row r="13" spans="1:14" s="225" customFormat="1" ht="27" customHeight="1" x14ac:dyDescent="0.3">
      <c r="A13" s="174" t="s">
        <v>110</v>
      </c>
      <c r="B13" s="378" t="s">
        <v>104</v>
      </c>
      <c r="C13" s="378"/>
      <c r="D13" s="378"/>
      <c r="E13" s="399">
        <v>10</v>
      </c>
      <c r="F13" s="399"/>
      <c r="G13" s="176"/>
      <c r="H13" s="239">
        <v>1.8</v>
      </c>
      <c r="I13" s="356" t="s">
        <v>107</v>
      </c>
      <c r="J13" s="356"/>
      <c r="K13" s="400" t="s">
        <v>179</v>
      </c>
      <c r="L13" s="400"/>
      <c r="M13" s="175"/>
    </row>
    <row r="14" spans="1:14" s="238" customFormat="1" ht="27" customHeight="1" x14ac:dyDescent="0.3">
      <c r="A14" s="174"/>
      <c r="B14" s="232"/>
      <c r="C14" s="241"/>
      <c r="D14" s="232"/>
      <c r="E14" s="240"/>
      <c r="F14" s="240"/>
      <c r="G14" s="233"/>
      <c r="H14" s="234"/>
      <c r="I14" s="235"/>
      <c r="J14" s="235"/>
      <c r="K14" s="236"/>
      <c r="L14" s="236"/>
      <c r="M14" s="237"/>
    </row>
    <row r="15" spans="1:14" s="225" customFormat="1" ht="27" customHeight="1" x14ac:dyDescent="0.3">
      <c r="A15" s="174">
        <v>1.9</v>
      </c>
      <c r="B15" s="393" t="s">
        <v>180</v>
      </c>
      <c r="C15" s="393"/>
      <c r="D15" s="394"/>
      <c r="E15" s="395"/>
      <c r="F15" s="396"/>
      <c r="G15" s="176"/>
      <c r="H15" s="252">
        <v>1.1000000000000001</v>
      </c>
      <c r="I15" s="401" t="s">
        <v>186</v>
      </c>
      <c r="J15" s="401"/>
      <c r="K15" s="402" t="s">
        <v>204</v>
      </c>
      <c r="L15" s="402"/>
      <c r="M15" s="175"/>
    </row>
    <row r="16" spans="1:14" s="225" customFormat="1" ht="27" customHeight="1" x14ac:dyDescent="0.3">
      <c r="A16" s="147"/>
      <c r="B16" s="192"/>
      <c r="C16" s="192"/>
      <c r="D16" s="192"/>
      <c r="E16" s="193"/>
      <c r="F16" s="193"/>
      <c r="G16" s="149"/>
      <c r="H16" s="150"/>
      <c r="I16" s="186"/>
      <c r="J16" s="186"/>
      <c r="K16" s="187"/>
      <c r="L16" s="187"/>
      <c r="M16" s="151"/>
    </row>
    <row r="17" spans="1:16" s="225" customFormat="1" ht="27" customHeight="1" x14ac:dyDescent="0.25">
      <c r="A17" s="147">
        <v>2</v>
      </c>
      <c r="B17" s="392" t="s">
        <v>172</v>
      </c>
      <c r="C17" s="392"/>
      <c r="D17" s="392"/>
      <c r="E17" s="392"/>
      <c r="F17" s="392"/>
      <c r="G17" s="392"/>
      <c r="H17" s="392"/>
      <c r="I17" s="148"/>
      <c r="J17" s="148"/>
      <c r="K17" s="152"/>
      <c r="L17" s="152"/>
    </row>
    <row r="18" spans="1:16" s="225" customFormat="1" ht="12.75" customHeight="1" x14ac:dyDescent="0.3">
      <c r="A18" s="147"/>
      <c r="B18" s="179"/>
      <c r="C18" s="179"/>
      <c r="D18" s="179"/>
      <c r="E18" s="194"/>
      <c r="F18" s="194"/>
      <c r="G18" s="178"/>
      <c r="H18" s="195"/>
      <c r="I18" s="181"/>
      <c r="J18" s="181"/>
      <c r="K18" s="196"/>
      <c r="L18" s="196"/>
      <c r="M18" s="151"/>
    </row>
    <row r="19" spans="1:16" s="225" customFormat="1" ht="27" customHeight="1" x14ac:dyDescent="0.25">
      <c r="A19" s="171" t="s">
        <v>167</v>
      </c>
      <c r="B19" s="413" t="s">
        <v>114</v>
      </c>
      <c r="C19" s="414"/>
      <c r="D19" s="414"/>
      <c r="E19" s="414"/>
      <c r="F19" s="255" t="s">
        <v>116</v>
      </c>
      <c r="G19" s="256" t="s">
        <v>66</v>
      </c>
      <c r="H19" s="415" t="s">
        <v>115</v>
      </c>
      <c r="I19" s="416"/>
      <c r="J19" s="257" t="s">
        <v>67</v>
      </c>
      <c r="K19" s="417" t="s">
        <v>70</v>
      </c>
      <c r="L19" s="418"/>
    </row>
    <row r="20" spans="1:16" s="225" customFormat="1" ht="27" customHeight="1" x14ac:dyDescent="0.25">
      <c r="A20" s="171"/>
      <c r="B20" s="383" t="s">
        <v>118</v>
      </c>
      <c r="C20" s="384"/>
      <c r="D20" s="384"/>
      <c r="E20" s="385"/>
      <c r="F20" s="137" t="s">
        <v>68</v>
      </c>
      <c r="G20" s="249">
        <v>1</v>
      </c>
      <c r="H20" s="419">
        <v>1</v>
      </c>
      <c r="I20" s="420"/>
      <c r="J20" s="261">
        <f>IF(F20="HRS",Hoja2!C18,IF('Estado de costos'!F20="DIAS",Hoja2!D18))</f>
        <v>216</v>
      </c>
      <c r="K20" s="388">
        <f>+J20*G20*H20</f>
        <v>216</v>
      </c>
      <c r="L20" s="389"/>
    </row>
    <row r="21" spans="1:16" s="225" customFormat="1" ht="27" customHeight="1" x14ac:dyDescent="0.25">
      <c r="A21" s="171"/>
      <c r="B21" s="383" t="s">
        <v>171</v>
      </c>
      <c r="C21" s="384"/>
      <c r="D21" s="384"/>
      <c r="E21" s="385"/>
      <c r="F21" s="137" t="s">
        <v>91</v>
      </c>
      <c r="G21" s="249">
        <v>1</v>
      </c>
      <c r="H21" s="386">
        <v>1</v>
      </c>
      <c r="I21" s="387"/>
      <c r="J21" s="261">
        <f>IF(F21="HRS",Hoja2!C19,IF('Estado de costos'!F21="DIAS",Hoja2!D19))</f>
        <v>15</v>
      </c>
      <c r="K21" s="388">
        <f t="shared" ref="K21:K23" si="0">+J21*G21*H21</f>
        <v>15</v>
      </c>
      <c r="L21" s="389"/>
    </row>
    <row r="22" spans="1:16" s="225" customFormat="1" ht="27" customHeight="1" x14ac:dyDescent="0.25">
      <c r="A22" s="171"/>
      <c r="B22" s="383" t="s">
        <v>120</v>
      </c>
      <c r="C22" s="384"/>
      <c r="D22" s="384"/>
      <c r="E22" s="385"/>
      <c r="F22" s="137" t="s">
        <v>68</v>
      </c>
      <c r="G22" s="249">
        <v>1</v>
      </c>
      <c r="H22" s="390">
        <v>1</v>
      </c>
      <c r="I22" s="391"/>
      <c r="J22" s="261">
        <f>IF(F22="HRS",Hoja2!C20,IF('Estado de costos'!F22="DIAS",Hoja2!D20))</f>
        <v>224</v>
      </c>
      <c r="K22" s="388">
        <f t="shared" si="0"/>
        <v>224</v>
      </c>
      <c r="L22" s="389"/>
    </row>
    <row r="23" spans="1:16" s="225" customFormat="1" ht="27" customHeight="1" x14ac:dyDescent="0.25">
      <c r="A23" s="171"/>
      <c r="B23" s="383" t="s">
        <v>121</v>
      </c>
      <c r="C23" s="384"/>
      <c r="D23" s="384"/>
      <c r="E23" s="385"/>
      <c r="F23" s="137" t="s">
        <v>91</v>
      </c>
      <c r="G23" s="249">
        <v>1</v>
      </c>
      <c r="H23" s="390">
        <v>1</v>
      </c>
      <c r="I23" s="391"/>
      <c r="J23" s="261">
        <f>IF(F23="HRS",Hoja2!C21,IF('Estado de costos'!F23="DIAS",Hoja2!D21))</f>
        <v>16</v>
      </c>
      <c r="K23" s="388">
        <f t="shared" si="0"/>
        <v>16</v>
      </c>
      <c r="L23" s="389"/>
    </row>
    <row r="24" spans="1:16" s="225" customFormat="1" ht="27" customHeight="1" x14ac:dyDescent="0.25">
      <c r="A24" s="171"/>
      <c r="B24" s="421" t="s">
        <v>168</v>
      </c>
      <c r="C24" s="422"/>
      <c r="D24" s="422"/>
      <c r="E24" s="422"/>
      <c r="F24" s="258"/>
      <c r="G24" s="259">
        <f>SUM(G20:I23)</f>
        <v>8</v>
      </c>
      <c r="H24" s="423">
        <f>+SUM(H20:I23)</f>
        <v>4</v>
      </c>
      <c r="I24" s="424"/>
      <c r="J24" s="260">
        <f>SUM(J20:J23)</f>
        <v>471</v>
      </c>
      <c r="K24" s="381">
        <f>SUM(K20:L23)</f>
        <v>471</v>
      </c>
      <c r="L24" s="382"/>
    </row>
    <row r="25" spans="1:16" s="225" customFormat="1" ht="27" customHeight="1" x14ac:dyDescent="0.3">
      <c r="A25" s="147"/>
      <c r="B25" s="192"/>
      <c r="C25" s="192"/>
      <c r="D25" s="192"/>
      <c r="E25" s="193"/>
      <c r="F25" s="193"/>
      <c r="G25" s="191"/>
      <c r="H25" s="197"/>
      <c r="I25" s="186"/>
      <c r="J25" s="186"/>
      <c r="K25" s="187"/>
      <c r="L25" s="187"/>
      <c r="M25" s="151"/>
    </row>
    <row r="26" spans="1:16" s="225" customFormat="1" ht="27" customHeight="1" x14ac:dyDescent="0.25">
      <c r="A26" s="147">
        <v>3</v>
      </c>
      <c r="B26" s="409" t="s">
        <v>202</v>
      </c>
      <c r="C26" s="409"/>
      <c r="D26" s="409"/>
      <c r="E26" s="409"/>
      <c r="F26" s="409"/>
      <c r="G26" s="409"/>
      <c r="H26" s="409"/>
      <c r="I26" s="409"/>
      <c r="J26" s="409"/>
      <c r="K26" s="409"/>
      <c r="L26" s="152"/>
      <c r="M26" s="151"/>
    </row>
    <row r="27" spans="1:16" ht="10.5" customHeight="1" x14ac:dyDescent="0.3">
      <c r="A27" s="145"/>
      <c r="B27" s="179"/>
      <c r="C27" s="179"/>
      <c r="D27" s="179"/>
      <c r="E27" s="180"/>
      <c r="F27" s="181"/>
      <c r="G27" s="199"/>
      <c r="H27" s="199"/>
      <c r="I27" s="199"/>
      <c r="J27" s="200"/>
      <c r="K27" s="201"/>
      <c r="L27" s="201"/>
      <c r="M27" s="201"/>
    </row>
    <row r="28" spans="1:16" ht="19.5" customHeight="1" x14ac:dyDescent="0.3">
      <c r="A28" s="171" t="s">
        <v>129</v>
      </c>
      <c r="B28" s="360" t="s">
        <v>10</v>
      </c>
      <c r="C28" s="361"/>
      <c r="D28" s="361"/>
      <c r="E28" s="361"/>
      <c r="F28" s="361"/>
      <c r="G28" s="361"/>
      <c r="H28" s="361" t="s">
        <v>123</v>
      </c>
      <c r="I28" s="361"/>
      <c r="J28" s="361"/>
      <c r="K28" s="361"/>
      <c r="L28" s="361"/>
      <c r="M28" s="412"/>
      <c r="N28" s="224"/>
    </row>
    <row r="29" spans="1:16" s="227" customFormat="1" ht="55.5" customHeight="1" x14ac:dyDescent="0.25">
      <c r="A29" s="198"/>
      <c r="B29" s="343" t="s">
        <v>63</v>
      </c>
      <c r="C29" s="344"/>
      <c r="D29" s="344"/>
      <c r="E29" s="344"/>
      <c r="F29" s="344" t="s">
        <v>111</v>
      </c>
      <c r="G29" s="344"/>
      <c r="H29" s="344" t="s">
        <v>61</v>
      </c>
      <c r="I29" s="344"/>
      <c r="J29" s="262" t="s">
        <v>23</v>
      </c>
      <c r="K29" s="262" t="s">
        <v>62</v>
      </c>
      <c r="L29" s="262" t="s">
        <v>112</v>
      </c>
      <c r="M29" s="263" t="s">
        <v>94</v>
      </c>
      <c r="N29" s="226"/>
      <c r="O29" s="227" t="s">
        <v>203</v>
      </c>
    </row>
    <row r="30" spans="1:16" ht="35.25" customHeight="1" x14ac:dyDescent="0.25">
      <c r="A30" s="171"/>
      <c r="B30" s="351" t="s">
        <v>192</v>
      </c>
      <c r="C30" s="351"/>
      <c r="D30" s="351"/>
      <c r="E30" s="351"/>
      <c r="F30" s="351" t="s">
        <v>194</v>
      </c>
      <c r="G30" s="351"/>
      <c r="H30" s="373" t="s">
        <v>196</v>
      </c>
      <c r="I30" s="373"/>
      <c r="J30" s="289">
        <v>2</v>
      </c>
      <c r="K30" s="138">
        <v>6.5</v>
      </c>
      <c r="L30" s="139" t="s">
        <v>73</v>
      </c>
      <c r="M30" s="264">
        <f>IF(L30="FACTURA",P30*0.87,IF(L30="RECIBO",P30/0.92,IF(L30="ALMACEN",P30*1,)))</f>
        <v>13</v>
      </c>
      <c r="N30" s="224"/>
      <c r="P30" s="142">
        <f>+J30*K30</f>
        <v>13</v>
      </c>
    </row>
    <row r="31" spans="1:16" ht="35.25" customHeight="1" x14ac:dyDescent="0.25">
      <c r="A31" s="171"/>
      <c r="B31" s="351" t="s">
        <v>193</v>
      </c>
      <c r="C31" s="351"/>
      <c r="D31" s="351"/>
      <c r="E31" s="351"/>
      <c r="F31" s="351" t="s">
        <v>195</v>
      </c>
      <c r="G31" s="351"/>
      <c r="H31" s="373" t="s">
        <v>196</v>
      </c>
      <c r="I31" s="373"/>
      <c r="J31" s="291">
        <v>4</v>
      </c>
      <c r="K31" s="138">
        <v>10</v>
      </c>
      <c r="L31" s="139" t="s">
        <v>198</v>
      </c>
      <c r="M31" s="264">
        <f>IF(L31="FACTURA",P31*0.87,IF(L31="RECIBO",P31/0.92,IF(L31="ALMACEN",P31*1,)))</f>
        <v>43.478260869565219</v>
      </c>
      <c r="N31" s="224"/>
      <c r="P31" s="142">
        <f>+J31*K31</f>
        <v>40</v>
      </c>
    </row>
    <row r="32" spans="1:16" ht="17.25" x14ac:dyDescent="0.3">
      <c r="A32" s="171"/>
      <c r="B32" s="364" t="s">
        <v>60</v>
      </c>
      <c r="C32" s="365"/>
      <c r="D32" s="365"/>
      <c r="E32" s="365"/>
      <c r="F32" s="365"/>
      <c r="G32" s="365"/>
      <c r="H32" s="365"/>
      <c r="I32" s="365"/>
      <c r="J32" s="266"/>
      <c r="K32" s="267"/>
      <c r="L32" s="266"/>
      <c r="M32" s="265">
        <f ca="1">SUM(M30:OFFSET(M32,-1,0))</f>
        <v>56.478260869565219</v>
      </c>
      <c r="N32" s="224"/>
    </row>
    <row r="33" spans="1:16" x14ac:dyDescent="0.25">
      <c r="A33" s="145"/>
      <c r="B33" s="202"/>
      <c r="C33" s="202"/>
      <c r="D33" s="202"/>
      <c r="E33" s="202"/>
      <c r="F33" s="203"/>
      <c r="G33" s="203"/>
      <c r="H33" s="202"/>
      <c r="I33" s="202"/>
      <c r="J33" s="204"/>
      <c r="K33" s="204"/>
      <c r="L33" s="204"/>
      <c r="M33" s="204"/>
    </row>
    <row r="34" spans="1:16" x14ac:dyDescent="0.25">
      <c r="A34" s="145"/>
      <c r="B34" s="153"/>
      <c r="C34" s="153"/>
      <c r="D34" s="153"/>
      <c r="E34" s="153"/>
      <c r="F34" s="154"/>
      <c r="G34" s="154"/>
      <c r="H34" s="153"/>
      <c r="I34" s="153"/>
      <c r="J34" s="155"/>
      <c r="K34" s="155"/>
      <c r="L34" s="155"/>
      <c r="M34" s="155"/>
    </row>
    <row r="35" spans="1:16" x14ac:dyDescent="0.25">
      <c r="A35" s="145"/>
      <c r="B35" s="153"/>
      <c r="C35" s="153"/>
      <c r="D35" s="153"/>
      <c r="E35" s="153"/>
      <c r="F35" s="154"/>
      <c r="G35" s="154"/>
      <c r="H35" s="153"/>
      <c r="I35" s="153"/>
      <c r="J35" s="155"/>
      <c r="K35" s="156"/>
      <c r="L35" s="156"/>
      <c r="M35" s="156"/>
    </row>
    <row r="36" spans="1:16" ht="17.25" x14ac:dyDescent="0.3">
      <c r="A36" s="145" t="s">
        <v>155</v>
      </c>
      <c r="B36" s="366" t="s">
        <v>65</v>
      </c>
      <c r="C36" s="366"/>
      <c r="D36" s="366"/>
      <c r="E36" s="366"/>
      <c r="F36" s="366"/>
      <c r="G36" s="366"/>
      <c r="H36" s="366" t="s">
        <v>122</v>
      </c>
      <c r="I36" s="366"/>
      <c r="J36" s="366"/>
      <c r="K36" s="366"/>
      <c r="L36" s="366"/>
      <c r="M36" s="366"/>
    </row>
    <row r="37" spans="1:16" ht="66" customHeight="1" x14ac:dyDescent="0.25">
      <c r="A37" s="171"/>
      <c r="B37" s="377" t="s">
        <v>65</v>
      </c>
      <c r="C37" s="345"/>
      <c r="D37" s="345"/>
      <c r="E37" s="345"/>
      <c r="F37" s="345" t="s">
        <v>113</v>
      </c>
      <c r="G37" s="345"/>
      <c r="H37" s="345" t="s">
        <v>86</v>
      </c>
      <c r="I37" s="345"/>
      <c r="J37" s="268" t="s">
        <v>23</v>
      </c>
      <c r="K37" s="268" t="s">
        <v>87</v>
      </c>
      <c r="L37" s="268" t="s">
        <v>112</v>
      </c>
      <c r="M37" s="269" t="s">
        <v>88</v>
      </c>
      <c r="N37" s="224"/>
    </row>
    <row r="38" spans="1:16" ht="33.75" customHeight="1" x14ac:dyDescent="0.25">
      <c r="A38" s="171"/>
      <c r="B38" s="376" t="s">
        <v>197</v>
      </c>
      <c r="C38" s="376"/>
      <c r="D38" s="376"/>
      <c r="E38" s="376"/>
      <c r="F38" s="370"/>
      <c r="G38" s="370"/>
      <c r="H38" s="371"/>
      <c r="I38" s="371"/>
      <c r="J38" s="288">
        <v>1</v>
      </c>
      <c r="K38" s="288">
        <v>100</v>
      </c>
      <c r="L38" s="290" t="s">
        <v>97</v>
      </c>
      <c r="M38" s="270">
        <f>IF(L38="FACTURA",P38*0.87,IF(L38="RECIBO",P38/0.845,IF(L38="VALORADOS",P38*1,IF(L38="ALQUILER CON RECIBO",P38/0.84))))</f>
        <v>100</v>
      </c>
      <c r="N38" s="224"/>
      <c r="P38" s="142">
        <f>+K38*J38</f>
        <v>100</v>
      </c>
    </row>
    <row r="39" spans="1:16" ht="33.75" customHeight="1" x14ac:dyDescent="0.25">
      <c r="A39" s="171"/>
      <c r="B39" s="376" t="s">
        <v>199</v>
      </c>
      <c r="C39" s="376"/>
      <c r="D39" s="376"/>
      <c r="E39" s="376"/>
      <c r="F39" s="370"/>
      <c r="G39" s="370"/>
      <c r="H39" s="371"/>
      <c r="I39" s="371"/>
      <c r="J39" s="292"/>
      <c r="K39" s="292"/>
      <c r="L39" s="293" t="s">
        <v>97</v>
      </c>
      <c r="M39" s="270">
        <f t="shared" ref="M39:M40" si="1">IF(L39="FACTURA",P39*0.87,IF(L39="RECIBO",P39/0.845,IF(L39="VALORADOS",P39*1,IF(L39="ALQUILER CON RECIBO",P39/0.84))))</f>
        <v>0</v>
      </c>
      <c r="N39" s="224"/>
      <c r="P39" s="142">
        <f t="shared" ref="P39:P40" si="2">+K39*J39</f>
        <v>0</v>
      </c>
    </row>
    <row r="40" spans="1:16" ht="33.75" customHeight="1" x14ac:dyDescent="0.25">
      <c r="A40" s="171"/>
      <c r="B40" s="376"/>
      <c r="C40" s="376"/>
      <c r="D40" s="376"/>
      <c r="E40" s="376"/>
      <c r="F40" s="370"/>
      <c r="G40" s="370"/>
      <c r="H40" s="371"/>
      <c r="I40" s="371"/>
      <c r="J40" s="292"/>
      <c r="K40" s="292"/>
      <c r="L40" s="293" t="s">
        <v>198</v>
      </c>
      <c r="M40" s="270">
        <f t="shared" si="1"/>
        <v>0</v>
      </c>
      <c r="N40" s="224"/>
      <c r="P40" s="142">
        <f t="shared" si="2"/>
        <v>0</v>
      </c>
    </row>
    <row r="41" spans="1:16" ht="16.5" customHeight="1" x14ac:dyDescent="0.25">
      <c r="A41" s="171"/>
      <c r="B41" s="362" t="s">
        <v>60</v>
      </c>
      <c r="C41" s="363"/>
      <c r="D41" s="363"/>
      <c r="E41" s="363"/>
      <c r="F41" s="363"/>
      <c r="G41" s="363"/>
      <c r="H41" s="363"/>
      <c r="I41" s="363"/>
      <c r="J41" s="272"/>
      <c r="K41" s="273"/>
      <c r="L41" s="273"/>
      <c r="M41" s="271">
        <f ca="1">SUM(M38:OFFSET(M41,-1,0))</f>
        <v>100</v>
      </c>
      <c r="N41" s="224"/>
    </row>
    <row r="42" spans="1:16" ht="16.5" customHeight="1" x14ac:dyDescent="0.25">
      <c r="A42" s="145"/>
      <c r="B42" s="202"/>
      <c r="C42" s="205"/>
      <c r="D42" s="205"/>
      <c r="E42" s="205"/>
      <c r="F42" s="203"/>
      <c r="G42" s="203"/>
      <c r="H42" s="203"/>
      <c r="I42" s="203"/>
      <c r="J42" s="204"/>
      <c r="K42" s="206"/>
      <c r="L42" s="206"/>
      <c r="M42" s="206"/>
    </row>
    <row r="43" spans="1:16" ht="16.5" customHeight="1" x14ac:dyDescent="0.25">
      <c r="A43" s="145"/>
      <c r="B43" s="153"/>
      <c r="C43" s="157"/>
      <c r="D43" s="157"/>
      <c r="E43" s="157"/>
      <c r="F43" s="154"/>
      <c r="G43" s="154"/>
      <c r="H43" s="154"/>
      <c r="I43" s="154"/>
      <c r="J43" s="155"/>
      <c r="K43" s="158"/>
      <c r="L43" s="158"/>
      <c r="M43" s="158"/>
    </row>
    <row r="44" spans="1:16" ht="16.5" customHeight="1" x14ac:dyDescent="0.25">
      <c r="A44" s="145"/>
      <c r="B44" s="425" t="s">
        <v>128</v>
      </c>
      <c r="C44" s="425"/>
      <c r="D44" s="425"/>
      <c r="E44" s="425"/>
      <c r="F44" s="425"/>
      <c r="G44" s="425"/>
      <c r="H44" s="425"/>
      <c r="I44" s="425"/>
      <c r="J44" s="425"/>
      <c r="K44" s="425"/>
      <c r="L44" s="425"/>
      <c r="M44" s="425"/>
    </row>
    <row r="45" spans="1:16" ht="33" customHeight="1" x14ac:dyDescent="0.25">
      <c r="A45" s="159">
        <v>4</v>
      </c>
      <c r="B45" s="160" t="s">
        <v>124</v>
      </c>
      <c r="C45" s="161"/>
      <c r="D45" s="161"/>
      <c r="E45" s="161"/>
      <c r="F45" s="161"/>
      <c r="G45" s="161"/>
      <c r="H45" s="161"/>
      <c r="I45" s="161"/>
      <c r="J45" s="162"/>
      <c r="K45" s="162"/>
      <c r="L45" s="158"/>
      <c r="M45" s="158"/>
    </row>
    <row r="46" spans="1:16" ht="33" customHeight="1" x14ac:dyDescent="0.25">
      <c r="A46" s="159"/>
      <c r="B46" s="208"/>
      <c r="C46" s="208"/>
      <c r="D46" s="208"/>
      <c r="E46" s="208"/>
      <c r="F46" s="208"/>
      <c r="G46" s="208"/>
      <c r="H46" s="208"/>
      <c r="I46" s="209"/>
      <c r="J46" s="209"/>
      <c r="K46" s="209"/>
      <c r="L46" s="210"/>
      <c r="M46" s="210"/>
    </row>
    <row r="47" spans="1:16" ht="33" customHeight="1" x14ac:dyDescent="0.25">
      <c r="A47" s="207" t="s">
        <v>169</v>
      </c>
      <c r="B47" s="352" t="s">
        <v>125</v>
      </c>
      <c r="C47" s="353"/>
      <c r="D47" s="353"/>
      <c r="E47" s="353"/>
      <c r="F47" s="346"/>
      <c r="G47" s="346"/>
      <c r="H47" s="346" t="s">
        <v>126</v>
      </c>
      <c r="I47" s="346"/>
      <c r="J47" s="346"/>
      <c r="K47" s="274" t="s">
        <v>11</v>
      </c>
      <c r="L47" s="275" t="s">
        <v>62</v>
      </c>
      <c r="M47" s="276" t="s">
        <v>127</v>
      </c>
      <c r="N47" s="224"/>
    </row>
    <row r="48" spans="1:16" ht="33" customHeight="1" x14ac:dyDescent="0.25">
      <c r="A48" s="207"/>
      <c r="B48" s="429"/>
      <c r="C48" s="429"/>
      <c r="D48" s="429"/>
      <c r="E48" s="429"/>
      <c r="F48" s="429"/>
      <c r="G48" s="429"/>
      <c r="H48" s="347"/>
      <c r="I48" s="348"/>
      <c r="J48" s="349"/>
      <c r="K48" s="140"/>
      <c r="L48" s="141"/>
      <c r="M48" s="280">
        <f>+L48*K48</f>
        <v>0</v>
      </c>
      <c r="N48" s="224"/>
    </row>
    <row r="49" spans="1:14" ht="33" customHeight="1" x14ac:dyDescent="0.25">
      <c r="A49" s="207"/>
      <c r="B49" s="429"/>
      <c r="C49" s="429"/>
      <c r="D49" s="429"/>
      <c r="E49" s="429"/>
      <c r="F49" s="429"/>
      <c r="G49" s="429"/>
      <c r="H49" s="347"/>
      <c r="I49" s="348"/>
      <c r="J49" s="349"/>
      <c r="K49" s="140"/>
      <c r="L49" s="141"/>
      <c r="M49" s="280">
        <f t="shared" ref="M49:M50" si="3">+L49*K49</f>
        <v>0</v>
      </c>
      <c r="N49" s="224"/>
    </row>
    <row r="50" spans="1:14" ht="33" customHeight="1" x14ac:dyDescent="0.25">
      <c r="A50" s="207"/>
      <c r="B50" s="429"/>
      <c r="C50" s="429"/>
      <c r="D50" s="429"/>
      <c r="E50" s="429"/>
      <c r="F50" s="429"/>
      <c r="G50" s="429"/>
      <c r="H50" s="347"/>
      <c r="I50" s="348"/>
      <c r="J50" s="349"/>
      <c r="K50" s="140"/>
      <c r="L50" s="141"/>
      <c r="M50" s="280">
        <f t="shared" si="3"/>
        <v>0</v>
      </c>
      <c r="N50" s="224"/>
    </row>
    <row r="51" spans="1:14" ht="33" customHeight="1" x14ac:dyDescent="0.25">
      <c r="A51" s="207"/>
      <c r="B51" s="426" t="s">
        <v>60</v>
      </c>
      <c r="C51" s="427"/>
      <c r="D51" s="427"/>
      <c r="E51" s="427"/>
      <c r="F51" s="428"/>
      <c r="G51" s="428"/>
      <c r="H51" s="350"/>
      <c r="I51" s="350"/>
      <c r="J51" s="350"/>
      <c r="K51" s="277">
        <f ca="1">SUM(K48:OFFSET(K51,-1,0))</f>
        <v>0</v>
      </c>
      <c r="L51" s="278">
        <f ca="1">SUM(L48:OFFSET(L51,-1,0))</f>
        <v>0</v>
      </c>
      <c r="M51" s="279">
        <f ca="1">SUM(M48:OFFSET(M51,-1,0))</f>
        <v>0</v>
      </c>
      <c r="N51" s="224"/>
    </row>
    <row r="52" spans="1:14" ht="16.5" customHeight="1" x14ac:dyDescent="0.25">
      <c r="A52" s="145"/>
      <c r="B52" s="202"/>
      <c r="C52" s="205"/>
      <c r="D52" s="205"/>
      <c r="E52" s="205"/>
      <c r="F52" s="203"/>
      <c r="G52" s="203"/>
      <c r="H52" s="203"/>
      <c r="I52" s="203"/>
      <c r="J52" s="204"/>
      <c r="K52" s="206"/>
      <c r="L52" s="206"/>
      <c r="M52" s="206"/>
    </row>
    <row r="53" spans="1:14" ht="16.5" customHeight="1" x14ac:dyDescent="0.25">
      <c r="A53" s="145"/>
      <c r="B53" s="153"/>
      <c r="C53" s="157"/>
      <c r="D53" s="157"/>
      <c r="E53" s="157"/>
      <c r="F53" s="154"/>
      <c r="G53" s="154"/>
      <c r="H53" s="154"/>
      <c r="I53" s="154"/>
      <c r="J53" s="155"/>
      <c r="K53" s="158"/>
      <c r="L53" s="158"/>
      <c r="M53" s="158"/>
    </row>
    <row r="54" spans="1:14" ht="16.5" customHeight="1" x14ac:dyDescent="0.25">
      <c r="A54" s="145"/>
      <c r="B54" s="153"/>
      <c r="C54" s="157"/>
      <c r="D54" s="157"/>
      <c r="E54" s="157"/>
      <c r="F54" s="154"/>
      <c r="G54" s="154"/>
      <c r="H54" s="154"/>
      <c r="I54" s="154"/>
      <c r="J54" s="155"/>
      <c r="K54" s="158"/>
      <c r="L54" s="254"/>
      <c r="M54" s="158"/>
    </row>
    <row r="55" spans="1:14" x14ac:dyDescent="0.25">
      <c r="A55" s="145"/>
      <c r="B55" s="154"/>
      <c r="C55" s="154"/>
      <c r="D55" s="154"/>
      <c r="E55" s="154"/>
      <c r="F55" s="154"/>
      <c r="G55" s="154"/>
      <c r="H55" s="154"/>
      <c r="I55" s="156"/>
      <c r="J55" s="163"/>
      <c r="K55" s="164"/>
      <c r="L55" s="163"/>
      <c r="M55" s="165"/>
    </row>
    <row r="56" spans="1:14" s="225" customFormat="1" ht="29.25" customHeight="1" x14ac:dyDescent="0.25">
      <c r="A56" s="147">
        <v>5</v>
      </c>
      <c r="B56" s="410" t="s">
        <v>174</v>
      </c>
      <c r="C56" s="411"/>
      <c r="D56" s="411"/>
      <c r="E56" s="411"/>
      <c r="F56" s="411"/>
      <c r="G56" s="411"/>
      <c r="H56" s="411"/>
      <c r="I56" s="411"/>
      <c r="J56" s="411"/>
      <c r="K56" s="166"/>
      <c r="L56" s="166"/>
      <c r="M56" s="156"/>
    </row>
    <row r="57" spans="1:14" x14ac:dyDescent="0.25">
      <c r="A57" s="145"/>
      <c r="B57" s="213"/>
      <c r="C57" s="213"/>
      <c r="D57" s="213"/>
      <c r="E57" s="213"/>
      <c r="F57" s="213"/>
      <c r="G57" s="213"/>
      <c r="H57" s="213"/>
      <c r="I57" s="214"/>
      <c r="J57" s="214"/>
      <c r="K57" s="167"/>
      <c r="L57" s="156"/>
      <c r="M57" s="154"/>
    </row>
    <row r="58" spans="1:14" ht="70.5" customHeight="1" x14ac:dyDescent="0.25">
      <c r="A58" s="171" t="s">
        <v>175</v>
      </c>
      <c r="B58" s="372" t="s">
        <v>173</v>
      </c>
      <c r="C58" s="372"/>
      <c r="D58" s="372"/>
      <c r="E58" s="372"/>
      <c r="F58" s="281" t="s">
        <v>92</v>
      </c>
      <c r="G58" s="281" t="s">
        <v>90</v>
      </c>
      <c r="H58" s="326" t="s">
        <v>93</v>
      </c>
      <c r="I58" s="326"/>
      <c r="J58" s="326"/>
      <c r="K58" s="211"/>
      <c r="L58" s="156"/>
      <c r="M58" s="154"/>
    </row>
    <row r="59" spans="1:14" ht="24" customHeight="1" x14ac:dyDescent="0.25">
      <c r="A59" s="171"/>
      <c r="B59" s="372"/>
      <c r="C59" s="372"/>
      <c r="D59" s="372"/>
      <c r="E59" s="372"/>
      <c r="F59" s="284">
        <f ca="1">+K24+M41+M32+M51</f>
        <v>627.47826086956525</v>
      </c>
      <c r="G59" s="285">
        <f>+IF(K15="SANTA CRUZ",0.21,IF(K15="COCHABAMBA",0.17))</f>
        <v>0.17</v>
      </c>
      <c r="H59" s="327">
        <f ca="1">+G59*F59</f>
        <v>106.67130434782609</v>
      </c>
      <c r="I59" s="327"/>
      <c r="J59" s="327"/>
      <c r="K59" s="212"/>
      <c r="L59" s="156"/>
      <c r="M59" s="168"/>
    </row>
    <row r="60" spans="1:14" x14ac:dyDescent="0.25">
      <c r="A60" s="145"/>
      <c r="B60" s="203"/>
      <c r="C60" s="203"/>
      <c r="D60" s="203"/>
      <c r="E60" s="203"/>
      <c r="F60" s="203"/>
      <c r="G60" s="203"/>
      <c r="H60" s="203"/>
      <c r="I60" s="215"/>
      <c r="J60" s="215"/>
      <c r="K60" s="156"/>
      <c r="L60" s="156"/>
      <c r="M60" s="154"/>
    </row>
    <row r="61" spans="1:14" x14ac:dyDescent="0.25">
      <c r="A61" s="145"/>
      <c r="B61" s="213"/>
      <c r="C61" s="213"/>
      <c r="D61" s="213"/>
      <c r="E61" s="213"/>
      <c r="F61" s="213"/>
      <c r="G61" s="213"/>
      <c r="H61" s="213"/>
      <c r="I61" s="214"/>
      <c r="J61" s="214"/>
      <c r="K61" s="167"/>
      <c r="L61" s="156"/>
      <c r="M61" s="154"/>
    </row>
    <row r="62" spans="1:14" ht="60" customHeight="1" x14ac:dyDescent="0.25">
      <c r="A62" s="171" t="s">
        <v>176</v>
      </c>
      <c r="B62" s="326" t="s">
        <v>74</v>
      </c>
      <c r="C62" s="326"/>
      <c r="D62" s="326"/>
      <c r="E62" s="326"/>
      <c r="F62" s="281" t="s">
        <v>66</v>
      </c>
      <c r="G62" s="281" t="s">
        <v>89</v>
      </c>
      <c r="H62" s="326" t="s">
        <v>80</v>
      </c>
      <c r="I62" s="326"/>
      <c r="J62" s="326"/>
      <c r="K62" s="216"/>
      <c r="L62" s="156"/>
      <c r="M62" s="154"/>
    </row>
    <row r="63" spans="1:14" ht="25.5" customHeight="1" x14ac:dyDescent="0.25">
      <c r="A63" s="171"/>
      <c r="B63" s="326"/>
      <c r="C63" s="326"/>
      <c r="D63" s="326"/>
      <c r="E63" s="326"/>
      <c r="F63" s="282">
        <f>+E13</f>
        <v>10</v>
      </c>
      <c r="G63" s="283">
        <f>+Hoja2!F13</f>
        <v>5.4487179487179495E-4</v>
      </c>
      <c r="H63" s="327">
        <f ca="1">+G63*F63*(F59+H59)</f>
        <v>4.0001739130434792</v>
      </c>
      <c r="I63" s="327"/>
      <c r="J63" s="327"/>
      <c r="K63" s="212"/>
      <c r="L63" s="156"/>
      <c r="M63" s="154"/>
    </row>
    <row r="64" spans="1:14" x14ac:dyDescent="0.25">
      <c r="A64" s="169"/>
      <c r="B64" s="203"/>
      <c r="C64" s="203"/>
      <c r="D64" s="203"/>
      <c r="E64" s="203"/>
      <c r="F64" s="203"/>
      <c r="G64" s="203"/>
      <c r="H64" s="203"/>
      <c r="I64" s="203"/>
      <c r="J64" s="203"/>
      <c r="K64" s="154"/>
      <c r="L64" s="154"/>
      <c r="M64" s="154"/>
    </row>
    <row r="65" spans="1:14" x14ac:dyDescent="0.25">
      <c r="A65" s="169"/>
      <c r="B65" s="154"/>
      <c r="C65" s="213"/>
      <c r="D65" s="213"/>
      <c r="E65" s="213"/>
      <c r="F65" s="213"/>
      <c r="G65" s="213"/>
      <c r="H65" s="154"/>
      <c r="I65" s="154"/>
      <c r="J65" s="213"/>
      <c r="K65" s="213"/>
      <c r="L65" s="213"/>
      <c r="M65" s="154"/>
    </row>
    <row r="66" spans="1:14" ht="26.25" customHeight="1" x14ac:dyDescent="0.25">
      <c r="A66" s="169"/>
      <c r="B66" s="217"/>
      <c r="C66" s="324" t="s">
        <v>95</v>
      </c>
      <c r="D66" s="324"/>
      <c r="E66" s="324"/>
      <c r="F66" s="324"/>
      <c r="G66" s="286">
        <f ca="1">+IF(L71&lt;=5000,0.17,IF(L71&lt;=50000,0.16,IF(L71&gt;50000,0.15)))</f>
        <v>0.17</v>
      </c>
      <c r="H66" s="325"/>
      <c r="I66" s="325"/>
      <c r="J66" s="324" t="s">
        <v>187</v>
      </c>
      <c r="K66" s="324"/>
      <c r="L66" s="287">
        <v>0.3</v>
      </c>
      <c r="M66" s="253"/>
    </row>
    <row r="67" spans="1:14" ht="15" hidden="1" customHeight="1" x14ac:dyDescent="0.25">
      <c r="A67" s="169"/>
      <c r="B67" s="154"/>
      <c r="C67" s="203"/>
      <c r="D67" s="203"/>
      <c r="E67" s="203"/>
      <c r="F67" s="203"/>
      <c r="G67" s="203"/>
      <c r="H67" s="154"/>
      <c r="I67" s="154"/>
      <c r="J67" s="203"/>
      <c r="K67" s="203"/>
      <c r="L67" s="203"/>
      <c r="M67" s="154"/>
    </row>
    <row r="68" spans="1:14" x14ac:dyDescent="0.25">
      <c r="A68" s="169"/>
      <c r="B68" s="154"/>
      <c r="C68" s="154"/>
      <c r="D68" s="154"/>
      <c r="E68" s="154"/>
      <c r="F68" s="154"/>
      <c r="G68" s="154"/>
      <c r="H68" s="154"/>
      <c r="I68" s="154"/>
      <c r="J68" s="154"/>
      <c r="K68" s="154"/>
      <c r="L68" s="154"/>
      <c r="M68" s="154"/>
    </row>
    <row r="69" spans="1:14" x14ac:dyDescent="0.25">
      <c r="A69" s="169"/>
      <c r="B69" s="154"/>
      <c r="C69" s="154"/>
      <c r="D69" s="213"/>
      <c r="E69" s="213"/>
      <c r="F69" s="213"/>
      <c r="G69" s="213"/>
      <c r="H69" s="213"/>
      <c r="I69" s="213"/>
      <c r="J69" s="213"/>
      <c r="K69" s="154"/>
      <c r="L69" s="213"/>
      <c r="M69" s="213"/>
    </row>
    <row r="70" spans="1:14" x14ac:dyDescent="0.25">
      <c r="A70" s="169"/>
      <c r="B70" s="154"/>
      <c r="C70" s="217"/>
      <c r="D70" s="323" t="s">
        <v>177</v>
      </c>
      <c r="E70" s="323"/>
      <c r="F70" s="323"/>
      <c r="G70" s="323"/>
      <c r="H70" s="323"/>
      <c r="I70" s="323"/>
      <c r="J70" s="323"/>
      <c r="K70" s="220"/>
      <c r="L70" s="374" t="s">
        <v>64</v>
      </c>
      <c r="M70" s="375"/>
      <c r="N70" s="224"/>
    </row>
    <row r="71" spans="1:14" ht="27.75" customHeight="1" x14ac:dyDescent="0.25">
      <c r="A71" s="142"/>
      <c r="B71" s="154"/>
      <c r="C71" s="218" t="s">
        <v>170</v>
      </c>
      <c r="D71" s="367" t="s">
        <v>71</v>
      </c>
      <c r="E71" s="367"/>
      <c r="F71" s="367"/>
      <c r="G71" s="367"/>
      <c r="H71" s="367"/>
      <c r="I71" s="367"/>
      <c r="J71" s="367"/>
      <c r="K71" s="221"/>
      <c r="L71" s="358">
        <f ca="1">+H63+H59+M41+M32+K24+M51</f>
        <v>738.1497391304348</v>
      </c>
      <c r="M71" s="359"/>
      <c r="N71" s="224"/>
    </row>
    <row r="72" spans="1:14" ht="27.75" customHeight="1" x14ac:dyDescent="0.25">
      <c r="A72" s="142"/>
      <c r="B72" s="154"/>
      <c r="C72" s="217"/>
      <c r="D72" s="367" t="s">
        <v>200</v>
      </c>
      <c r="E72" s="367"/>
      <c r="F72" s="367"/>
      <c r="G72" s="367"/>
      <c r="H72" s="367"/>
      <c r="I72" s="367"/>
      <c r="J72" s="367"/>
      <c r="K72" s="220"/>
      <c r="L72" s="368">
        <f ca="1">+IF(K13="EXTERNO",IF(OR($L$66="",$L$66=0),$L$71*$G$66,$L$66*$L$71),IF(K13="INTERNO",L71,))</f>
        <v>221.44492173913042</v>
      </c>
      <c r="M72" s="369"/>
      <c r="N72" s="224"/>
    </row>
    <row r="73" spans="1:14" ht="27.75" customHeight="1" x14ac:dyDescent="0.25">
      <c r="A73" s="142"/>
      <c r="B73" s="154"/>
      <c r="C73" s="217"/>
      <c r="D73" s="367" t="s">
        <v>201</v>
      </c>
      <c r="E73" s="367"/>
      <c r="F73" s="367"/>
      <c r="G73" s="367"/>
      <c r="H73" s="367"/>
      <c r="I73" s="367"/>
      <c r="J73" s="367"/>
      <c r="K73" s="220"/>
      <c r="L73" s="358">
        <f ca="1">IF(K13="EXTERNO",L72+L71,IF(K13="INTERNO",L71))</f>
        <v>959.59466086956525</v>
      </c>
      <c r="M73" s="359"/>
      <c r="N73" s="224"/>
    </row>
    <row r="74" spans="1:14" ht="27.75" customHeight="1" x14ac:dyDescent="0.25">
      <c r="A74" s="142"/>
      <c r="B74" s="154"/>
      <c r="C74" s="217"/>
      <c r="D74" s="367" t="s">
        <v>72</v>
      </c>
      <c r="E74" s="367"/>
      <c r="F74" s="367"/>
      <c r="G74" s="367"/>
      <c r="H74" s="367"/>
      <c r="I74" s="367"/>
      <c r="J74" s="367"/>
      <c r="K74" s="222"/>
      <c r="L74" s="358">
        <f ca="1">IF(K13="EXTERNO",L73/0.84,IF(K13="INTERNO",L71))</f>
        <v>1142.3745962732919</v>
      </c>
      <c r="M74" s="359"/>
      <c r="N74" s="224"/>
    </row>
    <row r="75" spans="1:14" ht="45.75" customHeight="1" x14ac:dyDescent="0.25">
      <c r="A75" s="142"/>
      <c r="B75" s="154"/>
      <c r="C75" s="154"/>
      <c r="D75" s="219"/>
      <c r="E75" s="219"/>
      <c r="F75" s="219"/>
      <c r="G75" s="219"/>
      <c r="H75" s="219"/>
      <c r="I75" s="219"/>
      <c r="J75" s="219"/>
      <c r="K75" s="223"/>
      <c r="L75" s="407" t="str">
        <f>IF(K13="EXTERNO","ESTE PRECIO QUE COTIZA ES PARA CLIENTE EXTERNO",IF(K13="INTERNO","ESTE  PRECIO ES SOLO PARA AREA DE GRUPO REGIONAL "))</f>
        <v>ESTE PRECIO QUE COTIZA ES PARA CLIENTE EXTERNO</v>
      </c>
      <c r="M75" s="408"/>
      <c r="N75" s="224"/>
    </row>
    <row r="76" spans="1:14" x14ac:dyDescent="0.25">
      <c r="A76" s="142"/>
      <c r="B76" s="154"/>
      <c r="C76" s="154"/>
      <c r="D76" s="154"/>
      <c r="E76" s="154"/>
      <c r="F76" s="154"/>
      <c r="G76" s="154"/>
      <c r="H76" s="154"/>
      <c r="I76" s="154"/>
      <c r="J76" s="154"/>
      <c r="K76" s="154"/>
      <c r="L76" s="203"/>
      <c r="M76" s="203"/>
    </row>
    <row r="77" spans="1:14" x14ac:dyDescent="0.25">
      <c r="K77" s="170" t="s">
        <v>11</v>
      </c>
      <c r="L77" s="405" t="s">
        <v>163</v>
      </c>
      <c r="M77" s="405"/>
    </row>
    <row r="78" spans="1:14" x14ac:dyDescent="0.25">
      <c r="D78" s="403" t="s">
        <v>162</v>
      </c>
      <c r="E78" s="403"/>
      <c r="F78" s="403"/>
      <c r="G78" s="403"/>
      <c r="H78" s="403"/>
      <c r="I78" s="403"/>
      <c r="J78" s="403"/>
      <c r="K78" s="406">
        <v>1</v>
      </c>
      <c r="L78" s="404">
        <v>2000</v>
      </c>
      <c r="M78" s="404"/>
    </row>
    <row r="79" spans="1:14" x14ac:dyDescent="0.25">
      <c r="D79" s="403"/>
      <c r="E79" s="403"/>
      <c r="F79" s="403"/>
      <c r="G79" s="403"/>
      <c r="H79" s="403"/>
      <c r="I79" s="403"/>
      <c r="J79" s="403"/>
      <c r="K79" s="406"/>
      <c r="L79" s="404"/>
      <c r="M79" s="404"/>
    </row>
    <row r="80" spans="1:14" x14ac:dyDescent="0.25">
      <c r="K80" s="228">
        <f>L78*K78</f>
        <v>2000</v>
      </c>
    </row>
  </sheetData>
  <sheetProtection selectLockedCells="1"/>
  <protectedRanges>
    <protectedRange sqref="K9 G66 D11 K11 D9 E27:F27 E13:F18 E25:F25 D7 K7 K15 L66 J30:K31 H30:H31 B30:E31 B38:E40 H38:K40" name="Rango1"/>
    <protectedRange sqref="F20:F23" name="Rango4_1"/>
    <protectedRange sqref="F20:F23" name="Rango3_1"/>
    <protectedRange sqref="G51 E51 F48:F50 H48:H50 L48:L50 B48:B51" name="Rango3"/>
    <protectedRange sqref="E56:J56" name="Rango3_1_1_1"/>
  </protectedRanges>
  <mergeCells count="115">
    <mergeCell ref="H39:I39"/>
    <mergeCell ref="B40:E40"/>
    <mergeCell ref="F40:G40"/>
    <mergeCell ref="H40:I40"/>
    <mergeCell ref="B49:E49"/>
    <mergeCell ref="F49:G49"/>
    <mergeCell ref="H49:J49"/>
    <mergeCell ref="B50:E50"/>
    <mergeCell ref="F50:G50"/>
    <mergeCell ref="H50:J50"/>
    <mergeCell ref="I15:J15"/>
    <mergeCell ref="K15:L15"/>
    <mergeCell ref="D78:J79"/>
    <mergeCell ref="L78:M79"/>
    <mergeCell ref="L77:M77"/>
    <mergeCell ref="K78:K79"/>
    <mergeCell ref="L75:M75"/>
    <mergeCell ref="B26:K26"/>
    <mergeCell ref="B56:J56"/>
    <mergeCell ref="H28:M28"/>
    <mergeCell ref="B19:E19"/>
    <mergeCell ref="H19:I19"/>
    <mergeCell ref="K19:L19"/>
    <mergeCell ref="B20:E20"/>
    <mergeCell ref="H20:I20"/>
    <mergeCell ref="K20:L20"/>
    <mergeCell ref="B24:E24"/>
    <mergeCell ref="H24:I24"/>
    <mergeCell ref="B44:M44"/>
    <mergeCell ref="B51:G51"/>
    <mergeCell ref="F48:G48"/>
    <mergeCell ref="B48:E48"/>
    <mergeCell ref="B39:E39"/>
    <mergeCell ref="F39:G39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H31:I31"/>
    <mergeCell ref="L71:M71"/>
    <mergeCell ref="D72:J72"/>
    <mergeCell ref="L70:M70"/>
    <mergeCell ref="B38:E38"/>
    <mergeCell ref="B37:E37"/>
    <mergeCell ref="B62:E63"/>
    <mergeCell ref="I7:J7"/>
    <mergeCell ref="B5:M5"/>
    <mergeCell ref="B9:C9"/>
    <mergeCell ref="D9:G9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B17:H17"/>
    <mergeCell ref="B15:D15"/>
    <mergeCell ref="E15:F15"/>
    <mergeCell ref="B30:E30"/>
    <mergeCell ref="B31:E31"/>
    <mergeCell ref="B4:M4"/>
    <mergeCell ref="K9:M9"/>
    <mergeCell ref="B7:C7"/>
    <mergeCell ref="D7:G7"/>
    <mergeCell ref="I9:J9"/>
    <mergeCell ref="L74:M74"/>
    <mergeCell ref="B28:G28"/>
    <mergeCell ref="B41:I41"/>
    <mergeCell ref="B32:I32"/>
    <mergeCell ref="B36:G36"/>
    <mergeCell ref="H36:M36"/>
    <mergeCell ref="L73:M73"/>
    <mergeCell ref="D71:J71"/>
    <mergeCell ref="D73:J73"/>
    <mergeCell ref="D74:J74"/>
    <mergeCell ref="L72:M72"/>
    <mergeCell ref="F38:G38"/>
    <mergeCell ref="H38:I38"/>
    <mergeCell ref="B58:E59"/>
    <mergeCell ref="H29:I29"/>
    <mergeCell ref="H30:I30"/>
    <mergeCell ref="F31:G31"/>
    <mergeCell ref="D70:J70"/>
    <mergeCell ref="C66:F66"/>
    <mergeCell ref="H66:I66"/>
    <mergeCell ref="J66:K66"/>
    <mergeCell ref="H62:J62"/>
    <mergeCell ref="H63:J63"/>
    <mergeCell ref="H59:J59"/>
    <mergeCell ref="K1:XFD2"/>
    <mergeCell ref="A1:A2"/>
    <mergeCell ref="B1:E2"/>
    <mergeCell ref="F1:G1"/>
    <mergeCell ref="F2:G2"/>
    <mergeCell ref="H1:I1"/>
    <mergeCell ref="H2:I2"/>
    <mergeCell ref="B29:E29"/>
    <mergeCell ref="H58:J58"/>
    <mergeCell ref="F37:G37"/>
    <mergeCell ref="H37:I37"/>
    <mergeCell ref="F29:G29"/>
    <mergeCell ref="H47:J47"/>
    <mergeCell ref="H48:J48"/>
    <mergeCell ref="H51:J51"/>
    <mergeCell ref="F30:G30"/>
    <mergeCell ref="B47:G47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5">
    <dataValidation type="list" allowBlank="1" showInputMessage="1" showErrorMessage="1" promptTitle="TIPO DE PROYECTO" prompt="INTERNO= solo para trabajos dentro de Grupo Regional_x000a_EXTERNO= Trabajos para Clientes de Grupo Regional" sqref="K25 K18 K13:K14">
      <formula1>"INTERNO,EXTERNO"</formula1>
    </dataValidation>
    <dataValidation type="list" allowBlank="1" showInputMessage="1" showErrorMessage="1" sqref="L30:L31">
      <formula1>"FACTURA,RECIBO,ALMACEN"</formula1>
    </dataValidation>
    <dataValidation type="list" allowBlank="1" showInputMessage="1" showErrorMessage="1" sqref="L38:L40">
      <formula1>"FACTURA,RECIBO,VALORADOS,ALQUILER CON RECIBO"</formula1>
    </dataValidation>
    <dataValidation type="list" allowBlank="1" showInputMessage="1" showErrorMessage="1" sqref="F20:F23">
      <formula1>"DIAS,HRS"</formula1>
    </dataValidation>
    <dataValidation type="list" allowBlank="1" showInputMessage="1" showErrorMessage="1" sqref="K15:L15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15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/>
  </sheetPr>
  <dimension ref="A1:H60"/>
  <sheetViews>
    <sheetView showGridLines="0" view="pageLayout" topLeftCell="A10" zoomScale="70" zoomScaleNormal="100" zoomScaleSheetLayoutView="106" zoomScalePageLayoutView="70" workbookViewId="0">
      <selection activeCell="A20" sqref="A20:G20"/>
    </sheetView>
  </sheetViews>
  <sheetFormatPr baseColWidth="10" defaultRowHeight="15" x14ac:dyDescent="0.25"/>
  <cols>
    <col min="2" max="2" width="29" customWidth="1"/>
    <col min="3" max="3" width="16.28515625" bestFit="1" customWidth="1"/>
    <col min="4" max="4" width="21.28515625" bestFit="1" customWidth="1"/>
    <col min="5" max="5" width="23.28515625" style="98" bestFit="1" customWidth="1"/>
    <col min="6" max="6" width="24.85546875" customWidth="1"/>
    <col min="7" max="7" width="2.710937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47">
        <v>1</v>
      </c>
      <c r="E7" s="93"/>
    </row>
    <row r="8" spans="1:7" s="92" customFormat="1" x14ac:dyDescent="0.2">
      <c r="E8" s="93"/>
    </row>
    <row r="9" spans="1:7" s="92" customFormat="1" x14ac:dyDescent="0.2">
      <c r="A9" s="430">
        <f ca="1">TODAY()</f>
        <v>43500</v>
      </c>
      <c r="B9" s="430"/>
      <c r="C9" s="430"/>
      <c r="D9" s="430"/>
      <c r="E9" s="430"/>
      <c r="F9" s="430"/>
      <c r="G9" s="430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31" t="s">
        <v>130</v>
      </c>
      <c r="B12" s="431"/>
      <c r="C12" s="431"/>
      <c r="D12" s="431"/>
      <c r="E12" s="431"/>
      <c r="F12" s="431"/>
      <c r="G12" s="431"/>
    </row>
    <row r="13" spans="1:7" s="95" customFormat="1" x14ac:dyDescent="0.2"/>
    <row r="14" spans="1:7" s="92" customFormat="1" x14ac:dyDescent="0.2">
      <c r="A14" s="431" t="str">
        <f>IF('Estado de costos'!K13="EXTERNO",'Estado de costos'!D7,IF('Estado de costos'!K13="INTERNO"," GRUPO REGIONAL SRL"))</f>
        <v>Unilever</v>
      </c>
      <c r="B14" s="431"/>
      <c r="C14" s="431"/>
      <c r="D14" s="431"/>
      <c r="E14" s="431"/>
      <c r="F14" s="431"/>
      <c r="G14" s="431"/>
    </row>
    <row r="15" spans="1:7" s="95" customFormat="1" x14ac:dyDescent="0.2"/>
    <row r="16" spans="1:7" s="92" customFormat="1" x14ac:dyDescent="0.2">
      <c r="A16" s="431" t="s">
        <v>131</v>
      </c>
      <c r="B16" s="431"/>
      <c r="C16" s="431"/>
      <c r="D16" s="431"/>
      <c r="E16" s="431"/>
      <c r="F16" s="431"/>
      <c r="G16" s="431"/>
    </row>
    <row r="17" spans="1:8" s="92" customFormat="1" x14ac:dyDescent="0.2">
      <c r="E17" s="93"/>
    </row>
    <row r="18" spans="1:8" s="92" customFormat="1" ht="15.75" x14ac:dyDescent="0.25">
      <c r="B18" s="96" t="s">
        <v>132</v>
      </c>
      <c r="C18" s="433" t="str">
        <f>+'Estado de costos'!K9</f>
        <v>ejemplo</v>
      </c>
      <c r="D18" s="433"/>
      <c r="E18" s="433"/>
      <c r="F18" s="433"/>
      <c r="G18" s="97"/>
    </row>
    <row r="19" spans="1:8" s="92" customFormat="1" x14ac:dyDescent="0.2">
      <c r="E19" s="93"/>
    </row>
    <row r="20" spans="1:8" s="92" customFormat="1" x14ac:dyDescent="0.2">
      <c r="A20" s="432"/>
      <c r="B20" s="432"/>
      <c r="C20" s="432"/>
      <c r="D20" s="432"/>
      <c r="E20" s="432"/>
      <c r="F20" s="432"/>
      <c r="G20" s="432"/>
    </row>
    <row r="21" spans="1:8" s="92" customFormat="1" x14ac:dyDescent="0.2">
      <c r="E21" s="93"/>
    </row>
    <row r="22" spans="1:8" s="92" customFormat="1" ht="48" customHeight="1" x14ac:dyDescent="0.2">
      <c r="A22" s="441" t="s">
        <v>133</v>
      </c>
      <c r="B22" s="441"/>
      <c r="C22" s="441"/>
      <c r="D22" s="441"/>
      <c r="E22" s="441"/>
      <c r="F22" s="441"/>
      <c r="G22" s="441"/>
      <c r="H22" s="441"/>
    </row>
    <row r="23" spans="1:8" s="92" customFormat="1" x14ac:dyDescent="0.2">
      <c r="B23" s="229">
        <f>+'Estado de costos'!K80</f>
        <v>2000</v>
      </c>
      <c r="C23" s="230">
        <f>F31</f>
        <v>2000</v>
      </c>
      <c r="D23" s="229">
        <f>GESTEP(C23,B23)</f>
        <v>1</v>
      </c>
      <c r="E23" s="93"/>
    </row>
    <row r="24" spans="1:8" s="92" customFormat="1" x14ac:dyDescent="0.2">
      <c r="E24" s="93"/>
    </row>
    <row r="25" spans="1:8" s="92" customFormat="1" ht="15.75" x14ac:dyDescent="0.2">
      <c r="A25" s="435" t="s">
        <v>134</v>
      </c>
      <c r="B25" s="436"/>
      <c r="C25" s="436"/>
      <c r="D25" s="436"/>
      <c r="E25" s="436"/>
      <c r="F25" s="436"/>
    </row>
    <row r="27" spans="1:8" ht="27" customHeight="1" x14ac:dyDescent="0.25">
      <c r="B27" s="442" t="s">
        <v>22</v>
      </c>
      <c r="C27" s="442"/>
      <c r="D27" s="135" t="s">
        <v>11</v>
      </c>
      <c r="E27" s="135" t="s">
        <v>135</v>
      </c>
      <c r="F27" s="136" t="s">
        <v>136</v>
      </c>
    </row>
    <row r="28" spans="1:8" ht="38.25" customHeight="1" x14ac:dyDescent="0.25">
      <c r="B28" s="443" t="str">
        <f>+'Estado de costos'!K9</f>
        <v>ejemplo</v>
      </c>
      <c r="C28" s="443"/>
      <c r="D28" s="444">
        <f>'Estado de costos'!K78</f>
        <v>1</v>
      </c>
      <c r="E28" s="445">
        <f>+'Estado de costos'!L78</f>
        <v>2000</v>
      </c>
      <c r="F28" s="445">
        <f>+E28*D28</f>
        <v>2000</v>
      </c>
    </row>
    <row r="29" spans="1:8" ht="38.25" customHeight="1" x14ac:dyDescent="0.25">
      <c r="B29" s="443"/>
      <c r="C29" s="443"/>
      <c r="D29" s="444"/>
      <c r="E29" s="445"/>
      <c r="F29" s="445"/>
    </row>
    <row r="30" spans="1:8" ht="93" customHeight="1" x14ac:dyDescent="0.25">
      <c r="B30" s="443"/>
      <c r="C30" s="443"/>
      <c r="D30" s="444"/>
      <c r="E30" s="445"/>
      <c r="F30" s="445"/>
    </row>
    <row r="31" spans="1:8" ht="33" customHeight="1" x14ac:dyDescent="0.25">
      <c r="E31" s="133" t="s">
        <v>137</v>
      </c>
      <c r="F31" s="134">
        <f>SUM(F28:F30)</f>
        <v>2000</v>
      </c>
    </row>
    <row r="32" spans="1:8" x14ac:dyDescent="0.25">
      <c r="D32" s="100"/>
      <c r="E32" s="101"/>
      <c r="F32" s="99"/>
    </row>
    <row r="33" spans="1:8" x14ac:dyDescent="0.25">
      <c r="B33" s="440" t="str">
        <f>IF('Estado de costos'!K13="EXTERNO"," ",IF('Estado de costos'!K13="INTERNO","ESTE PRECIO ES INTERNO SOLO PARA GRUPO REGIONAL SRL",))</f>
        <v xml:space="preserve"> </v>
      </c>
      <c r="C33" s="440"/>
      <c r="D33" s="440"/>
      <c r="E33" s="440"/>
      <c r="F33" s="440"/>
    </row>
    <row r="34" spans="1:8" x14ac:dyDescent="0.25">
      <c r="B34" s="440"/>
      <c r="C34" s="440"/>
      <c r="D34" s="440"/>
      <c r="E34" s="440"/>
      <c r="F34" s="440"/>
    </row>
    <row r="35" spans="1:8" x14ac:dyDescent="0.25">
      <c r="B35" s="440"/>
      <c r="C35" s="440"/>
      <c r="D35" s="440"/>
      <c r="E35" s="440"/>
      <c r="F35" s="440"/>
    </row>
    <row r="36" spans="1:8" ht="18.75" x14ac:dyDescent="0.3">
      <c r="A36" s="437" t="s">
        <v>138</v>
      </c>
      <c r="B36" s="437"/>
      <c r="C36" s="437"/>
      <c r="D36" s="437"/>
      <c r="E36" s="437"/>
      <c r="F36" s="437"/>
      <c r="G36" s="437"/>
    </row>
    <row r="37" spans="1:8" x14ac:dyDescent="0.25">
      <c r="A37" s="102"/>
      <c r="B37" s="102"/>
      <c r="C37" s="102"/>
      <c r="D37" s="102"/>
      <c r="E37" s="102"/>
      <c r="F37" s="102"/>
      <c r="G37" s="102"/>
    </row>
    <row r="38" spans="1:8" s="92" customFormat="1" ht="28.5" customHeight="1" x14ac:dyDescent="0.2">
      <c r="A38" s="439" t="s">
        <v>160</v>
      </c>
      <c r="B38" s="439"/>
      <c r="C38" s="439"/>
      <c r="D38" s="439"/>
      <c r="E38" s="439"/>
      <c r="F38" s="439"/>
      <c r="G38" s="439"/>
      <c r="H38" s="439"/>
    </row>
    <row r="39" spans="1:8" s="92" customFormat="1" ht="15.75" x14ac:dyDescent="0.25">
      <c r="A39" s="433"/>
      <c r="B39" s="433"/>
      <c r="C39" s="433"/>
      <c r="D39" s="433"/>
      <c r="E39" s="433"/>
      <c r="F39" s="433"/>
      <c r="G39" s="433"/>
    </row>
    <row r="40" spans="1:8" s="92" customFormat="1" x14ac:dyDescent="0.2">
      <c r="A40" s="438"/>
      <c r="B40" s="438"/>
      <c r="C40" s="438"/>
      <c r="D40" s="438"/>
      <c r="E40" s="438"/>
      <c r="F40" s="438"/>
      <c r="G40" s="438"/>
    </row>
    <row r="41" spans="1:8" s="92" customFormat="1" x14ac:dyDescent="0.2">
      <c r="B41" s="438"/>
      <c r="C41" s="438"/>
      <c r="D41" s="438"/>
      <c r="E41" s="438"/>
      <c r="F41" s="438"/>
      <c r="G41" s="438"/>
    </row>
    <row r="42" spans="1:8" s="92" customFormat="1" ht="14.25" customHeight="1" x14ac:dyDescent="0.2">
      <c r="B42" s="434"/>
      <c r="C42" s="434"/>
      <c r="D42" s="434"/>
      <c r="E42" s="434"/>
      <c r="F42" s="434"/>
      <c r="G42" s="434"/>
    </row>
    <row r="43" spans="1:8" s="92" customFormat="1" x14ac:dyDescent="0.2">
      <c r="B43" s="431"/>
      <c r="C43" s="431"/>
      <c r="D43" s="431"/>
      <c r="E43" s="431"/>
      <c r="F43" s="431"/>
      <c r="G43" s="431"/>
    </row>
    <row r="44" spans="1:8" s="92" customFormat="1" x14ac:dyDescent="0.2"/>
    <row r="45" spans="1:8" s="92" customFormat="1" x14ac:dyDescent="0.2"/>
    <row r="46" spans="1:8" s="92" customFormat="1" x14ac:dyDescent="0.2"/>
    <row r="47" spans="1:8" s="92" customFormat="1" ht="15" customHeight="1" x14ac:dyDescent="0.2">
      <c r="A47" s="132"/>
      <c r="B47" s="132"/>
      <c r="C47" s="132"/>
      <c r="D47" s="132"/>
      <c r="E47" s="132"/>
      <c r="F47" s="132"/>
      <c r="G47" s="132"/>
    </row>
    <row r="48" spans="1:8" s="92" customFormat="1" x14ac:dyDescent="0.2">
      <c r="A48" s="132"/>
      <c r="B48" s="132"/>
      <c r="C48" s="132"/>
      <c r="D48" s="132"/>
      <c r="E48" s="132"/>
      <c r="F48" s="132"/>
      <c r="G48" s="132"/>
    </row>
    <row r="49" spans="1:8" s="92" customFormat="1" ht="27" customHeight="1" x14ac:dyDescent="0.2">
      <c r="A49" s="132"/>
      <c r="B49" s="132"/>
      <c r="C49" s="132"/>
      <c r="D49" s="132"/>
      <c r="E49" s="132"/>
      <c r="F49" s="132"/>
      <c r="G49" s="132"/>
      <c r="H49" s="132"/>
    </row>
    <row r="50" spans="1:8" s="92" customFormat="1" ht="22.5" customHeight="1" x14ac:dyDescent="0.2">
      <c r="A50" s="132"/>
      <c r="B50" s="132"/>
      <c r="C50" s="132"/>
      <c r="D50" s="132"/>
      <c r="E50" s="132"/>
      <c r="F50" s="132"/>
      <c r="G50" s="132"/>
      <c r="H50" s="132"/>
    </row>
    <row r="51" spans="1:8" s="92" customFormat="1" ht="22.5" customHeight="1" x14ac:dyDescent="0.35">
      <c r="A51" s="242"/>
      <c r="B51" s="243"/>
      <c r="C51" s="243"/>
      <c r="D51" s="243"/>
      <c r="E51" s="243"/>
      <c r="F51" s="243"/>
      <c r="G51" s="243"/>
      <c r="H51" s="243"/>
    </row>
    <row r="52" spans="1:8" ht="22.5" customHeight="1" x14ac:dyDescent="0.35">
      <c r="A52" s="242"/>
      <c r="B52" s="244"/>
      <c r="C52" s="244"/>
      <c r="D52" s="244"/>
      <c r="E52" s="244"/>
      <c r="F52" s="244"/>
      <c r="G52" s="244"/>
      <c r="H52" s="244"/>
    </row>
    <row r="54" spans="1:8" ht="15" customHeight="1" x14ac:dyDescent="0.25"/>
    <row r="56" spans="1:8" ht="15.75" x14ac:dyDescent="0.25">
      <c r="D56" s="231" t="s">
        <v>182</v>
      </c>
    </row>
    <row r="57" spans="1:8" ht="15.75" x14ac:dyDescent="0.25">
      <c r="D57" s="245">
        <f>'Estado de costos'!E15</f>
        <v>0</v>
      </c>
    </row>
    <row r="58" spans="1:8" ht="15.75" x14ac:dyDescent="0.25">
      <c r="D58" s="231" t="b">
        <f>IF(D57="Paula Gomez","Gerente Comercial",IF(D57="Sergio Sanchez"," Jefe de Taller y Diseño",IF(D57="Cristhian Ayala","Ejecutivo de Cuentas de Taller y Diseño ")))</f>
        <v>0</v>
      </c>
    </row>
    <row r="59" spans="1:8" ht="15.75" x14ac:dyDescent="0.25">
      <c r="D59" s="246" t="b">
        <f>IF(D57="Paula Gomez","paulagomez@gruporegional.com",IF(D57="Sergio Sanchez","sergiosanchez@gruporegional.com",IF(D57="Cristhian Ayala","cristhianayala@gruporegional.com")))</f>
        <v>0</v>
      </c>
    </row>
    <row r="60" spans="1:8" ht="15.75" x14ac:dyDescent="0.25">
      <c r="D60" s="246" t="s">
        <v>161</v>
      </c>
    </row>
  </sheetData>
  <mergeCells count="21">
    <mergeCell ref="A22:H22"/>
    <mergeCell ref="B27:C27"/>
    <mergeCell ref="B28:C30"/>
    <mergeCell ref="D28:D30"/>
    <mergeCell ref="E28:E30"/>
    <mergeCell ref="F28:F30"/>
    <mergeCell ref="B42:G42"/>
    <mergeCell ref="B43:G43"/>
    <mergeCell ref="A25:F25"/>
    <mergeCell ref="A36:G36"/>
    <mergeCell ref="A39:G39"/>
    <mergeCell ref="A40:G40"/>
    <mergeCell ref="B41:G41"/>
    <mergeCell ref="A38:H38"/>
    <mergeCell ref="B33:F35"/>
    <mergeCell ref="A9:G9"/>
    <mergeCell ref="A12:G12"/>
    <mergeCell ref="A14:G14"/>
    <mergeCell ref="A16:G16"/>
    <mergeCell ref="A20:G20"/>
    <mergeCell ref="C18:F18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100" r:id="rId5" name="CommandButton2">
          <controlPr defaultSize="0" print="0" autoLine="0" r:id="rId6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266700</xdr:colOff>
                <xdr:row>2</xdr:row>
                <xdr:rowOff>85725</xdr:rowOff>
              </to>
            </anchor>
          </controlPr>
        </control>
      </mc:Choice>
      <mc:Fallback>
        <control shapeId="4100" r:id="rId5" name="CommandButton2"/>
      </mc:Fallback>
    </mc:AlternateContent>
    <mc:AlternateContent xmlns:mc="http://schemas.openxmlformats.org/markup-compatibility/2006">
      <mc:Choice Requires="x14">
        <control shapeId="4098" r:id="rId7" name="CommandButton1">
          <controlPr defaultSize="0" print="0" autoLine="0" r:id="rId8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21"/>
  <sheetViews>
    <sheetView topLeftCell="A7" workbookViewId="0">
      <selection activeCell="G17" sqref="G17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97</v>
      </c>
    </row>
    <row r="2" spans="2:16" x14ac:dyDescent="0.25">
      <c r="B2" t="s">
        <v>81</v>
      </c>
      <c r="E2">
        <v>15</v>
      </c>
      <c r="H2" t="s">
        <v>69</v>
      </c>
      <c r="J2" t="s">
        <v>84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82</v>
      </c>
      <c r="D3">
        <v>120</v>
      </c>
      <c r="E3">
        <v>30</v>
      </c>
      <c r="H3" t="s">
        <v>83</v>
      </c>
      <c r="J3" t="s">
        <v>85</v>
      </c>
      <c r="L3" s="76">
        <v>0.05</v>
      </c>
      <c r="N3" t="s">
        <v>91</v>
      </c>
      <c r="O3">
        <v>1.5</v>
      </c>
    </row>
    <row r="4" spans="2:16" x14ac:dyDescent="0.25">
      <c r="E4">
        <v>45</v>
      </c>
      <c r="H4" t="s">
        <v>73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75</v>
      </c>
      <c r="C12" s="79" t="s">
        <v>76</v>
      </c>
      <c r="D12" s="79" t="s">
        <v>77</v>
      </c>
      <c r="E12" s="79" t="s">
        <v>78</v>
      </c>
      <c r="F12" s="79" t="s">
        <v>79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117</v>
      </c>
      <c r="C17">
        <v>26</v>
      </c>
      <c r="D17">
        <f>+C17*8</f>
        <v>208</v>
      </c>
    </row>
    <row r="18" spans="2:4" x14ac:dyDescent="0.25">
      <c r="B18" t="s">
        <v>118</v>
      </c>
      <c r="C18">
        <v>27</v>
      </c>
      <c r="D18">
        <f t="shared" ref="D18:D21" si="0">+C18*8</f>
        <v>216</v>
      </c>
    </row>
    <row r="19" spans="2:4" x14ac:dyDescent="0.25">
      <c r="B19" t="s">
        <v>119</v>
      </c>
      <c r="C19">
        <v>15</v>
      </c>
      <c r="D19">
        <f t="shared" si="0"/>
        <v>120</v>
      </c>
    </row>
    <row r="20" spans="2:4" x14ac:dyDescent="0.25">
      <c r="B20" t="s">
        <v>120</v>
      </c>
      <c r="C20">
        <v>28</v>
      </c>
      <c r="D20">
        <f t="shared" si="0"/>
        <v>224</v>
      </c>
    </row>
    <row r="21" spans="2:4" x14ac:dyDescent="0.25">
      <c r="B21" t="s">
        <v>121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$O$2:$O$8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K53"/>
  <sheetViews>
    <sheetView topLeftCell="A34" zoomScale="85" zoomScaleNormal="85" zoomScalePageLayoutView="85" workbookViewId="0">
      <selection activeCell="H35" sqref="H35"/>
    </sheetView>
  </sheetViews>
  <sheetFormatPr baseColWidth="10" defaultRowHeight="15.75" x14ac:dyDescent="0.25"/>
  <cols>
    <col min="1" max="1" width="5.42578125" customWidth="1"/>
    <col min="2" max="2" width="16.85546875" style="130" customWidth="1"/>
    <col min="3" max="3" width="11.42578125" style="130"/>
    <col min="4" max="4" width="13.42578125" style="130" customWidth="1"/>
    <col min="5" max="5" width="24.85546875" style="130" customWidth="1"/>
    <col min="6" max="6" width="14.140625" style="130" customWidth="1"/>
    <col min="7" max="7" width="15.42578125" style="130" bestFit="1" customWidth="1"/>
    <col min="8" max="8" width="15.28515625" style="130" bestFit="1" customWidth="1"/>
    <col min="9" max="9" width="13.140625" style="130" customWidth="1"/>
    <col min="10" max="10" width="17.42578125" style="130" customWidth="1"/>
    <col min="11" max="11" width="16.28515625" style="130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67" t="s">
        <v>166</v>
      </c>
      <c r="C8" s="468"/>
      <c r="D8" s="468"/>
      <c r="E8" s="468"/>
      <c r="F8" s="468"/>
      <c r="G8" s="468"/>
      <c r="H8" s="468"/>
      <c r="I8" s="468"/>
      <c r="J8" s="468"/>
      <c r="K8" s="468"/>
    </row>
    <row r="9" spans="1:11" s="84" customFormat="1" ht="27.75" x14ac:dyDescent="0.2">
      <c r="B9" s="468" t="s">
        <v>139</v>
      </c>
      <c r="C9" s="468"/>
      <c r="D9" s="468"/>
      <c r="E9" s="468"/>
      <c r="F9" s="468"/>
      <c r="G9" s="468"/>
      <c r="H9" s="468"/>
      <c r="I9" s="468"/>
      <c r="J9" s="468"/>
      <c r="K9" s="468"/>
    </row>
    <row r="10" spans="1:11" s="84" customFormat="1" ht="27.75" x14ac:dyDescent="0.2">
      <c r="B10" s="103"/>
      <c r="C10" s="103"/>
      <c r="D10" s="103"/>
      <c r="E10" s="103"/>
      <c r="F10" s="103"/>
      <c r="G10" s="103"/>
      <c r="H10" s="103"/>
      <c r="I10" s="103"/>
      <c r="J10" s="103"/>
      <c r="K10" s="103"/>
    </row>
    <row r="11" spans="1:11" s="84" customFormat="1" ht="30" customHeight="1" x14ac:dyDescent="0.2">
      <c r="A11" s="83">
        <v>1.1000000000000001</v>
      </c>
      <c r="B11" s="458" t="s">
        <v>140</v>
      </c>
      <c r="C11" s="458"/>
      <c r="D11" s="469" t="str">
        <f>+'Estado de costos'!D7:G7</f>
        <v>Unilever</v>
      </c>
      <c r="E11" s="469"/>
      <c r="F11" s="469"/>
      <c r="G11" s="104">
        <v>1.2</v>
      </c>
      <c r="H11" s="85" t="s">
        <v>96</v>
      </c>
      <c r="I11" s="105"/>
      <c r="J11" s="465">
        <f>+'Estado de costos'!K7</f>
        <v>1010101</v>
      </c>
      <c r="K11" s="465"/>
    </row>
    <row r="12" spans="1:11" s="84" customFormat="1" ht="15.75" customHeight="1" x14ac:dyDescent="0.2">
      <c r="A12" s="83"/>
      <c r="B12" s="106"/>
      <c r="C12" s="106"/>
      <c r="D12" s="106"/>
      <c r="E12" s="106"/>
      <c r="F12" s="106"/>
      <c r="G12" s="106"/>
      <c r="H12" s="106"/>
      <c r="I12" s="106"/>
      <c r="J12" s="106"/>
      <c r="K12" s="106"/>
    </row>
    <row r="13" spans="1:11" s="84" customFormat="1" ht="61.5" customHeight="1" x14ac:dyDescent="0.2">
      <c r="A13" s="83">
        <v>1.3</v>
      </c>
      <c r="B13" s="463" t="s">
        <v>141</v>
      </c>
      <c r="C13" s="463"/>
      <c r="D13" s="464" t="str">
        <f>+'Estado de costos'!D9:G9</f>
        <v>correo@unilever.com</v>
      </c>
      <c r="E13" s="465"/>
      <c r="F13" s="465"/>
      <c r="G13" s="83">
        <v>1.4</v>
      </c>
      <c r="H13" s="107" t="s">
        <v>142</v>
      </c>
      <c r="I13" s="466" t="str">
        <f>+'Estado de costos'!K9</f>
        <v>ejemplo</v>
      </c>
      <c r="J13" s="466"/>
      <c r="K13" s="466"/>
    </row>
    <row r="14" spans="1:11" s="84" customFormat="1" ht="15" x14ac:dyDescent="0.2">
      <c r="A14" s="83"/>
      <c r="B14" s="106"/>
      <c r="C14" s="106"/>
      <c r="D14" s="106"/>
      <c r="E14" s="106"/>
      <c r="F14" s="106"/>
      <c r="G14" s="106"/>
      <c r="H14" s="106"/>
      <c r="I14" s="106"/>
      <c r="J14" s="106"/>
      <c r="K14" s="106"/>
    </row>
    <row r="15" spans="1:11" s="84" customFormat="1" ht="37.5" customHeight="1" x14ac:dyDescent="0.2">
      <c r="A15" s="83">
        <v>1.5</v>
      </c>
      <c r="B15" s="458" t="s">
        <v>143</v>
      </c>
      <c r="C15" s="458"/>
      <c r="D15" s="458"/>
      <c r="E15" s="456">
        <f>+'Estado de costos'!D11</f>
        <v>43424</v>
      </c>
      <c r="F15" s="456"/>
      <c r="G15" s="83">
        <v>1.6</v>
      </c>
      <c r="H15" s="459" t="s">
        <v>144</v>
      </c>
      <c r="I15" s="459"/>
      <c r="J15" s="456">
        <f>+'Estado de costos'!K11</f>
        <v>43429</v>
      </c>
      <c r="K15" s="456"/>
    </row>
    <row r="16" spans="1:11" s="113" customFormat="1" ht="37.5" customHeight="1" x14ac:dyDescent="0.2">
      <c r="A16" s="108"/>
      <c r="B16" s="109"/>
      <c r="C16" s="109"/>
      <c r="D16" s="109"/>
      <c r="E16" s="110"/>
      <c r="F16" s="111"/>
      <c r="G16" s="112"/>
      <c r="H16" s="112"/>
      <c r="I16" s="112"/>
      <c r="J16" s="112"/>
      <c r="K16" s="112"/>
    </row>
    <row r="17" spans="1:11" s="84" customFormat="1" ht="37.5" customHeight="1" x14ac:dyDescent="0.2">
      <c r="A17" s="83">
        <v>3</v>
      </c>
      <c r="B17" s="457" t="s">
        <v>145</v>
      </c>
      <c r="C17" s="457"/>
      <c r="D17" s="457"/>
      <c r="E17" s="457"/>
      <c r="F17" s="457"/>
      <c r="G17" s="457"/>
      <c r="H17" s="457"/>
      <c r="I17" s="457"/>
      <c r="J17" s="457"/>
      <c r="K17" s="457"/>
    </row>
    <row r="18" spans="1:11" s="84" customFormat="1" ht="7.5" customHeight="1" x14ac:dyDescent="0.2">
      <c r="A18" s="83"/>
      <c r="B18" s="109"/>
      <c r="C18" s="109"/>
      <c r="D18" s="109"/>
      <c r="E18" s="110"/>
      <c r="F18" s="111"/>
      <c r="G18" s="114"/>
      <c r="H18" s="114"/>
      <c r="I18" s="114"/>
      <c r="J18" s="114"/>
      <c r="K18" s="114"/>
    </row>
    <row r="19" spans="1:11" s="84" customFormat="1" ht="28.5" customHeight="1" x14ac:dyDescent="0.2">
      <c r="A19" s="83" t="s">
        <v>129</v>
      </c>
      <c r="B19" s="452" t="s">
        <v>146</v>
      </c>
      <c r="C19" s="452"/>
      <c r="D19" s="452"/>
      <c r="E19" s="452"/>
      <c r="F19" s="452"/>
      <c r="G19" s="452" t="s">
        <v>147</v>
      </c>
      <c r="H19" s="452"/>
      <c r="I19" s="452"/>
      <c r="J19" s="452"/>
      <c r="K19" s="452"/>
    </row>
    <row r="20" spans="1:11" s="116" customFormat="1" ht="65.25" customHeight="1" x14ac:dyDescent="0.25">
      <c r="A20" s="115"/>
      <c r="B20" s="460" t="s">
        <v>148</v>
      </c>
      <c r="C20" s="461"/>
      <c r="D20" s="462"/>
      <c r="E20" s="460" t="s">
        <v>149</v>
      </c>
      <c r="F20" s="462"/>
      <c r="G20" s="86" t="s">
        <v>150</v>
      </c>
      <c r="H20" s="86" t="s">
        <v>62</v>
      </c>
      <c r="I20" s="86" t="s">
        <v>151</v>
      </c>
      <c r="J20" s="86" t="s">
        <v>152</v>
      </c>
      <c r="K20" s="86" t="s">
        <v>164</v>
      </c>
    </row>
    <row r="21" spans="1:11" s="116" customFormat="1" ht="55.5" hidden="1" customHeight="1" x14ac:dyDescent="0.25">
      <c r="A21" s="115"/>
      <c r="B21" s="453" t="s">
        <v>153</v>
      </c>
      <c r="C21" s="454"/>
      <c r="D21" s="455"/>
      <c r="E21" s="117"/>
      <c r="F21" s="118"/>
      <c r="G21" s="118"/>
      <c r="H21" s="118"/>
      <c r="I21" s="119"/>
      <c r="J21" s="118"/>
      <c r="K21" s="118"/>
    </row>
    <row r="22" spans="1:11" s="84" customFormat="1" ht="35.25" customHeight="1" x14ac:dyDescent="0.2">
      <c r="A22" s="83"/>
      <c r="B22" s="453" t="str">
        <f>+'Estado de costos'!B30:E30</f>
        <v>lona</v>
      </c>
      <c r="C22" s="454"/>
      <c r="D22" s="455"/>
      <c r="E22" s="453" t="str">
        <f>+'Estado de costos'!F30</f>
        <v>acricolor</v>
      </c>
      <c r="F22" s="455"/>
      <c r="G22" s="120">
        <f>+'Estado de costos'!J30</f>
        <v>2</v>
      </c>
      <c r="H22" s="121">
        <f>+'Estado de costos'!K30</f>
        <v>6.5</v>
      </c>
      <c r="I22" s="88">
        <f>+H22*G22</f>
        <v>13</v>
      </c>
      <c r="J22" s="89" t="str">
        <f>+'Estado de costos'!L30</f>
        <v>ALMACEN</v>
      </c>
      <c r="K22" s="82">
        <f>IF(J22="FACTURA",I22*1,IF(J22="RECIBO",I22/0.92,IF(J22="ALMACEN",I22*1,)))</f>
        <v>13</v>
      </c>
    </row>
    <row r="23" spans="1:11" s="84" customFormat="1" ht="35.25" customHeight="1" x14ac:dyDescent="0.2">
      <c r="A23" s="83"/>
      <c r="B23" s="453" t="e">
        <f>+'Estado de costos'!#REF!</f>
        <v>#REF!</v>
      </c>
      <c r="C23" s="454"/>
      <c r="D23" s="455"/>
      <c r="E23" s="453" t="e">
        <f>+'Estado de costos'!#REF!</f>
        <v>#REF!</v>
      </c>
      <c r="F23" s="455"/>
      <c r="G23" s="120" t="e">
        <f>+'Estado de costos'!#REF!</f>
        <v>#REF!</v>
      </c>
      <c r="H23" s="121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53" t="e">
        <f>+'Estado de costos'!#REF!</f>
        <v>#REF!</v>
      </c>
      <c r="C24" s="454"/>
      <c r="D24" s="455"/>
      <c r="E24" s="453" t="e">
        <f>+'Estado de costos'!#REF!</f>
        <v>#REF!</v>
      </c>
      <c r="F24" s="455"/>
      <c r="G24" s="120" t="e">
        <f>+'Estado de costos'!#REF!</f>
        <v>#REF!</v>
      </c>
      <c r="H24" s="121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53" t="e">
        <f>+'Estado de costos'!#REF!</f>
        <v>#REF!</v>
      </c>
      <c r="C25" s="454"/>
      <c r="D25" s="455"/>
      <c r="E25" s="453" t="e">
        <f>+'Estado de costos'!#REF!</f>
        <v>#REF!</v>
      </c>
      <c r="F25" s="455"/>
      <c r="G25" s="120" t="e">
        <f>+'Estado de costos'!#REF!</f>
        <v>#REF!</v>
      </c>
      <c r="H25" s="121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53" t="e">
        <f>+'Estado de costos'!#REF!</f>
        <v>#REF!</v>
      </c>
      <c r="C26" s="454"/>
      <c r="D26" s="455"/>
      <c r="E26" s="453" t="e">
        <f>+'Estado de costos'!#REF!</f>
        <v>#REF!</v>
      </c>
      <c r="F26" s="455"/>
      <c r="G26" s="120" t="e">
        <f>+'Estado de costos'!#REF!</f>
        <v>#REF!</v>
      </c>
      <c r="H26" s="121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53" t="e">
        <f>+'Estado de costos'!#REF!</f>
        <v>#REF!</v>
      </c>
      <c r="C27" s="454"/>
      <c r="D27" s="455"/>
      <c r="E27" s="453" t="e">
        <f>+'Estado de costos'!#REF!</f>
        <v>#REF!</v>
      </c>
      <c r="F27" s="455"/>
      <c r="G27" s="120" t="e">
        <f>+'Estado de costos'!#REF!</f>
        <v>#REF!</v>
      </c>
      <c r="H27" s="121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53" t="e">
        <f>+'Estado de costos'!#REF!</f>
        <v>#REF!</v>
      </c>
      <c r="C28" s="454"/>
      <c r="D28" s="455"/>
      <c r="E28" s="453" t="e">
        <f>+'Estado de costos'!#REF!</f>
        <v>#REF!</v>
      </c>
      <c r="F28" s="455"/>
      <c r="G28" s="120" t="e">
        <f>+'Estado de costos'!#REF!</f>
        <v>#REF!</v>
      </c>
      <c r="H28" s="121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53" t="e">
        <f>+'Estado de costos'!#REF!</f>
        <v>#REF!</v>
      </c>
      <c r="C29" s="454"/>
      <c r="D29" s="455"/>
      <c r="E29" s="453" t="e">
        <f>+'Estado de costos'!#REF!</f>
        <v>#REF!</v>
      </c>
      <c r="F29" s="455"/>
      <c r="G29" s="120" t="e">
        <f>+'Estado de costos'!#REF!</f>
        <v>#REF!</v>
      </c>
      <c r="H29" s="121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53" t="e">
        <f>+'Estado de costos'!#REF!</f>
        <v>#REF!</v>
      </c>
      <c r="C30" s="454"/>
      <c r="D30" s="455"/>
      <c r="E30" s="453" t="e">
        <f>+'Estado de costos'!#REF!</f>
        <v>#REF!</v>
      </c>
      <c r="F30" s="455"/>
      <c r="G30" s="120" t="e">
        <f>+'Estado de costos'!#REF!</f>
        <v>#REF!</v>
      </c>
      <c r="H30" s="121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53" t="e">
        <f>+'Estado de costos'!#REF!</f>
        <v>#REF!</v>
      </c>
      <c r="C31" s="454"/>
      <c r="D31" s="455"/>
      <c r="E31" s="453" t="e">
        <f>+'Estado de costos'!#REF!</f>
        <v>#REF!</v>
      </c>
      <c r="F31" s="455"/>
      <c r="G31" s="120" t="e">
        <f>+'Estado de costos'!#REF!</f>
        <v>#REF!</v>
      </c>
      <c r="H31" s="121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53" t="e">
        <f>+'Estado de costos'!#REF!</f>
        <v>#REF!</v>
      </c>
      <c r="C32" s="454"/>
      <c r="D32" s="455"/>
      <c r="E32" s="453" t="e">
        <f>+'Estado de costos'!#REF!</f>
        <v>#REF!</v>
      </c>
      <c r="F32" s="455"/>
      <c r="G32" s="120" t="e">
        <f>+'Estado de costos'!#REF!</f>
        <v>#REF!</v>
      </c>
      <c r="H32" s="121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53" t="e">
        <f>+'Estado de costos'!#REF!</f>
        <v>#REF!</v>
      </c>
      <c r="C33" s="454"/>
      <c r="D33" s="455"/>
      <c r="E33" s="453" t="e">
        <f>+'Estado de costos'!#REF!</f>
        <v>#REF!</v>
      </c>
      <c r="F33" s="455"/>
      <c r="G33" s="120" t="e">
        <f>+'Estado de costos'!#REF!</f>
        <v>#REF!</v>
      </c>
      <c r="H33" s="121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53" t="e">
        <f>+'Estado de costos'!#REF!</f>
        <v>#REF!</v>
      </c>
      <c r="C34" s="454"/>
      <c r="D34" s="455"/>
      <c r="E34" s="453" t="e">
        <f>+'Estado de costos'!#REF!</f>
        <v>#REF!</v>
      </c>
      <c r="F34" s="455"/>
      <c r="G34" s="120" t="e">
        <f>+'Estado de costos'!#REF!</f>
        <v>#REF!</v>
      </c>
      <c r="H34" s="121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53" t="e">
        <f>+'Estado de costos'!#REF!</f>
        <v>#REF!</v>
      </c>
      <c r="C35" s="454"/>
      <c r="D35" s="455"/>
      <c r="E35" s="453" t="e">
        <f>+'Estado de costos'!#REF!</f>
        <v>#REF!</v>
      </c>
      <c r="F35" s="455"/>
      <c r="G35" s="120" t="e">
        <f>+'Estado de costos'!#REF!</f>
        <v>#REF!</v>
      </c>
      <c r="H35" s="121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53" t="e">
        <f>+'Estado de costos'!#REF!</f>
        <v>#REF!</v>
      </c>
      <c r="C36" s="454"/>
      <c r="D36" s="455"/>
      <c r="E36" s="453" t="e">
        <f>+'Estado de costos'!#REF!</f>
        <v>#REF!</v>
      </c>
      <c r="F36" s="455"/>
      <c r="G36" s="120" t="e">
        <f>+'Estado de costos'!#REF!</f>
        <v>#REF!</v>
      </c>
      <c r="H36" s="121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46" t="s">
        <v>154</v>
      </c>
      <c r="C37" s="447"/>
      <c r="D37" s="447"/>
      <c r="E37" s="447"/>
      <c r="F37" s="448"/>
      <c r="G37" s="122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23"/>
      <c r="C38" s="123"/>
      <c r="D38" s="123"/>
      <c r="E38" s="123"/>
      <c r="F38" s="124"/>
      <c r="G38" s="124"/>
      <c r="H38" s="123"/>
      <c r="I38" s="123"/>
      <c r="J38" s="123"/>
      <c r="K38" s="123"/>
    </row>
    <row r="39" spans="1:11" s="84" customFormat="1" ht="15" x14ac:dyDescent="0.2">
      <c r="A39" s="83"/>
      <c r="B39" s="123"/>
      <c r="C39" s="123"/>
      <c r="D39" s="123"/>
      <c r="E39" s="123"/>
      <c r="F39" s="124"/>
      <c r="G39" s="124"/>
      <c r="H39" s="123"/>
      <c r="I39" s="123"/>
      <c r="J39" s="123"/>
      <c r="K39" s="123"/>
    </row>
    <row r="40" spans="1:11" s="84" customFormat="1" ht="15" hidden="1" x14ac:dyDescent="0.2">
      <c r="A40" s="83"/>
      <c r="B40" s="123"/>
      <c r="C40" s="123"/>
      <c r="D40" s="123"/>
      <c r="E40" s="123"/>
      <c r="F40" s="124"/>
      <c r="G40" s="124"/>
      <c r="H40" s="123"/>
      <c r="I40" s="123"/>
      <c r="J40" s="123"/>
      <c r="K40" s="125" t="e">
        <f>+K37+K49</f>
        <v>#REF!</v>
      </c>
    </row>
    <row r="41" spans="1:11" s="84" customFormat="1" ht="15" x14ac:dyDescent="0.2">
      <c r="A41" s="83"/>
      <c r="B41" s="123"/>
      <c r="C41" s="123"/>
      <c r="D41" s="123"/>
      <c r="E41" s="123"/>
      <c r="F41" s="124"/>
      <c r="G41" s="124"/>
      <c r="H41" s="123"/>
      <c r="I41" s="123"/>
      <c r="J41" s="123"/>
      <c r="K41" s="123"/>
    </row>
    <row r="42" spans="1:11" s="84" customFormat="1" ht="26.25" customHeight="1" x14ac:dyDescent="0.2">
      <c r="A42" s="83" t="s">
        <v>155</v>
      </c>
      <c r="B42" s="452" t="s">
        <v>156</v>
      </c>
      <c r="C42" s="452"/>
      <c r="D42" s="452"/>
      <c r="E42" s="452"/>
      <c r="F42" s="452"/>
      <c r="G42" s="452" t="s">
        <v>157</v>
      </c>
      <c r="H42" s="452"/>
      <c r="I42" s="452"/>
      <c r="J42" s="452"/>
      <c r="K42" s="452"/>
    </row>
    <row r="43" spans="1:11" s="84" customFormat="1" ht="50.25" customHeight="1" x14ac:dyDescent="0.2">
      <c r="A43" s="83"/>
      <c r="B43" s="449" t="s">
        <v>65</v>
      </c>
      <c r="C43" s="450"/>
      <c r="D43" s="451"/>
      <c r="E43" s="86" t="s">
        <v>149</v>
      </c>
      <c r="F43" s="86" t="s">
        <v>86</v>
      </c>
      <c r="G43" s="86" t="s">
        <v>150</v>
      </c>
      <c r="H43" s="86" t="s">
        <v>62</v>
      </c>
      <c r="I43" s="87" t="s">
        <v>60</v>
      </c>
      <c r="J43" s="87" t="s">
        <v>158</v>
      </c>
      <c r="K43" s="86" t="s">
        <v>165</v>
      </c>
    </row>
    <row r="44" spans="1:11" s="84" customFormat="1" ht="30.75" customHeight="1" x14ac:dyDescent="0.2">
      <c r="A44" s="83"/>
      <c r="B44" s="446" t="str">
        <f>+'Estado de costos'!B38:E38</f>
        <v>auxiliar</v>
      </c>
      <c r="C44" s="447"/>
      <c r="D44" s="448"/>
      <c r="E44" s="131">
        <f>+'Estado de costos'!F38</f>
        <v>0</v>
      </c>
      <c r="F44" s="126">
        <f>+'Estado de costos'!H38</f>
        <v>0</v>
      </c>
      <c r="G44" s="127">
        <f>+'Estado de costos'!J38</f>
        <v>1</v>
      </c>
      <c r="H44" s="128">
        <f>+'Estado de costos'!K38</f>
        <v>100</v>
      </c>
      <c r="I44" s="129">
        <f>+H44*G44</f>
        <v>100</v>
      </c>
      <c r="J44" s="86" t="str">
        <f>+'Estado de costos'!L38</f>
        <v>VALORADOS</v>
      </c>
      <c r="K44" s="91">
        <f>IF(J44="FACTURA",I44*1,IF(J44="RECIBO",I44/0.845,IF(J44="VALORADOS",I44*1,IF(J44="ALQUILER CON RECIBO",I44/0.84))))</f>
        <v>100</v>
      </c>
    </row>
    <row r="45" spans="1:11" s="84" customFormat="1" ht="30.75" customHeight="1" x14ac:dyDescent="0.2">
      <c r="A45" s="83"/>
      <c r="B45" s="446" t="e">
        <f>+'Estado de costos'!#REF!</f>
        <v>#REF!</v>
      </c>
      <c r="C45" s="447"/>
      <c r="D45" s="448"/>
      <c r="E45" s="131" t="e">
        <f>+'Estado de costos'!#REF!</f>
        <v>#REF!</v>
      </c>
      <c r="F45" s="126" t="e">
        <f>+'Estado de costos'!#REF!</f>
        <v>#REF!</v>
      </c>
      <c r="G45" s="127" t="e">
        <f>+'Estado de costos'!#REF!</f>
        <v>#REF!</v>
      </c>
      <c r="H45" s="128" t="e">
        <f>+'Estado de costos'!#REF!</f>
        <v>#REF!</v>
      </c>
      <c r="I45" s="129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46" t="e">
        <f>+'Estado de costos'!#REF!</f>
        <v>#REF!</v>
      </c>
      <c r="C46" s="447"/>
      <c r="D46" s="448"/>
      <c r="E46" s="131" t="e">
        <f>+'Estado de costos'!#REF!</f>
        <v>#REF!</v>
      </c>
      <c r="F46" s="126" t="e">
        <f>+'Estado de costos'!#REF!</f>
        <v>#REF!</v>
      </c>
      <c r="G46" s="127" t="e">
        <f>+'Estado de costos'!#REF!</f>
        <v>#REF!</v>
      </c>
      <c r="H46" s="128" t="e">
        <f>+'Estado de costos'!#REF!</f>
        <v>#REF!</v>
      </c>
      <c r="I46" s="129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46" t="e">
        <f>+'Estado de costos'!#REF!</f>
        <v>#REF!</v>
      </c>
      <c r="C47" s="447"/>
      <c r="D47" s="448"/>
      <c r="E47" s="131" t="e">
        <f>+'Estado de costos'!#REF!</f>
        <v>#REF!</v>
      </c>
      <c r="F47" s="126" t="e">
        <f>+'Estado de costos'!#REF!</f>
        <v>#REF!</v>
      </c>
      <c r="G47" s="127" t="e">
        <f>+'Estado de costos'!#REF!</f>
        <v>#REF!</v>
      </c>
      <c r="H47" s="128" t="e">
        <f>+'Estado de costos'!#REF!</f>
        <v>#REF!</v>
      </c>
      <c r="I47" s="129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46" t="e">
        <f>+'Estado de costos'!#REF!</f>
        <v>#REF!</v>
      </c>
      <c r="C48" s="447"/>
      <c r="D48" s="448"/>
      <c r="E48" s="131" t="e">
        <f>+'Estado de costos'!#REF!</f>
        <v>#REF!</v>
      </c>
      <c r="F48" s="126" t="e">
        <f>+'Estado de costos'!#REF!</f>
        <v>#REF!</v>
      </c>
      <c r="G48" s="127" t="e">
        <f>+'Estado de costos'!#REF!</f>
        <v>#REF!</v>
      </c>
      <c r="H48" s="128" t="e">
        <f>+'Estado de costos'!#REF!</f>
        <v>#REF!</v>
      </c>
      <c r="I48" s="129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49" t="s">
        <v>159</v>
      </c>
      <c r="C49" s="450"/>
      <c r="D49" s="450"/>
      <c r="E49" s="451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13:C13"/>
    <mergeCell ref="D13:F13"/>
    <mergeCell ref="I13:K13"/>
    <mergeCell ref="B8:K8"/>
    <mergeCell ref="B9:K9"/>
    <mergeCell ref="B11:C11"/>
    <mergeCell ref="D11:F11"/>
    <mergeCell ref="J11:K11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E27:F27"/>
    <mergeCell ref="E28:F28"/>
    <mergeCell ref="E29:F29"/>
    <mergeCell ref="E30:F30"/>
    <mergeCell ref="B23:D23"/>
    <mergeCell ref="E23:F23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B32:D32"/>
    <mergeCell ref="E32:F32"/>
    <mergeCell ref="B33:D33"/>
    <mergeCell ref="E33:F33"/>
    <mergeCell ref="B35:D35"/>
    <mergeCell ref="E35:F35"/>
    <mergeCell ref="B34:D34"/>
    <mergeCell ref="E34:F34"/>
    <mergeCell ref="B48:D48"/>
    <mergeCell ref="B49:E49"/>
    <mergeCell ref="G42:K42"/>
    <mergeCell ref="B44:D44"/>
    <mergeCell ref="B45:D45"/>
    <mergeCell ref="B46:D46"/>
    <mergeCell ref="B47:D47"/>
    <mergeCell ref="B43:D43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Hoja2</vt:lpstr>
      <vt:lpstr>Adquisicion(ISA) 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2019-01-03T12:47:33Z</cp:lastPrinted>
  <dcterms:created xsi:type="dcterms:W3CDTF">2016-10-17T20:34:40Z</dcterms:created>
  <dcterms:modified xsi:type="dcterms:W3CDTF">2019-02-04T19:25:57Z</dcterms:modified>
</cp:coreProperties>
</file>