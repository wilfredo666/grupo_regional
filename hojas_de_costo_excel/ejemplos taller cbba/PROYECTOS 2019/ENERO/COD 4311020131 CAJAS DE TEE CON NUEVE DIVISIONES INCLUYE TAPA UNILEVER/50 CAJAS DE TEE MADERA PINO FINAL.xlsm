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lvaro Vega\Desktop\Cotizaciones 2019\Cotizacion cajas de Te Lipton\"/>
    </mc:Choice>
  </mc:AlternateContent>
  <bookViews>
    <workbookView xWindow="0" yWindow="0" windowWidth="20490" windowHeight="8340" firstSheet="4" activeTab="5"/>
  </bookViews>
  <sheets>
    <sheet name="PARA FOTOS" sheetId="3" state="hidden" r:id="rId1"/>
    <sheet name="FORMATO DE COTIZACION1" sheetId="5" state="hidden" r:id="rId2"/>
    <sheet name="NOTA DE ENTREGA " sheetId="6" state="hidden" r:id="rId3"/>
    <sheet name="NGRESO A TALLER " sheetId="7" state="hidden" r:id="rId4"/>
    <sheet name="Estado de costos" sheetId="8" r:id="rId5"/>
    <sheet name="Carta PDF" sheetId="12" r:id="rId6"/>
    <sheet name="Adquisicion(ISA) " sheetId="13" state="hidden" r:id="rId7"/>
    <sheet name="Hoja2" sheetId="11" state="hidden" r:id="rId8"/>
  </sheets>
  <externalReferences>
    <externalReference r:id="rId9"/>
    <externalReference r:id="rId10"/>
  </externalReferences>
  <definedNames>
    <definedName name="_xlnm._FilterDatabase" localSheetId="6" hidden="1">'Adquisicion(ISA) '!$B$43:$K$49</definedName>
    <definedName name="_xlnm._FilterDatabase">#REF!</definedName>
    <definedName name="_xlnm.Print_Area" localSheetId="0">'PARA FOTOS'!$A$1:$O$49</definedName>
    <definedName name="Carga" localSheetId="6">#REF!</definedName>
    <definedName name="Carga">#REF!</definedName>
    <definedName name="DEPENDE" localSheetId="6">[1]Hoja3!$A$2:$A$4</definedName>
    <definedName name="DEPENDE" localSheetId="5">[1]Hoja3!$A$2:$A$4</definedName>
    <definedName name="DEPENDE">[2]Hoja3!$A$2:$A$4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12" l="1"/>
  <c r="P38" i="8" l="1"/>
  <c r="M38" i="8" s="1"/>
  <c r="F28" i="12" l="1"/>
  <c r="G55" i="8" l="1"/>
  <c r="H24" i="8"/>
  <c r="H1" i="8" l="1"/>
  <c r="B7" i="12" l="1"/>
  <c r="D57" i="12"/>
  <c r="D59" i="12" l="1"/>
  <c r="D58" i="12"/>
  <c r="K76" i="8"/>
  <c r="B23" i="12" s="1"/>
  <c r="C18" i="12" l="1"/>
  <c r="L47" i="8" l="1"/>
  <c r="K47" i="8"/>
  <c r="A14" i="12" l="1"/>
  <c r="B33" i="12"/>
  <c r="L71" i="8" l="1"/>
  <c r="J45" i="13"/>
  <c r="J46" i="13"/>
  <c r="J47" i="13"/>
  <c r="J48" i="13"/>
  <c r="J44" i="13"/>
  <c r="H45" i="13"/>
  <c r="H46" i="13"/>
  <c r="H47" i="13"/>
  <c r="H48" i="13"/>
  <c r="H44" i="13"/>
  <c r="G45" i="13"/>
  <c r="G46" i="13"/>
  <c r="G47" i="13"/>
  <c r="G48" i="13"/>
  <c r="G44" i="13"/>
  <c r="F45" i="13"/>
  <c r="F46" i="13"/>
  <c r="F47" i="13"/>
  <c r="F48" i="13"/>
  <c r="F44" i="13"/>
  <c r="E45" i="13"/>
  <c r="E46" i="13"/>
  <c r="E47" i="13"/>
  <c r="E48" i="13"/>
  <c r="E44" i="13"/>
  <c r="B45" i="13"/>
  <c r="B46" i="13"/>
  <c r="B47" i="13"/>
  <c r="B48" i="13"/>
  <c r="B44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22" i="13"/>
  <c r="B27" i="13"/>
  <c r="B28" i="13"/>
  <c r="B29" i="13"/>
  <c r="B30" i="13"/>
  <c r="B31" i="13"/>
  <c r="B32" i="13"/>
  <c r="B33" i="13"/>
  <c r="B34" i="13"/>
  <c r="B35" i="13"/>
  <c r="B36" i="13"/>
  <c r="B23" i="13"/>
  <c r="B24" i="13"/>
  <c r="B25" i="13"/>
  <c r="B26" i="13"/>
  <c r="B22" i="13"/>
  <c r="I47" i="13" l="1"/>
  <c r="I36" i="13"/>
  <c r="K36" i="13" s="1"/>
  <c r="I32" i="13"/>
  <c r="I28" i="13"/>
  <c r="K28" i="13" s="1"/>
  <c r="I24" i="13"/>
  <c r="I46" i="13"/>
  <c r="K46" i="13" s="1"/>
  <c r="I35" i="13"/>
  <c r="K35" i="13" s="1"/>
  <c r="I31" i="13"/>
  <c r="K31" i="13" s="1"/>
  <c r="I27" i="13"/>
  <c r="K27" i="13" s="1"/>
  <c r="I23" i="13"/>
  <c r="K23" i="13" s="1"/>
  <c r="I48" i="13"/>
  <c r="K48" i="13" s="1"/>
  <c r="I44" i="13"/>
  <c r="K44" i="13" s="1"/>
  <c r="I45" i="13"/>
  <c r="K45" i="13" s="1"/>
  <c r="I34" i="13"/>
  <c r="K34" i="13" s="1"/>
  <c r="I30" i="13"/>
  <c r="K30" i="13" s="1"/>
  <c r="I26" i="13"/>
  <c r="K26" i="13" s="1"/>
  <c r="I33" i="13"/>
  <c r="K33" i="13" s="1"/>
  <c r="I29" i="13"/>
  <c r="K29" i="13" s="1"/>
  <c r="I25" i="13"/>
  <c r="K25" i="13" s="1"/>
  <c r="K32" i="13"/>
  <c r="K24" i="13"/>
  <c r="K47" i="13"/>
  <c r="J15" i="13" l="1"/>
  <c r="E15" i="13"/>
  <c r="I13" i="13"/>
  <c r="D13" i="13"/>
  <c r="J11" i="13"/>
  <c r="D11" i="13"/>
  <c r="A9" i="12"/>
  <c r="K49" i="13" l="1"/>
  <c r="I22" i="13"/>
  <c r="K22" i="13" s="1"/>
  <c r="K37" i="13" s="1"/>
  <c r="I37" i="13" l="1"/>
  <c r="K40" i="13"/>
  <c r="M46" i="8" l="1"/>
  <c r="M47" i="8" s="1"/>
  <c r="J20" i="8" l="1"/>
  <c r="K20" i="8" s="1"/>
  <c r="J21" i="8"/>
  <c r="K21" i="8" s="1"/>
  <c r="J22" i="8"/>
  <c r="K22" i="8" s="1"/>
  <c r="J23" i="8"/>
  <c r="K23" i="8" s="1"/>
  <c r="G24" i="8"/>
  <c r="F59" i="8"/>
  <c r="D18" i="11"/>
  <c r="D19" i="11"/>
  <c r="D20" i="11"/>
  <c r="D21" i="11"/>
  <c r="D17" i="11"/>
  <c r="K24" i="8" l="1"/>
  <c r="J24" i="8"/>
  <c r="E13" i="11"/>
  <c r="F13" i="11" s="1"/>
  <c r="G59" i="8" s="1"/>
  <c r="D13" i="11"/>
  <c r="K12" i="11"/>
  <c r="P37" i="8"/>
  <c r="M37" i="8" s="1"/>
  <c r="M39" i="8" s="1"/>
  <c r="P30" i="8"/>
  <c r="M30" i="8" s="1"/>
  <c r="M31" i="8" s="1"/>
  <c r="I21" i="5"/>
  <c r="F55" i="8" l="1"/>
  <c r="H55" i="8" l="1"/>
  <c r="H59" i="8" s="1"/>
  <c r="L67" i="8" s="1"/>
  <c r="F31" i="12"/>
  <c r="C23" i="12" s="1"/>
  <c r="D23" i="12" s="1"/>
  <c r="L68" i="8" l="1"/>
  <c r="G62" i="8"/>
  <c r="L69" i="8" l="1"/>
  <c r="L70" i="8" s="1"/>
  <c r="F1" i="8" l="1"/>
  <c r="J1" i="8" s="1"/>
</calcChain>
</file>

<file path=xl/comments1.xml><?xml version="1.0" encoding="utf-8"?>
<comments xmlns="http://schemas.openxmlformats.org/spreadsheetml/2006/main">
  <authors>
    <author>GRUPOREGIONAL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K7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K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K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 xml:space="preserve">GRUPOREGIONAL:
"CREDITO" CUANDO PAGUE DESPUES DE LA ENTRGA DEL PRODUCTO </t>
        </r>
      </text>
    </comment>
    <comment ref="B29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MATERIALES QUE SE PRETENDE UTILIZAR PARA EL TRABAJO </t>
        </r>
      </text>
    </comment>
    <comment ref="J29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29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6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TIPO DE SERVICIO QUE SE PRETENDE CONTRATAR PARA EL TRABAJO </t>
        </r>
      </text>
    </comment>
    <comment ref="H36" authorId="0" shapeId="0">
      <text>
        <r>
          <rPr>
            <b/>
            <sz val="9"/>
            <color indexed="81"/>
            <rFont val="Tahoma"/>
            <family val="2"/>
          </rPr>
          <t>GRUPOREGIONAL:
COLOCAR SI EL SERVICIO SE REALIZARA EN DIAS U HORAS</t>
        </r>
      </text>
    </comment>
    <comment ref="J36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K36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COLOCAR EL PRECIO ESTIMADO QUE SE CANCELARA POR CADA TIEMPO ESTIMADO</t>
        </r>
      </text>
    </comment>
    <comment ref="B45" authorId="0" shapeId="0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G62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</rPr>
          <t xml:space="preserve">GRUPOREGIONAL:
COLOCAR EL F.E.E. QUE SE PRETENDE GANAR 
</t>
        </r>
      </text>
    </comment>
  </commentList>
</comments>
</file>

<file path=xl/comments2.xml><?xml version="1.0" encoding="utf-8"?>
<comments xmlns="http://schemas.openxmlformats.org/spreadsheetml/2006/main">
  <authors>
    <author>GRUPOREGIONAL</author>
  </authors>
  <commentList>
    <comment ref="D11" authorId="0" shapeId="0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B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43" authorId="0" shapeId="0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43" authorId="0" shapeId="0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43" authorId="0" shapeId="0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<sst xmlns="http://schemas.openxmlformats.org/spreadsheetml/2006/main" count="256" uniqueCount="200">
  <si>
    <t>FECHA DE INICIO</t>
  </si>
  <si>
    <t>CLIENTE</t>
  </si>
  <si>
    <t>PRODUCTO</t>
  </si>
  <si>
    <t>TRABAJO</t>
  </si>
  <si>
    <t>DIMENSIONES</t>
  </si>
  <si>
    <t>ALTO</t>
  </si>
  <si>
    <t>ANCHO</t>
  </si>
  <si>
    <t>PROFUNDIDAD</t>
  </si>
  <si>
    <t>OBSERVACIONES</t>
  </si>
  <si>
    <t>FECHA DE ENTREGA</t>
  </si>
  <si>
    <t>MATERIALES</t>
  </si>
  <si>
    <t>CANTIDAD</t>
  </si>
  <si>
    <t>m</t>
  </si>
  <si>
    <t>FOTOGRAFIA POR:</t>
  </si>
  <si>
    <t>PRECIO</t>
  </si>
  <si>
    <t>PRECIO BS.</t>
  </si>
  <si>
    <t>CANT</t>
  </si>
  <si>
    <t>ENTREGADO A:</t>
  </si>
  <si>
    <t>COSTO TOTAL BS.</t>
  </si>
  <si>
    <t>FECHA:______________</t>
  </si>
  <si>
    <t>_____/______/20____</t>
  </si>
  <si>
    <t xml:space="preserve">FECHA: </t>
  </si>
  <si>
    <t>ITEM</t>
  </si>
  <si>
    <t xml:space="preserve">CANTIDAD </t>
  </si>
  <si>
    <t>PRECIO TOTAL</t>
  </si>
  <si>
    <t>DESCRIPCIÓN</t>
  </si>
  <si>
    <t xml:space="preserve">PRECIO UNITARIO </t>
  </si>
  <si>
    <t xml:space="preserve">Todos los precios incluyen impuestos por Ley </t>
  </si>
  <si>
    <t>Esta cotización está basada en información proporcionada por el cliente, cualquier reajuste requerirá una re - Cotizacion.</t>
  </si>
  <si>
    <t>de</t>
  </si>
  <si>
    <t xml:space="preserve">PROFORMA </t>
  </si>
  <si>
    <t xml:space="preserve">N°: </t>
  </si>
  <si>
    <r>
      <rPr>
        <b/>
        <sz val="11"/>
        <color theme="0" tint="-0.499984740745262"/>
        <rFont val="Calibri"/>
        <family val="2"/>
        <scheme val="minor"/>
      </rPr>
      <t>FORMA DE PAGO</t>
    </r>
    <r>
      <rPr>
        <sz val="11"/>
        <color theme="0" tint="-0.499984740745262"/>
        <rFont val="Calibri"/>
        <family val="2"/>
        <scheme val="minor"/>
      </rPr>
      <t>: 50% a la confirmacion de la proforma y 50% contra entrega</t>
    </r>
  </si>
  <si>
    <r>
      <rPr>
        <b/>
        <sz val="11"/>
        <color theme="0" tint="-0.499984740745262"/>
        <rFont val="Calibri"/>
        <family val="2"/>
        <scheme val="minor"/>
      </rPr>
      <t>VALIDEZ DE LA PROPUESTA</t>
    </r>
    <r>
      <rPr>
        <sz val="11"/>
        <color theme="0" tint="-0.499984740745262"/>
        <rFont val="Calibri"/>
        <family val="2"/>
        <scheme val="minor"/>
      </rPr>
      <t>: 15 Días</t>
    </r>
  </si>
  <si>
    <r>
      <rPr>
        <b/>
        <sz val="11"/>
        <color theme="0" tint="-0.499984740745262"/>
        <rFont val="Calibri"/>
        <family val="2"/>
        <scheme val="minor"/>
      </rPr>
      <t>TIEMPO DE ENTREGA:</t>
    </r>
    <r>
      <rPr>
        <sz val="11"/>
        <color theme="0" tint="-0.499984740745262"/>
        <rFont val="Calibri"/>
        <family val="2"/>
        <scheme val="minor"/>
      </rPr>
      <t xml:space="preserve"> A convenir una vez Aprobado los artes y la proforma por parte del Cliente.</t>
    </r>
  </si>
  <si>
    <t xml:space="preserve">Cliente: </t>
  </si>
  <si>
    <t>Trabajo:</t>
  </si>
  <si>
    <t>NOTA DE ENTREGA</t>
  </si>
  <si>
    <t xml:space="preserve">DESCRIPCIÓN </t>
  </si>
  <si>
    <t>MEDIDAS (m)</t>
  </si>
  <si>
    <t>Firma</t>
  </si>
  <si>
    <t>Entregado Por:</t>
  </si>
  <si>
    <t>Recibido Por:</t>
  </si>
  <si>
    <t>CI:</t>
  </si>
  <si>
    <t>NOTA DE INGRESO</t>
  </si>
  <si>
    <t>TALLER</t>
  </si>
  <si>
    <t>Descripcion</t>
  </si>
  <si>
    <t>Cantidad</t>
  </si>
  <si>
    <t>FIRMA</t>
  </si>
  <si>
    <t>N°</t>
  </si>
  <si>
    <t>CBBA:</t>
  </si>
  <si>
    <t>Fecha: 28/11/16</t>
  </si>
  <si>
    <t>Responsable: Juan Pablo Zambrana</t>
  </si>
  <si>
    <t xml:space="preserve"> Bastidores  aniversario de Hoolligans con patas en buen estado</t>
  </si>
  <si>
    <t>TOTAL Bs.-</t>
  </si>
  <si>
    <t>Enero</t>
  </si>
  <si>
    <t>de 2017</t>
  </si>
  <si>
    <r>
      <t xml:space="preserve">Cliente:  </t>
    </r>
    <r>
      <rPr>
        <sz val="11"/>
        <color theme="1"/>
        <rFont val="Calibri"/>
        <family val="2"/>
        <scheme val="minor"/>
      </rPr>
      <t xml:space="preserve">Banco PyME Fondo de la comunidad </t>
    </r>
  </si>
  <si>
    <r>
      <t>Servicio:</t>
    </r>
    <r>
      <rPr>
        <sz val="11"/>
        <color theme="1"/>
        <rFont val="Calibri"/>
        <family val="2"/>
        <scheme val="minor"/>
      </rPr>
      <t xml:space="preserve"> Elaboración de adhesivos</t>
    </r>
  </si>
  <si>
    <t xml:space="preserve">Impresión de adhesivo Arcla de 0,15m X 0,20m </t>
  </si>
  <si>
    <t>TOTAL</t>
  </si>
  <si>
    <t>UNIDAD MEDIDA</t>
  </si>
  <si>
    <t>COSTO UNITARIO</t>
  </si>
  <si>
    <t>MATERIAL ADQUIRIDOS O ENTREGADOS POR ALMACEN</t>
  </si>
  <si>
    <t>TOTAL PRESUPUESTADO</t>
  </si>
  <si>
    <t>SERVICIOS CONTRATADOS</t>
  </si>
  <si>
    <t>TIEMPO PROGRAMADO</t>
  </si>
  <si>
    <t>TASA PRESUPUESTADA</t>
  </si>
  <si>
    <t>DIAS</t>
  </si>
  <si>
    <t>FACTURA</t>
  </si>
  <si>
    <t>COSTO TOTAL PROGRAMADO DE M.O.D</t>
  </si>
  <si>
    <t>COSTO TOTAL DEL PROYECTO</t>
  </si>
  <si>
    <t>COSTO TOTAL DEL PROY.  MAS IMPUESTOS</t>
  </si>
  <si>
    <t>COSTO PROY. MAS F.E.E.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</si>
  <si>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</si>
  <si>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</si>
  <si>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</si>
  <si>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</si>
  <si>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</si>
  <si>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</si>
  <si>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</si>
  <si>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</si>
  <si>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CONTADO</t>
  </si>
  <si>
    <t>CREDITO</t>
  </si>
  <si>
    <t xml:space="preserve">RECIBO </t>
  </si>
  <si>
    <t>SI,</t>
  </si>
  <si>
    <t>NO,</t>
  </si>
  <si>
    <t>UNIDAD DE MEDIDA</t>
  </si>
  <si>
    <t>COSTO DE SERVICIO</t>
  </si>
  <si>
    <t>COSTO TOTAL  ESTIMADO DEL SERVICIO</t>
  </si>
  <si>
    <t>TASA FINANCIERA</t>
  </si>
  <si>
    <t>TASA DE APLICACIÓN</t>
  </si>
  <si>
    <t>HRS</t>
  </si>
  <si>
    <t>COSTO  ACUMULADO  PROGRAMADO</t>
  </si>
  <si>
    <t>COSTO  PROGRAMADO DE COSTOS INDIRECTOS</t>
  </si>
  <si>
    <t xml:space="preserve">COSTO TOTAL ESTIMADO </t>
  </si>
  <si>
    <t>F.E.E PROGRAMADO</t>
  </si>
  <si>
    <t>CODIGO DE PROYECTO</t>
  </si>
  <si>
    <t>VALORADOS</t>
  </si>
  <si>
    <t>1.1</t>
  </si>
  <si>
    <t>1.2</t>
  </si>
  <si>
    <t>1.3</t>
  </si>
  <si>
    <t>CORREO ELECTRONICO CLIENTE</t>
  </si>
  <si>
    <t>FECHA DE INICIO PROYECTO</t>
  </si>
  <si>
    <t>FECHA DE CONCLUSION PROYECTO</t>
  </si>
  <si>
    <t xml:space="preserve">TOTAL DIAS A CREDITO </t>
  </si>
  <si>
    <t>NOMBRE EL PROYECTO</t>
  </si>
  <si>
    <t>1.4</t>
  </si>
  <si>
    <t>TIPO DE PROYECTO</t>
  </si>
  <si>
    <t>1.5</t>
  </si>
  <si>
    <t>1.6</t>
  </si>
  <si>
    <t>1.7</t>
  </si>
  <si>
    <t>HOJA DE COSTO DE TALLER</t>
  </si>
  <si>
    <t>NOMBRE DEL PROOVEEDOR</t>
  </si>
  <si>
    <t xml:space="preserve">DOCUEMTO  ADQUISICION </t>
  </si>
  <si>
    <t xml:space="preserve">NOMBRE DEL PROVEEDOR </t>
  </si>
  <si>
    <t xml:space="preserve">DETALLE </t>
  </si>
  <si>
    <t>CANTIDAD PERSONAS</t>
  </si>
  <si>
    <t>TIEMPO</t>
  </si>
  <si>
    <t>EJECUTIVO DE CUENTA</t>
  </si>
  <si>
    <t>DISEÑADORA</t>
  </si>
  <si>
    <t xml:space="preserve">AXULIAR IMPRESIÓN </t>
  </si>
  <si>
    <t>ENCARGADO DE TALLER</t>
  </si>
  <si>
    <t>AUXILIAR DE TALLER</t>
  </si>
  <si>
    <t xml:space="preserve">COSTOS </t>
  </si>
  <si>
    <t>COSTOS</t>
  </si>
  <si>
    <t xml:space="preserve">EQUIPOS PROPIOS </t>
  </si>
  <si>
    <t>DETALLE DEL SERVICIO</t>
  </si>
  <si>
    <t>AREA DE SERVICIO</t>
  </si>
  <si>
    <t xml:space="preserve">COSTO TOTAL </t>
  </si>
  <si>
    <t>SERVICIO / PRODUCTOS PROPIOS DE GRUPO REGIONAL</t>
  </si>
  <si>
    <t>3.1</t>
  </si>
  <si>
    <t>Señores:</t>
  </si>
  <si>
    <t>Presente.-</t>
  </si>
  <si>
    <t>REF:</t>
  </si>
  <si>
    <t>De  nuestra consideracion : nos es grato dirigimos a ustedes  a los efectos de hacerle llegar al siguiente detalle:</t>
  </si>
  <si>
    <t>Detalle por utilitarios :</t>
  </si>
  <si>
    <t>COSTO UNITARIO (Bs.)</t>
  </si>
  <si>
    <t>COSTO TOTAL (Bs.)</t>
  </si>
  <si>
    <t>Total</t>
  </si>
  <si>
    <t>INCLUYE IMPUESTOS POR LEY</t>
  </si>
  <si>
    <t>GRUPO REGIONAL SRL</t>
  </si>
  <si>
    <t>CLIENTE  BENEFICIDO DEL PROYECTO</t>
  </si>
  <si>
    <t>CORREO ELECTRONICO</t>
  </si>
  <si>
    <t>NOMBRE PROYECTO</t>
  </si>
  <si>
    <t>FECHA DE INICIO DEL PROYECTO</t>
  </si>
  <si>
    <t>FECHA DE CONCLUSION DEL PROYECTO</t>
  </si>
  <si>
    <t>MATERIALES Y SERVICIOS POR PAGAR A PROVEEDORES</t>
  </si>
  <si>
    <t>MATERIALES POR PAGAR PROVEEDORES</t>
  </si>
  <si>
    <t>COSTOS MATERIALES UTILZADOS EN EL PROYECTO</t>
  </si>
  <si>
    <t xml:space="preserve"> MATERIALES ADQUIRIDOS DEL PROVEEDOR</t>
  </si>
  <si>
    <t>NOMBRE DEL PROVEEDOR</t>
  </si>
  <si>
    <t>CANTIDAD ESTIMADA</t>
  </si>
  <si>
    <t>SUT TOTAL</t>
  </si>
  <si>
    <t>DOCUMENTO</t>
  </si>
  <si>
    <t xml:space="preserve"> MATERIAL ADQUIRIDOS O ENTREGADOS POR ALMACEN</t>
  </si>
  <si>
    <t>SUB TOTAL</t>
  </si>
  <si>
    <t>3.2</t>
  </si>
  <si>
    <t>SERVICIOS  POR PAGAR A PROVEEDORES</t>
  </si>
  <si>
    <t xml:space="preserve">COSTO ESTIMADO DE SERVICIOS </t>
  </si>
  <si>
    <t>TIPO O FORMA</t>
  </si>
  <si>
    <t>TOTALES</t>
  </si>
  <si>
    <t>Cualquier consulta comunicarse al celular 75925500, o a los correos mencionados en la parte
inferior de esta página, con gusto atenderé sus consultas.</t>
  </si>
  <si>
    <t>www.gruporegional.com</t>
  </si>
  <si>
    <t>PRECIO EN PDF</t>
  </si>
  <si>
    <t xml:space="preserve">PRECIO </t>
  </si>
  <si>
    <t>MONTON A CANCELAR</t>
  </si>
  <si>
    <t>MONTO A CANCELAR</t>
  </si>
  <si>
    <t xml:space="preserve">       DETALLE DE CUENTAS POR PAGAR ( TALLER)</t>
  </si>
  <si>
    <t>2.1</t>
  </si>
  <si>
    <t>MANO DE OBRA DIRECTA</t>
  </si>
  <si>
    <t>4.1</t>
  </si>
  <si>
    <t>7.1</t>
  </si>
  <si>
    <t xml:space="preserve">AUXILIAR IMPRESIÓN </t>
  </si>
  <si>
    <t xml:space="preserve"> PERSONAL DIRECTO QUE INTERVIENE EN LA  OPERACION</t>
  </si>
  <si>
    <t xml:space="preserve">MATERIALES Y SERVICIOS QUE INTERVIENE EN LA OPERACION  </t>
  </si>
  <si>
    <t>COSTOS INDIRECTOS DE OPERACIONES</t>
  </si>
  <si>
    <t>COSTOS INDIRECTOS DEL PROYECTO</t>
  </si>
  <si>
    <t>5.1</t>
  </si>
  <si>
    <t>5.2</t>
  </si>
  <si>
    <t>DETALLE</t>
  </si>
  <si>
    <t>PUNTO DE REFERENCIA</t>
  </si>
  <si>
    <t>EXTERNO</t>
  </si>
  <si>
    <t>ELABORADO POR</t>
  </si>
  <si>
    <t>COCHABAMBA - GRUPO REGIONAL  SRL</t>
  </si>
  <si>
    <t>Atentamente</t>
  </si>
  <si>
    <t>PRECIO PDF</t>
  </si>
  <si>
    <t xml:space="preserve">PRECIO DE HOJA COSTO </t>
  </si>
  <si>
    <t>DIFERENCIA</t>
  </si>
  <si>
    <t>UBICACIÓN</t>
  </si>
  <si>
    <t>COCHABAMBA</t>
  </si>
  <si>
    <t>F.E.E. VARIABLE</t>
  </si>
  <si>
    <t>Carlos Camacho</t>
  </si>
  <si>
    <t>UNILEVER</t>
  </si>
  <si>
    <t>LITRO</t>
  </si>
  <si>
    <t>RECIBO</t>
  </si>
  <si>
    <t>COMBUSTIBLE</t>
  </si>
  <si>
    <t>CAJAS DE TEE</t>
  </si>
  <si>
    <t>SERIGRAFIA</t>
  </si>
  <si>
    <t>50 CAJAS DE TEE CON NUEVE DIVISIONES INCLUYE TAPA MADERA PINO Y SERIGRAFIA DE LOGO LIPTON EN UN COLOR EN TAPA ANVERSO Y REVERSO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</si>
</sst>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00"/>
    <numFmt numFmtId="168" formatCode="[$-F800]dddd\,\ mmmm\ dd\,\ yyyy"/>
    <numFmt numFmtId="169" formatCode="_(* #,##0_);_(* \(#,##0\);_(* &quot;-&quot;??_);_(@_)"/>
    <numFmt numFmtId="170" formatCode="0.0000%"/>
  </numFmts>
  <fonts count="6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3" tint="0.3999755851924192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48"/>
      <color rgb="FF6633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28"/>
      <color rgb="FF66330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22"/>
      <color rgb="FF6633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u/>
      <sz val="16"/>
      <color theme="1"/>
      <name val="Arial"/>
      <family val="2"/>
    </font>
    <font>
      <sz val="12"/>
      <color theme="1"/>
      <name val="Arial"/>
      <family val="2"/>
    </font>
    <font>
      <b/>
      <u/>
      <sz val="12"/>
      <color theme="1"/>
      <name val="Arial"/>
      <family val="2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sz val="22"/>
      <color theme="1"/>
      <name val="Arial"/>
      <family val="2"/>
    </font>
    <font>
      <b/>
      <u/>
      <sz val="22"/>
      <color theme="1"/>
      <name val="Arial"/>
      <family val="2"/>
    </font>
    <font>
      <b/>
      <sz val="18"/>
      <color theme="1"/>
      <name val="Arial"/>
      <family val="2"/>
    </font>
    <font>
      <b/>
      <u/>
      <sz val="11"/>
      <color theme="1"/>
      <name val="Arial"/>
      <family val="2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20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18"/>
      <color theme="4"/>
      <name val="Calibri"/>
      <family val="2"/>
      <scheme val="minor"/>
    </font>
    <font>
      <b/>
      <sz val="18"/>
      <color theme="4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3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Arial"/>
      <family val="2"/>
    </font>
    <font>
      <sz val="12"/>
      <color theme="0"/>
      <name val="Arial"/>
      <family val="2"/>
    </font>
    <font>
      <sz val="12"/>
      <color rgb="FF0070C0"/>
      <name val="Arial"/>
      <family val="2"/>
    </font>
    <font>
      <b/>
      <u/>
      <sz val="22"/>
      <color theme="9" tint="-0.249977111117893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14A3D0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E2EFDB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8" tint="0.59999389629810485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558134"/>
      </left>
      <right style="thin">
        <color rgb="FF558134"/>
      </right>
      <top style="thin">
        <color rgb="FF558134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558134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rgb="FF558134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rgb="FF558134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rgb="FF558134"/>
      </bottom>
      <diagonal/>
    </border>
    <border>
      <left style="thin">
        <color theme="0"/>
      </left>
      <right style="thin">
        <color rgb="FF558134"/>
      </right>
      <top style="thin">
        <color theme="0"/>
      </top>
      <bottom style="thin">
        <color rgb="FF558134"/>
      </bottom>
      <diagonal/>
    </border>
    <border>
      <left/>
      <right style="thin">
        <color rgb="FF558134"/>
      </right>
      <top style="thin">
        <color theme="0"/>
      </top>
      <bottom style="thin">
        <color theme="0"/>
      </bottom>
      <diagonal/>
    </border>
    <border>
      <left style="thin">
        <color rgb="FF558134"/>
      </left>
      <right style="thin">
        <color theme="0"/>
      </right>
      <top style="thin">
        <color theme="0"/>
      </top>
      <bottom/>
      <diagonal/>
    </border>
    <border>
      <left style="thin">
        <color rgb="FF558134"/>
      </left>
      <right style="thin">
        <color theme="0"/>
      </right>
      <top/>
      <bottom style="thin">
        <color rgb="FF558134"/>
      </bottom>
      <diagonal/>
    </border>
    <border>
      <left style="thin">
        <color theme="0"/>
      </left>
      <right style="thin">
        <color theme="0"/>
      </right>
      <top/>
      <bottom style="thin">
        <color rgb="FF558134"/>
      </bottom>
      <diagonal/>
    </border>
    <border>
      <left style="thin">
        <color rgb="FF558134"/>
      </left>
      <right style="thin">
        <color theme="0"/>
      </right>
      <top style="thin">
        <color rgb="FF558134"/>
      </top>
      <bottom/>
      <diagonal/>
    </border>
    <border>
      <left style="thin">
        <color theme="0"/>
      </left>
      <right style="thin">
        <color theme="0"/>
      </right>
      <top style="thin">
        <color rgb="FF558134"/>
      </top>
      <bottom/>
      <diagonal/>
    </border>
    <border>
      <left style="thin">
        <color rgb="FF558134"/>
      </left>
      <right/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rgb="FF558134"/>
      </bottom>
      <diagonal/>
    </border>
    <border>
      <left/>
      <right style="thin">
        <color rgb="FF558134"/>
      </right>
      <top style="thin">
        <color rgb="FF558134"/>
      </top>
      <bottom style="thin">
        <color rgb="FF558134"/>
      </bottom>
      <diagonal/>
    </border>
    <border>
      <left/>
      <right/>
      <top style="thin">
        <color rgb="FF558134"/>
      </top>
      <bottom style="thin">
        <color theme="9" tint="-0.249977111117893"/>
      </bottom>
      <diagonal/>
    </border>
    <border>
      <left/>
      <right style="thin">
        <color theme="9" tint="-0.249977111117893"/>
      </right>
      <top style="thin">
        <color theme="9" tint="-0.249977111117893"/>
      </top>
      <bottom/>
      <diagonal/>
    </border>
    <border>
      <left/>
      <right/>
      <top style="thin">
        <color theme="9" tint="-0.249977111117893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rgb="FF55813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558134"/>
      </left>
      <right/>
      <top/>
      <bottom/>
      <diagonal/>
    </border>
    <border>
      <left/>
      <right style="thin">
        <color rgb="FF558134"/>
      </right>
      <top/>
      <bottom/>
      <diagonal/>
    </border>
    <border>
      <left style="thin">
        <color rgb="FF558134"/>
      </left>
      <right/>
      <top/>
      <bottom style="thin">
        <color theme="9" tint="-0.249977111117893"/>
      </bottom>
      <diagonal/>
    </border>
    <border>
      <left/>
      <right style="thin">
        <color rgb="FF558134"/>
      </right>
      <top/>
      <bottom style="thin">
        <color theme="9" tint="-0.249977111117893"/>
      </bottom>
      <diagonal/>
    </border>
    <border>
      <left style="thin">
        <color rgb="FF558134"/>
      </left>
      <right/>
      <top style="thin">
        <color theme="9" tint="-0.249977111117893"/>
      </top>
      <bottom style="thin">
        <color theme="9" tint="-0.249977111117893"/>
      </bottom>
      <diagonal/>
    </border>
    <border>
      <left/>
      <right style="thin">
        <color rgb="FF558134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2" fillId="0" borderId="0"/>
    <xf numFmtId="0" fontId="22" fillId="0" borderId="0"/>
    <xf numFmtId="0" fontId="28" fillId="0" borderId="0" applyNumberFormat="0" applyFill="0" applyBorder="0" applyAlignment="0" applyProtection="0"/>
    <xf numFmtId="0" fontId="22" fillId="0" borderId="0"/>
    <xf numFmtId="164" fontId="21" fillId="0" borderId="0" applyFont="0" applyFill="0" applyBorder="0" applyAlignment="0" applyProtection="0"/>
    <xf numFmtId="0" fontId="21" fillId="15" borderId="0" applyNumberFormat="0" applyBorder="0" applyAlignment="0" applyProtection="0"/>
  </cellStyleXfs>
  <cellXfs count="469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2" fillId="0" borderId="0" xfId="0" applyFont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/>
    <xf numFmtId="0" fontId="2" fillId="0" borderId="0" xfId="0" applyFont="1" applyBorder="1"/>
    <xf numFmtId="0" fontId="2" fillId="0" borderId="10" xfId="0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11" xfId="0" applyFont="1" applyBorder="1"/>
    <xf numFmtId="0" fontId="2" fillId="0" borderId="11" xfId="0" applyFont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right"/>
    </xf>
    <xf numFmtId="0" fontId="4" fillId="0" borderId="10" xfId="0" applyFont="1" applyBorder="1"/>
    <xf numFmtId="0" fontId="6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right"/>
    </xf>
    <xf numFmtId="0" fontId="0" fillId="3" borderId="0" xfId="0" applyFont="1" applyFill="1"/>
    <xf numFmtId="0" fontId="5" fillId="4" borderId="11" xfId="0" applyFont="1" applyFill="1" applyBorder="1" applyAlignment="1">
      <alignment horizontal="center" vertical="center"/>
    </xf>
    <xf numFmtId="0" fontId="10" fillId="0" borderId="0" xfId="0" applyFont="1"/>
    <xf numFmtId="0" fontId="0" fillId="3" borderId="0" xfId="0" applyFill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8" fillId="2" borderId="16" xfId="0" applyFont="1" applyFill="1" applyBorder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13" fillId="3" borderId="0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13" fillId="3" borderId="0" xfId="0" applyFont="1" applyFill="1" applyAlignment="1">
      <alignment horizontal="left" vertical="center" wrapText="1"/>
    </xf>
    <xf numFmtId="0" fontId="0" fillId="3" borderId="0" xfId="0" applyFill="1" applyAlignment="1">
      <alignment horizontal="left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4" fillId="4" borderId="11" xfId="0" applyFont="1" applyFill="1" applyBorder="1" applyAlignment="1">
      <alignment horizontal="center" vertical="center"/>
    </xf>
    <xf numFmtId="0" fontId="12" fillId="3" borderId="15" xfId="0" applyFont="1" applyFill="1" applyBorder="1" applyAlignment="1">
      <alignment horizontal="center" vertical="center" wrapText="1"/>
    </xf>
    <xf numFmtId="0" fontId="6" fillId="3" borderId="0" xfId="0" applyFont="1" applyFill="1" applyAlignment="1">
      <alignment horizontal="center" vertical="center"/>
    </xf>
    <xf numFmtId="0" fontId="0" fillId="0" borderId="0" xfId="0" applyAlignment="1">
      <alignment horizontal="center" textRotation="180"/>
    </xf>
    <xf numFmtId="0" fontId="15" fillId="0" borderId="0" xfId="0" applyFont="1"/>
    <xf numFmtId="0" fontId="17" fillId="0" borderId="0" xfId="0" applyFont="1"/>
    <xf numFmtId="0" fontId="0" fillId="0" borderId="19" xfId="0" applyBorder="1"/>
    <xf numFmtId="0" fontId="0" fillId="0" borderId="20" xfId="0" applyBorder="1"/>
    <xf numFmtId="0" fontId="6" fillId="0" borderId="19" xfId="0" applyFont="1" applyBorder="1"/>
    <xf numFmtId="0" fontId="18" fillId="0" borderId="0" xfId="0" applyFont="1"/>
    <xf numFmtId="0" fontId="6" fillId="5" borderId="19" xfId="0" applyFont="1" applyFill="1" applyBorder="1"/>
    <xf numFmtId="0" fontId="0" fillId="5" borderId="19" xfId="0" applyFill="1" applyBorder="1"/>
    <xf numFmtId="0" fontId="6" fillId="5" borderId="20" xfId="0" applyFont="1" applyFill="1" applyBorder="1"/>
    <xf numFmtId="0" fontId="0" fillId="5" borderId="20" xfId="0" applyFill="1" applyBorder="1"/>
    <xf numFmtId="0" fontId="0" fillId="0" borderId="2" xfId="0" applyBorder="1"/>
    <xf numFmtId="0" fontId="0" fillId="0" borderId="0" xfId="0" applyBorder="1"/>
    <xf numFmtId="0" fontId="0" fillId="0" borderId="6" xfId="0" applyBorder="1"/>
    <xf numFmtId="0" fontId="19" fillId="4" borderId="18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1" xfId="0" applyBorder="1" applyAlignment="1">
      <alignment horizontal="center" vertical="center"/>
    </xf>
    <xf numFmtId="0" fontId="20" fillId="0" borderId="0" xfId="0" applyFont="1"/>
    <xf numFmtId="0" fontId="6" fillId="0" borderId="0" xfId="0" applyFont="1"/>
    <xf numFmtId="0" fontId="6" fillId="5" borderId="0" xfId="0" applyFont="1" applyFill="1"/>
    <xf numFmtId="0" fontId="6" fillId="5" borderId="24" xfId="0" applyFont="1" applyFill="1" applyBorder="1"/>
    <xf numFmtId="0" fontId="6" fillId="5" borderId="19" xfId="0" applyFont="1" applyFill="1" applyBorder="1" applyAlignment="1"/>
    <xf numFmtId="0" fontId="8" fillId="0" borderId="0" xfId="0" applyFont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9" fontId="0" fillId="0" borderId="0" xfId="1" applyFont="1"/>
    <xf numFmtId="0" fontId="0" fillId="0" borderId="11" xfId="0" applyBorder="1" applyAlignment="1">
      <alignment horizontal="center" vertical="center"/>
    </xf>
    <xf numFmtId="9" fontId="0" fillId="0" borderId="11" xfId="1" applyFont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165" fontId="0" fillId="0" borderId="11" xfId="1" applyNumberFormat="1" applyFont="1" applyBorder="1" applyAlignment="1">
      <alignment horizontal="center" vertical="center"/>
    </xf>
    <xf numFmtId="166" fontId="0" fillId="0" borderId="11" xfId="1" applyNumberFormat="1" applyFont="1" applyBorder="1" applyAlignment="1">
      <alignment horizontal="center" vertical="center"/>
    </xf>
    <xf numFmtId="4" fontId="31" fillId="7" borderId="11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right" vertical="center"/>
    </xf>
    <xf numFmtId="0" fontId="33" fillId="0" borderId="0" xfId="0" applyFont="1"/>
    <xf numFmtId="0" fontId="32" fillId="0" borderId="0" xfId="0" applyFont="1" applyBorder="1" applyAlignment="1">
      <alignment vertical="center"/>
    </xf>
    <xf numFmtId="0" fontId="32" fillId="7" borderId="11" xfId="0" applyFont="1" applyFill="1" applyBorder="1" applyAlignment="1">
      <alignment horizontal="center" vertical="center" wrapText="1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0" fontId="32" fillId="7" borderId="11" xfId="0" applyFont="1" applyFill="1" applyBorder="1" applyAlignment="1">
      <alignment horizontal="center" vertical="center"/>
    </xf>
    <xf numFmtId="4" fontId="32" fillId="7" borderId="11" xfId="0" applyNumberFormat="1" applyFont="1" applyFill="1" applyBorder="1" applyAlignment="1">
      <alignment horizontal="center" vertical="center"/>
    </xf>
    <xf numFmtId="4" fontId="30" fillId="7" borderId="11" xfId="0" applyNumberFormat="1" applyFont="1" applyFill="1" applyBorder="1" applyAlignment="1">
      <alignment horizontal="center" vertical="center"/>
    </xf>
    <xf numFmtId="0" fontId="35" fillId="0" borderId="0" xfId="0" applyFont="1"/>
    <xf numFmtId="4" fontId="35" fillId="0" borderId="0" xfId="0" applyNumberFormat="1" applyFont="1"/>
    <xf numFmtId="0" fontId="35" fillId="0" borderId="0" xfId="0" applyFont="1" applyAlignment="1">
      <alignment horizontal="right"/>
    </xf>
    <xf numFmtId="0" fontId="35" fillId="0" borderId="0" xfId="0" applyFont="1"/>
    <xf numFmtId="0" fontId="36" fillId="0" borderId="0" xfId="0" applyFont="1" applyAlignment="1">
      <alignment horizontal="right"/>
    </xf>
    <xf numFmtId="0" fontId="29" fillId="0" borderId="0" xfId="0" applyFont="1" applyAlignment="1"/>
    <xf numFmtId="4" fontId="0" fillId="0" borderId="0" xfId="0" applyNumberFormat="1"/>
    <xf numFmtId="169" fontId="0" fillId="0" borderId="0" xfId="0" applyNumberFormat="1"/>
    <xf numFmtId="0" fontId="5" fillId="0" borderId="0" xfId="0" applyFont="1" applyFill="1" applyBorder="1" applyAlignment="1">
      <alignment horizontal="center"/>
    </xf>
    <xf numFmtId="4" fontId="38" fillId="0" borderId="0" xfId="6" applyNumberFormat="1" applyFont="1" applyFill="1" applyBorder="1" applyAlignment="1" applyProtection="1">
      <alignment horizontal="center" vertical="top"/>
    </xf>
    <xf numFmtId="0" fontId="0" fillId="0" borderId="0" xfId="0" applyAlignment="1">
      <alignment horizontal="center"/>
    </xf>
    <xf numFmtId="0" fontId="40" fillId="0" borderId="0" xfId="0" applyFont="1" applyAlignment="1">
      <alignment horizontal="center" vertical="center"/>
    </xf>
    <xf numFmtId="0" fontId="32" fillId="0" borderId="0" xfId="0" applyNumberFormat="1" applyFont="1" applyFill="1" applyBorder="1" applyAlignment="1">
      <alignment horizontal="right" vertical="center"/>
    </xf>
    <xf numFmtId="0" fontId="32" fillId="0" borderId="0" xfId="0" applyNumberFormat="1" applyFont="1" applyFill="1" applyBorder="1" applyAlignment="1">
      <alignment vertical="center"/>
    </xf>
    <xf numFmtId="0" fontId="42" fillId="0" borderId="0" xfId="0" applyFont="1" applyAlignment="1">
      <alignment horizontal="center" vertical="center"/>
    </xf>
    <xf numFmtId="0" fontId="32" fillId="0" borderId="0" xfId="0" applyFont="1" applyBorder="1" applyAlignment="1">
      <alignment vertical="center" wrapText="1"/>
    </xf>
    <xf numFmtId="0" fontId="32" fillId="0" borderId="0" xfId="0" applyFont="1" applyFill="1" applyAlignment="1">
      <alignment horizontal="right" vertical="center"/>
    </xf>
    <xf numFmtId="0" fontId="32" fillId="0" borderId="0" xfId="0" applyFont="1" applyFill="1" applyBorder="1" applyAlignment="1">
      <alignment horizontal="center" vertical="center" wrapText="1"/>
    </xf>
    <xf numFmtId="14" fontId="32" fillId="0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/>
    <xf numFmtId="0" fontId="33" fillId="0" borderId="0" xfId="0" applyFont="1" applyBorder="1" applyAlignment="1">
      <alignment horizontal="center"/>
    </xf>
    <xf numFmtId="0" fontId="32" fillId="0" borderId="0" xfId="0" applyFont="1" applyAlignment="1">
      <alignment horizontal="right" vertical="center" wrapText="1"/>
    </xf>
    <xf numFmtId="0" fontId="43" fillId="0" borderId="0" xfId="0" applyFont="1" applyAlignment="1">
      <alignment horizontal="center" vertical="center" wrapText="1"/>
    </xf>
    <xf numFmtId="0" fontId="33" fillId="0" borderId="11" xfId="0" applyFont="1" applyBorder="1" applyAlignment="1">
      <alignment horizontal="center" vertical="center" wrapText="1"/>
    </xf>
    <xf numFmtId="0" fontId="32" fillId="9" borderId="11" xfId="0" applyFont="1" applyFill="1" applyBorder="1" applyAlignment="1">
      <alignment horizontal="center" vertical="center" wrapText="1"/>
    </xf>
    <xf numFmtId="0" fontId="32" fillId="10" borderId="11" xfId="0" applyFont="1" applyFill="1" applyBorder="1" applyAlignment="1">
      <alignment horizontal="center" vertical="center" wrapText="1"/>
    </xf>
    <xf numFmtId="0" fontId="32" fillId="0" borderId="11" xfId="0" applyFont="1" applyFill="1" applyBorder="1" applyAlignment="1">
      <alignment horizontal="center" vertical="center"/>
    </xf>
    <xf numFmtId="4" fontId="32" fillId="0" borderId="11" xfId="0" applyNumberFormat="1" applyFont="1" applyFill="1" applyBorder="1" applyAlignment="1">
      <alignment horizontal="center" vertical="center"/>
    </xf>
    <xf numFmtId="0" fontId="33" fillId="7" borderId="11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4" fontId="32" fillId="0" borderId="0" xfId="0" applyNumberFormat="1" applyFont="1" applyBorder="1" applyAlignment="1">
      <alignment horizontal="center" vertical="center"/>
    </xf>
    <xf numFmtId="1" fontId="32" fillId="0" borderId="27" xfId="0" applyNumberFormat="1" applyFont="1" applyFill="1" applyBorder="1" applyAlignment="1">
      <alignment horizontal="center" vertical="center"/>
    </xf>
    <xf numFmtId="1" fontId="32" fillId="2" borderId="27" xfId="0" applyNumberFormat="1" applyFont="1" applyFill="1" applyBorder="1" applyAlignment="1">
      <alignment horizontal="center" vertical="center"/>
    </xf>
    <xf numFmtId="4" fontId="32" fillId="2" borderId="27" xfId="0" applyNumberFormat="1" applyFont="1" applyFill="1" applyBorder="1" applyAlignment="1">
      <alignment horizontal="center" vertical="center"/>
    </xf>
    <xf numFmtId="4" fontId="32" fillId="7" borderId="27" xfId="0" applyNumberFormat="1" applyFont="1" applyFill="1" applyBorder="1" applyAlignment="1">
      <alignment horizontal="center" vertical="center"/>
    </xf>
    <xf numFmtId="0" fontId="44" fillId="0" borderId="0" xfId="0" applyFont="1"/>
    <xf numFmtId="0" fontId="32" fillId="0" borderId="26" xfId="0" applyFont="1" applyBorder="1" applyAlignment="1">
      <alignment horizontal="center" vertical="center" wrapText="1"/>
    </xf>
    <xf numFmtId="0" fontId="35" fillId="0" borderId="0" xfId="0" applyFont="1" applyAlignment="1"/>
    <xf numFmtId="0" fontId="48" fillId="11" borderId="27" xfId="0" applyFont="1" applyFill="1" applyBorder="1" applyAlignment="1">
      <alignment horizontal="center" vertical="center"/>
    </xf>
    <xf numFmtId="4" fontId="49" fillId="11" borderId="27" xfId="6" applyNumberFormat="1" applyFont="1" applyFill="1" applyBorder="1" applyAlignment="1" applyProtection="1">
      <alignment horizontal="center" vertical="center"/>
    </xf>
    <xf numFmtId="0" fontId="30" fillId="11" borderId="11" xfId="0" applyFont="1" applyFill="1" applyBorder="1" applyAlignment="1">
      <alignment horizontal="center" vertical="center"/>
    </xf>
    <xf numFmtId="4" fontId="30" fillId="11" borderId="11" xfId="0" applyNumberFormat="1" applyFont="1" applyFill="1" applyBorder="1" applyAlignment="1">
      <alignment horizontal="center" vertical="center"/>
    </xf>
    <xf numFmtId="0" fontId="29" fillId="0" borderId="28" xfId="0" applyFont="1" applyBorder="1" applyAlignment="1" applyProtection="1">
      <alignment horizontal="center" vertical="center"/>
      <protection locked="0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4" fontId="31" fillId="0" borderId="28" xfId="0" applyNumberFormat="1" applyFont="1" applyFill="1" applyBorder="1" applyAlignment="1" applyProtection="1">
      <alignment horizontal="center" vertical="center"/>
      <protection locked="0"/>
    </xf>
    <xf numFmtId="0" fontId="31" fillId="0" borderId="28" xfId="0" applyFont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3" fontId="32" fillId="2" borderId="28" xfId="0" applyNumberFormat="1" applyFont="1" applyFill="1" applyBorder="1" applyAlignment="1" applyProtection="1">
      <alignment horizontal="center" vertical="center"/>
      <protection locked="0"/>
    </xf>
    <xf numFmtId="2" fontId="32" fillId="2" borderId="28" xfId="0" applyNumberFormat="1" applyFont="1" applyFill="1" applyBorder="1" applyAlignment="1" applyProtection="1">
      <alignment horizontal="center" vertical="center"/>
      <protection locked="0"/>
    </xf>
    <xf numFmtId="0" fontId="0" fillId="0" borderId="29" xfId="0" applyBorder="1" applyProtection="1"/>
    <xf numFmtId="0" fontId="0" fillId="0" borderId="29" xfId="0" applyBorder="1" applyProtection="1">
      <protection locked="0"/>
    </xf>
    <xf numFmtId="0" fontId="7" fillId="0" borderId="29" xfId="0" applyFont="1" applyBorder="1" applyAlignment="1" applyProtection="1">
      <alignment horizontal="center" vertical="center"/>
    </xf>
    <xf numFmtId="0" fontId="6" fillId="0" borderId="29" xfId="0" applyFont="1" applyBorder="1" applyAlignment="1" applyProtection="1">
      <alignment horizontal="right" vertical="center"/>
    </xf>
    <xf numFmtId="0" fontId="25" fillId="0" borderId="29" xfId="0" applyFont="1" applyBorder="1" applyAlignment="1" applyProtection="1">
      <alignment horizontal="center" vertical="center"/>
    </xf>
    <xf numFmtId="0" fontId="6" fillId="0" borderId="29" xfId="0" applyFont="1" applyFill="1" applyBorder="1" applyAlignment="1" applyProtection="1">
      <alignment horizontal="right" vertical="center"/>
    </xf>
    <xf numFmtId="0" fontId="8" fillId="0" borderId="29" xfId="0" applyFont="1" applyFill="1" applyBorder="1" applyAlignment="1" applyProtection="1">
      <alignment horizontal="center" vertical="center"/>
    </xf>
    <xf numFmtId="0" fontId="23" fillId="0" borderId="29" xfId="0" applyFont="1" applyFill="1" applyBorder="1" applyProtection="1"/>
    <xf numFmtId="0" fontId="8" fillId="0" borderId="29" xfId="0" applyFont="1" applyFill="1" applyBorder="1" applyAlignment="1" applyProtection="1">
      <alignment horizontal="right" vertical="center"/>
    </xf>
    <xf numFmtId="0" fontId="24" fillId="0" borderId="29" xfId="0" applyFont="1" applyFill="1" applyBorder="1" applyAlignment="1" applyProtection="1">
      <alignment vertical="center" wrapText="1"/>
    </xf>
    <xf numFmtId="0" fontId="24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/>
    </xf>
    <xf numFmtId="0" fontId="30" fillId="0" borderId="29" xfId="0" applyFont="1" applyBorder="1" applyProtection="1"/>
    <xf numFmtId="0" fontId="30" fillId="0" borderId="29" xfId="0" applyFont="1" applyFill="1" applyBorder="1" applyAlignment="1" applyProtection="1">
      <alignment horizontal="left"/>
    </xf>
    <xf numFmtId="0" fontId="30" fillId="0" borderId="29" xfId="0" applyFont="1" applyFill="1" applyBorder="1" applyProtection="1"/>
    <xf numFmtId="0" fontId="30" fillId="0" borderId="29" xfId="0" applyFont="1" applyBorder="1" applyAlignment="1" applyProtection="1">
      <alignment horizontal="center"/>
    </xf>
    <xf numFmtId="0" fontId="30" fillId="0" borderId="29" xfId="0" applyFont="1" applyFill="1" applyBorder="1" applyAlignment="1" applyProtection="1">
      <alignment horizontal="center" vertical="center"/>
    </xf>
    <xf numFmtId="0" fontId="32" fillId="0" borderId="29" xfId="0" applyFont="1" applyBorder="1" applyAlignment="1" applyProtection="1">
      <alignment horizontal="right" vertical="center"/>
    </xf>
    <xf numFmtId="0" fontId="32" fillId="0" borderId="29" xfId="0" applyFont="1" applyBorder="1" applyAlignment="1" applyProtection="1">
      <alignment horizontal="left" vertical="center"/>
    </xf>
    <xf numFmtId="0" fontId="33" fillId="0" borderId="29" xfId="0" applyFont="1" applyBorder="1" applyProtection="1"/>
    <xf numFmtId="0" fontId="32" fillId="0" borderId="29" xfId="0" applyFont="1" applyBorder="1" applyAlignment="1" applyProtection="1">
      <alignment vertical="center"/>
    </xf>
    <xf numFmtId="0" fontId="30" fillId="0" borderId="29" xfId="0" applyFont="1" applyFill="1" applyBorder="1" applyAlignment="1" applyProtection="1">
      <alignment horizontal="left" vertical="center"/>
    </xf>
    <xf numFmtId="0" fontId="30" fillId="0" borderId="29" xfId="0" applyFont="1" applyFill="1" applyBorder="1" applyAlignment="1" applyProtection="1">
      <alignment horizontal="center" vertical="center" wrapText="1"/>
    </xf>
    <xf numFmtId="0" fontId="30" fillId="0" borderId="29" xfId="0" applyFont="1" applyBorder="1" applyAlignment="1" applyProtection="1">
      <alignment horizontal="left" vertical="center"/>
    </xf>
    <xf numFmtId="4" fontId="29" fillId="0" borderId="29" xfId="0" applyNumberFormat="1" applyFont="1" applyFill="1" applyBorder="1" applyAlignment="1" applyProtection="1">
      <alignment horizontal="center" vertical="center"/>
    </xf>
    <xf numFmtId="0" fontId="30" fillId="0" borderId="29" xfId="0" applyFont="1" applyFill="1" applyBorder="1" applyAlignment="1" applyProtection="1">
      <alignment horizontal="left" vertical="center" wrapText="1"/>
    </xf>
    <xf numFmtId="4" fontId="30" fillId="0" borderId="29" xfId="0" applyNumberFormat="1" applyFont="1" applyBorder="1" applyProtection="1"/>
    <xf numFmtId="0" fontId="6" fillId="0" borderId="29" xfId="0" applyFont="1" applyBorder="1" applyProtection="1"/>
    <xf numFmtId="0" fontId="30" fillId="0" borderId="29" xfId="0" applyFont="1" applyBorder="1" applyProtection="1">
      <protection locked="0"/>
    </xf>
    <xf numFmtId="0" fontId="6" fillId="0" borderId="30" xfId="0" applyFont="1" applyBorder="1" applyAlignment="1" applyProtection="1">
      <alignment horizontal="right" vertical="center"/>
    </xf>
    <xf numFmtId="0" fontId="7" fillId="0" borderId="33" xfId="0" applyFont="1" applyBorder="1" applyAlignment="1" applyProtection="1">
      <alignment horizontal="center" vertical="center"/>
    </xf>
    <xf numFmtId="0" fontId="6" fillId="0" borderId="31" xfId="0" applyFont="1" applyBorder="1" applyAlignment="1" applyProtection="1">
      <alignment horizontal="right" vertical="center"/>
    </xf>
    <xf numFmtId="0" fontId="6" fillId="0" borderId="30" xfId="0" applyFont="1" applyFill="1" applyBorder="1" applyAlignment="1" applyProtection="1">
      <alignment horizontal="right" vertical="center"/>
    </xf>
    <xf numFmtId="0" fontId="24" fillId="0" borderId="32" xfId="0" applyFont="1" applyFill="1" applyBorder="1" applyAlignment="1" applyProtection="1">
      <alignment vertical="center" wrapText="1"/>
    </xf>
    <xf numFmtId="0" fontId="23" fillId="0" borderId="32" xfId="0" applyFont="1" applyFill="1" applyBorder="1" applyProtection="1"/>
    <xf numFmtId="0" fontId="25" fillId="0" borderId="35" xfId="0" applyFont="1" applyBorder="1" applyAlignment="1" applyProtection="1">
      <alignment horizontal="center" vertical="center"/>
    </xf>
    <xf numFmtId="0" fontId="23" fillId="0" borderId="33" xfId="0" applyFont="1" applyFill="1" applyBorder="1" applyProtection="1"/>
    <xf numFmtId="0" fontId="8" fillId="0" borderId="33" xfId="0" applyFont="1" applyFill="1" applyBorder="1" applyAlignment="1" applyProtection="1">
      <alignment horizontal="center" vertical="center" wrapText="1"/>
    </xf>
    <xf numFmtId="14" fontId="8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center" vertical="center"/>
    </xf>
    <xf numFmtId="0" fontId="23" fillId="0" borderId="35" xfId="0" applyFont="1" applyFill="1" applyBorder="1" applyProtection="1"/>
    <xf numFmtId="0" fontId="8" fillId="0" borderId="35" xfId="0" applyFont="1" applyFill="1" applyBorder="1" applyAlignment="1" applyProtection="1">
      <alignment horizontal="center" vertical="center" wrapText="1"/>
    </xf>
    <xf numFmtId="0" fontId="23" fillId="0" borderId="35" xfId="0" applyFont="1" applyFill="1" applyBorder="1" applyAlignment="1" applyProtection="1">
      <alignment horizontal="center" vertical="center" wrapText="1"/>
    </xf>
    <xf numFmtId="0" fontId="23" fillId="0" borderId="34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center" vertical="center"/>
    </xf>
    <xf numFmtId="0" fontId="24" fillId="0" borderId="34" xfId="0" applyFont="1" applyFill="1" applyBorder="1" applyAlignment="1" applyProtection="1">
      <alignment horizontal="center" vertical="center" wrapText="1"/>
    </xf>
    <xf numFmtId="14" fontId="8" fillId="0" borderId="35" xfId="0" applyNumberFormat="1" applyFont="1" applyFill="1" applyBorder="1" applyAlignment="1" applyProtection="1">
      <alignment horizontal="center" vertical="center"/>
    </xf>
    <xf numFmtId="1" fontId="8" fillId="0" borderId="35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 applyProtection="1">
      <alignment horizontal="center" vertical="center"/>
    </xf>
    <xf numFmtId="0" fontId="23" fillId="0" borderId="34" xfId="0" applyFont="1" applyFill="1" applyBorder="1" applyProtection="1"/>
    <xf numFmtId="0" fontId="8" fillId="0" borderId="34" xfId="0" applyFont="1" applyFill="1" applyBorder="1" applyAlignment="1" applyProtection="1">
      <alignment horizontal="center" vertical="center" wrapText="1"/>
    </xf>
    <xf numFmtId="3" fontId="24" fillId="0" borderId="34" xfId="0" applyNumberFormat="1" applyFont="1" applyFill="1" applyBorder="1" applyAlignment="1" applyProtection="1">
      <alignment horizontal="center" vertical="center"/>
    </xf>
    <xf numFmtId="3" fontId="24" fillId="0" borderId="33" xfId="0" applyNumberFormat="1" applyFont="1" applyFill="1" applyBorder="1" applyAlignment="1" applyProtection="1">
      <alignment horizontal="center" vertical="center"/>
    </xf>
    <xf numFmtId="0" fontId="8" fillId="0" borderId="33" xfId="0" applyFont="1" applyFill="1" applyBorder="1" applyAlignment="1" applyProtection="1">
      <alignment horizontal="right" vertical="center"/>
    </xf>
    <xf numFmtId="0" fontId="24" fillId="0" borderId="33" xfId="0" applyFont="1" applyFill="1" applyBorder="1" applyAlignment="1" applyProtection="1">
      <alignment horizontal="center" vertical="center" wrapText="1"/>
    </xf>
    <xf numFmtId="0" fontId="8" fillId="0" borderId="34" xfId="0" applyFont="1" applyFill="1" applyBorder="1" applyAlignment="1" applyProtection="1">
      <alignment horizontal="right" vertical="center"/>
    </xf>
    <xf numFmtId="0" fontId="12" fillId="0" borderId="30" xfId="0" applyFont="1" applyBorder="1" applyAlignment="1" applyProtection="1">
      <alignment horizontal="right" vertical="center" wrapText="1"/>
    </xf>
    <xf numFmtId="0" fontId="23" fillId="0" borderId="33" xfId="0" applyFont="1" applyBorder="1" applyAlignment="1" applyProtection="1">
      <alignment horizontal="center"/>
    </xf>
    <xf numFmtId="0" fontId="23" fillId="0" borderId="33" xfId="0" applyFont="1" applyFill="1" applyBorder="1" applyAlignment="1" applyProtection="1">
      <alignment horizontal="center"/>
    </xf>
    <xf numFmtId="0" fontId="6" fillId="0" borderId="33" xfId="0" applyFont="1" applyFill="1" applyBorder="1" applyAlignment="1" applyProtection="1">
      <alignment horizontal="center"/>
    </xf>
    <xf numFmtId="0" fontId="30" fillId="0" borderId="34" xfId="0" applyFont="1" applyBorder="1" applyAlignment="1" applyProtection="1">
      <alignment horizontal="left"/>
    </xf>
    <xf numFmtId="0" fontId="30" fillId="0" borderId="34" xfId="0" applyFont="1" applyBorder="1" applyProtection="1"/>
    <xf numFmtId="0" fontId="30" fillId="0" borderId="34" xfId="0" applyFont="1" applyFill="1" applyBorder="1" applyAlignment="1" applyProtection="1">
      <alignment horizontal="left"/>
    </xf>
    <xf numFmtId="0" fontId="30" fillId="0" borderId="34" xfId="0" applyFont="1" applyBorder="1" applyAlignment="1" applyProtection="1">
      <alignment horizontal="center"/>
    </xf>
    <xf numFmtId="0" fontId="30" fillId="0" borderId="34" xfId="0" applyFont="1" applyFill="1" applyBorder="1" applyAlignment="1" applyProtection="1">
      <alignment horizontal="center" vertical="center"/>
    </xf>
    <xf numFmtId="0" fontId="32" fillId="0" borderId="30" xfId="0" applyFont="1" applyBorder="1" applyAlignment="1" applyProtection="1">
      <alignment horizontal="right" vertical="center"/>
    </xf>
    <xf numFmtId="0" fontId="33" fillId="0" borderId="33" xfId="0" applyFont="1" applyBorder="1" applyProtection="1"/>
    <xf numFmtId="0" fontId="32" fillId="0" borderId="33" xfId="0" applyFont="1" applyBorder="1" applyAlignment="1" applyProtection="1">
      <alignment vertical="center"/>
    </xf>
    <xf numFmtId="0" fontId="30" fillId="0" borderId="33" xfId="0" applyFont="1" applyFill="1" applyBorder="1" applyAlignment="1" applyProtection="1">
      <alignment horizontal="center" vertical="center"/>
    </xf>
    <xf numFmtId="4" fontId="30" fillId="0" borderId="32" xfId="0" applyNumberFormat="1" applyFont="1" applyFill="1" applyBorder="1" applyAlignment="1" applyProtection="1">
      <alignment horizontal="center" vertical="center" wrapText="1"/>
    </xf>
    <xf numFmtId="0" fontId="30" fillId="0" borderId="32" xfId="0" applyFont="1" applyFill="1" applyBorder="1" applyProtection="1"/>
    <xf numFmtId="0" fontId="30" fillId="0" borderId="33" xfId="0" applyFont="1" applyBorder="1" applyProtection="1"/>
    <xf numFmtId="0" fontId="30" fillId="0" borderId="33" xfId="0" applyFont="1" applyFill="1" applyBorder="1" applyProtection="1"/>
    <xf numFmtId="0" fontId="30" fillId="0" borderId="34" xfId="0" applyFont="1" applyFill="1" applyBorder="1" applyProtection="1"/>
    <xf numFmtId="4" fontId="30" fillId="0" borderId="32" xfId="0" applyNumberFormat="1" applyFont="1" applyFill="1" applyBorder="1" applyAlignment="1" applyProtection="1">
      <alignment horizontal="center" vertical="center"/>
    </xf>
    <xf numFmtId="0" fontId="30" fillId="0" borderId="30" xfId="0" applyFont="1" applyBorder="1" applyProtection="1"/>
    <xf numFmtId="0" fontId="30" fillId="0" borderId="30" xfId="0" applyFont="1" applyBorder="1" applyAlignment="1" applyProtection="1">
      <alignment horizontal="left" vertical="center"/>
    </xf>
    <xf numFmtId="0" fontId="30" fillId="0" borderId="34" xfId="0" applyFont="1" applyFill="1" applyBorder="1" applyAlignment="1" applyProtection="1">
      <alignment horizontal="left" vertical="center"/>
    </xf>
    <xf numFmtId="0" fontId="30" fillId="0" borderId="31" xfId="0" applyFont="1" applyBorder="1" applyAlignment="1" applyProtection="1">
      <alignment vertical="center"/>
    </xf>
    <xf numFmtId="9" fontId="30" fillId="0" borderId="31" xfId="1" applyFont="1" applyBorder="1" applyAlignment="1" applyProtection="1"/>
    <xf numFmtId="0" fontId="30" fillId="0" borderId="31" xfId="0" applyFont="1" applyBorder="1" applyProtection="1"/>
    <xf numFmtId="0" fontId="30" fillId="0" borderId="30" xfId="0" applyFont="1" applyFill="1" applyBorder="1" applyProtection="1"/>
    <xf numFmtId="0" fontId="0" fillId="0" borderId="32" xfId="0" applyBorder="1" applyProtection="1"/>
    <xf numFmtId="0" fontId="0" fillId="0" borderId="29" xfId="0" applyFill="1" applyBorder="1" applyProtection="1"/>
    <xf numFmtId="0" fontId="13" fillId="0" borderId="32" xfId="0" applyFont="1" applyBorder="1" applyAlignment="1" applyProtection="1">
      <alignment horizontal="center" vertical="center" wrapText="1"/>
    </xf>
    <xf numFmtId="0" fontId="13" fillId="0" borderId="29" xfId="0" applyFont="1" applyBorder="1" applyAlignment="1" applyProtection="1">
      <alignment horizontal="center" vertical="center" wrapText="1"/>
    </xf>
    <xf numFmtId="0" fontId="59" fillId="0" borderId="29" xfId="0" applyFont="1" applyBorder="1" applyProtection="1"/>
    <xf numFmtId="0" fontId="61" fillId="0" borderId="0" xfId="0" applyFont="1"/>
    <xf numFmtId="4" fontId="61" fillId="0" borderId="0" xfId="0" applyNumberFormat="1" applyFont="1"/>
    <xf numFmtId="0" fontId="35" fillId="0" borderId="0" xfId="0" applyFont="1" applyAlignment="1">
      <alignment horizontal="center"/>
    </xf>
    <xf numFmtId="0" fontId="56" fillId="2" borderId="0" xfId="0" applyFont="1" applyFill="1" applyBorder="1" applyAlignment="1" applyProtection="1">
      <alignment horizontal="center" vertical="center" wrapText="1"/>
    </xf>
    <xf numFmtId="0" fontId="23" fillId="2" borderId="32" xfId="0" applyFont="1" applyFill="1" applyBorder="1" applyProtection="1"/>
    <xf numFmtId="0" fontId="8" fillId="2" borderId="30" xfId="0" applyFont="1" applyFill="1" applyBorder="1" applyAlignment="1" applyProtection="1">
      <alignment horizontal="right" vertical="center"/>
    </xf>
    <xf numFmtId="0" fontId="56" fillId="2" borderId="0" xfId="0" applyFont="1" applyFill="1" applyBorder="1" applyAlignment="1" applyProtection="1">
      <alignment horizontal="center" vertical="center"/>
    </xf>
    <xf numFmtId="0" fontId="24" fillId="2" borderId="0" xfId="0" applyFont="1" applyFill="1" applyBorder="1" applyAlignment="1" applyProtection="1">
      <alignment horizontal="center" vertical="center" wrapText="1"/>
      <protection locked="0"/>
    </xf>
    <xf numFmtId="0" fontId="24" fillId="2" borderId="32" xfId="0" applyFont="1" applyFill="1" applyBorder="1" applyAlignment="1" applyProtection="1">
      <alignment vertical="center" wrapText="1"/>
    </xf>
    <xf numFmtId="0" fontId="0" fillId="2" borderId="29" xfId="0" applyFill="1" applyBorder="1" applyProtection="1"/>
    <xf numFmtId="0" fontId="30" fillId="0" borderId="30" xfId="0" applyFont="1" applyFill="1" applyBorder="1" applyAlignment="1" applyProtection="1">
      <alignment horizontal="right" vertical="center"/>
    </xf>
    <xf numFmtId="3" fontId="24" fillId="2" borderId="53" xfId="0" applyNumberFormat="1" applyFont="1" applyFill="1" applyBorder="1" applyAlignment="1" applyProtection="1">
      <alignment horizontal="center" vertical="center"/>
      <protection locked="0"/>
    </xf>
    <xf numFmtId="0" fontId="56" fillId="2" borderId="58" xfId="0" applyFont="1" applyFill="1" applyBorder="1" applyAlignment="1" applyProtection="1">
      <alignment horizontal="center" vertical="center" wrapText="1"/>
    </xf>
    <xf numFmtId="0" fontId="45" fillId="0" borderId="0" xfId="4" applyFont="1" applyAlignment="1"/>
    <xf numFmtId="0" fontId="46" fillId="0" borderId="0" xfId="0" applyFont="1" applyAlignment="1"/>
    <xf numFmtId="0" fontId="47" fillId="0" borderId="0" xfId="0" applyFont="1" applyAlignment="1"/>
    <xf numFmtId="3" fontId="35" fillId="0" borderId="0" xfId="0" applyNumberFormat="1" applyFont="1" applyAlignment="1">
      <alignment horizontal="center"/>
    </xf>
    <xf numFmtId="0" fontId="62" fillId="0" borderId="0" xfId="0" applyFont="1" applyAlignment="1">
      <alignment horizontal="center"/>
    </xf>
    <xf numFmtId="3" fontId="61" fillId="0" borderId="0" xfId="0" applyNumberFormat="1" applyFont="1"/>
    <xf numFmtId="0" fontId="0" fillId="0" borderId="34" xfId="0" applyBorder="1" applyProtection="1"/>
    <xf numFmtId="1" fontId="29" fillId="0" borderId="28" xfId="0" applyNumberFormat="1" applyFont="1" applyFill="1" applyBorder="1" applyAlignment="1" applyProtection="1">
      <alignment horizontal="center" vertical="center"/>
      <protection locked="0"/>
    </xf>
    <xf numFmtId="0" fontId="30" fillId="2" borderId="63" xfId="0" applyFont="1" applyFill="1" applyBorder="1" applyAlignment="1" applyProtection="1">
      <alignment horizontal="center"/>
    </xf>
    <xf numFmtId="4" fontId="8" fillId="13" borderId="63" xfId="0" applyNumberFormat="1" applyFont="1" applyFill="1" applyBorder="1" applyAlignment="1" applyProtection="1">
      <alignment horizontal="center" vertical="center"/>
    </xf>
    <xf numFmtId="2" fontId="30" fillId="0" borderId="30" xfId="0" applyNumberFormat="1" applyFont="1" applyFill="1" applyBorder="1" applyAlignment="1" applyProtection="1">
      <alignment horizontal="right" vertical="center"/>
    </xf>
    <xf numFmtId="0" fontId="30" fillId="0" borderId="32" xfId="0" applyFont="1" applyBorder="1" applyProtection="1"/>
    <xf numFmtId="4" fontId="30" fillId="0" borderId="29" xfId="0" applyNumberFormat="1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horizontal="center" vertical="center"/>
    </xf>
    <xf numFmtId="0" fontId="57" fillId="16" borderId="49" xfId="0" applyFont="1" applyFill="1" applyBorder="1" applyAlignment="1" applyProtection="1">
      <alignment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47" xfId="0" applyFont="1" applyFill="1" applyBorder="1" applyAlignment="1" applyProtection="1">
      <alignment horizontal="center" vertical="center"/>
    </xf>
    <xf numFmtId="1" fontId="57" fillId="16" borderId="47" xfId="0" applyNumberFormat="1" applyFont="1" applyFill="1" applyBorder="1" applyAlignment="1" applyProtection="1">
      <alignment horizontal="center" vertical="center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32" xfId="0" applyNumberFormat="1" applyFont="1" applyFill="1" applyBorder="1" applyAlignment="1" applyProtection="1">
      <alignment horizontal="center" vertical="center" wrapText="1"/>
    </xf>
    <xf numFmtId="0" fontId="56" fillId="16" borderId="33" xfId="0" applyFont="1" applyFill="1" applyBorder="1" applyAlignment="1" applyProtection="1">
      <alignment horizontal="center" vertical="center" wrapText="1"/>
    </xf>
    <xf numFmtId="0" fontId="56" fillId="16" borderId="40" xfId="0" applyFont="1" applyFill="1" applyBorder="1" applyAlignment="1" applyProtection="1">
      <alignment horizontal="center" vertical="center" wrapText="1"/>
    </xf>
    <xf numFmtId="4" fontId="58" fillId="16" borderId="44" xfId="0" applyNumberFormat="1" applyFont="1" applyFill="1" applyBorder="1" applyAlignment="1" applyProtection="1">
      <alignment horizontal="center" vertical="center"/>
    </xf>
    <xf numFmtId="4" fontId="58" fillId="16" borderId="43" xfId="0" applyNumberFormat="1" applyFont="1" applyFill="1" applyBorder="1" applyAlignment="1" applyProtection="1">
      <alignment horizontal="center"/>
    </xf>
    <xf numFmtId="0" fontId="58" fillId="16" borderId="47" xfId="0" applyFont="1" applyFill="1" applyBorder="1" applyProtection="1"/>
    <xf numFmtId="0" fontId="58" fillId="16" borderId="47" xfId="0" applyFont="1" applyFill="1" applyBorder="1" applyAlignment="1" applyProtection="1">
      <alignment horizontal="left"/>
    </xf>
    <xf numFmtId="0" fontId="59" fillId="16" borderId="49" xfId="0" applyFont="1" applyFill="1" applyBorder="1" applyAlignment="1" applyProtection="1">
      <alignment horizontal="center" vertical="center" wrapText="1"/>
    </xf>
    <xf numFmtId="0" fontId="59" fillId="16" borderId="38" xfId="0" applyFont="1" applyFill="1" applyBorder="1" applyAlignment="1" applyProtection="1">
      <alignment horizontal="center" vertical="center" wrapText="1"/>
    </xf>
    <xf numFmtId="4" fontId="59" fillId="16" borderId="44" xfId="0" applyNumberFormat="1" applyFont="1" applyFill="1" applyBorder="1" applyAlignment="1" applyProtection="1">
      <alignment horizontal="center" vertical="center"/>
    </xf>
    <xf numFmtId="4" fontId="59" fillId="16" borderId="43" xfId="0" applyNumberFormat="1" applyFont="1" applyFill="1" applyBorder="1" applyAlignment="1" applyProtection="1">
      <alignment horizontal="center" vertical="center"/>
    </xf>
    <xf numFmtId="0" fontId="59" fillId="16" borderId="47" xfId="0" applyFont="1" applyFill="1" applyBorder="1" applyAlignment="1" applyProtection="1">
      <alignment horizontal="left"/>
    </xf>
    <xf numFmtId="0" fontId="59" fillId="16" borderId="47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vertical="center"/>
    </xf>
    <xf numFmtId="0" fontId="60" fillId="16" borderId="49" xfId="0" applyFont="1" applyFill="1" applyBorder="1" applyAlignment="1" applyProtection="1">
      <alignment horizontal="center" vertical="center" wrapText="1"/>
    </xf>
    <xf numFmtId="0" fontId="60" fillId="16" borderId="38" xfId="0" applyFont="1" applyFill="1" applyBorder="1" applyAlignment="1" applyProtection="1">
      <alignment horizontal="center" vertical="center" wrapText="1"/>
    </xf>
    <xf numFmtId="3" fontId="59" fillId="16" borderId="47" xfId="0" applyNumberFormat="1" applyFont="1" applyFill="1" applyBorder="1" applyAlignment="1" applyProtection="1">
      <alignment horizontal="center" vertical="center"/>
    </xf>
    <xf numFmtId="2" fontId="60" fillId="16" borderId="47" xfId="0" applyNumberFormat="1" applyFont="1" applyFill="1" applyBorder="1" applyAlignment="1" applyProtection="1">
      <alignment horizontal="center" vertical="center" wrapText="1"/>
    </xf>
    <xf numFmtId="4" fontId="60" fillId="16" borderId="43" xfId="0" applyNumberFormat="1" applyFont="1" applyFill="1" applyBorder="1" applyAlignment="1" applyProtection="1">
      <alignment horizontal="center" vertical="center" wrapText="1"/>
    </xf>
    <xf numFmtId="4" fontId="60" fillId="16" borderId="44" xfId="0" applyNumberFormat="1" applyFont="1" applyFill="1" applyBorder="1" applyAlignment="1" applyProtection="1">
      <alignment horizontal="center" vertical="center" wrapText="1"/>
    </xf>
    <xf numFmtId="0" fontId="59" fillId="16" borderId="11" xfId="7" applyFont="1" applyFill="1" applyBorder="1" applyAlignment="1" applyProtection="1">
      <alignment horizontal="left" vertical="center" wrapText="1"/>
    </xf>
    <xf numFmtId="1" fontId="59" fillId="16" borderId="11" xfId="7" applyNumberFormat="1" applyFont="1" applyFill="1" applyBorder="1" applyAlignment="1" applyProtection="1">
      <alignment horizontal="center" vertical="center" wrapText="1"/>
    </xf>
    <xf numFmtId="170" fontId="59" fillId="16" borderId="11" xfId="7" applyNumberFormat="1" applyFont="1" applyFill="1" applyBorder="1" applyAlignment="1" applyProtection="1">
      <alignment horizontal="center" vertical="center" wrapText="1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167" fontId="59" fillId="16" borderId="11" xfId="7" applyNumberFormat="1" applyFont="1" applyFill="1" applyBorder="1" applyAlignment="1" applyProtection="1">
      <alignment horizontal="center" vertical="center" wrapText="1"/>
    </xf>
    <xf numFmtId="9" fontId="59" fillId="16" borderId="11" xfId="1" applyFont="1" applyFill="1" applyBorder="1" applyAlignment="1" applyProtection="1">
      <alignment horizontal="center" vertical="center"/>
      <protection locked="0"/>
    </xf>
    <xf numFmtId="9" fontId="30" fillId="17" borderId="11" xfId="1" applyFont="1" applyFill="1" applyBorder="1" applyAlignment="1" applyProtection="1">
      <alignment horizontal="center" vertic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30" fillId="0" borderId="28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9" fillId="0" borderId="0" xfId="0" applyFont="1" applyAlignment="1">
      <alignment horizontal="right"/>
    </xf>
    <xf numFmtId="0" fontId="10" fillId="0" borderId="0" xfId="0" applyFont="1" applyAlignment="1">
      <alignment horizontal="left" wrapText="1"/>
    </xf>
    <xf numFmtId="0" fontId="6" fillId="3" borderId="0" xfId="0" applyFont="1" applyFill="1" applyAlignment="1">
      <alignment horizontal="left"/>
    </xf>
    <xf numFmtId="0" fontId="19" fillId="4" borderId="12" xfId="0" applyFont="1" applyFill="1" applyBorder="1" applyAlignment="1">
      <alignment horizontal="center" vertical="center" wrapText="1"/>
    </xf>
    <xf numFmtId="0" fontId="19" fillId="4" borderId="13" xfId="0" applyFont="1" applyFill="1" applyBorder="1" applyAlignment="1">
      <alignment horizontal="center" vertical="center" wrapText="1"/>
    </xf>
    <xf numFmtId="0" fontId="19" fillId="4" borderId="14" xfId="0" applyFont="1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30" fillId="13" borderId="0" xfId="0" applyFont="1" applyFill="1" applyBorder="1" applyAlignment="1" applyProtection="1">
      <alignment horizontal="center"/>
    </xf>
    <xf numFmtId="0" fontId="0" fillId="13" borderId="0" xfId="0" applyFill="1" applyBorder="1" applyAlignment="1" applyProtection="1">
      <alignment horizontal="center"/>
    </xf>
    <xf numFmtId="0" fontId="24" fillId="2" borderId="59" xfId="0" applyFont="1" applyFill="1" applyBorder="1" applyAlignment="1" applyProtection="1">
      <alignment horizontal="center" vertical="center"/>
    </xf>
    <xf numFmtId="0" fontId="24" fillId="2" borderId="24" xfId="0" applyFont="1" applyFill="1" applyBorder="1" applyAlignment="1" applyProtection="1">
      <alignment horizontal="center" vertical="center"/>
    </xf>
    <xf numFmtId="0" fontId="24" fillId="2" borderId="60" xfId="0" applyFont="1" applyFill="1" applyBorder="1" applyAlignment="1" applyProtection="1">
      <alignment horizontal="center" vertical="center"/>
    </xf>
    <xf numFmtId="0" fontId="24" fillId="2" borderId="61" xfId="0" applyFont="1" applyFill="1" applyBorder="1" applyAlignment="1" applyProtection="1">
      <alignment horizontal="center" vertical="center"/>
    </xf>
    <xf numFmtId="0" fontId="24" fillId="2" borderId="19" xfId="0" applyFont="1" applyFill="1" applyBorder="1" applyAlignment="1" applyProtection="1">
      <alignment horizontal="center" vertical="center"/>
    </xf>
    <xf numFmtId="0" fontId="24" fillId="2" borderId="62" xfId="0" applyFont="1" applyFill="1" applyBorder="1" applyAlignment="1" applyProtection="1">
      <alignment horizontal="center" vertical="center"/>
    </xf>
    <xf numFmtId="4" fontId="64" fillId="13" borderId="61" xfId="0" applyNumberFormat="1" applyFont="1" applyFill="1" applyBorder="1" applyAlignment="1" applyProtection="1">
      <alignment horizontal="center" vertical="center"/>
    </xf>
    <xf numFmtId="4" fontId="64" fillId="13" borderId="62" xfId="0" applyNumberFormat="1" applyFont="1" applyFill="1" applyBorder="1" applyAlignment="1" applyProtection="1">
      <alignment horizontal="center" vertical="center"/>
    </xf>
    <xf numFmtId="0" fontId="30" fillId="2" borderId="25" xfId="0" applyFont="1" applyFill="1" applyBorder="1" applyAlignment="1" applyProtection="1">
      <alignment horizontal="center"/>
    </xf>
    <xf numFmtId="0" fontId="30" fillId="2" borderId="26" xfId="0" applyFont="1" applyFill="1" applyBorder="1" applyAlignment="1" applyProtection="1">
      <alignment horizontal="center"/>
    </xf>
    <xf numFmtId="4" fontId="65" fillId="19" borderId="25" xfId="0" applyNumberFormat="1" applyFont="1" applyFill="1" applyBorder="1" applyAlignment="1">
      <alignment horizontal="center" vertical="center"/>
    </xf>
    <xf numFmtId="4" fontId="65" fillId="19" borderId="20" xfId="0" applyNumberFormat="1" applyFont="1" applyFill="1" applyBorder="1" applyAlignment="1">
      <alignment horizontal="center" vertical="center"/>
    </xf>
    <xf numFmtId="0" fontId="30" fillId="2" borderId="20" xfId="0" applyFont="1" applyFill="1" applyBorder="1" applyAlignment="1" applyProtection="1">
      <alignment horizontal="center"/>
    </xf>
    <xf numFmtId="0" fontId="30" fillId="0" borderId="28" xfId="0" applyFont="1" applyBorder="1" applyAlignment="1" applyProtection="1">
      <alignment horizontal="center" vertical="center"/>
      <protection locked="0"/>
    </xf>
    <xf numFmtId="0" fontId="59" fillId="16" borderId="48" xfId="0" applyFont="1" applyFill="1" applyBorder="1" applyAlignment="1" applyProtection="1">
      <alignment horizontal="center" vertical="center" wrapText="1"/>
    </xf>
    <xf numFmtId="0" fontId="59" fillId="16" borderId="49" xfId="0" applyFont="1" applyFill="1" applyBorder="1" applyAlignment="1" applyProtection="1">
      <alignment horizontal="center" vertical="center" wrapText="1"/>
    </xf>
    <xf numFmtId="0" fontId="8" fillId="0" borderId="29" xfId="0" applyFont="1" applyFill="1" applyBorder="1" applyAlignment="1" applyProtection="1">
      <alignment horizontal="center" vertical="center" wrapText="1"/>
    </xf>
    <xf numFmtId="0" fontId="56" fillId="16" borderId="55" xfId="0" applyFont="1" applyFill="1" applyBorder="1" applyAlignment="1" applyProtection="1">
      <alignment horizontal="center" vertical="center" wrapText="1"/>
    </xf>
    <xf numFmtId="0" fontId="56" fillId="16" borderId="54" xfId="0" applyFont="1" applyFill="1" applyBorder="1" applyAlignment="1" applyProtection="1">
      <alignment horizontal="center" vertical="center" wrapText="1"/>
    </xf>
    <xf numFmtId="3" fontId="24" fillId="14" borderId="57" xfId="0" applyNumberFormat="1" applyFont="1" applyFill="1" applyBorder="1" applyAlignment="1" applyProtection="1">
      <alignment horizontal="center" vertical="center"/>
      <protection locked="0"/>
    </xf>
    <xf numFmtId="3" fontId="24" fillId="14" borderId="56" xfId="0" applyNumberFormat="1" applyFont="1" applyFill="1" applyBorder="1" applyAlignment="1" applyProtection="1">
      <alignment horizontal="center" vertical="center"/>
      <protection locked="0"/>
    </xf>
    <xf numFmtId="14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8" fillId="14" borderId="28" xfId="0" applyFont="1" applyFill="1" applyBorder="1" applyAlignment="1" applyProtection="1">
      <alignment horizontal="center" vertical="center"/>
      <protection locked="0"/>
    </xf>
    <xf numFmtId="0" fontId="56" fillId="16" borderId="28" xfId="0" applyFont="1" applyFill="1" applyBorder="1" applyAlignment="1" applyProtection="1">
      <alignment horizontal="center" vertical="center" wrapText="1"/>
    </xf>
    <xf numFmtId="3" fontId="24" fillId="14" borderId="28" xfId="0" applyNumberFormat="1" applyFont="1" applyFill="1" applyBorder="1" applyAlignment="1" applyProtection="1">
      <alignment horizontal="center" vertical="center"/>
      <protection locked="0"/>
    </xf>
    <xf numFmtId="0" fontId="56" fillId="16" borderId="28" xfId="0" applyFont="1" applyFill="1" applyBorder="1" applyAlignment="1" applyProtection="1">
      <alignment horizontal="center" vertical="center"/>
    </xf>
    <xf numFmtId="0" fontId="24" fillId="14" borderId="28" xfId="0" applyFont="1" applyFill="1" applyBorder="1" applyAlignment="1" applyProtection="1">
      <alignment horizontal="center" vertical="center" wrapText="1"/>
      <protection locked="0"/>
    </xf>
    <xf numFmtId="0" fontId="56" fillId="16" borderId="72" xfId="0" applyFont="1" applyFill="1" applyBorder="1" applyAlignment="1" applyProtection="1">
      <alignment horizontal="center" vertical="center" wrapText="1"/>
    </xf>
    <xf numFmtId="3" fontId="24" fillId="14" borderId="72" xfId="0" applyNumberFormat="1" applyFont="1" applyFill="1" applyBorder="1" applyAlignment="1" applyProtection="1">
      <alignment horizontal="center" vertical="center"/>
      <protection locked="0"/>
    </xf>
    <xf numFmtId="0" fontId="63" fillId="0" borderId="29" xfId="0" applyFont="1" applyBorder="1" applyAlignment="1" applyProtection="1">
      <alignment horizontal="center" vertical="center"/>
    </xf>
    <xf numFmtId="0" fontId="8" fillId="14" borderId="28" xfId="0" applyFont="1" applyFill="1" applyBorder="1" applyAlignment="1" applyProtection="1">
      <alignment horizontal="center" vertical="center" wrapText="1"/>
      <protection locked="0"/>
    </xf>
    <xf numFmtId="0" fontId="8" fillId="14" borderId="28" xfId="0" applyNumberFormat="1" applyFont="1" applyFill="1" applyBorder="1" applyAlignment="1" applyProtection="1">
      <alignment horizontal="center" vertical="center"/>
      <protection locked="0"/>
    </xf>
    <xf numFmtId="0" fontId="52" fillId="14" borderId="28" xfId="4" applyNumberFormat="1" applyFont="1" applyFill="1" applyBorder="1" applyAlignment="1" applyProtection="1">
      <alignment horizontal="center" vertical="center"/>
      <protection locked="0"/>
    </xf>
    <xf numFmtId="0" fontId="53" fillId="14" borderId="28" xfId="0" applyNumberFormat="1" applyFont="1" applyFill="1" applyBorder="1" applyAlignment="1" applyProtection="1">
      <alignment horizontal="center" vertical="center"/>
      <protection locked="0"/>
    </xf>
    <xf numFmtId="0" fontId="57" fillId="16" borderId="36" xfId="0" applyFont="1" applyFill="1" applyBorder="1" applyAlignment="1" applyProtection="1">
      <alignment horizontal="center" vertical="center"/>
    </xf>
    <xf numFmtId="0" fontId="57" fillId="16" borderId="37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 wrapText="1"/>
    </xf>
    <xf numFmtId="0" fontId="57" fillId="16" borderId="65" xfId="0" applyFont="1" applyFill="1" applyBorder="1" applyAlignment="1" applyProtection="1">
      <alignment horizontal="center" vertical="center" wrapText="1"/>
    </xf>
    <xf numFmtId="0" fontId="57" fillId="16" borderId="37" xfId="0" applyFont="1" applyFill="1" applyBorder="1" applyAlignment="1" applyProtection="1">
      <alignment horizontal="center" vertical="center" wrapText="1"/>
    </xf>
    <xf numFmtId="0" fontId="57" fillId="16" borderId="38" xfId="0" applyFont="1" applyFill="1" applyBorder="1" applyAlignment="1" applyProtection="1">
      <alignment horizontal="center" vertical="center" wrapText="1"/>
    </xf>
    <xf numFmtId="0" fontId="57" fillId="16" borderId="39" xfId="0" applyFont="1" applyFill="1" applyBorder="1" applyAlignment="1" applyProtection="1">
      <alignment horizontal="center" vertical="center"/>
    </xf>
    <xf numFmtId="0" fontId="57" fillId="16" borderId="29" xfId="0" applyFont="1" applyFill="1" applyBorder="1" applyAlignment="1" applyProtection="1">
      <alignment horizontal="center" vertical="center"/>
    </xf>
    <xf numFmtId="0" fontId="57" fillId="16" borderId="30" xfId="0" applyFont="1" applyFill="1" applyBorder="1" applyAlignment="1" applyProtection="1">
      <alignment horizontal="center" vertical="center"/>
    </xf>
    <xf numFmtId="0" fontId="29" fillId="0" borderId="68" xfId="0" applyFont="1" applyFill="1" applyBorder="1" applyAlignment="1" applyProtection="1">
      <alignment horizontal="center" vertical="center"/>
    </xf>
    <xf numFmtId="0" fontId="29" fillId="0" borderId="69" xfId="0" applyFont="1" applyFill="1" applyBorder="1" applyAlignment="1" applyProtection="1">
      <alignment horizontal="center" vertical="center"/>
    </xf>
    <xf numFmtId="4" fontId="57" fillId="16" borderId="29" xfId="0" applyNumberFormat="1" applyFont="1" applyFill="1" applyBorder="1" applyAlignment="1" applyProtection="1">
      <alignment horizontal="center" vertical="center"/>
    </xf>
    <xf numFmtId="4" fontId="57" fillId="16" borderId="40" xfId="0" applyNumberFormat="1" applyFont="1" applyFill="1" applyBorder="1" applyAlignment="1" applyProtection="1">
      <alignment horizontal="center" vertical="center"/>
    </xf>
    <xf numFmtId="0" fontId="57" fillId="16" borderId="41" xfId="0" applyFont="1" applyFill="1" applyBorder="1" applyAlignment="1" applyProtection="1">
      <alignment horizontal="center" vertical="center"/>
    </xf>
    <xf numFmtId="0" fontId="57" fillId="16" borderId="42" xfId="0" applyFont="1" applyFill="1" applyBorder="1" applyAlignment="1" applyProtection="1">
      <alignment horizontal="center" vertical="center"/>
    </xf>
    <xf numFmtId="0" fontId="57" fillId="16" borderId="64" xfId="0" applyFont="1" applyFill="1" applyBorder="1" applyAlignment="1" applyProtection="1">
      <alignment horizontal="center" vertical="center"/>
    </xf>
    <xf numFmtId="0" fontId="57" fillId="16" borderId="65" xfId="0" applyFont="1" applyFill="1" applyBorder="1" applyAlignment="1" applyProtection="1">
      <alignment horizontal="center" vertical="center"/>
    </xf>
    <xf numFmtId="0" fontId="34" fillId="8" borderId="29" xfId="0" applyFont="1" applyFill="1" applyBorder="1" applyAlignment="1" applyProtection="1">
      <alignment horizontal="center" vertical="center"/>
    </xf>
    <xf numFmtId="4" fontId="57" fillId="16" borderId="42" xfId="0" applyNumberFormat="1" applyFont="1" applyFill="1" applyBorder="1" applyAlignment="1" applyProtection="1">
      <alignment horizontal="center" vertical="center"/>
    </xf>
    <xf numFmtId="4" fontId="57" fillId="16" borderId="43" xfId="0" applyNumberFormat="1" applyFont="1" applyFill="1" applyBorder="1" applyAlignment="1" applyProtection="1">
      <alignment horizontal="center" vertical="center"/>
    </xf>
    <xf numFmtId="0" fontId="29" fillId="0" borderId="66" xfId="0" applyFont="1" applyFill="1" applyBorder="1" applyAlignment="1" applyProtection="1">
      <alignment horizontal="center" vertical="center"/>
    </xf>
    <xf numFmtId="0" fontId="29" fillId="0" borderId="67" xfId="0" applyFont="1" applyFill="1" applyBorder="1" applyAlignment="1" applyProtection="1">
      <alignment horizontal="center" vertical="center"/>
    </xf>
    <xf numFmtId="0" fontId="29" fillId="0" borderId="70" xfId="0" applyFont="1" applyFill="1" applyBorder="1" applyAlignment="1" applyProtection="1">
      <alignment horizontal="center" vertical="center"/>
    </xf>
    <xf numFmtId="0" fontId="29" fillId="0" borderId="71" xfId="0" applyFont="1" applyFill="1" applyBorder="1" applyAlignment="1" applyProtection="1">
      <alignment horizontal="center" vertical="center"/>
    </xf>
    <xf numFmtId="0" fontId="58" fillId="16" borderId="36" xfId="0" applyFont="1" applyFill="1" applyBorder="1" applyAlignment="1" applyProtection="1">
      <alignment horizontal="center"/>
    </xf>
    <xf numFmtId="0" fontId="58" fillId="16" borderId="37" xfId="0" applyFont="1" applyFill="1" applyBorder="1" applyAlignment="1" applyProtection="1">
      <alignment horizontal="center"/>
    </xf>
    <xf numFmtId="0" fontId="59" fillId="16" borderId="46" xfId="0" applyFont="1" applyFill="1" applyBorder="1" applyAlignment="1" applyProtection="1">
      <alignment horizontal="center"/>
    </xf>
    <xf numFmtId="0" fontId="59" fillId="16" borderId="47" xfId="0" applyFont="1" applyFill="1" applyBorder="1" applyAlignment="1" applyProtection="1">
      <alignment horizontal="center"/>
    </xf>
    <xf numFmtId="0" fontId="58" fillId="16" borderId="46" xfId="0" applyFont="1" applyFill="1" applyBorder="1" applyAlignment="1" applyProtection="1">
      <alignment horizontal="center"/>
    </xf>
    <xf numFmtId="0" fontId="58" fillId="16" borderId="47" xfId="0" applyFont="1" applyFill="1" applyBorder="1" applyAlignment="1" applyProtection="1">
      <alignment horizontal="center"/>
    </xf>
    <xf numFmtId="0" fontId="31" fillId="0" borderId="33" xfId="0" applyFont="1" applyBorder="1" applyAlignment="1" applyProtection="1">
      <alignment horizontal="center"/>
    </xf>
    <xf numFmtId="0" fontId="32" fillId="0" borderId="29" xfId="0" applyFont="1" applyFill="1" applyBorder="1" applyAlignment="1" applyProtection="1">
      <alignment horizontal="left" vertical="center" wrapText="1"/>
    </xf>
    <xf numFmtId="0" fontId="58" fillId="16" borderId="38" xfId="0" applyFont="1" applyFill="1" applyBorder="1" applyAlignment="1" applyProtection="1">
      <alignment horizontal="center"/>
    </xf>
    <xf numFmtId="0" fontId="56" fillId="16" borderId="33" xfId="0" applyFont="1" applyFill="1" applyBorder="1" applyAlignment="1" applyProtection="1">
      <alignment horizontal="center" vertical="center" wrapText="1"/>
    </xf>
    <xf numFmtId="0" fontId="60" fillId="16" borderId="37" xfId="0" applyFont="1" applyFill="1" applyBorder="1" applyAlignment="1" applyProtection="1">
      <alignment horizontal="center" vertical="center"/>
    </xf>
    <xf numFmtId="1" fontId="32" fillId="0" borderId="50" xfId="0" applyNumberFormat="1" applyFont="1" applyFill="1" applyBorder="1" applyAlignment="1" applyProtection="1">
      <alignment horizontal="center" vertical="center"/>
      <protection locked="0"/>
    </xf>
    <xf numFmtId="1" fontId="32" fillId="0" borderId="51" xfId="0" applyNumberFormat="1" applyFont="1" applyFill="1" applyBorder="1" applyAlignment="1" applyProtection="1">
      <alignment horizontal="center" vertical="center"/>
      <protection locked="0"/>
    </xf>
    <xf numFmtId="1" fontId="32" fillId="0" borderId="52" xfId="0" applyNumberFormat="1" applyFont="1" applyFill="1" applyBorder="1" applyAlignment="1" applyProtection="1">
      <alignment horizontal="center" vertical="center"/>
      <protection locked="0"/>
    </xf>
    <xf numFmtId="3" fontId="60" fillId="16" borderId="42" xfId="0" applyNumberFormat="1" applyFont="1" applyFill="1" applyBorder="1" applyAlignment="1" applyProtection="1">
      <alignment horizontal="center" vertical="center"/>
    </xf>
    <xf numFmtId="0" fontId="60" fillId="16" borderId="48" xfId="0" applyFont="1" applyFill="1" applyBorder="1" applyAlignment="1" applyProtection="1">
      <alignment horizontal="center" vertical="center"/>
    </xf>
    <xf numFmtId="0" fontId="60" fillId="16" borderId="49" xfId="0" applyFont="1" applyFill="1" applyBorder="1" applyAlignment="1" applyProtection="1">
      <alignment horizontal="center" vertical="center"/>
    </xf>
    <xf numFmtId="0" fontId="30" fillId="0" borderId="28" xfId="0" applyFont="1" applyBorder="1" applyAlignment="1" applyProtection="1">
      <alignment horizontal="center"/>
      <protection locked="0"/>
    </xf>
    <xf numFmtId="0" fontId="30" fillId="0" borderId="28" xfId="0" applyFont="1" applyFill="1" applyBorder="1" applyAlignment="1" applyProtection="1">
      <alignment horizontal="center" vertical="center"/>
      <protection locked="0"/>
    </xf>
    <xf numFmtId="0" fontId="59" fillId="16" borderId="11" xfId="7" applyFont="1" applyFill="1" applyBorder="1" applyAlignment="1" applyProtection="1">
      <alignment horizontal="center" vertical="center" wrapText="1"/>
    </xf>
    <xf numFmtId="4" fontId="59" fillId="16" borderId="11" xfId="7" applyNumberFormat="1" applyFont="1" applyFill="1" applyBorder="1" applyAlignment="1" applyProtection="1">
      <alignment horizontal="center" vertical="center" wrapText="1"/>
    </xf>
    <xf numFmtId="4" fontId="32" fillId="0" borderId="29" xfId="0" applyNumberFormat="1" applyFont="1" applyBorder="1" applyAlignment="1" applyProtection="1">
      <alignment horizontal="left" vertical="center" wrapText="1"/>
    </xf>
    <xf numFmtId="0" fontId="33" fillId="0" borderId="29" xfId="0" applyFont="1" applyBorder="1" applyAlignment="1" applyProtection="1">
      <alignment horizontal="left" vertical="center" wrapText="1"/>
    </xf>
    <xf numFmtId="1" fontId="60" fillId="16" borderId="46" xfId="0" applyNumberFormat="1" applyFont="1" applyFill="1" applyBorder="1" applyAlignment="1" applyProtection="1">
      <alignment horizontal="center" vertical="center"/>
    </xf>
    <xf numFmtId="1" fontId="60" fillId="16" borderId="47" xfId="0" applyNumberFormat="1" applyFont="1" applyFill="1" applyBorder="1" applyAlignment="1" applyProtection="1">
      <alignment horizontal="center" vertical="center"/>
    </xf>
    <xf numFmtId="1" fontId="60" fillId="16" borderId="42" xfId="0" applyNumberFormat="1" applyFont="1" applyFill="1" applyBorder="1" applyAlignment="1" applyProtection="1">
      <alignment horizontal="center" vertical="center"/>
    </xf>
    <xf numFmtId="1" fontId="32" fillId="0" borderId="28" xfId="0" applyNumberFormat="1" applyFont="1" applyFill="1" applyBorder="1" applyAlignment="1" applyProtection="1">
      <alignment horizontal="center" vertical="center"/>
      <protection locked="0"/>
    </xf>
    <xf numFmtId="0" fontId="59" fillId="16" borderId="11" xfId="7" applyFont="1" applyFill="1" applyBorder="1" applyAlignment="1" applyProtection="1">
      <alignment horizontal="center" vertical="center"/>
    </xf>
    <xf numFmtId="0" fontId="31" fillId="0" borderId="28" xfId="0" applyFont="1" applyFill="1" applyBorder="1" applyAlignment="1" applyProtection="1">
      <alignment horizontal="center" vertical="center"/>
      <protection locked="0"/>
    </xf>
    <xf numFmtId="0" fontId="56" fillId="16" borderId="45" xfId="0" applyFont="1" applyFill="1" applyBorder="1" applyAlignment="1" applyProtection="1">
      <alignment horizontal="center" vertical="center" wrapText="1"/>
    </xf>
    <xf numFmtId="0" fontId="31" fillId="0" borderId="28" xfId="0" applyFont="1" applyBorder="1" applyAlignment="1" applyProtection="1">
      <alignment horizontal="center" vertical="center" wrapText="1"/>
      <protection locked="0"/>
    </xf>
    <xf numFmtId="0" fontId="50" fillId="12" borderId="29" xfId="0" applyFont="1" applyFill="1" applyBorder="1" applyAlignment="1" applyProtection="1">
      <alignment horizontal="center" vertical="center"/>
    </xf>
    <xf numFmtId="4" fontId="50" fillId="12" borderId="29" xfId="0" applyNumberFormat="1" applyFont="1" applyFill="1" applyBorder="1" applyAlignment="1" applyProtection="1">
      <alignment horizontal="center" vertical="center"/>
      <protection locked="0"/>
    </xf>
    <xf numFmtId="0" fontId="30" fillId="0" borderId="29" xfId="0" applyFont="1" applyBorder="1" applyAlignment="1" applyProtection="1">
      <alignment horizontal="center"/>
      <protection locked="0"/>
    </xf>
    <xf numFmtId="0" fontId="50" fillId="12" borderId="29" xfId="0" applyFont="1" applyFill="1" applyBorder="1" applyAlignment="1" applyProtection="1">
      <alignment horizontal="center" vertical="center"/>
      <protection locked="0"/>
    </xf>
    <xf numFmtId="4" fontId="59" fillId="18" borderId="41" xfId="0" applyNumberFormat="1" applyFont="1" applyFill="1" applyBorder="1" applyAlignment="1" applyProtection="1">
      <alignment horizontal="center" vertical="center" wrapText="1"/>
    </xf>
    <xf numFmtId="4" fontId="59" fillId="18" borderId="43" xfId="0" applyNumberFormat="1" applyFont="1" applyFill="1" applyBorder="1" applyAlignment="1" applyProtection="1">
      <alignment horizontal="center" vertical="center" wrapText="1"/>
    </xf>
    <xf numFmtId="4" fontId="59" fillId="16" borderId="39" xfId="0" applyNumberFormat="1" applyFont="1" applyFill="1" applyBorder="1" applyAlignment="1" applyProtection="1">
      <alignment horizontal="center" vertical="center"/>
    </xf>
    <xf numFmtId="4" fontId="59" fillId="16" borderId="40" xfId="0" applyNumberFormat="1" applyFont="1" applyFill="1" applyBorder="1" applyAlignment="1" applyProtection="1">
      <alignment horizontal="center" vertical="center"/>
    </xf>
    <xf numFmtId="0" fontId="59" fillId="16" borderId="11" xfId="0" applyFont="1" applyFill="1" applyBorder="1" applyAlignment="1" applyProtection="1">
      <alignment horizontal="left" vertical="center"/>
    </xf>
    <xf numFmtId="0" fontId="59" fillId="16" borderId="36" xfId="0" applyFont="1" applyFill="1" applyBorder="1" applyAlignment="1" applyProtection="1">
      <alignment horizontal="center"/>
    </xf>
    <xf numFmtId="0" fontId="59" fillId="16" borderId="38" xfId="0" applyFont="1" applyFill="1" applyBorder="1" applyAlignment="1" applyProtection="1">
      <alignment horizontal="center"/>
    </xf>
    <xf numFmtId="4" fontId="59" fillId="16" borderId="39" xfId="1" applyNumberFormat="1" applyFont="1" applyFill="1" applyBorder="1" applyAlignment="1" applyProtection="1">
      <alignment horizontal="center" vertical="center"/>
    </xf>
    <xf numFmtId="4" fontId="59" fillId="16" borderId="40" xfId="1" applyNumberFormat="1" applyFont="1" applyFill="1" applyBorder="1" applyAlignment="1" applyProtection="1">
      <alignment horizontal="center" vertical="center"/>
    </xf>
    <xf numFmtId="0" fontId="60" fillId="16" borderId="11" xfId="0" applyFont="1" applyFill="1" applyBorder="1" applyAlignment="1" applyProtection="1">
      <alignment horizontal="center"/>
    </xf>
    <xf numFmtId="0" fontId="30" fillId="0" borderId="11" xfId="0" applyFont="1" applyBorder="1" applyAlignment="1" applyProtection="1">
      <alignment horizontal="center" vertical="center"/>
    </xf>
    <xf numFmtId="0" fontId="30" fillId="0" borderId="31" xfId="0" applyFont="1" applyBorder="1" applyAlignment="1" applyProtection="1">
      <alignment horizontal="center"/>
    </xf>
    <xf numFmtId="168" fontId="35" fillId="0" borderId="0" xfId="0" applyNumberFormat="1" applyFont="1" applyAlignment="1">
      <alignment horizontal="right"/>
    </xf>
    <xf numFmtId="0" fontId="35" fillId="0" borderId="0" xfId="0" applyFont="1"/>
    <xf numFmtId="0" fontId="37" fillId="0" borderId="0" xfId="0" applyFont="1"/>
    <xf numFmtId="0" fontId="36" fillId="0" borderId="0" xfId="0" applyFont="1" applyAlignment="1">
      <alignment horizontal="left"/>
    </xf>
    <xf numFmtId="0" fontId="35" fillId="0" borderId="0" xfId="0" applyFont="1" applyAlignment="1">
      <alignment horizontal="left" vertical="top" wrapText="1"/>
    </xf>
    <xf numFmtId="0" fontId="29" fillId="0" borderId="0" xfId="0" applyFont="1" applyAlignment="1">
      <alignment horizontal="left" vertical="top"/>
    </xf>
    <xf numFmtId="0" fontId="35" fillId="0" borderId="0" xfId="0" applyFont="1" applyAlignment="1">
      <alignment horizontal="left" vertical="top"/>
    </xf>
    <xf numFmtId="0" fontId="23" fillId="0" borderId="0" xfId="0" applyFont="1" applyAlignment="1">
      <alignment horizontal="center"/>
    </xf>
    <xf numFmtId="0" fontId="35" fillId="0" borderId="0" xfId="0" applyFont="1" applyAlignment="1">
      <alignment horizontal="left"/>
    </xf>
    <xf numFmtId="0" fontId="35" fillId="0" borderId="0" xfId="0" applyFont="1" applyAlignment="1">
      <alignment horizontal="center" wrapText="1"/>
    </xf>
    <xf numFmtId="0" fontId="5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 wrapText="1"/>
    </xf>
    <xf numFmtId="0" fontId="30" fillId="11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 wrapText="1"/>
    </xf>
    <xf numFmtId="0" fontId="23" fillId="2" borderId="11" xfId="0" applyFont="1" applyFill="1" applyBorder="1" applyAlignment="1">
      <alignment horizontal="center" vertical="center"/>
    </xf>
    <xf numFmtId="4" fontId="23" fillId="2" borderId="11" xfId="0" applyNumberFormat="1" applyFont="1" applyFill="1" applyBorder="1" applyAlignment="1">
      <alignment horizontal="center" vertical="center"/>
    </xf>
    <xf numFmtId="0" fontId="32" fillId="0" borderId="25" xfId="0" applyFont="1" applyBorder="1" applyAlignment="1">
      <alignment horizontal="center" vertical="center"/>
    </xf>
    <xf numFmtId="0" fontId="32" fillId="0" borderId="20" xfId="0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2" fillId="7" borderId="25" xfId="0" applyFont="1" applyFill="1" applyBorder="1" applyAlignment="1">
      <alignment horizontal="center" vertical="center"/>
    </xf>
    <xf numFmtId="0" fontId="32" fillId="7" borderId="20" xfId="0" applyFont="1" applyFill="1" applyBorder="1" applyAlignment="1">
      <alignment horizontal="center" vertical="center"/>
    </xf>
    <xf numFmtId="0" fontId="32" fillId="7" borderId="26" xfId="0" applyFont="1" applyFill="1" applyBorder="1" applyAlignment="1">
      <alignment horizontal="center" vertical="center"/>
    </xf>
    <xf numFmtId="0" fontId="32" fillId="0" borderId="11" xfId="0" applyFont="1" applyBorder="1" applyAlignment="1">
      <alignment horizontal="center" vertical="center"/>
    </xf>
    <xf numFmtId="0" fontId="32" fillId="0" borderId="25" xfId="0" applyFont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32" fillId="0" borderId="26" xfId="0" applyFont="1" applyBorder="1" applyAlignment="1">
      <alignment horizontal="center" vertical="center" wrapText="1"/>
    </xf>
    <xf numFmtId="14" fontId="32" fillId="7" borderId="0" xfId="0" applyNumberFormat="1" applyFont="1" applyFill="1" applyBorder="1" applyAlignment="1">
      <alignment horizontal="center" vertical="center"/>
    </xf>
    <xf numFmtId="0" fontId="32" fillId="0" borderId="0" xfId="0" applyFont="1" applyFill="1" applyBorder="1" applyAlignment="1">
      <alignment horizontal="left" vertical="center" wrapText="1"/>
    </xf>
    <xf numFmtId="0" fontId="32" fillId="0" borderId="0" xfId="0" applyFont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32" fillId="7" borderId="25" xfId="0" applyFont="1" applyFill="1" applyBorder="1" applyAlignment="1">
      <alignment horizontal="center" vertical="center" wrapText="1"/>
    </xf>
    <xf numFmtId="0" fontId="32" fillId="7" borderId="20" xfId="0" applyFont="1" applyFill="1" applyBorder="1" applyAlignment="1">
      <alignment horizontal="center" vertical="center" wrapText="1"/>
    </xf>
    <xf numFmtId="0" fontId="32" fillId="7" borderId="26" xfId="0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0" fontId="51" fillId="7" borderId="0" xfId="4" applyFont="1" applyFill="1" applyAlignment="1">
      <alignment horizontal="center" vertical="center"/>
    </xf>
    <xf numFmtId="0" fontId="41" fillId="7" borderId="0" xfId="0" applyFont="1" applyFill="1" applyAlignment="1">
      <alignment horizontal="center" vertical="center"/>
    </xf>
    <xf numFmtId="0" fontId="32" fillId="7" borderId="0" xfId="0" applyFont="1" applyFill="1" applyBorder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32" fillId="7" borderId="0" xfId="0" applyNumberFormat="1" applyFont="1" applyFill="1" applyBorder="1" applyAlignment="1">
      <alignment horizontal="center" vertical="center"/>
    </xf>
  </cellXfs>
  <cellStyles count="8">
    <cellStyle name="20% - Énfasis6" xfId="7" builtinId="50"/>
    <cellStyle name="Hipervínculo" xfId="4" builtinId="8"/>
    <cellStyle name="Millares 2" xfId="6"/>
    <cellStyle name="Normal" xfId="0" builtinId="0"/>
    <cellStyle name="Normal 10" xfId="3"/>
    <cellStyle name="Normal 2" xfId="5"/>
    <cellStyle name="Normal 6" xfId="2"/>
    <cellStyle name="Porcentaje" xfId="1" builtinId="5"/>
  </cellStyles>
  <dxfs count="3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theme="8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60AD35"/>
      <color rgb="FFDBDBDB"/>
      <color rgb="FF558134"/>
      <color rgb="FFE2EFDB"/>
      <color rgb="FF548335"/>
      <color rgb="FF365624"/>
      <color rgb="FFD1FDCF"/>
      <color rgb="FF14A3D0"/>
      <color rgb="FFB2E2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1</xdr:row>
      <xdr:rowOff>171449</xdr:rowOff>
    </xdr:from>
    <xdr:to>
      <xdr:col>2</xdr:col>
      <xdr:colOff>1257300</xdr:colOff>
      <xdr:row>7</xdr:row>
      <xdr:rowOff>180974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361949"/>
          <a:ext cx="1600200" cy="1152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114300</xdr:rowOff>
    </xdr:from>
    <xdr:to>
      <xdr:col>2</xdr:col>
      <xdr:colOff>371475</xdr:colOff>
      <xdr:row>3</xdr:row>
      <xdr:rowOff>133350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22</xdr:row>
      <xdr:rowOff>114300</xdr:rowOff>
    </xdr:from>
    <xdr:ext cx="942975" cy="857250"/>
    <xdr:pic>
      <xdr:nvPicPr>
        <xdr:cNvPr id="5" name="4 Imagen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1050" y="114300"/>
          <a:ext cx="942975" cy="85725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91012</xdr:rowOff>
    </xdr:from>
    <xdr:to>
      <xdr:col>2</xdr:col>
      <xdr:colOff>733425</xdr:colOff>
      <xdr:row>5</xdr:row>
      <xdr:rowOff>252937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789512"/>
          <a:ext cx="1855258" cy="10720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200025</xdr:colOff>
          <xdr:row>0</xdr:row>
          <xdr:rowOff>95250</xdr:rowOff>
        </xdr:from>
        <xdr:to>
          <xdr:col>11</xdr:col>
          <xdr:colOff>1104900</xdr:colOff>
          <xdr:row>1</xdr:row>
          <xdr:rowOff>28575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xmlns="" id="{00000000-0008-0000-04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95250</xdr:rowOff>
        </xdr:from>
        <xdr:to>
          <xdr:col>14</xdr:col>
          <xdr:colOff>9525</xdr:colOff>
          <xdr:row>1</xdr:row>
          <xdr:rowOff>28575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xmlns="" id="{00000000-0008-0000-04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ELIMINA FILAS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0</xdr:row>
          <xdr:rowOff>47625</xdr:rowOff>
        </xdr:from>
        <xdr:to>
          <xdr:col>14</xdr:col>
          <xdr:colOff>733425</xdr:colOff>
          <xdr:row>1</xdr:row>
          <xdr:rowOff>38100</xdr:rowOff>
        </xdr:to>
        <xdr:sp macro="" textlink="">
          <xdr:nvSpPr>
            <xdr:cNvPr id="3129" name="CommandButton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xmlns="" id="{00000000-0008-0000-04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7</xdr:col>
      <xdr:colOff>83155</xdr:colOff>
      <xdr:row>61</xdr:row>
      <xdr:rowOff>114905</xdr:rowOff>
    </xdr:from>
    <xdr:to>
      <xdr:col>7</xdr:col>
      <xdr:colOff>260048</xdr:colOff>
      <xdr:row>61</xdr:row>
      <xdr:rowOff>250976</xdr:rowOff>
    </xdr:to>
    <xdr:sp macro="" textlink="">
      <xdr:nvSpPr>
        <xdr:cNvPr id="6" name="Flecha a la derecha con muesca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6073322" y="20530155"/>
          <a:ext cx="176893" cy="136071"/>
        </a:xfrm>
        <a:prstGeom prst="notchedRightArrow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519794</xdr:colOff>
      <xdr:row>61</xdr:row>
      <xdr:rowOff>128211</xdr:rowOff>
    </xdr:from>
    <xdr:to>
      <xdr:col>8</xdr:col>
      <xdr:colOff>136829</xdr:colOff>
      <xdr:row>61</xdr:row>
      <xdr:rowOff>264282</xdr:rowOff>
    </xdr:to>
    <xdr:sp macro="" textlink="">
      <xdr:nvSpPr>
        <xdr:cNvPr id="7" name="Flecha a la derecha con muesca 6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6509961" y="20543461"/>
          <a:ext cx="167368" cy="136071"/>
        </a:xfrm>
        <a:prstGeom prst="notchedRightArrow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8</xdr:col>
      <xdr:colOff>381000</xdr:colOff>
      <xdr:row>61</xdr:row>
      <xdr:rowOff>123371</xdr:rowOff>
    </xdr:from>
    <xdr:to>
      <xdr:col>8</xdr:col>
      <xdr:colOff>603250</xdr:colOff>
      <xdr:row>61</xdr:row>
      <xdr:rowOff>254000</xdr:rowOff>
    </xdr:to>
    <xdr:sp macro="" textlink="">
      <xdr:nvSpPr>
        <xdr:cNvPr id="8" name="Flecha a la derecha con muesca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6921500" y="20538621"/>
          <a:ext cx="222250" cy="130629"/>
        </a:xfrm>
        <a:prstGeom prst="notchedRightArrow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0</xdr:row>
          <xdr:rowOff>0</xdr:rowOff>
        </xdr:from>
        <xdr:to>
          <xdr:col>7</xdr:col>
          <xdr:colOff>752475</xdr:colOff>
          <xdr:row>2</xdr:row>
          <xdr:rowOff>85725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266700</xdr:colOff>
          <xdr:row>2</xdr:row>
          <xdr:rowOff>85725</xdr:rowOff>
        </xdr:to>
        <xdr:sp macro="" textlink="">
          <xdr:nvSpPr>
            <xdr:cNvPr id="4100" name="CommandButton2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CTOR/Desktop/HOJAS%20DE%20COSTOS/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49"/>
  <sheetViews>
    <sheetView zoomScaleNormal="100" zoomScaleSheetLayoutView="85" zoomScalePageLayoutView="80" workbookViewId="0">
      <selection activeCell="Q16" sqref="Q16"/>
    </sheetView>
  </sheetViews>
  <sheetFormatPr baseColWidth="10" defaultColWidth="11.42578125" defaultRowHeight="12.75" x14ac:dyDescent="0.2"/>
  <cols>
    <col min="1" max="1" width="13.28515625" style="1" customWidth="1"/>
    <col min="2" max="2" width="5.140625" style="1" customWidth="1"/>
    <col min="3" max="3" width="6.5703125" style="1" customWidth="1"/>
    <col min="4" max="8" width="5.140625" style="1" customWidth="1"/>
    <col min="9" max="9" width="6.5703125" style="1" customWidth="1"/>
    <col min="10" max="11" width="5.140625" style="1" customWidth="1"/>
    <col min="12" max="14" width="5.42578125" style="1" customWidth="1"/>
    <col min="15" max="15" width="6.5703125" style="1" customWidth="1"/>
    <col min="16" max="16384" width="11.42578125" style="1"/>
  </cols>
  <sheetData>
    <row r="1" spans="1:15" ht="18.75" customHeight="1" x14ac:dyDescent="0.2">
      <c r="A1" s="16" t="s">
        <v>0</v>
      </c>
      <c r="B1" s="294" t="s">
        <v>20</v>
      </c>
      <c r="C1" s="294"/>
      <c r="D1" s="294"/>
      <c r="E1" s="2"/>
      <c r="F1" s="2"/>
      <c r="G1" s="2"/>
      <c r="H1" s="2"/>
      <c r="J1" s="14" t="s">
        <v>9</v>
      </c>
      <c r="L1" s="2"/>
      <c r="M1" s="294" t="s">
        <v>20</v>
      </c>
      <c r="N1" s="294"/>
      <c r="O1" s="294"/>
    </row>
    <row r="2" spans="1:15" ht="17.25" customHeight="1" thickBot="1" x14ac:dyDescent="0.25">
      <c r="A2" s="10" t="s">
        <v>1</v>
      </c>
      <c r="B2" s="295"/>
      <c r="C2" s="295"/>
      <c r="D2" s="295"/>
      <c r="E2" s="295"/>
      <c r="F2" s="295"/>
      <c r="G2" s="295"/>
      <c r="H2" s="295"/>
      <c r="I2" s="295"/>
      <c r="J2" s="295"/>
      <c r="K2" s="2"/>
      <c r="L2" s="2"/>
    </row>
    <row r="3" spans="1:15" ht="17.25" customHeight="1" thickBot="1" x14ac:dyDescent="0.25">
      <c r="A3" s="10" t="s">
        <v>2</v>
      </c>
      <c r="B3" s="296"/>
      <c r="C3" s="296"/>
      <c r="D3" s="296"/>
      <c r="E3" s="296"/>
      <c r="F3" s="296"/>
      <c r="G3" s="296"/>
      <c r="H3" s="296"/>
      <c r="I3" s="296"/>
      <c r="J3" s="296"/>
      <c r="K3" s="297" t="s">
        <v>15</v>
      </c>
      <c r="L3" s="297"/>
      <c r="M3" s="298"/>
      <c r="N3" s="299"/>
      <c r="O3" s="300"/>
    </row>
    <row r="4" spans="1:15" ht="17.25" customHeight="1" x14ac:dyDescent="0.2">
      <c r="A4" s="10" t="s">
        <v>3</v>
      </c>
      <c r="B4" s="295"/>
      <c r="C4" s="295"/>
      <c r="D4" s="295"/>
      <c r="E4" s="295"/>
      <c r="F4" s="295"/>
      <c r="G4" s="295"/>
      <c r="H4" s="295"/>
      <c r="I4" s="295"/>
      <c r="J4" s="295"/>
      <c r="K4" s="295"/>
      <c r="L4" s="295"/>
      <c r="M4" s="295"/>
      <c r="N4" s="295"/>
      <c r="O4" s="295"/>
    </row>
    <row r="5" spans="1:15" ht="9" customHeight="1" x14ac:dyDescent="0.2">
      <c r="A5" s="10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 x14ac:dyDescent="0.2">
      <c r="A6" s="10" t="s">
        <v>11</v>
      </c>
      <c r="B6" s="13"/>
      <c r="D6" s="17" t="s">
        <v>4</v>
      </c>
      <c r="F6" s="1" t="s">
        <v>5</v>
      </c>
      <c r="G6" s="13"/>
      <c r="H6" s="1" t="s">
        <v>12</v>
      </c>
      <c r="I6" s="1" t="s">
        <v>6</v>
      </c>
      <c r="J6" s="13"/>
      <c r="K6" s="1" t="s">
        <v>12</v>
      </c>
      <c r="L6" s="1" t="s">
        <v>7</v>
      </c>
      <c r="N6" s="13"/>
      <c r="O6" s="2" t="s">
        <v>12</v>
      </c>
    </row>
    <row r="7" spans="1:15" ht="6" customHeight="1" x14ac:dyDescent="0.2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1:15" ht="17.25" customHeight="1" x14ac:dyDescent="0.2">
      <c r="A8" s="15" t="s">
        <v>8</v>
      </c>
      <c r="B8" s="295"/>
      <c r="C8" s="295"/>
      <c r="D8" s="295"/>
      <c r="E8" s="295"/>
      <c r="F8" s="295"/>
      <c r="G8" s="295"/>
      <c r="H8" s="295"/>
      <c r="I8" s="295"/>
      <c r="J8" s="295"/>
      <c r="K8" s="295"/>
      <c r="L8" s="295"/>
      <c r="M8" s="295"/>
      <c r="N8" s="295"/>
      <c r="O8" s="295"/>
    </row>
    <row r="9" spans="1:15" ht="17.25" customHeight="1" x14ac:dyDescent="0.2">
      <c r="A9" s="296"/>
      <c r="B9" s="296"/>
      <c r="C9" s="296"/>
      <c r="D9" s="296"/>
      <c r="E9" s="296"/>
      <c r="F9" s="296"/>
      <c r="G9" s="296"/>
      <c r="H9" s="296"/>
      <c r="I9" s="296"/>
      <c r="J9" s="296"/>
      <c r="K9" s="296"/>
      <c r="L9" s="296"/>
      <c r="M9" s="296"/>
      <c r="N9" s="296"/>
      <c r="O9" s="296"/>
    </row>
    <row r="10" spans="1:15" ht="17.25" customHeight="1" x14ac:dyDescent="0.2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15" ht="17.25" customHeight="1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15" ht="13.5" thickBot="1" x14ac:dyDescent="0.25"/>
    <row r="13" spans="1:15" x14ac:dyDescent="0.2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5"/>
    </row>
    <row r="14" spans="1:15" x14ac:dyDescent="0.2">
      <c r="A14" s="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11"/>
    </row>
    <row r="15" spans="1:15" x14ac:dyDescent="0.2">
      <c r="A15" s="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11"/>
    </row>
    <row r="16" spans="1:15" x14ac:dyDescent="0.2">
      <c r="A16" s="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11"/>
    </row>
    <row r="17" spans="1:15" x14ac:dyDescent="0.2">
      <c r="A17" s="6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11"/>
    </row>
    <row r="18" spans="1:15" x14ac:dyDescent="0.2">
      <c r="A18" s="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11"/>
    </row>
    <row r="19" spans="1:15" ht="15.75" customHeight="1" x14ac:dyDescent="0.2">
      <c r="A19" s="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11"/>
    </row>
    <row r="20" spans="1:15" x14ac:dyDescent="0.2">
      <c r="A20" s="6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11"/>
    </row>
    <row r="21" spans="1:15" x14ac:dyDescent="0.2">
      <c r="A21" s="6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11"/>
    </row>
    <row r="22" spans="1:15" x14ac:dyDescent="0.2">
      <c r="A22" s="6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11"/>
    </row>
    <row r="23" spans="1:15" x14ac:dyDescent="0.2">
      <c r="A23" s="6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11"/>
    </row>
    <row r="24" spans="1:15" x14ac:dyDescent="0.2">
      <c r="A24" s="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11"/>
    </row>
    <row r="25" spans="1:15" x14ac:dyDescent="0.2">
      <c r="A25" s="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11"/>
    </row>
    <row r="26" spans="1:15" x14ac:dyDescent="0.2">
      <c r="A26" s="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11"/>
    </row>
    <row r="27" spans="1:15" x14ac:dyDescent="0.2">
      <c r="A27" s="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11"/>
    </row>
    <row r="28" spans="1:15" x14ac:dyDescent="0.2">
      <c r="A28" s="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11"/>
    </row>
    <row r="29" spans="1:15" x14ac:dyDescent="0.2">
      <c r="A29" s="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11"/>
    </row>
    <row r="30" spans="1:15" x14ac:dyDescent="0.2">
      <c r="A30" s="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11"/>
    </row>
    <row r="31" spans="1:15" x14ac:dyDescent="0.2">
      <c r="A31" s="6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11"/>
    </row>
    <row r="32" spans="1:15" x14ac:dyDescent="0.2">
      <c r="A32" s="6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11"/>
    </row>
    <row r="33" spans="1:15" x14ac:dyDescent="0.2">
      <c r="A33" s="6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11"/>
    </row>
    <row r="34" spans="1:15" ht="13.5" thickBot="1" x14ac:dyDescent="0.25">
      <c r="A34" s="7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9"/>
    </row>
    <row r="35" spans="1:15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</row>
    <row r="36" spans="1:15" ht="15" customHeight="1" x14ac:dyDescent="0.2">
      <c r="A36" s="19" t="s">
        <v>10</v>
      </c>
      <c r="B36" s="19" t="s">
        <v>16</v>
      </c>
      <c r="C36" s="19" t="s">
        <v>14</v>
      </c>
      <c r="D36" s="10"/>
      <c r="E36" s="293" t="s">
        <v>10</v>
      </c>
      <c r="F36" s="293"/>
      <c r="G36" s="293"/>
      <c r="H36" s="19" t="s">
        <v>16</v>
      </c>
      <c r="I36" s="19" t="s">
        <v>14</v>
      </c>
      <c r="J36" s="10"/>
      <c r="K36" s="293" t="s">
        <v>10</v>
      </c>
      <c r="L36" s="293"/>
      <c r="M36" s="293"/>
      <c r="N36" s="19" t="s">
        <v>16</v>
      </c>
      <c r="O36" s="19" t="s">
        <v>14</v>
      </c>
    </row>
    <row r="37" spans="1:15" ht="17.25" customHeight="1" x14ac:dyDescent="0.2">
      <c r="A37" s="18"/>
      <c r="B37" s="18"/>
      <c r="C37" s="18"/>
      <c r="D37" s="2"/>
      <c r="E37" s="293"/>
      <c r="F37" s="293"/>
      <c r="G37" s="293"/>
      <c r="H37" s="18"/>
      <c r="I37" s="18"/>
      <c r="J37" s="2"/>
      <c r="K37" s="293"/>
      <c r="L37" s="293"/>
      <c r="M37" s="293"/>
      <c r="N37" s="18"/>
      <c r="O37" s="18"/>
    </row>
    <row r="38" spans="1:15" ht="14.1" customHeight="1" x14ac:dyDescent="0.2">
      <c r="A38" s="18"/>
      <c r="B38" s="18"/>
      <c r="C38" s="18"/>
      <c r="D38" s="2"/>
      <c r="E38" s="293"/>
      <c r="F38" s="293"/>
      <c r="G38" s="293"/>
      <c r="H38" s="18"/>
      <c r="I38" s="18"/>
      <c r="J38" s="2"/>
      <c r="K38" s="293"/>
      <c r="L38" s="293"/>
      <c r="M38" s="293"/>
      <c r="N38" s="18"/>
      <c r="O38" s="18"/>
    </row>
    <row r="39" spans="1:15" ht="14.1" customHeight="1" x14ac:dyDescent="0.2">
      <c r="A39" s="18"/>
      <c r="B39" s="18"/>
      <c r="C39" s="18"/>
      <c r="D39" s="2"/>
      <c r="E39" s="293"/>
      <c r="F39" s="293"/>
      <c r="G39" s="293"/>
      <c r="H39" s="18"/>
      <c r="I39" s="18"/>
      <c r="J39" s="2"/>
      <c r="K39" s="293"/>
      <c r="L39" s="293"/>
      <c r="M39" s="293"/>
      <c r="N39" s="18"/>
      <c r="O39" s="18"/>
    </row>
    <row r="40" spans="1:15" ht="14.1" customHeight="1" x14ac:dyDescent="0.2">
      <c r="A40" s="18"/>
      <c r="B40" s="18"/>
      <c r="C40" s="18"/>
      <c r="D40" s="2"/>
      <c r="E40" s="293"/>
      <c r="F40" s="293"/>
      <c r="G40" s="293"/>
      <c r="H40" s="18"/>
      <c r="I40" s="18"/>
      <c r="J40" s="2"/>
      <c r="K40" s="293"/>
      <c r="L40" s="293"/>
      <c r="M40" s="293"/>
      <c r="N40" s="18"/>
      <c r="O40" s="18"/>
    </row>
    <row r="41" spans="1:15" ht="14.1" customHeight="1" x14ac:dyDescent="0.2">
      <c r="A41" s="18"/>
      <c r="B41" s="18"/>
      <c r="C41" s="18"/>
      <c r="D41" s="2"/>
      <c r="E41" s="293"/>
      <c r="F41" s="293"/>
      <c r="G41" s="293"/>
      <c r="H41" s="18"/>
      <c r="I41" s="18"/>
      <c r="J41" s="2"/>
      <c r="K41" s="293"/>
      <c r="L41" s="293"/>
      <c r="M41" s="293"/>
      <c r="N41" s="18"/>
      <c r="O41" s="18"/>
    </row>
    <row r="42" spans="1:15" ht="14.1" customHeight="1" thickBot="1" x14ac:dyDescent="0.25">
      <c r="A42" s="2"/>
      <c r="B42" s="2"/>
      <c r="C42" s="2"/>
      <c r="D42" s="2"/>
      <c r="E42" s="20"/>
      <c r="F42" s="20"/>
      <c r="G42" s="20"/>
      <c r="H42" s="2"/>
      <c r="I42" s="2"/>
      <c r="J42" s="2"/>
      <c r="K42" s="20"/>
      <c r="L42" s="20"/>
      <c r="M42" s="20"/>
      <c r="N42" s="2"/>
      <c r="O42" s="2"/>
    </row>
    <row r="43" spans="1:15" ht="14.1" customHeight="1" thickBo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301" t="s">
        <v>18</v>
      </c>
      <c r="L43" s="302"/>
      <c r="M43" s="302"/>
      <c r="N43" s="298"/>
      <c r="O43" s="300"/>
    </row>
    <row r="44" spans="1:15" ht="11.25" customHeight="1" x14ac:dyDescent="0.2"/>
    <row r="45" spans="1:15" x14ac:dyDescent="0.2">
      <c r="B45" s="10"/>
      <c r="C45" s="10"/>
      <c r="D45" s="10"/>
      <c r="E45" s="10"/>
      <c r="F45" s="10"/>
      <c r="G45" s="10"/>
    </row>
    <row r="46" spans="1:15" x14ac:dyDescent="0.2">
      <c r="A46" s="10" t="s">
        <v>17</v>
      </c>
      <c r="E46" s="2"/>
      <c r="I46" s="10" t="s">
        <v>13</v>
      </c>
    </row>
    <row r="47" spans="1:15" ht="34.5" customHeight="1" x14ac:dyDescent="0.2">
      <c r="A47" s="22"/>
      <c r="B47" s="22"/>
      <c r="C47" s="22"/>
      <c r="D47" s="22"/>
      <c r="E47" s="22"/>
      <c r="F47" s="22"/>
      <c r="I47" s="13"/>
      <c r="J47" s="13"/>
      <c r="K47" s="13"/>
      <c r="L47" s="13"/>
      <c r="M47" s="13"/>
      <c r="N47" s="13"/>
      <c r="O47" s="13"/>
    </row>
    <row r="49" spans="1:12" x14ac:dyDescent="0.2">
      <c r="A49" s="21" t="s">
        <v>21</v>
      </c>
      <c r="B49" s="294" t="s">
        <v>20</v>
      </c>
      <c r="C49" s="294"/>
      <c r="D49" s="294"/>
      <c r="I49" s="10" t="s">
        <v>19</v>
      </c>
      <c r="J49" s="294" t="s">
        <v>20</v>
      </c>
      <c r="K49" s="294"/>
      <c r="L49" s="294"/>
    </row>
  </sheetData>
  <mergeCells count="25">
    <mergeCell ref="E41:G41"/>
    <mergeCell ref="K41:M41"/>
    <mergeCell ref="K43:M43"/>
    <mergeCell ref="N43:O43"/>
    <mergeCell ref="B49:D49"/>
    <mergeCell ref="J49:L49"/>
    <mergeCell ref="E38:G38"/>
    <mergeCell ref="K38:M38"/>
    <mergeCell ref="E39:G39"/>
    <mergeCell ref="K39:M39"/>
    <mergeCell ref="E40:G40"/>
    <mergeCell ref="K40:M40"/>
    <mergeCell ref="E37:G37"/>
    <mergeCell ref="K37:M37"/>
    <mergeCell ref="B1:D1"/>
    <mergeCell ref="M1:O1"/>
    <mergeCell ref="B2:J2"/>
    <mergeCell ref="B3:J3"/>
    <mergeCell ref="K3:L3"/>
    <mergeCell ref="M3:O3"/>
    <mergeCell ref="B4:O4"/>
    <mergeCell ref="B8:O8"/>
    <mergeCell ref="A9:O9"/>
    <mergeCell ref="E36:G36"/>
    <mergeCell ref="K36:M36"/>
  </mergeCells>
  <pageMargins left="0.69791666666666663" right="0.55989583333333337" top="0.71875" bottom="0.75" header="0.3" footer="0.3"/>
  <pageSetup orientation="portrait" horizontalDpi="4294967293" verticalDpi="4294967293" r:id="rId1"/>
  <headerFooter>
    <oddHeader xml:space="preserve">&amp;C&amp;"Aharoni,Negrita"&amp;18ORDEN DE TRABAJO INTERNO
&amp;R&amp;"-,Negrita"N°&amp;"-,Normal"_________        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7:I27"/>
  <sheetViews>
    <sheetView topLeftCell="A5" workbookViewId="0">
      <selection activeCell="L14" sqref="L14"/>
    </sheetView>
  </sheetViews>
  <sheetFormatPr baseColWidth="10" defaultRowHeight="15" x14ac:dyDescent="0.25"/>
  <cols>
    <col min="1" max="1" width="5.42578125" customWidth="1"/>
    <col min="2" max="2" width="0.42578125" customWidth="1"/>
    <col min="3" max="3" width="50.28515625" customWidth="1"/>
    <col min="4" max="4" width="0.28515625" customWidth="1"/>
    <col min="5" max="5" width="7.42578125" customWidth="1"/>
    <col min="6" max="6" width="0.42578125" customWidth="1"/>
    <col min="7" max="7" width="11.5703125" customWidth="1"/>
    <col min="8" max="8" width="0.42578125" customWidth="1"/>
    <col min="9" max="9" width="14.28515625" customWidth="1"/>
  </cols>
  <sheetData>
    <row r="7" spans="1:9" x14ac:dyDescent="0.25">
      <c r="G7" s="25" t="s">
        <v>31</v>
      </c>
      <c r="H7" s="25"/>
      <c r="I7" s="45">
        <v>613</v>
      </c>
    </row>
    <row r="9" spans="1:9" ht="61.5" x14ac:dyDescent="0.9">
      <c r="C9" s="303" t="s">
        <v>30</v>
      </c>
      <c r="D9" s="303"/>
      <c r="E9" s="303"/>
      <c r="F9" s="303"/>
      <c r="G9" s="303"/>
      <c r="H9" s="303"/>
      <c r="I9" s="303"/>
    </row>
    <row r="10" spans="1:9" x14ac:dyDescent="0.25">
      <c r="A10" s="23" t="s">
        <v>50</v>
      </c>
      <c r="B10" s="23"/>
      <c r="C10" s="37">
        <v>4</v>
      </c>
      <c r="D10" s="26"/>
      <c r="E10" s="23" t="s">
        <v>29</v>
      </c>
      <c r="F10" s="23"/>
      <c r="G10" s="36" t="s">
        <v>55</v>
      </c>
      <c r="H10" s="26"/>
      <c r="I10" s="24" t="s">
        <v>56</v>
      </c>
    </row>
    <row r="11" spans="1:9" x14ac:dyDescent="0.25">
      <c r="A11" s="305" t="s">
        <v>57</v>
      </c>
      <c r="B11" s="305"/>
      <c r="C11" s="305"/>
      <c r="D11" s="305"/>
      <c r="E11" s="305"/>
      <c r="F11" s="305"/>
      <c r="G11" s="305"/>
      <c r="H11" s="305"/>
      <c r="I11" s="305"/>
    </row>
    <row r="12" spans="1:9" x14ac:dyDescent="0.25">
      <c r="A12" s="305" t="s">
        <v>58</v>
      </c>
      <c r="B12" s="305"/>
      <c r="C12" s="305"/>
      <c r="D12" s="305"/>
      <c r="E12" s="305"/>
      <c r="F12" s="305"/>
      <c r="G12" s="305"/>
      <c r="H12" s="305"/>
      <c r="I12" s="305"/>
    </row>
    <row r="14" spans="1:9" ht="30" customHeight="1" x14ac:dyDescent="0.25">
      <c r="A14" s="27" t="s">
        <v>22</v>
      </c>
      <c r="B14" s="30"/>
      <c r="C14" s="27" t="s">
        <v>25</v>
      </c>
      <c r="D14" s="30"/>
      <c r="E14" s="43" t="s">
        <v>23</v>
      </c>
      <c r="F14" s="30"/>
      <c r="G14" s="42" t="s">
        <v>26</v>
      </c>
      <c r="H14" s="30"/>
      <c r="I14" s="27" t="s">
        <v>54</v>
      </c>
    </row>
    <row r="15" spans="1:9" x14ac:dyDescent="0.25">
      <c r="A15" s="34">
        <v>1</v>
      </c>
      <c r="B15" s="35"/>
      <c r="C15" s="40" t="s">
        <v>59</v>
      </c>
      <c r="D15" s="35"/>
      <c r="E15" s="34">
        <v>15</v>
      </c>
      <c r="F15" s="35"/>
      <c r="G15" s="34">
        <v>6</v>
      </c>
      <c r="H15" s="35">
        <v>613</v>
      </c>
      <c r="I15" s="34">
        <v>90</v>
      </c>
    </row>
    <row r="16" spans="1:9" x14ac:dyDescent="0.25">
      <c r="A16" s="34"/>
      <c r="B16" s="35"/>
      <c r="C16" s="40"/>
      <c r="D16" s="35"/>
      <c r="E16" s="34"/>
      <c r="F16" s="35"/>
      <c r="G16" s="34"/>
      <c r="H16" s="35">
        <v>563</v>
      </c>
      <c r="I16" s="34"/>
    </row>
    <row r="17" spans="1:9" x14ac:dyDescent="0.25">
      <c r="A17" s="34"/>
      <c r="B17" s="35"/>
      <c r="C17" s="40"/>
      <c r="D17" s="35"/>
      <c r="E17" s="34"/>
      <c r="F17" s="35"/>
      <c r="G17" s="34"/>
      <c r="H17" s="35">
        <v>315</v>
      </c>
      <c r="I17" s="34"/>
    </row>
    <row r="18" spans="1:9" x14ac:dyDescent="0.25">
      <c r="A18" s="34"/>
      <c r="B18" s="35"/>
      <c r="C18" s="40"/>
      <c r="D18" s="35"/>
      <c r="E18" s="34"/>
      <c r="F18" s="35"/>
      <c r="G18" s="34"/>
      <c r="H18" s="35">
        <v>351</v>
      </c>
      <c r="I18" s="34"/>
    </row>
    <row r="19" spans="1:9" x14ac:dyDescent="0.25">
      <c r="A19" s="34"/>
      <c r="B19" s="35"/>
      <c r="C19" s="40"/>
      <c r="D19" s="35"/>
      <c r="E19" s="34"/>
      <c r="F19" s="35"/>
      <c r="G19" s="34"/>
      <c r="H19" s="35"/>
      <c r="I19" s="34"/>
    </row>
    <row r="20" spans="1:9" ht="15.75" thickBot="1" x14ac:dyDescent="0.3">
      <c r="A20" s="34"/>
      <c r="B20" s="35"/>
      <c r="C20" s="40"/>
      <c r="D20" s="35"/>
      <c r="E20" s="34"/>
      <c r="F20" s="35"/>
      <c r="G20" s="38"/>
      <c r="H20" s="35"/>
      <c r="I20" s="34"/>
    </row>
    <row r="21" spans="1:9" ht="30.75" customHeight="1" thickBot="1" x14ac:dyDescent="0.3">
      <c r="A21" s="29"/>
      <c r="B21" s="31"/>
      <c r="C21" s="41"/>
      <c r="D21" s="31"/>
      <c r="E21" s="29"/>
      <c r="F21" s="31"/>
      <c r="G21" s="44" t="s">
        <v>24</v>
      </c>
      <c r="H21" s="33"/>
      <c r="I21" s="39">
        <f>SUM(I15:I20)</f>
        <v>90</v>
      </c>
    </row>
    <row r="22" spans="1:9" x14ac:dyDescent="0.25">
      <c r="A22" s="28" t="s">
        <v>32</v>
      </c>
      <c r="B22" s="28"/>
      <c r="H22" s="32"/>
    </row>
    <row r="23" spans="1:9" x14ac:dyDescent="0.25">
      <c r="A23" s="28" t="s">
        <v>33</v>
      </c>
      <c r="B23" s="28"/>
    </row>
    <row r="24" spans="1:9" x14ac:dyDescent="0.25">
      <c r="A24" s="28" t="s">
        <v>27</v>
      </c>
      <c r="B24" s="28"/>
    </row>
    <row r="25" spans="1:9" x14ac:dyDescent="0.25">
      <c r="A25" s="28" t="s">
        <v>34</v>
      </c>
      <c r="B25" s="28"/>
    </row>
    <row r="26" spans="1:9" x14ac:dyDescent="0.25">
      <c r="A26" s="304" t="s">
        <v>28</v>
      </c>
      <c r="B26" s="304"/>
      <c r="C26" s="304"/>
      <c r="D26" s="304"/>
      <c r="E26" s="304"/>
      <c r="F26" s="304"/>
      <c r="G26" s="304"/>
      <c r="H26" s="304"/>
      <c r="I26" s="304"/>
    </row>
    <row r="27" spans="1:9" x14ac:dyDescent="0.25">
      <c r="A27" s="304"/>
      <c r="B27" s="304"/>
      <c r="C27" s="304"/>
      <c r="D27" s="304"/>
      <c r="E27" s="304"/>
      <c r="F27" s="304"/>
      <c r="G27" s="304"/>
      <c r="H27" s="304"/>
      <c r="I27" s="304"/>
    </row>
  </sheetData>
  <mergeCells count="4">
    <mergeCell ref="C9:I9"/>
    <mergeCell ref="A26:I27"/>
    <mergeCell ref="A11:I11"/>
    <mergeCell ref="A12:I12"/>
  </mergeCell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B3:G43"/>
  <sheetViews>
    <sheetView zoomScale="50" zoomScaleNormal="50" workbookViewId="0">
      <selection activeCell="I46" sqref="I46"/>
    </sheetView>
  </sheetViews>
  <sheetFormatPr baseColWidth="10" defaultRowHeight="15" x14ac:dyDescent="0.25"/>
  <cols>
    <col min="1" max="1" width="13.7109375" customWidth="1"/>
    <col min="2" max="2" width="8.85546875" customWidth="1"/>
    <col min="3" max="3" width="9.85546875" customWidth="1"/>
    <col min="6" max="6" width="13.42578125" customWidth="1"/>
  </cols>
  <sheetData>
    <row r="3" spans="2:7" ht="36" x14ac:dyDescent="0.55000000000000004">
      <c r="B3" s="48"/>
      <c r="C3" s="52"/>
      <c r="D3" s="66" t="s">
        <v>37</v>
      </c>
      <c r="E3" s="47"/>
      <c r="F3" s="47"/>
      <c r="G3" s="47"/>
    </row>
    <row r="4" spans="2:7" x14ac:dyDescent="0.25">
      <c r="D4" s="46"/>
    </row>
    <row r="5" spans="2:7" x14ac:dyDescent="0.25">
      <c r="B5" s="53" t="s">
        <v>35</v>
      </c>
      <c r="C5" s="54"/>
      <c r="D5" s="54"/>
      <c r="E5" s="54"/>
      <c r="F5" s="54"/>
    </row>
    <row r="6" spans="2:7" x14ac:dyDescent="0.25">
      <c r="B6" s="55" t="s">
        <v>36</v>
      </c>
      <c r="C6" s="56"/>
      <c r="D6" s="56"/>
      <c r="E6" s="56"/>
      <c r="F6" s="56"/>
    </row>
    <row r="7" spans="2:7" ht="15.75" thickBot="1" x14ac:dyDescent="0.3"/>
    <row r="8" spans="2:7" ht="31.5" customHeight="1" thickBot="1" x14ac:dyDescent="0.3">
      <c r="B8" s="60" t="s">
        <v>11</v>
      </c>
      <c r="C8" s="306" t="s">
        <v>38</v>
      </c>
      <c r="D8" s="307"/>
      <c r="E8" s="308"/>
      <c r="F8" s="61" t="s">
        <v>39</v>
      </c>
    </row>
    <row r="9" spans="2:7" x14ac:dyDescent="0.25">
      <c r="B9" s="62"/>
      <c r="C9" s="57"/>
      <c r="D9" s="57"/>
      <c r="E9" s="57"/>
      <c r="F9" s="65"/>
    </row>
    <row r="10" spans="2:7" ht="14.25" customHeight="1" x14ac:dyDescent="0.25">
      <c r="B10" s="63"/>
      <c r="C10" s="58"/>
      <c r="D10" s="58"/>
      <c r="E10" s="58"/>
      <c r="F10" s="63"/>
    </row>
    <row r="11" spans="2:7" x14ac:dyDescent="0.25">
      <c r="B11" s="63"/>
      <c r="C11" s="58"/>
      <c r="D11" s="58"/>
      <c r="E11" s="58"/>
      <c r="F11" s="63"/>
    </row>
    <row r="12" spans="2:7" x14ac:dyDescent="0.25">
      <c r="B12" s="63"/>
      <c r="C12" s="58"/>
      <c r="D12" s="58"/>
      <c r="E12" s="58"/>
      <c r="F12" s="63"/>
    </row>
    <row r="13" spans="2:7" x14ac:dyDescent="0.25">
      <c r="B13" s="63"/>
      <c r="C13" s="58"/>
      <c r="D13" s="58"/>
      <c r="E13" s="58"/>
      <c r="F13" s="63"/>
    </row>
    <row r="14" spans="2:7" x14ac:dyDescent="0.25">
      <c r="B14" s="63"/>
      <c r="C14" s="58"/>
      <c r="D14" s="58"/>
      <c r="E14" s="58"/>
      <c r="F14" s="63"/>
    </row>
    <row r="15" spans="2:7" ht="15.75" thickBot="1" x14ac:dyDescent="0.3">
      <c r="B15" s="64"/>
      <c r="C15" s="59"/>
      <c r="D15" s="59"/>
      <c r="E15" s="59"/>
      <c r="F15" s="64"/>
    </row>
    <row r="17" spans="2:7" x14ac:dyDescent="0.25">
      <c r="B17" s="53" t="s">
        <v>41</v>
      </c>
      <c r="C17" s="53"/>
      <c r="D17" s="53"/>
      <c r="E17" s="70"/>
      <c r="F17" s="70" t="s">
        <v>43</v>
      </c>
    </row>
    <row r="18" spans="2:7" ht="15.75" customHeight="1" x14ac:dyDescent="0.25">
      <c r="B18" s="68"/>
      <c r="C18" s="68"/>
      <c r="D18" s="68"/>
      <c r="E18" s="69"/>
      <c r="F18" s="69"/>
    </row>
    <row r="19" spans="2:7" x14ac:dyDescent="0.25">
      <c r="B19" s="53" t="s">
        <v>42</v>
      </c>
      <c r="C19" s="53"/>
      <c r="D19" s="53"/>
      <c r="E19" s="53"/>
      <c r="F19" s="53"/>
    </row>
    <row r="20" spans="2:7" x14ac:dyDescent="0.25">
      <c r="B20" s="68"/>
      <c r="C20" s="68"/>
      <c r="D20" s="68"/>
      <c r="E20" s="55"/>
      <c r="F20" s="55"/>
    </row>
    <row r="21" spans="2:7" x14ac:dyDescent="0.25">
      <c r="B21" s="68"/>
      <c r="C21" s="68"/>
      <c r="D21" s="68"/>
      <c r="E21" s="309" t="s">
        <v>40</v>
      </c>
      <c r="F21" s="309"/>
    </row>
    <row r="25" spans="2:7" ht="36" x14ac:dyDescent="0.55000000000000004">
      <c r="B25" s="48"/>
      <c r="C25" s="52"/>
      <c r="D25" s="66" t="s">
        <v>37</v>
      </c>
      <c r="E25" s="47"/>
      <c r="F25" s="47"/>
      <c r="G25" s="47"/>
    </row>
    <row r="26" spans="2:7" x14ac:dyDescent="0.25">
      <c r="D26" s="46"/>
    </row>
    <row r="27" spans="2:7" x14ac:dyDescent="0.25">
      <c r="B27" s="53" t="s">
        <v>35</v>
      </c>
      <c r="C27" s="54"/>
      <c r="D27" s="54"/>
      <c r="E27" s="54"/>
      <c r="F27" s="54"/>
    </row>
    <row r="28" spans="2:7" x14ac:dyDescent="0.25">
      <c r="B28" s="55" t="s">
        <v>36</v>
      </c>
      <c r="C28" s="56"/>
      <c r="D28" s="56"/>
      <c r="E28" s="56"/>
      <c r="F28" s="56"/>
    </row>
    <row r="29" spans="2:7" ht="15.75" thickBot="1" x14ac:dyDescent="0.3"/>
    <row r="30" spans="2:7" ht="27.75" customHeight="1" thickBot="1" x14ac:dyDescent="0.3">
      <c r="B30" s="60" t="s">
        <v>11</v>
      </c>
      <c r="C30" s="306" t="s">
        <v>38</v>
      </c>
      <c r="D30" s="307"/>
      <c r="E30" s="308"/>
      <c r="F30" s="61" t="s">
        <v>39</v>
      </c>
    </row>
    <row r="31" spans="2:7" x14ac:dyDescent="0.25">
      <c r="B31" s="62"/>
      <c r="C31" s="57"/>
      <c r="D31" s="57"/>
      <c r="E31" s="57"/>
      <c r="F31" s="65"/>
    </row>
    <row r="32" spans="2:7" x14ac:dyDescent="0.25">
      <c r="B32" s="63"/>
      <c r="C32" s="58"/>
      <c r="D32" s="58"/>
      <c r="E32" s="58"/>
      <c r="F32" s="63"/>
    </row>
    <row r="33" spans="2:6" x14ac:dyDescent="0.25">
      <c r="B33" s="63"/>
      <c r="C33" s="58"/>
      <c r="D33" s="58"/>
      <c r="E33" s="58"/>
      <c r="F33" s="63"/>
    </row>
    <row r="34" spans="2:6" x14ac:dyDescent="0.25">
      <c r="B34" s="63"/>
      <c r="C34" s="58"/>
      <c r="D34" s="58"/>
      <c r="E34" s="58"/>
      <c r="F34" s="63"/>
    </row>
    <row r="35" spans="2:6" x14ac:dyDescent="0.25">
      <c r="B35" s="63"/>
      <c r="C35" s="58"/>
      <c r="D35" s="58"/>
      <c r="E35" s="58"/>
      <c r="F35" s="63"/>
    </row>
    <row r="36" spans="2:6" x14ac:dyDescent="0.25">
      <c r="B36" s="63"/>
      <c r="C36" s="58"/>
      <c r="D36" s="58"/>
      <c r="E36" s="58"/>
      <c r="F36" s="63"/>
    </row>
    <row r="37" spans="2:6" ht="0.75" customHeight="1" thickBot="1" x14ac:dyDescent="0.3">
      <c r="B37" s="64"/>
      <c r="C37" s="59"/>
      <c r="D37" s="59"/>
      <c r="E37" s="59"/>
      <c r="F37" s="64"/>
    </row>
    <row r="39" spans="2:6" x14ac:dyDescent="0.25">
      <c r="B39" s="53" t="s">
        <v>41</v>
      </c>
      <c r="C39" s="53"/>
      <c r="D39" s="53"/>
      <c r="E39" s="70"/>
      <c r="F39" s="70" t="s">
        <v>43</v>
      </c>
    </row>
    <row r="40" spans="2:6" x14ac:dyDescent="0.25">
      <c r="B40" s="68"/>
      <c r="C40" s="68"/>
      <c r="D40" s="68"/>
      <c r="E40" s="69"/>
      <c r="F40" s="69"/>
    </row>
    <row r="41" spans="2:6" x14ac:dyDescent="0.25">
      <c r="B41" s="53" t="s">
        <v>42</v>
      </c>
      <c r="C41" s="53"/>
      <c r="D41" s="53"/>
      <c r="E41" s="53"/>
      <c r="F41" s="53"/>
    </row>
    <row r="42" spans="2:6" x14ac:dyDescent="0.25">
      <c r="B42" s="68"/>
      <c r="C42" s="68"/>
      <c r="D42" s="68"/>
      <c r="E42" s="55"/>
      <c r="F42" s="55"/>
    </row>
    <row r="43" spans="2:6" x14ac:dyDescent="0.25">
      <c r="B43" s="68"/>
      <c r="C43" s="68"/>
      <c r="D43" s="68"/>
      <c r="E43" s="309" t="s">
        <v>40</v>
      </c>
      <c r="F43" s="309"/>
    </row>
  </sheetData>
  <mergeCells count="4">
    <mergeCell ref="C8:E8"/>
    <mergeCell ref="E21:F21"/>
    <mergeCell ref="E43:F43"/>
    <mergeCell ref="C30:E30"/>
  </mergeCell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3:G16"/>
  <sheetViews>
    <sheetView topLeftCell="A4" workbookViewId="0">
      <selection activeCell="G21" sqref="G21:G22"/>
    </sheetView>
  </sheetViews>
  <sheetFormatPr baseColWidth="10" defaultRowHeight="15" x14ac:dyDescent="0.25"/>
  <cols>
    <col min="1" max="1" width="5" customWidth="1"/>
    <col min="2" max="2" width="7.28515625" customWidth="1"/>
    <col min="3" max="3" width="13.42578125" customWidth="1"/>
  </cols>
  <sheetData>
    <row r="3" spans="2:7" ht="31.5" x14ac:dyDescent="0.25">
      <c r="B3" s="314" t="s">
        <v>44</v>
      </c>
      <c r="C3" s="314"/>
      <c r="D3" s="314"/>
      <c r="E3" s="314"/>
      <c r="F3" s="314"/>
      <c r="G3" s="314"/>
    </row>
    <row r="4" spans="2:7" ht="18.75" x14ac:dyDescent="0.3">
      <c r="B4" s="315" t="s">
        <v>45</v>
      </c>
      <c r="C4" s="315"/>
      <c r="D4" s="315"/>
      <c r="E4" s="315"/>
      <c r="F4" s="315"/>
      <c r="G4" s="315"/>
    </row>
    <row r="5" spans="2:7" ht="18.75" x14ac:dyDescent="0.3">
      <c r="D5" s="71"/>
      <c r="E5" s="71"/>
      <c r="F5" s="71"/>
      <c r="G5" s="71"/>
    </row>
    <row r="6" spans="2:7" x14ac:dyDescent="0.25">
      <c r="B6" s="51" t="s">
        <v>51</v>
      </c>
      <c r="C6" s="49"/>
      <c r="D6" s="58"/>
      <c r="E6" s="58"/>
      <c r="F6" s="58"/>
      <c r="G6" s="58"/>
    </row>
    <row r="7" spans="2:7" x14ac:dyDescent="0.25">
      <c r="B7" s="51" t="s">
        <v>52</v>
      </c>
      <c r="C7" s="50"/>
      <c r="D7" s="49"/>
      <c r="E7" s="49"/>
      <c r="F7" s="49"/>
      <c r="G7" s="49"/>
    </row>
    <row r="8" spans="2:7" ht="15.75" thickBot="1" x14ac:dyDescent="0.3">
      <c r="C8" s="67"/>
    </row>
    <row r="9" spans="2:7" ht="15.75" thickBot="1" x14ac:dyDescent="0.3">
      <c r="B9" s="72" t="s">
        <v>49</v>
      </c>
      <c r="C9" s="310" t="s">
        <v>46</v>
      </c>
      <c r="D9" s="311"/>
      <c r="E9" s="311"/>
      <c r="F9" s="312"/>
      <c r="G9" s="72" t="s">
        <v>47</v>
      </c>
    </row>
    <row r="10" spans="2:7" ht="15.75" thickBot="1" x14ac:dyDescent="0.3">
      <c r="B10" s="73"/>
      <c r="C10" s="310"/>
      <c r="D10" s="311"/>
      <c r="E10" s="311"/>
      <c r="F10" s="312"/>
      <c r="G10" s="73"/>
    </row>
    <row r="11" spans="2:7" ht="30" customHeight="1" x14ac:dyDescent="0.25">
      <c r="B11" s="74">
        <v>1</v>
      </c>
      <c r="C11" s="316" t="s">
        <v>53</v>
      </c>
      <c r="D11" s="317"/>
      <c r="E11" s="317"/>
      <c r="F11" s="318"/>
      <c r="G11" s="74">
        <v>6</v>
      </c>
    </row>
    <row r="12" spans="2:7" ht="45.75" customHeight="1" thickBot="1" x14ac:dyDescent="0.3">
      <c r="B12" s="75"/>
      <c r="C12" s="319"/>
      <c r="D12" s="320"/>
      <c r="E12" s="320"/>
      <c r="F12" s="321"/>
      <c r="G12" s="75"/>
    </row>
    <row r="16" spans="2:7" x14ac:dyDescent="0.25">
      <c r="F16" s="313" t="s">
        <v>48</v>
      </c>
      <c r="G16" s="313"/>
    </row>
  </sheetData>
  <mergeCells count="7">
    <mergeCell ref="C9:F9"/>
    <mergeCell ref="F16:G16"/>
    <mergeCell ref="B3:G3"/>
    <mergeCell ref="B4:G4"/>
    <mergeCell ref="C11:F11"/>
    <mergeCell ref="C10:F10"/>
    <mergeCell ref="C12:F12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rgb="FFFF0000"/>
  </sheetPr>
  <dimension ref="A1:P76"/>
  <sheetViews>
    <sheetView zoomScale="90" zoomScaleNormal="90" zoomScalePageLayoutView="85" workbookViewId="0">
      <pane ySplit="2" topLeftCell="A74" activePane="bottomLeft" state="frozen"/>
      <selection pane="bottomLeft" activeCell="L62" sqref="L62"/>
    </sheetView>
  </sheetViews>
  <sheetFormatPr baseColWidth="10" defaultColWidth="11.42578125" defaultRowHeight="15.75" x14ac:dyDescent="0.25"/>
  <cols>
    <col min="1" max="1" width="11.42578125" style="146"/>
    <col min="2" max="2" width="16.85546875" style="173" customWidth="1"/>
    <col min="3" max="3" width="11.42578125" style="173"/>
    <col min="4" max="4" width="2.140625" style="173" customWidth="1"/>
    <col min="5" max="5" width="13" style="173" customWidth="1"/>
    <col min="6" max="6" width="14.5703125" style="173" customWidth="1"/>
    <col min="7" max="7" width="20.28515625" style="173" customWidth="1"/>
    <col min="8" max="8" width="8.28515625" style="173" customWidth="1"/>
    <col min="9" max="9" width="13.140625" style="173" customWidth="1"/>
    <col min="10" max="10" width="14.85546875" style="173" customWidth="1"/>
    <col min="11" max="11" width="14.140625" style="173" customWidth="1"/>
    <col min="12" max="13" width="17.140625" style="173" customWidth="1"/>
    <col min="14" max="15" width="11.42578125" style="145"/>
    <col min="16" max="16" width="0" style="145" hidden="1" customWidth="1"/>
    <col min="17" max="16384" width="11.42578125" style="145"/>
  </cols>
  <sheetData>
    <row r="1" spans="1:14" s="322" customFormat="1" ht="39.950000000000003" customHeight="1" x14ac:dyDescent="0.25">
      <c r="A1" s="323"/>
      <c r="B1" s="324" t="s">
        <v>181</v>
      </c>
      <c r="C1" s="325"/>
      <c r="D1" s="325"/>
      <c r="E1" s="326"/>
      <c r="F1" s="330">
        <f ca="1">IF(K13="EXTERNO",L69/0.84,IF(K13="INTERNO",L67))</f>
        <v>9360.3880352396445</v>
      </c>
      <c r="G1" s="331"/>
      <c r="H1" s="334">
        <f>+L74</f>
        <v>9500</v>
      </c>
      <c r="I1" s="335"/>
      <c r="J1" s="254">
        <f ca="1">H1-F1</f>
        <v>139.61196476035548</v>
      </c>
    </row>
    <row r="2" spans="1:14" s="322" customFormat="1" ht="15.75" customHeight="1" x14ac:dyDescent="0.25">
      <c r="A2" s="323"/>
      <c r="B2" s="327"/>
      <c r="C2" s="328"/>
      <c r="D2" s="328"/>
      <c r="E2" s="329"/>
      <c r="F2" s="332" t="s">
        <v>187</v>
      </c>
      <c r="G2" s="333"/>
      <c r="H2" s="332" t="s">
        <v>186</v>
      </c>
      <c r="I2" s="336"/>
      <c r="J2" s="253" t="s">
        <v>188</v>
      </c>
    </row>
    <row r="3" spans="1:14" s="251" customFormat="1" ht="15" x14ac:dyDescent="0.25"/>
    <row r="4" spans="1:14" ht="28.5" x14ac:dyDescent="0.25">
      <c r="A4" s="145"/>
      <c r="B4" s="353" t="s">
        <v>112</v>
      </c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</row>
    <row r="5" spans="1:14" ht="28.5" x14ac:dyDescent="0.25">
      <c r="A5" s="145"/>
      <c r="B5" s="353" t="s">
        <v>184</v>
      </c>
      <c r="C5" s="353"/>
      <c r="D5" s="353"/>
      <c r="E5" s="353"/>
      <c r="F5" s="353"/>
      <c r="G5" s="353"/>
      <c r="H5" s="353"/>
      <c r="I5" s="353"/>
      <c r="J5" s="353"/>
      <c r="K5" s="353"/>
      <c r="L5" s="353"/>
      <c r="M5" s="353"/>
    </row>
    <row r="6" spans="1:14" ht="28.5" x14ac:dyDescent="0.25">
      <c r="A6" s="145"/>
      <c r="B6" s="175"/>
      <c r="C6" s="175"/>
      <c r="D6" s="175"/>
      <c r="E6" s="175"/>
      <c r="F6" s="175"/>
      <c r="G6" s="175"/>
      <c r="H6" s="147"/>
      <c r="I6" s="175"/>
      <c r="J6" s="175"/>
      <c r="K6" s="175"/>
      <c r="L6" s="175"/>
      <c r="M6" s="175"/>
    </row>
    <row r="7" spans="1:14" ht="30" customHeight="1" x14ac:dyDescent="0.25">
      <c r="A7" s="174" t="s">
        <v>99</v>
      </c>
      <c r="B7" s="349" t="s">
        <v>1</v>
      </c>
      <c r="C7" s="349"/>
      <c r="D7" s="355" t="s">
        <v>193</v>
      </c>
      <c r="E7" s="355"/>
      <c r="F7" s="355"/>
      <c r="G7" s="355"/>
      <c r="H7" s="176" t="s">
        <v>100</v>
      </c>
      <c r="I7" s="349" t="s">
        <v>97</v>
      </c>
      <c r="J7" s="349"/>
      <c r="K7" s="346"/>
      <c r="L7" s="346"/>
      <c r="M7" s="346"/>
      <c r="N7" s="227"/>
    </row>
    <row r="8" spans="1:14" ht="18.75" x14ac:dyDescent="0.25">
      <c r="A8" s="148"/>
      <c r="B8" s="180"/>
      <c r="C8" s="180"/>
      <c r="D8" s="180"/>
      <c r="E8" s="180"/>
      <c r="F8" s="180"/>
      <c r="G8" s="180"/>
      <c r="H8" s="149"/>
      <c r="I8" s="180"/>
      <c r="J8" s="180"/>
      <c r="K8" s="180"/>
      <c r="L8" s="180"/>
      <c r="M8" s="180"/>
    </row>
    <row r="9" spans="1:14" ht="75.75" customHeight="1" x14ac:dyDescent="0.25">
      <c r="A9" s="174" t="s">
        <v>101</v>
      </c>
      <c r="B9" s="347" t="s">
        <v>102</v>
      </c>
      <c r="C9" s="347"/>
      <c r="D9" s="356"/>
      <c r="E9" s="357"/>
      <c r="F9" s="357"/>
      <c r="G9" s="357"/>
      <c r="H9" s="176" t="s">
        <v>107</v>
      </c>
      <c r="I9" s="349" t="s">
        <v>106</v>
      </c>
      <c r="J9" s="349"/>
      <c r="K9" s="354" t="s">
        <v>199</v>
      </c>
      <c r="L9" s="354"/>
      <c r="M9" s="354"/>
      <c r="N9" s="227"/>
    </row>
    <row r="10" spans="1:14" ht="18.75" x14ac:dyDescent="0.25">
      <c r="A10" s="148"/>
      <c r="B10" s="180"/>
      <c r="C10" s="180"/>
      <c r="D10" s="180"/>
      <c r="E10" s="180"/>
      <c r="F10" s="180"/>
      <c r="G10" s="180"/>
      <c r="H10" s="149"/>
      <c r="I10" s="180"/>
      <c r="J10" s="180"/>
      <c r="K10" s="180"/>
      <c r="L10" s="180"/>
      <c r="M10" s="180"/>
    </row>
    <row r="11" spans="1:14" ht="37.5" customHeight="1" x14ac:dyDescent="0.25">
      <c r="A11" s="174" t="s">
        <v>109</v>
      </c>
      <c r="B11" s="347" t="s">
        <v>103</v>
      </c>
      <c r="C11" s="347"/>
      <c r="D11" s="345">
        <v>43343</v>
      </c>
      <c r="E11" s="345"/>
      <c r="F11" s="345"/>
      <c r="G11" s="345"/>
      <c r="H11" s="176" t="s">
        <v>110</v>
      </c>
      <c r="I11" s="347" t="s">
        <v>104</v>
      </c>
      <c r="J11" s="347"/>
      <c r="K11" s="345">
        <v>43319</v>
      </c>
      <c r="L11" s="346"/>
      <c r="M11" s="346"/>
      <c r="N11" s="227"/>
    </row>
    <row r="12" spans="1:14" s="228" customFormat="1" ht="19.5" customHeight="1" x14ac:dyDescent="0.3">
      <c r="A12" s="150"/>
      <c r="B12" s="186"/>
      <c r="C12" s="191"/>
      <c r="D12" s="192"/>
      <c r="E12" s="193"/>
      <c r="F12" s="185"/>
      <c r="G12" s="194"/>
      <c r="H12" s="152"/>
      <c r="I12" s="185"/>
      <c r="J12" s="185"/>
      <c r="K12" s="186"/>
      <c r="L12" s="187"/>
      <c r="M12" s="188"/>
    </row>
    <row r="13" spans="1:14" s="228" customFormat="1" ht="27" customHeight="1" x14ac:dyDescent="0.3">
      <c r="A13" s="177" t="s">
        <v>111</v>
      </c>
      <c r="B13" s="347" t="s">
        <v>105</v>
      </c>
      <c r="C13" s="347"/>
      <c r="D13" s="347"/>
      <c r="E13" s="348">
        <v>30</v>
      </c>
      <c r="F13" s="348"/>
      <c r="G13" s="179"/>
      <c r="H13" s="242">
        <v>1.8</v>
      </c>
      <c r="I13" s="349" t="s">
        <v>108</v>
      </c>
      <c r="J13" s="349"/>
      <c r="K13" s="350" t="s">
        <v>182</v>
      </c>
      <c r="L13" s="350"/>
      <c r="M13" s="178"/>
    </row>
    <row r="14" spans="1:14" s="241" customFormat="1" ht="27" customHeight="1" x14ac:dyDescent="0.3">
      <c r="A14" s="177"/>
      <c r="B14" s="235"/>
      <c r="C14" s="244"/>
      <c r="D14" s="235"/>
      <c r="E14" s="243"/>
      <c r="F14" s="243"/>
      <c r="G14" s="236"/>
      <c r="H14" s="237"/>
      <c r="I14" s="238"/>
      <c r="J14" s="238"/>
      <c r="K14" s="239"/>
      <c r="L14" s="239"/>
      <c r="M14" s="240"/>
    </row>
    <row r="15" spans="1:14" s="228" customFormat="1" ht="27" customHeight="1" x14ac:dyDescent="0.3">
      <c r="A15" s="177">
        <v>1.9</v>
      </c>
      <c r="B15" s="341" t="s">
        <v>183</v>
      </c>
      <c r="C15" s="341"/>
      <c r="D15" s="342"/>
      <c r="E15" s="343" t="s">
        <v>192</v>
      </c>
      <c r="F15" s="344"/>
      <c r="G15" s="179"/>
      <c r="H15" s="255">
        <v>1.1000000000000001</v>
      </c>
      <c r="I15" s="351" t="s">
        <v>189</v>
      </c>
      <c r="J15" s="351"/>
      <c r="K15" s="352" t="s">
        <v>190</v>
      </c>
      <c r="L15" s="352"/>
      <c r="M15" s="178"/>
    </row>
    <row r="16" spans="1:14" s="228" customFormat="1" ht="27" customHeight="1" x14ac:dyDescent="0.3">
      <c r="A16" s="150"/>
      <c r="B16" s="195"/>
      <c r="C16" s="195"/>
      <c r="D16" s="195"/>
      <c r="E16" s="196"/>
      <c r="F16" s="196"/>
      <c r="G16" s="152"/>
      <c r="H16" s="153"/>
      <c r="I16" s="189"/>
      <c r="J16" s="189"/>
      <c r="K16" s="190"/>
      <c r="L16" s="190"/>
      <c r="M16" s="154"/>
    </row>
    <row r="17" spans="1:16" s="228" customFormat="1" ht="27" customHeight="1" x14ac:dyDescent="0.25">
      <c r="A17" s="150">
        <v>2</v>
      </c>
      <c r="B17" s="340" t="s">
        <v>174</v>
      </c>
      <c r="C17" s="340"/>
      <c r="D17" s="340"/>
      <c r="E17" s="340"/>
      <c r="F17" s="340"/>
      <c r="G17" s="340"/>
      <c r="H17" s="340"/>
      <c r="I17" s="151"/>
      <c r="J17" s="151"/>
      <c r="K17" s="155"/>
      <c r="L17" s="155"/>
    </row>
    <row r="18" spans="1:16" s="228" customFormat="1" ht="12.75" customHeight="1" x14ac:dyDescent="0.3">
      <c r="A18" s="150"/>
      <c r="B18" s="182"/>
      <c r="C18" s="182"/>
      <c r="D18" s="182"/>
      <c r="E18" s="197"/>
      <c r="F18" s="197"/>
      <c r="G18" s="181"/>
      <c r="H18" s="198"/>
      <c r="I18" s="184"/>
      <c r="J18" s="184"/>
      <c r="K18" s="199"/>
      <c r="L18" s="199"/>
      <c r="M18" s="154"/>
    </row>
    <row r="19" spans="1:16" s="228" customFormat="1" ht="27" customHeight="1" x14ac:dyDescent="0.25">
      <c r="A19" s="174" t="s">
        <v>169</v>
      </c>
      <c r="B19" s="358" t="s">
        <v>116</v>
      </c>
      <c r="C19" s="359"/>
      <c r="D19" s="359"/>
      <c r="E19" s="359"/>
      <c r="F19" s="258" t="s">
        <v>118</v>
      </c>
      <c r="G19" s="259" t="s">
        <v>66</v>
      </c>
      <c r="H19" s="360" t="s">
        <v>117</v>
      </c>
      <c r="I19" s="361"/>
      <c r="J19" s="260" t="s">
        <v>67</v>
      </c>
      <c r="K19" s="362" t="s">
        <v>70</v>
      </c>
      <c r="L19" s="363"/>
    </row>
    <row r="20" spans="1:16" s="228" customFormat="1" ht="27" customHeight="1" x14ac:dyDescent="0.25">
      <c r="A20" s="174"/>
      <c r="B20" s="364" t="s">
        <v>120</v>
      </c>
      <c r="C20" s="365"/>
      <c r="D20" s="365"/>
      <c r="E20" s="366"/>
      <c r="F20" s="137" t="s">
        <v>92</v>
      </c>
      <c r="G20" s="252">
        <v>0</v>
      </c>
      <c r="H20" s="367">
        <v>1</v>
      </c>
      <c r="I20" s="368"/>
      <c r="J20" s="264">
        <f>IF(F20="HRS",Hoja2!C18,IF('Estado de costos'!F20="DIAS",Hoja2!D18))</f>
        <v>27</v>
      </c>
      <c r="K20" s="369">
        <f>+J20*G20*H20</f>
        <v>0</v>
      </c>
      <c r="L20" s="370"/>
    </row>
    <row r="21" spans="1:16" s="228" customFormat="1" ht="27" customHeight="1" x14ac:dyDescent="0.25">
      <c r="A21" s="174"/>
      <c r="B21" s="364" t="s">
        <v>173</v>
      </c>
      <c r="C21" s="365"/>
      <c r="D21" s="365"/>
      <c r="E21" s="366"/>
      <c r="F21" s="137" t="s">
        <v>92</v>
      </c>
      <c r="G21" s="252">
        <v>0</v>
      </c>
      <c r="H21" s="378">
        <v>1</v>
      </c>
      <c r="I21" s="379"/>
      <c r="J21" s="264">
        <f>IF(F21="HRS",Hoja2!C19,IF('Estado de costos'!F21="DIAS",Hoja2!D19))</f>
        <v>15</v>
      </c>
      <c r="K21" s="369">
        <f t="shared" ref="K21:K23" si="0">+J21*G21*H21</f>
        <v>0</v>
      </c>
      <c r="L21" s="370"/>
    </row>
    <row r="22" spans="1:16" s="228" customFormat="1" ht="27" customHeight="1" x14ac:dyDescent="0.25">
      <c r="A22" s="174"/>
      <c r="B22" s="364" t="s">
        <v>122</v>
      </c>
      <c r="C22" s="365"/>
      <c r="D22" s="365"/>
      <c r="E22" s="366"/>
      <c r="F22" s="137" t="s">
        <v>92</v>
      </c>
      <c r="G22" s="252">
        <v>0</v>
      </c>
      <c r="H22" s="380">
        <v>1</v>
      </c>
      <c r="I22" s="381"/>
      <c r="J22" s="264">
        <f>IF(F22="HRS",Hoja2!C20,IF('Estado de costos'!F22="DIAS",Hoja2!D20))</f>
        <v>28</v>
      </c>
      <c r="K22" s="369">
        <f t="shared" si="0"/>
        <v>0</v>
      </c>
      <c r="L22" s="370"/>
    </row>
    <row r="23" spans="1:16" s="228" customFormat="1" ht="27" customHeight="1" x14ac:dyDescent="0.25">
      <c r="A23" s="174"/>
      <c r="B23" s="364" t="s">
        <v>123</v>
      </c>
      <c r="C23" s="365"/>
      <c r="D23" s="365"/>
      <c r="E23" s="366"/>
      <c r="F23" s="137" t="s">
        <v>92</v>
      </c>
      <c r="G23" s="252">
        <v>0</v>
      </c>
      <c r="H23" s="380">
        <v>2</v>
      </c>
      <c r="I23" s="381"/>
      <c r="J23" s="264">
        <f>IF(F23="HRS",Hoja2!C21,IF('Estado de costos'!F23="DIAS",Hoja2!D21))</f>
        <v>16</v>
      </c>
      <c r="K23" s="369">
        <f t="shared" si="0"/>
        <v>0</v>
      </c>
      <c r="L23" s="370"/>
    </row>
    <row r="24" spans="1:16" s="228" customFormat="1" ht="27" customHeight="1" x14ac:dyDescent="0.25">
      <c r="A24" s="174"/>
      <c r="B24" s="371" t="s">
        <v>170</v>
      </c>
      <c r="C24" s="372"/>
      <c r="D24" s="372"/>
      <c r="E24" s="372"/>
      <c r="F24" s="261"/>
      <c r="G24" s="262">
        <f>SUM(G20:I23)</f>
        <v>5</v>
      </c>
      <c r="H24" s="373">
        <f>+SUM(H20:I23)</f>
        <v>5</v>
      </c>
      <c r="I24" s="374"/>
      <c r="J24" s="263">
        <f>SUM(J20:J23)</f>
        <v>86</v>
      </c>
      <c r="K24" s="376">
        <f>SUM(K20:L23)</f>
        <v>0</v>
      </c>
      <c r="L24" s="377"/>
    </row>
    <row r="25" spans="1:16" s="228" customFormat="1" ht="27" customHeight="1" x14ac:dyDescent="0.3">
      <c r="A25" s="150"/>
      <c r="B25" s="195"/>
      <c r="C25" s="195"/>
      <c r="D25" s="195"/>
      <c r="E25" s="196"/>
      <c r="F25" s="196"/>
      <c r="G25" s="194"/>
      <c r="H25" s="200"/>
      <c r="I25" s="189"/>
      <c r="J25" s="189"/>
      <c r="K25" s="190"/>
      <c r="L25" s="190"/>
      <c r="M25" s="154"/>
    </row>
    <row r="26" spans="1:16" s="228" customFormat="1" ht="27" customHeight="1" x14ac:dyDescent="0.25">
      <c r="A26" s="150">
        <v>3</v>
      </c>
      <c r="B26" s="389" t="s">
        <v>175</v>
      </c>
      <c r="C26" s="389"/>
      <c r="D26" s="389"/>
      <c r="E26" s="389"/>
      <c r="F26" s="389"/>
      <c r="G26" s="389"/>
      <c r="H26" s="389"/>
      <c r="I26" s="389"/>
      <c r="J26" s="389"/>
      <c r="K26" s="389"/>
      <c r="L26" s="155"/>
      <c r="M26" s="154"/>
    </row>
    <row r="27" spans="1:16" ht="10.5" customHeight="1" x14ac:dyDescent="0.3">
      <c r="A27" s="148"/>
      <c r="B27" s="182"/>
      <c r="C27" s="182"/>
      <c r="D27" s="182"/>
      <c r="E27" s="183"/>
      <c r="F27" s="184"/>
      <c r="G27" s="202"/>
      <c r="H27" s="202"/>
      <c r="I27" s="202"/>
      <c r="J27" s="203"/>
      <c r="K27" s="204"/>
      <c r="L27" s="204"/>
      <c r="M27" s="204"/>
    </row>
    <row r="28" spans="1:16" ht="19.5" customHeight="1" x14ac:dyDescent="0.3">
      <c r="A28" s="174" t="s">
        <v>131</v>
      </c>
      <c r="B28" s="382" t="s">
        <v>10</v>
      </c>
      <c r="C28" s="383"/>
      <c r="D28" s="383"/>
      <c r="E28" s="383"/>
      <c r="F28" s="383"/>
      <c r="G28" s="383"/>
      <c r="H28" s="383" t="s">
        <v>125</v>
      </c>
      <c r="I28" s="383"/>
      <c r="J28" s="383"/>
      <c r="K28" s="383"/>
      <c r="L28" s="383"/>
      <c r="M28" s="390"/>
      <c r="N28" s="227"/>
    </row>
    <row r="29" spans="1:16" s="230" customFormat="1" ht="55.5" customHeight="1" x14ac:dyDescent="0.25">
      <c r="A29" s="201"/>
      <c r="B29" s="411" t="s">
        <v>63</v>
      </c>
      <c r="C29" s="391"/>
      <c r="D29" s="391"/>
      <c r="E29" s="391"/>
      <c r="F29" s="391" t="s">
        <v>113</v>
      </c>
      <c r="G29" s="391"/>
      <c r="H29" s="391" t="s">
        <v>61</v>
      </c>
      <c r="I29" s="391"/>
      <c r="J29" s="265" t="s">
        <v>23</v>
      </c>
      <c r="K29" s="265" t="s">
        <v>62</v>
      </c>
      <c r="L29" s="265" t="s">
        <v>114</v>
      </c>
      <c r="M29" s="266" t="s">
        <v>95</v>
      </c>
      <c r="N29" s="229"/>
    </row>
    <row r="30" spans="1:16" ht="35.25" customHeight="1" x14ac:dyDescent="0.25">
      <c r="A30" s="174"/>
      <c r="B30" s="412" t="s">
        <v>196</v>
      </c>
      <c r="C30" s="412"/>
      <c r="D30" s="412"/>
      <c r="E30" s="412"/>
      <c r="F30" s="412"/>
      <c r="G30" s="412"/>
      <c r="H30" s="410" t="s">
        <v>194</v>
      </c>
      <c r="I30" s="410"/>
      <c r="J30" s="138">
        <v>10</v>
      </c>
      <c r="K30" s="139">
        <v>3.74</v>
      </c>
      <c r="L30" s="140" t="s">
        <v>69</v>
      </c>
      <c r="M30" s="267">
        <f t="shared" ref="M30" si="1">IF(L30="FACTURA",P30*0.87,IF(L30="RECIBO",P30/0.92,IF(L30="ALMACEN",P30*1,)))</f>
        <v>32.538000000000004</v>
      </c>
      <c r="N30" s="227"/>
      <c r="P30" s="145">
        <f t="shared" ref="P30" si="2">+J30*K30</f>
        <v>37.400000000000006</v>
      </c>
    </row>
    <row r="31" spans="1:16" ht="17.25" x14ac:dyDescent="0.3">
      <c r="A31" s="174"/>
      <c r="B31" s="386" t="s">
        <v>60</v>
      </c>
      <c r="C31" s="387"/>
      <c r="D31" s="387"/>
      <c r="E31" s="387"/>
      <c r="F31" s="387"/>
      <c r="G31" s="387"/>
      <c r="H31" s="387"/>
      <c r="I31" s="387"/>
      <c r="J31" s="269"/>
      <c r="K31" s="270"/>
      <c r="L31" s="269"/>
      <c r="M31" s="268">
        <f ca="1">SUM(M30:OFFSET(M31,-1,0))</f>
        <v>32.538000000000004</v>
      </c>
      <c r="N31" s="227"/>
    </row>
    <row r="32" spans="1:16" x14ac:dyDescent="0.25">
      <c r="A32" s="148"/>
      <c r="B32" s="205"/>
      <c r="C32" s="205"/>
      <c r="D32" s="205"/>
      <c r="E32" s="205"/>
      <c r="F32" s="206"/>
      <c r="G32" s="206"/>
      <c r="H32" s="205"/>
      <c r="I32" s="205"/>
      <c r="J32" s="207"/>
      <c r="K32" s="207"/>
      <c r="L32" s="207"/>
      <c r="M32" s="207"/>
    </row>
    <row r="33" spans="1:16" x14ac:dyDescent="0.25">
      <c r="A33" s="148"/>
      <c r="B33" s="156"/>
      <c r="C33" s="156"/>
      <c r="D33" s="156"/>
      <c r="E33" s="156"/>
      <c r="F33" s="157"/>
      <c r="G33" s="157"/>
      <c r="H33" s="156"/>
      <c r="I33" s="156"/>
      <c r="J33" s="158"/>
      <c r="K33" s="158"/>
      <c r="L33" s="158"/>
      <c r="M33" s="158"/>
    </row>
    <row r="34" spans="1:16" x14ac:dyDescent="0.25">
      <c r="A34" s="148"/>
      <c r="B34" s="156"/>
      <c r="C34" s="156"/>
      <c r="D34" s="156"/>
      <c r="E34" s="156"/>
      <c r="F34" s="157"/>
      <c r="G34" s="157"/>
      <c r="H34" s="156"/>
      <c r="I34" s="156"/>
      <c r="J34" s="158"/>
      <c r="K34" s="159"/>
      <c r="L34" s="159"/>
      <c r="M34" s="159"/>
    </row>
    <row r="35" spans="1:16" ht="17.25" x14ac:dyDescent="0.3">
      <c r="A35" s="148" t="s">
        <v>157</v>
      </c>
      <c r="B35" s="388" t="s">
        <v>65</v>
      </c>
      <c r="C35" s="388"/>
      <c r="D35" s="388"/>
      <c r="E35" s="388"/>
      <c r="F35" s="388"/>
      <c r="G35" s="388"/>
      <c r="H35" s="388" t="s">
        <v>124</v>
      </c>
      <c r="I35" s="388"/>
      <c r="J35" s="388"/>
      <c r="K35" s="388"/>
      <c r="L35" s="388"/>
      <c r="M35" s="388"/>
    </row>
    <row r="36" spans="1:16" ht="66" customHeight="1" x14ac:dyDescent="0.25">
      <c r="A36" s="174"/>
      <c r="B36" s="338" t="s">
        <v>65</v>
      </c>
      <c r="C36" s="339"/>
      <c r="D36" s="339"/>
      <c r="E36" s="339"/>
      <c r="F36" s="339" t="s">
        <v>115</v>
      </c>
      <c r="G36" s="339"/>
      <c r="H36" s="339" t="s">
        <v>87</v>
      </c>
      <c r="I36" s="339"/>
      <c r="J36" s="271" t="s">
        <v>23</v>
      </c>
      <c r="K36" s="271" t="s">
        <v>88</v>
      </c>
      <c r="L36" s="271" t="s">
        <v>114</v>
      </c>
      <c r="M36" s="272" t="s">
        <v>89</v>
      </c>
      <c r="N36" s="227"/>
    </row>
    <row r="37" spans="1:16" ht="33.75" customHeight="1" x14ac:dyDescent="0.25">
      <c r="A37" s="174"/>
      <c r="B37" s="337" t="s">
        <v>197</v>
      </c>
      <c r="C37" s="337"/>
      <c r="D37" s="337"/>
      <c r="E37" s="337"/>
      <c r="F37" s="399"/>
      <c r="G37" s="399"/>
      <c r="H37" s="400"/>
      <c r="I37" s="400"/>
      <c r="J37" s="141">
        <v>50</v>
      </c>
      <c r="K37" s="141">
        <v>75</v>
      </c>
      <c r="L37" s="142" t="s">
        <v>195</v>
      </c>
      <c r="M37" s="273">
        <f>IF(L37="FACTURA",P37*0.87,IF(L37="RECIBO",P37/0.845,IF(L37="VALORADOS",P37*1,IF(L37="ALQUILER CON RECIBO",P37/0.84))))</f>
        <v>4437.8698224852069</v>
      </c>
      <c r="N37" s="227"/>
      <c r="P37" s="145">
        <f>+K37*J37</f>
        <v>3750</v>
      </c>
    </row>
    <row r="38" spans="1:16" ht="33.75" customHeight="1" x14ac:dyDescent="0.25">
      <c r="A38" s="174"/>
      <c r="B38" s="337" t="s">
        <v>198</v>
      </c>
      <c r="C38" s="337"/>
      <c r="D38" s="337"/>
      <c r="E38" s="337"/>
      <c r="F38" s="399"/>
      <c r="G38" s="399"/>
      <c r="H38" s="400"/>
      <c r="I38" s="400"/>
      <c r="J38" s="291">
        <v>50</v>
      </c>
      <c r="K38" s="291">
        <v>9</v>
      </c>
      <c r="L38" s="292" t="s">
        <v>69</v>
      </c>
      <c r="M38" s="273">
        <f>IF(L38="FACTURA",P38*0.87,IF(L38="RECIBO",P38/0.845,IF(L38="VALORADOS",P38*1,IF(L38="ALQUILER CON RECIBO",P38/0.84))))</f>
        <v>391.5</v>
      </c>
      <c r="N38" s="227"/>
      <c r="P38" s="145">
        <f>+K38*J38</f>
        <v>450</v>
      </c>
    </row>
    <row r="39" spans="1:16" ht="16.5" customHeight="1" x14ac:dyDescent="0.25">
      <c r="A39" s="174"/>
      <c r="B39" s="384" t="s">
        <v>60</v>
      </c>
      <c r="C39" s="385"/>
      <c r="D39" s="385"/>
      <c r="E39" s="385"/>
      <c r="F39" s="385"/>
      <c r="G39" s="385"/>
      <c r="H39" s="385"/>
      <c r="I39" s="385"/>
      <c r="J39" s="275"/>
      <c r="K39" s="276"/>
      <c r="L39" s="276"/>
      <c r="M39" s="274">
        <f ca="1">SUM(M37:OFFSET(M39,-1,0))</f>
        <v>4829.3698224852069</v>
      </c>
      <c r="N39" s="227"/>
    </row>
    <row r="40" spans="1:16" ht="16.5" customHeight="1" x14ac:dyDescent="0.25">
      <c r="A40" s="148"/>
      <c r="B40" s="205"/>
      <c r="C40" s="208"/>
      <c r="D40" s="208"/>
      <c r="E40" s="208"/>
      <c r="F40" s="206"/>
      <c r="G40" s="206"/>
      <c r="H40" s="206"/>
      <c r="I40" s="206"/>
      <c r="J40" s="207"/>
      <c r="K40" s="209"/>
      <c r="L40" s="209"/>
      <c r="M40" s="209"/>
    </row>
    <row r="41" spans="1:16" ht="16.5" customHeight="1" x14ac:dyDescent="0.25">
      <c r="A41" s="148"/>
      <c r="B41" s="156"/>
      <c r="C41" s="160"/>
      <c r="D41" s="160"/>
      <c r="E41" s="160"/>
      <c r="F41" s="157"/>
      <c r="G41" s="157"/>
      <c r="H41" s="157"/>
      <c r="I41" s="157"/>
      <c r="J41" s="158"/>
      <c r="K41" s="161"/>
      <c r="L41" s="161"/>
      <c r="M41" s="161"/>
    </row>
    <row r="42" spans="1:16" ht="16.5" customHeight="1" x14ac:dyDescent="0.25">
      <c r="A42" s="148"/>
      <c r="B42" s="375" t="s">
        <v>130</v>
      </c>
      <c r="C42" s="375"/>
      <c r="D42" s="375"/>
      <c r="E42" s="375"/>
      <c r="F42" s="375"/>
      <c r="G42" s="375"/>
      <c r="H42" s="375"/>
      <c r="I42" s="375"/>
      <c r="J42" s="375"/>
      <c r="K42" s="375"/>
      <c r="L42" s="375"/>
      <c r="M42" s="375"/>
    </row>
    <row r="43" spans="1:16" ht="33" customHeight="1" x14ac:dyDescent="0.25">
      <c r="A43" s="162">
        <v>4</v>
      </c>
      <c r="B43" s="163" t="s">
        <v>126</v>
      </c>
      <c r="C43" s="164"/>
      <c r="D43" s="164"/>
      <c r="E43" s="164"/>
      <c r="F43" s="164"/>
      <c r="G43" s="164"/>
      <c r="H43" s="164"/>
      <c r="I43" s="164"/>
      <c r="J43" s="165"/>
      <c r="K43" s="165"/>
      <c r="L43" s="161"/>
      <c r="M43" s="161"/>
    </row>
    <row r="44" spans="1:16" ht="33" customHeight="1" x14ac:dyDescent="0.25">
      <c r="A44" s="162"/>
      <c r="B44" s="211"/>
      <c r="C44" s="211"/>
      <c r="D44" s="211"/>
      <c r="E44" s="211"/>
      <c r="F44" s="211"/>
      <c r="G44" s="211"/>
      <c r="H44" s="211"/>
      <c r="I44" s="212"/>
      <c r="J44" s="212"/>
      <c r="K44" s="212"/>
      <c r="L44" s="213"/>
      <c r="M44" s="213"/>
    </row>
    <row r="45" spans="1:16" ht="33" customHeight="1" x14ac:dyDescent="0.25">
      <c r="A45" s="210" t="s">
        <v>171</v>
      </c>
      <c r="B45" s="397" t="s">
        <v>127</v>
      </c>
      <c r="C45" s="398"/>
      <c r="D45" s="398"/>
      <c r="E45" s="398"/>
      <c r="F45" s="392"/>
      <c r="G45" s="392"/>
      <c r="H45" s="392" t="s">
        <v>128</v>
      </c>
      <c r="I45" s="392"/>
      <c r="J45" s="392"/>
      <c r="K45" s="277" t="s">
        <v>11</v>
      </c>
      <c r="L45" s="278" t="s">
        <v>62</v>
      </c>
      <c r="M45" s="279" t="s">
        <v>129</v>
      </c>
      <c r="N45" s="227"/>
    </row>
    <row r="46" spans="1:16" ht="33" customHeight="1" x14ac:dyDescent="0.25">
      <c r="A46" s="210"/>
      <c r="B46" s="408"/>
      <c r="C46" s="408"/>
      <c r="D46" s="408"/>
      <c r="E46" s="408"/>
      <c r="F46" s="408"/>
      <c r="G46" s="408"/>
      <c r="H46" s="393"/>
      <c r="I46" s="394"/>
      <c r="J46" s="395"/>
      <c r="K46" s="143"/>
      <c r="L46" s="144"/>
      <c r="M46" s="283">
        <f>+L46*K46</f>
        <v>0</v>
      </c>
      <c r="N46" s="227"/>
    </row>
    <row r="47" spans="1:16" ht="33" customHeight="1" x14ac:dyDescent="0.25">
      <c r="A47" s="210"/>
      <c r="B47" s="405" t="s">
        <v>60</v>
      </c>
      <c r="C47" s="406"/>
      <c r="D47" s="406"/>
      <c r="E47" s="406"/>
      <c r="F47" s="407"/>
      <c r="G47" s="407"/>
      <c r="H47" s="396"/>
      <c r="I47" s="396"/>
      <c r="J47" s="396"/>
      <c r="K47" s="280">
        <f ca="1">SUM(K46:OFFSET(K47,-1,0))</f>
        <v>0</v>
      </c>
      <c r="L47" s="281">
        <f ca="1">SUM(L46:OFFSET(L47,-1,0))</f>
        <v>0</v>
      </c>
      <c r="M47" s="282">
        <f ca="1">SUM(M46:OFFSET(M47,-1,0))</f>
        <v>0</v>
      </c>
      <c r="N47" s="227"/>
    </row>
    <row r="48" spans="1:16" ht="16.5" customHeight="1" x14ac:dyDescent="0.25">
      <c r="A48" s="148"/>
      <c r="B48" s="205"/>
      <c r="C48" s="208"/>
      <c r="D48" s="208"/>
      <c r="E48" s="208"/>
      <c r="F48" s="206"/>
      <c r="G48" s="206"/>
      <c r="H48" s="206"/>
      <c r="I48" s="206"/>
      <c r="J48" s="207"/>
      <c r="K48" s="209"/>
      <c r="L48" s="209"/>
      <c r="M48" s="209"/>
    </row>
    <row r="49" spans="1:13" ht="16.5" customHeight="1" x14ac:dyDescent="0.25">
      <c r="A49" s="148"/>
      <c r="B49" s="156"/>
      <c r="C49" s="160"/>
      <c r="D49" s="160"/>
      <c r="E49" s="160"/>
      <c r="F49" s="157"/>
      <c r="G49" s="157"/>
      <c r="H49" s="157"/>
      <c r="I49" s="157"/>
      <c r="J49" s="158"/>
      <c r="K49" s="161"/>
      <c r="L49" s="161"/>
      <c r="M49" s="161"/>
    </row>
    <row r="50" spans="1:13" ht="16.5" customHeight="1" x14ac:dyDescent="0.25">
      <c r="A50" s="148"/>
      <c r="B50" s="156"/>
      <c r="C50" s="160"/>
      <c r="D50" s="160"/>
      <c r="E50" s="160"/>
      <c r="F50" s="157"/>
      <c r="G50" s="157"/>
      <c r="H50" s="157"/>
      <c r="I50" s="157"/>
      <c r="J50" s="158"/>
      <c r="K50" s="161"/>
      <c r="L50" s="257"/>
      <c r="M50" s="161"/>
    </row>
    <row r="51" spans="1:13" x14ac:dyDescent="0.25">
      <c r="A51" s="148"/>
      <c r="B51" s="157"/>
      <c r="C51" s="157"/>
      <c r="D51" s="157"/>
      <c r="E51" s="157"/>
      <c r="F51" s="157"/>
      <c r="G51" s="157"/>
      <c r="H51" s="157"/>
      <c r="I51" s="159"/>
      <c r="J51" s="166"/>
      <c r="K51" s="167"/>
      <c r="L51" s="166"/>
      <c r="M51" s="168"/>
    </row>
    <row r="52" spans="1:13" s="228" customFormat="1" ht="29.25" customHeight="1" x14ac:dyDescent="0.25">
      <c r="A52" s="150">
        <v>5</v>
      </c>
      <c r="B52" s="403" t="s">
        <v>177</v>
      </c>
      <c r="C52" s="404"/>
      <c r="D52" s="404"/>
      <c r="E52" s="404"/>
      <c r="F52" s="404"/>
      <c r="G52" s="404"/>
      <c r="H52" s="404"/>
      <c r="I52" s="404"/>
      <c r="J52" s="404"/>
      <c r="K52" s="169"/>
      <c r="L52" s="169"/>
      <c r="M52" s="159"/>
    </row>
    <row r="53" spans="1:13" x14ac:dyDescent="0.25">
      <c r="A53" s="148"/>
      <c r="B53" s="216"/>
      <c r="C53" s="216"/>
      <c r="D53" s="216"/>
      <c r="E53" s="216"/>
      <c r="F53" s="216"/>
      <c r="G53" s="216"/>
      <c r="H53" s="216"/>
      <c r="I53" s="217"/>
      <c r="J53" s="217"/>
      <c r="K53" s="170"/>
      <c r="L53" s="159"/>
      <c r="M53" s="157"/>
    </row>
    <row r="54" spans="1:13" ht="70.5" customHeight="1" x14ac:dyDescent="0.25">
      <c r="A54" s="174" t="s">
        <v>178</v>
      </c>
      <c r="B54" s="409" t="s">
        <v>176</v>
      </c>
      <c r="C54" s="409"/>
      <c r="D54" s="409"/>
      <c r="E54" s="409"/>
      <c r="F54" s="284" t="s">
        <v>93</v>
      </c>
      <c r="G54" s="284" t="s">
        <v>91</v>
      </c>
      <c r="H54" s="401" t="s">
        <v>94</v>
      </c>
      <c r="I54" s="401"/>
      <c r="J54" s="401"/>
      <c r="K54" s="214"/>
      <c r="L54" s="159"/>
      <c r="M54" s="157"/>
    </row>
    <row r="55" spans="1:13" ht="24" customHeight="1" x14ac:dyDescent="0.25">
      <c r="A55" s="174"/>
      <c r="B55" s="409"/>
      <c r="C55" s="409"/>
      <c r="D55" s="409"/>
      <c r="E55" s="409"/>
      <c r="F55" s="287">
        <f ca="1">+K24+M39+M31+M47</f>
        <v>4861.9078224852065</v>
      </c>
      <c r="G55" s="288">
        <f>+IF(K15="SANTA CRUZ",0.21,IF(K15="COCHABAMBA",0.17))</f>
        <v>0.17</v>
      </c>
      <c r="H55" s="402">
        <f ca="1">+G55*F55</f>
        <v>826.52432982248513</v>
      </c>
      <c r="I55" s="402"/>
      <c r="J55" s="402"/>
      <c r="K55" s="215"/>
      <c r="L55" s="159"/>
      <c r="M55" s="171"/>
    </row>
    <row r="56" spans="1:13" x14ac:dyDescent="0.25">
      <c r="A56" s="148"/>
      <c r="B56" s="206"/>
      <c r="C56" s="206"/>
      <c r="D56" s="206"/>
      <c r="E56" s="206"/>
      <c r="F56" s="206"/>
      <c r="G56" s="206"/>
      <c r="H56" s="206"/>
      <c r="I56" s="218"/>
      <c r="J56" s="218"/>
      <c r="K56" s="159"/>
      <c r="L56" s="159"/>
      <c r="M56" s="157"/>
    </row>
    <row r="57" spans="1:13" x14ac:dyDescent="0.25">
      <c r="A57" s="148"/>
      <c r="B57" s="216"/>
      <c r="C57" s="216"/>
      <c r="D57" s="216"/>
      <c r="E57" s="216"/>
      <c r="F57" s="216"/>
      <c r="G57" s="216"/>
      <c r="H57" s="216"/>
      <c r="I57" s="217"/>
      <c r="J57" s="217"/>
      <c r="K57" s="170"/>
      <c r="L57" s="159"/>
      <c r="M57" s="157"/>
    </row>
    <row r="58" spans="1:13" ht="60" customHeight="1" x14ac:dyDescent="0.25">
      <c r="A58" s="174" t="s">
        <v>179</v>
      </c>
      <c r="B58" s="401" t="s">
        <v>75</v>
      </c>
      <c r="C58" s="401"/>
      <c r="D58" s="401"/>
      <c r="E58" s="401"/>
      <c r="F58" s="284" t="s">
        <v>66</v>
      </c>
      <c r="G58" s="284" t="s">
        <v>90</v>
      </c>
      <c r="H58" s="401" t="s">
        <v>81</v>
      </c>
      <c r="I58" s="401"/>
      <c r="J58" s="401"/>
      <c r="K58" s="219"/>
      <c r="L58" s="159"/>
      <c r="M58" s="157"/>
    </row>
    <row r="59" spans="1:13" ht="25.5" customHeight="1" x14ac:dyDescent="0.25">
      <c r="A59" s="174"/>
      <c r="B59" s="401"/>
      <c r="C59" s="401"/>
      <c r="D59" s="401"/>
      <c r="E59" s="401"/>
      <c r="F59" s="285">
        <f>+E13</f>
        <v>30</v>
      </c>
      <c r="G59" s="286">
        <f>+Hoja2!F13</f>
        <v>5.4487179487179495E-4</v>
      </c>
      <c r="H59" s="402">
        <f ca="1">+G59*F59*(F55+H55)</f>
        <v>92.983987105029584</v>
      </c>
      <c r="I59" s="402"/>
      <c r="J59" s="402"/>
      <c r="K59" s="215"/>
      <c r="L59" s="159"/>
      <c r="M59" s="157"/>
    </row>
    <row r="60" spans="1:13" x14ac:dyDescent="0.25">
      <c r="A60" s="172"/>
      <c r="B60" s="206"/>
      <c r="C60" s="206"/>
      <c r="D60" s="206"/>
      <c r="E60" s="206"/>
      <c r="F60" s="206"/>
      <c r="G60" s="206"/>
      <c r="H60" s="206"/>
      <c r="I60" s="206"/>
      <c r="J60" s="206"/>
      <c r="K60" s="157"/>
      <c r="L60" s="157"/>
      <c r="M60" s="157"/>
    </row>
    <row r="61" spans="1:13" x14ac:dyDescent="0.25">
      <c r="A61" s="172"/>
      <c r="B61" s="157"/>
      <c r="C61" s="216"/>
      <c r="D61" s="216"/>
      <c r="E61" s="216"/>
      <c r="F61" s="216"/>
      <c r="G61" s="216"/>
      <c r="H61" s="157"/>
      <c r="I61" s="157"/>
      <c r="J61" s="216"/>
      <c r="K61" s="216"/>
      <c r="L61" s="216"/>
      <c r="M61" s="157"/>
    </row>
    <row r="62" spans="1:13" ht="26.25" customHeight="1" x14ac:dyDescent="0.25">
      <c r="A62" s="172"/>
      <c r="B62" s="220"/>
      <c r="C62" s="427" t="s">
        <v>96</v>
      </c>
      <c r="D62" s="427"/>
      <c r="E62" s="427"/>
      <c r="F62" s="427"/>
      <c r="G62" s="289">
        <f ca="1">+IF(L67&lt;=5000,0.16,IF(L67&lt;=50000,0.15,IF(L67&gt;50000,0.14)))</f>
        <v>0.15</v>
      </c>
      <c r="H62" s="428"/>
      <c r="I62" s="428"/>
      <c r="J62" s="427" t="s">
        <v>191</v>
      </c>
      <c r="K62" s="427"/>
      <c r="L62" s="290">
        <v>0.36</v>
      </c>
      <c r="M62" s="256"/>
    </row>
    <row r="63" spans="1:13" ht="15" hidden="1" customHeight="1" x14ac:dyDescent="0.25">
      <c r="A63" s="172"/>
      <c r="B63" s="157"/>
      <c r="C63" s="206"/>
      <c r="D63" s="206"/>
      <c r="E63" s="206"/>
      <c r="F63" s="206"/>
      <c r="G63" s="206"/>
      <c r="H63" s="157"/>
      <c r="I63" s="157"/>
      <c r="J63" s="206"/>
      <c r="K63" s="206"/>
      <c r="L63" s="206"/>
      <c r="M63" s="157"/>
    </row>
    <row r="64" spans="1:13" x14ac:dyDescent="0.25">
      <c r="A64" s="172"/>
      <c r="B64" s="157"/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</row>
    <row r="65" spans="1:15" x14ac:dyDescent="0.25">
      <c r="A65" s="172"/>
      <c r="B65" s="157"/>
      <c r="C65" s="157"/>
      <c r="D65" s="216"/>
      <c r="E65" s="216"/>
      <c r="F65" s="216"/>
      <c r="G65" s="216"/>
      <c r="H65" s="216"/>
      <c r="I65" s="216"/>
      <c r="J65" s="216"/>
      <c r="K65" s="157"/>
      <c r="L65" s="216"/>
      <c r="M65" s="216"/>
      <c r="O65" s="145">
        <v>0</v>
      </c>
    </row>
    <row r="66" spans="1:15" x14ac:dyDescent="0.25">
      <c r="A66" s="172"/>
      <c r="B66" s="157"/>
      <c r="C66" s="220"/>
      <c r="D66" s="426" t="s">
        <v>180</v>
      </c>
      <c r="E66" s="426"/>
      <c r="F66" s="426"/>
      <c r="G66" s="426"/>
      <c r="H66" s="426"/>
      <c r="I66" s="426"/>
      <c r="J66" s="426"/>
      <c r="K66" s="223"/>
      <c r="L66" s="422" t="s">
        <v>64</v>
      </c>
      <c r="M66" s="423"/>
      <c r="N66" s="227"/>
    </row>
    <row r="67" spans="1:15" ht="27.75" customHeight="1" x14ac:dyDescent="0.25">
      <c r="A67" s="145"/>
      <c r="B67" s="157"/>
      <c r="C67" s="221" t="s">
        <v>172</v>
      </c>
      <c r="D67" s="421" t="s">
        <v>71</v>
      </c>
      <c r="E67" s="421"/>
      <c r="F67" s="421"/>
      <c r="G67" s="421"/>
      <c r="H67" s="421"/>
      <c r="I67" s="421"/>
      <c r="J67" s="421"/>
      <c r="K67" s="224"/>
      <c r="L67" s="419">
        <f ca="1">+H59+H55+M39+M31+K24+M47</f>
        <v>5781.4161394127213</v>
      </c>
      <c r="M67" s="420"/>
      <c r="N67" s="227"/>
    </row>
    <row r="68" spans="1:15" ht="27.75" customHeight="1" x14ac:dyDescent="0.25">
      <c r="A68" s="145"/>
      <c r="B68" s="157"/>
      <c r="C68" s="220"/>
      <c r="D68" s="421" t="s">
        <v>96</v>
      </c>
      <c r="E68" s="421"/>
      <c r="F68" s="421"/>
      <c r="G68" s="421"/>
      <c r="H68" s="421"/>
      <c r="I68" s="421"/>
      <c r="J68" s="421"/>
      <c r="K68" s="223"/>
      <c r="L68" s="424">
        <f ca="1">+IF(K13="EXTERNO",IF(OR($L$62="",$L$62=0),$L$67*$G$62,$L$62*$L$67),IF(K13="INTERNO",L67,))</f>
        <v>2081.3098101885798</v>
      </c>
      <c r="M68" s="425"/>
      <c r="N68" s="227"/>
    </row>
    <row r="69" spans="1:15" ht="27.75" customHeight="1" x14ac:dyDescent="0.25">
      <c r="A69" s="145"/>
      <c r="B69" s="157"/>
      <c r="C69" s="220"/>
      <c r="D69" s="421" t="s">
        <v>73</v>
      </c>
      <c r="E69" s="421"/>
      <c r="F69" s="421"/>
      <c r="G69" s="421"/>
      <c r="H69" s="421"/>
      <c r="I69" s="421"/>
      <c r="J69" s="421"/>
      <c r="K69" s="223"/>
      <c r="L69" s="419">
        <f ca="1">IF(K13="EXTERNO",L68+L67,IF(K13="INTERNO",L67))</f>
        <v>7862.7259496013012</v>
      </c>
      <c r="M69" s="420"/>
      <c r="N69" s="227"/>
    </row>
    <row r="70" spans="1:15" ht="27.75" customHeight="1" x14ac:dyDescent="0.25">
      <c r="A70" s="145"/>
      <c r="B70" s="157"/>
      <c r="C70" s="220"/>
      <c r="D70" s="421" t="s">
        <v>72</v>
      </c>
      <c r="E70" s="421"/>
      <c r="F70" s="421"/>
      <c r="G70" s="421"/>
      <c r="H70" s="421"/>
      <c r="I70" s="421"/>
      <c r="J70" s="421"/>
      <c r="K70" s="225"/>
      <c r="L70" s="419">
        <f ca="1">IF(K13="EXTERNO",L69/0.84,IF(K13="INTERNO",L67))</f>
        <v>9360.3880352396445</v>
      </c>
      <c r="M70" s="420"/>
      <c r="N70" s="227"/>
    </row>
    <row r="71" spans="1:15" ht="45.75" customHeight="1" x14ac:dyDescent="0.25">
      <c r="A71" s="145"/>
      <c r="B71" s="157"/>
      <c r="C71" s="157"/>
      <c r="D71" s="222"/>
      <c r="E71" s="222"/>
      <c r="F71" s="222"/>
      <c r="G71" s="222"/>
      <c r="H71" s="222"/>
      <c r="I71" s="222"/>
      <c r="J71" s="222"/>
      <c r="K71" s="226"/>
      <c r="L71" s="417" t="str">
        <f>IF(K13="EXTERNO","ESTE PRECIO QUE COTIZA ES PARA CLIENTE EXTERNO",IF(K13="INTERNO","ESTE  PRECIO ES SOLO PARA AREA DE GRUPO REGIONAL "))</f>
        <v>ESTE PRECIO QUE COTIZA ES PARA CLIENTE EXTERNO</v>
      </c>
      <c r="M71" s="418"/>
      <c r="N71" s="227"/>
    </row>
    <row r="72" spans="1:15" x14ac:dyDescent="0.25">
      <c r="A72" s="145"/>
      <c r="B72" s="157"/>
      <c r="C72" s="157"/>
      <c r="D72" s="157"/>
      <c r="E72" s="157"/>
      <c r="F72" s="157"/>
      <c r="G72" s="157"/>
      <c r="H72" s="157"/>
      <c r="I72" s="157"/>
      <c r="J72" s="157"/>
      <c r="K72" s="157"/>
      <c r="L72" s="206"/>
      <c r="M72" s="206"/>
    </row>
    <row r="73" spans="1:15" x14ac:dyDescent="0.25">
      <c r="K73" s="173" t="s">
        <v>11</v>
      </c>
      <c r="L73" s="415" t="s">
        <v>165</v>
      </c>
      <c r="M73" s="415"/>
    </row>
    <row r="74" spans="1:15" x14ac:dyDescent="0.25">
      <c r="D74" s="413" t="s">
        <v>164</v>
      </c>
      <c r="E74" s="413"/>
      <c r="F74" s="413"/>
      <c r="G74" s="413"/>
      <c r="H74" s="413"/>
      <c r="I74" s="413"/>
      <c r="J74" s="413"/>
      <c r="K74" s="416">
        <v>1</v>
      </c>
      <c r="L74" s="414">
        <v>9500</v>
      </c>
      <c r="M74" s="414"/>
    </row>
    <row r="75" spans="1:15" x14ac:dyDescent="0.25">
      <c r="D75" s="413"/>
      <c r="E75" s="413"/>
      <c r="F75" s="413"/>
      <c r="G75" s="413"/>
      <c r="H75" s="413"/>
      <c r="I75" s="413"/>
      <c r="J75" s="413"/>
      <c r="K75" s="416"/>
      <c r="L75" s="414"/>
      <c r="M75" s="414"/>
    </row>
    <row r="76" spans="1:15" x14ac:dyDescent="0.25">
      <c r="K76" s="231">
        <f>L74*K74</f>
        <v>9500</v>
      </c>
    </row>
  </sheetData>
  <sheetProtection algorithmName="SHA-512" hashValue="G6GCMzrptuxtpgfLlmN/8xt7qZckR8Cz4LgLpQxgBNxYzy8E/fXDtvNxeGbkdmVc340WB17sThd3mxd4a2ws+g==" saltValue="SuTR3I+RGocVwAiBjkIhxg==" spinCount="100000" sheet="1" objects="1" scenarios="1" selectLockedCells="1"/>
  <protectedRanges>
    <protectedRange sqref="K9 G62 D11 K11 D9 E27:F27 E13:F18 E25:F25 D7 K7 K15 L62 B30:E30 J30:K30 H30 B37:E38 H37:K38" name="Rango1"/>
    <protectedRange sqref="F20:F23" name="Rango4_1"/>
    <protectedRange sqref="F20:F23" name="Rango3_1"/>
    <protectedRange sqref="G47 E47 F46 H46 L46 B46:B47" name="Rango3"/>
    <protectedRange sqref="E52:J52" name="Rango3_1_1_1"/>
  </protectedRanges>
  <mergeCells count="103">
    <mergeCell ref="H30:I30"/>
    <mergeCell ref="B29:E29"/>
    <mergeCell ref="F29:G29"/>
    <mergeCell ref="F30:G30"/>
    <mergeCell ref="B30:E30"/>
    <mergeCell ref="D74:J75"/>
    <mergeCell ref="L74:M75"/>
    <mergeCell ref="L73:M73"/>
    <mergeCell ref="K74:K75"/>
    <mergeCell ref="L71:M71"/>
    <mergeCell ref="L70:M70"/>
    <mergeCell ref="L67:M67"/>
    <mergeCell ref="D68:J68"/>
    <mergeCell ref="L66:M66"/>
    <mergeCell ref="L69:M69"/>
    <mergeCell ref="D67:J67"/>
    <mergeCell ref="D69:J69"/>
    <mergeCell ref="D70:J70"/>
    <mergeCell ref="L68:M68"/>
    <mergeCell ref="B58:E59"/>
    <mergeCell ref="D66:J66"/>
    <mergeCell ref="C62:F62"/>
    <mergeCell ref="H62:I62"/>
    <mergeCell ref="J62:K62"/>
    <mergeCell ref="H58:J58"/>
    <mergeCell ref="H59:J59"/>
    <mergeCell ref="B52:J52"/>
    <mergeCell ref="B47:G47"/>
    <mergeCell ref="F46:G46"/>
    <mergeCell ref="B46:E46"/>
    <mergeCell ref="F37:G37"/>
    <mergeCell ref="H37:I37"/>
    <mergeCell ref="B54:E55"/>
    <mergeCell ref="H54:J54"/>
    <mergeCell ref="H55:J55"/>
    <mergeCell ref="F36:G36"/>
    <mergeCell ref="H36:I36"/>
    <mergeCell ref="H45:J45"/>
    <mergeCell ref="H46:J46"/>
    <mergeCell ref="H47:J47"/>
    <mergeCell ref="B45:G45"/>
    <mergeCell ref="B38:E38"/>
    <mergeCell ref="F38:G38"/>
    <mergeCell ref="H38:I38"/>
    <mergeCell ref="B20:E20"/>
    <mergeCell ref="H20:I20"/>
    <mergeCell ref="K20:L20"/>
    <mergeCell ref="B24:E24"/>
    <mergeCell ref="H24:I24"/>
    <mergeCell ref="B42:M42"/>
    <mergeCell ref="K24:L24"/>
    <mergeCell ref="B21:E21"/>
    <mergeCell ref="H21:I21"/>
    <mergeCell ref="K21:L21"/>
    <mergeCell ref="B22:E22"/>
    <mergeCell ref="H22:I22"/>
    <mergeCell ref="K22:L22"/>
    <mergeCell ref="B23:E23"/>
    <mergeCell ref="H23:I23"/>
    <mergeCell ref="K23:L23"/>
    <mergeCell ref="B28:G28"/>
    <mergeCell ref="B39:I39"/>
    <mergeCell ref="B31:I31"/>
    <mergeCell ref="B35:G35"/>
    <mergeCell ref="H35:M35"/>
    <mergeCell ref="B26:K26"/>
    <mergeCell ref="H28:M28"/>
    <mergeCell ref="H29:I29"/>
    <mergeCell ref="K9:M9"/>
    <mergeCell ref="B7:C7"/>
    <mergeCell ref="D7:G7"/>
    <mergeCell ref="I9:J9"/>
    <mergeCell ref="I7:J7"/>
    <mergeCell ref="B5:M5"/>
    <mergeCell ref="B9:C9"/>
    <mergeCell ref="D9:G9"/>
    <mergeCell ref="B19:E19"/>
    <mergeCell ref="H19:I19"/>
    <mergeCell ref="K19:L19"/>
    <mergeCell ref="K1:XFD2"/>
    <mergeCell ref="A1:A2"/>
    <mergeCell ref="B1:E2"/>
    <mergeCell ref="F1:G1"/>
    <mergeCell ref="F2:G2"/>
    <mergeCell ref="H1:I1"/>
    <mergeCell ref="H2:I2"/>
    <mergeCell ref="B37:E37"/>
    <mergeCell ref="B36:E36"/>
    <mergeCell ref="B17:H17"/>
    <mergeCell ref="B15:D15"/>
    <mergeCell ref="E15:F15"/>
    <mergeCell ref="K11:M11"/>
    <mergeCell ref="K7:M7"/>
    <mergeCell ref="B13:D13"/>
    <mergeCell ref="I11:J11"/>
    <mergeCell ref="E13:F13"/>
    <mergeCell ref="I13:J13"/>
    <mergeCell ref="D11:G11"/>
    <mergeCell ref="K13:L13"/>
    <mergeCell ref="B11:C11"/>
    <mergeCell ref="I15:J15"/>
    <mergeCell ref="K15:L15"/>
    <mergeCell ref="B4:M4"/>
  </mergeCells>
  <conditionalFormatting sqref="F1">
    <cfRule type="cellIs" dxfId="2" priority="6" operator="lessThan">
      <formula>0</formula>
    </cfRule>
    <cfRule type="cellIs" dxfId="1" priority="7" operator="equal">
      <formula>0</formula>
    </cfRule>
    <cfRule type="cellIs" dxfId="0" priority="8" operator="greaterThan">
      <formula>0</formula>
    </cfRule>
  </conditionalFormatting>
  <conditionalFormatting sqref="J1">
    <cfRule type="colorScale" priority="1">
      <colorScale>
        <cfvo type="num" val="-1"/>
        <cfvo type="num" val="1"/>
        <color rgb="FFFF0000"/>
        <color rgb="FF00B050"/>
      </colorScale>
    </cfRule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6">
    <dataValidation type="list" allowBlank="1" showInputMessage="1" showErrorMessage="1" promptTitle="TIPO DE PROYECTO" prompt="INTERNO= solo para trabajos dentro de Grupo Regional_x000a_EXTERNO= Trabajos para Clientes de Grupo Regional" sqref="K25 K18 K13:K14">
      <formula1>"INTERNO,EXTERNO"</formula1>
    </dataValidation>
    <dataValidation type="list" allowBlank="1" showInputMessage="1" showErrorMessage="1" sqref="L30">
      <formula1>"FACTURA,RECIBO,ALMACEN"</formula1>
    </dataValidation>
    <dataValidation type="list" allowBlank="1" showInputMessage="1" showErrorMessage="1" sqref="L37:L38">
      <formula1>"FACTURA,RECIBO,VALORADOS,ALQUILER CON RECIBO"</formula1>
    </dataValidation>
    <dataValidation type="list" allowBlank="1" showInputMessage="1" showErrorMessage="1" sqref="F20:F23">
      <formula1>"DIAS,HRS"</formula1>
    </dataValidation>
    <dataValidation type="list" allowBlank="1" showInputMessage="1" showErrorMessage="1" sqref="E15:F15">
      <formula1>"Alvaro Vega,Carlos Camacho"</formula1>
    </dataValidation>
    <dataValidation type="list" allowBlank="1" showInputMessage="1" showErrorMessage="1" sqref="K15:L15">
      <formula1>"SANTA CRUZ,COCHABAMBA"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129" r:id="rId4" name="CommandButton1">
          <controlPr locked="0" defaultSize="0" autoLine="0" autoPict="0" r:id="rId5">
            <anchor moveWithCells="1">
              <from>
                <xdr:col>14</xdr:col>
                <xdr:colOff>200025</xdr:colOff>
                <xdr:row>0</xdr:row>
                <xdr:rowOff>47625</xdr:rowOff>
              </from>
              <to>
                <xdr:col>14</xdr:col>
                <xdr:colOff>733425</xdr:colOff>
                <xdr:row>1</xdr:row>
                <xdr:rowOff>38100</xdr:rowOff>
              </to>
            </anchor>
          </controlPr>
        </control>
      </mc:Choice>
      <mc:Fallback>
        <control shapeId="3129" r:id="rId4" name="CommandButton1"/>
      </mc:Fallback>
    </mc:AlternateContent>
    <mc:AlternateContent xmlns:mc="http://schemas.openxmlformats.org/markup-compatibility/2006">
      <mc:Choice Requires="x14">
        <control shapeId="3126" r:id="rId6" name="Button 54">
          <controlPr defaultSize="0" print="0" autoFill="0" autoPict="0" macro="[0]!InsertRowsAndFillFormulas_caller">
            <anchor moveWithCells="1" sizeWithCells="1">
              <from>
                <xdr:col>10</xdr:col>
                <xdr:colOff>200025</xdr:colOff>
                <xdr:row>0</xdr:row>
                <xdr:rowOff>95250</xdr:rowOff>
              </from>
              <to>
                <xdr:col>11</xdr:col>
                <xdr:colOff>1104900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27" r:id="rId7" name="Button 55">
          <controlPr defaultSize="0" print="0" autoFill="0" autoPict="0" macro="[0]!Eliminar_Fila">
            <anchor moveWithCells="1" sizeWithCells="1">
              <from>
                <xdr:col>12</xdr:col>
                <xdr:colOff>66675</xdr:colOff>
                <xdr:row>0</xdr:row>
                <xdr:rowOff>95250</xdr:rowOff>
              </from>
              <to>
                <xdr:col>14</xdr:col>
                <xdr:colOff>9525</xdr:colOff>
                <xdr:row>1</xdr:row>
                <xdr:rowOff>28575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Hoja2!$B$2:$B$3</xm:f>
          </x14:formula1>
          <xm:sqref>E27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/>
  </sheetPr>
  <dimension ref="A1:H60"/>
  <sheetViews>
    <sheetView showGridLines="0" tabSelected="1" view="pageLayout" topLeftCell="A14" zoomScale="70" zoomScaleNormal="100" zoomScaleSheetLayoutView="106" zoomScalePageLayoutView="70" workbookViewId="0">
      <selection activeCell="A20" sqref="A20:G20"/>
    </sheetView>
  </sheetViews>
  <sheetFormatPr baseColWidth="10" defaultRowHeight="15" x14ac:dyDescent="0.25"/>
  <cols>
    <col min="2" max="2" width="29" customWidth="1"/>
    <col min="3" max="3" width="16.28515625" bestFit="1" customWidth="1"/>
    <col min="4" max="4" width="21.28515625" bestFit="1" customWidth="1"/>
    <col min="5" max="5" width="23.28515625" style="98" bestFit="1" customWidth="1"/>
    <col min="6" max="6" width="24.85546875" customWidth="1"/>
    <col min="7" max="7" width="2.7109375" customWidth="1"/>
  </cols>
  <sheetData>
    <row r="1" spans="1:7" s="92" customFormat="1" x14ac:dyDescent="0.2">
      <c r="E1" s="93"/>
    </row>
    <row r="2" spans="1:7" s="92" customFormat="1" x14ac:dyDescent="0.2">
      <c r="E2" s="93"/>
    </row>
    <row r="3" spans="1:7" s="92" customFormat="1" x14ac:dyDescent="0.2">
      <c r="E3" s="93"/>
    </row>
    <row r="4" spans="1:7" s="92" customFormat="1" x14ac:dyDescent="0.2">
      <c r="E4" s="93"/>
    </row>
    <row r="5" spans="1:7" s="92" customFormat="1" x14ac:dyDescent="0.2">
      <c r="E5" s="93"/>
    </row>
    <row r="6" spans="1:7" s="92" customFormat="1" x14ac:dyDescent="0.2">
      <c r="E6" s="93"/>
    </row>
    <row r="7" spans="1:7" s="92" customFormat="1" x14ac:dyDescent="0.2">
      <c r="B7" s="250" t="str">
        <f>+'Estado de costos'!I15</f>
        <v>UBICACIÓN</v>
      </c>
      <c r="E7" s="93"/>
    </row>
    <row r="8" spans="1:7" s="92" customFormat="1" x14ac:dyDescent="0.2">
      <c r="E8" s="93"/>
    </row>
    <row r="9" spans="1:7" s="92" customFormat="1" x14ac:dyDescent="0.2">
      <c r="A9" s="429">
        <f ca="1">TODAY()</f>
        <v>43475</v>
      </c>
      <c r="B9" s="429"/>
      <c r="C9" s="429"/>
      <c r="D9" s="429"/>
      <c r="E9" s="429"/>
      <c r="F9" s="429"/>
      <c r="G9" s="429"/>
    </row>
    <row r="10" spans="1:7" s="92" customFormat="1" x14ac:dyDescent="0.2">
      <c r="A10" s="94"/>
      <c r="B10" s="94"/>
      <c r="C10" s="94"/>
      <c r="D10" s="94"/>
      <c r="E10" s="94"/>
      <c r="F10" s="94"/>
      <c r="G10" s="94"/>
    </row>
    <row r="11" spans="1:7" s="92" customFormat="1" x14ac:dyDescent="0.2">
      <c r="E11" s="93"/>
    </row>
    <row r="12" spans="1:7" s="92" customFormat="1" x14ac:dyDescent="0.2">
      <c r="A12" s="430" t="s">
        <v>132</v>
      </c>
      <c r="B12" s="430"/>
      <c r="C12" s="430"/>
      <c r="D12" s="430"/>
      <c r="E12" s="430"/>
      <c r="F12" s="430"/>
      <c r="G12" s="430"/>
    </row>
    <row r="13" spans="1:7" s="95" customFormat="1" x14ac:dyDescent="0.2"/>
    <row r="14" spans="1:7" s="92" customFormat="1" x14ac:dyDescent="0.2">
      <c r="A14" s="430" t="str">
        <f>IF('Estado de costos'!K13="EXTERNO",'Estado de costos'!D7,IF('Estado de costos'!K13="INTERNO"," GRUPO REGIONAL SRL"))</f>
        <v>UNILEVER</v>
      </c>
      <c r="B14" s="430"/>
      <c r="C14" s="430"/>
      <c r="D14" s="430"/>
      <c r="E14" s="430"/>
      <c r="F14" s="430"/>
      <c r="G14" s="430"/>
    </row>
    <row r="15" spans="1:7" s="95" customFormat="1" x14ac:dyDescent="0.2"/>
    <row r="16" spans="1:7" s="92" customFormat="1" x14ac:dyDescent="0.2">
      <c r="A16" s="430" t="s">
        <v>133</v>
      </c>
      <c r="B16" s="430"/>
      <c r="C16" s="430"/>
      <c r="D16" s="430"/>
      <c r="E16" s="430"/>
      <c r="F16" s="430"/>
      <c r="G16" s="430"/>
    </row>
    <row r="17" spans="1:8" s="92" customFormat="1" x14ac:dyDescent="0.2">
      <c r="E17" s="93"/>
    </row>
    <row r="18" spans="1:8" s="92" customFormat="1" ht="15.75" x14ac:dyDescent="0.25">
      <c r="B18" s="96" t="s">
        <v>134</v>
      </c>
      <c r="C18" s="432" t="str">
        <f>+'Estado de costos'!K9</f>
        <v>50 CAJAS DE TEE CON NUEVE DIVISIONES INCLUYE TAPA MADERA PINO Y SERIGRAFIA DE LOGO LIPTON EN UN COLOR EN TAPA ANVERSO Y REVERSO</v>
      </c>
      <c r="D18" s="432"/>
      <c r="E18" s="432"/>
      <c r="F18" s="432"/>
      <c r="G18" s="97"/>
    </row>
    <row r="19" spans="1:8" s="92" customFormat="1" x14ac:dyDescent="0.2">
      <c r="E19" s="93"/>
    </row>
    <row r="20" spans="1:8" s="92" customFormat="1" x14ac:dyDescent="0.2">
      <c r="A20" s="431"/>
      <c r="B20" s="431"/>
      <c r="C20" s="431"/>
      <c r="D20" s="431"/>
      <c r="E20" s="431"/>
      <c r="F20" s="431"/>
      <c r="G20" s="431"/>
    </row>
    <row r="21" spans="1:8" s="92" customFormat="1" x14ac:dyDescent="0.2">
      <c r="E21" s="93"/>
    </row>
    <row r="22" spans="1:8" s="92" customFormat="1" ht="48" customHeight="1" x14ac:dyDescent="0.2">
      <c r="A22" s="440" t="s">
        <v>135</v>
      </c>
      <c r="B22" s="440"/>
      <c r="C22" s="440"/>
      <c r="D22" s="440"/>
      <c r="E22" s="440"/>
      <c r="F22" s="440"/>
      <c r="G22" s="440"/>
      <c r="H22" s="440"/>
    </row>
    <row r="23" spans="1:8" s="92" customFormat="1" x14ac:dyDescent="0.2">
      <c r="B23" s="232">
        <f>+'Estado de costos'!K76</f>
        <v>9500</v>
      </c>
      <c r="C23" s="233">
        <f>F31</f>
        <v>9500</v>
      </c>
      <c r="D23" s="232">
        <f>GESTEP(C23,B23)</f>
        <v>1</v>
      </c>
      <c r="E23" s="93"/>
    </row>
    <row r="24" spans="1:8" s="92" customFormat="1" x14ac:dyDescent="0.2">
      <c r="E24" s="93"/>
    </row>
    <row r="25" spans="1:8" s="92" customFormat="1" ht="15.75" x14ac:dyDescent="0.2">
      <c r="A25" s="434" t="s">
        <v>136</v>
      </c>
      <c r="B25" s="435"/>
      <c r="C25" s="435"/>
      <c r="D25" s="435"/>
      <c r="E25" s="435"/>
      <c r="F25" s="435"/>
    </row>
    <row r="27" spans="1:8" ht="27" customHeight="1" x14ac:dyDescent="0.25">
      <c r="B27" s="441" t="s">
        <v>22</v>
      </c>
      <c r="C27" s="441"/>
      <c r="D27" s="135" t="s">
        <v>11</v>
      </c>
      <c r="E27" s="135" t="s">
        <v>137</v>
      </c>
      <c r="F27" s="136" t="s">
        <v>138</v>
      </c>
    </row>
    <row r="28" spans="1:8" ht="38.25" customHeight="1" x14ac:dyDescent="0.25">
      <c r="B28" s="442" t="str">
        <f>+'Estado de costos'!K9</f>
        <v>50 CAJAS DE TEE CON NUEVE DIVISIONES INCLUYE TAPA MADERA PINO Y SERIGRAFIA DE LOGO LIPTON EN UN COLOR EN TAPA ANVERSO Y REVERSO</v>
      </c>
      <c r="C28" s="442"/>
      <c r="D28" s="443">
        <v>50</v>
      </c>
      <c r="E28" s="444">
        <v>190</v>
      </c>
      <c r="F28" s="444">
        <f>E28*D28</f>
        <v>9500</v>
      </c>
    </row>
    <row r="29" spans="1:8" ht="38.25" customHeight="1" x14ac:dyDescent="0.25">
      <c r="B29" s="442"/>
      <c r="C29" s="442"/>
      <c r="D29" s="443"/>
      <c r="E29" s="444"/>
      <c r="F29" s="444"/>
    </row>
    <row r="30" spans="1:8" ht="93" customHeight="1" x14ac:dyDescent="0.25">
      <c r="B30" s="442"/>
      <c r="C30" s="442"/>
      <c r="D30" s="443"/>
      <c r="E30" s="444"/>
      <c r="F30" s="444"/>
    </row>
    <row r="31" spans="1:8" ht="33" customHeight="1" x14ac:dyDescent="0.25">
      <c r="E31" s="133" t="s">
        <v>139</v>
      </c>
      <c r="F31" s="134">
        <f>SUM(F28:F30)</f>
        <v>9500</v>
      </c>
    </row>
    <row r="32" spans="1:8" x14ac:dyDescent="0.25">
      <c r="D32" s="100"/>
      <c r="E32" s="101"/>
      <c r="F32" s="99"/>
    </row>
    <row r="33" spans="1:8" x14ac:dyDescent="0.25">
      <c r="B33" s="439" t="str">
        <f>IF('Estado de costos'!K13="EXTERNO"," ",IF('Estado de costos'!K13="INTERNO","ESTE PRECIO ES INTERNO SOLO PARA GRUPO REGIONAL SRL",))</f>
        <v xml:space="preserve"> </v>
      </c>
      <c r="C33" s="439"/>
      <c r="D33" s="439"/>
      <c r="E33" s="439"/>
      <c r="F33" s="439"/>
    </row>
    <row r="34" spans="1:8" x14ac:dyDescent="0.25">
      <c r="B34" s="439"/>
      <c r="C34" s="439"/>
      <c r="D34" s="439"/>
      <c r="E34" s="439"/>
      <c r="F34" s="439"/>
    </row>
    <row r="35" spans="1:8" x14ac:dyDescent="0.25">
      <c r="B35" s="439"/>
      <c r="C35" s="439"/>
      <c r="D35" s="439"/>
      <c r="E35" s="439"/>
      <c r="F35" s="439"/>
    </row>
    <row r="36" spans="1:8" ht="18.75" x14ac:dyDescent="0.3">
      <c r="A36" s="436" t="s">
        <v>140</v>
      </c>
      <c r="B36" s="436"/>
      <c r="C36" s="436"/>
      <c r="D36" s="436"/>
      <c r="E36" s="436"/>
      <c r="F36" s="436"/>
      <c r="G36" s="436"/>
    </row>
    <row r="37" spans="1:8" x14ac:dyDescent="0.25">
      <c r="A37" s="102"/>
      <c r="B37" s="102"/>
      <c r="C37" s="102"/>
      <c r="D37" s="102"/>
      <c r="E37" s="102"/>
      <c r="F37" s="102"/>
      <c r="G37" s="102"/>
    </row>
    <row r="38" spans="1:8" s="92" customFormat="1" ht="28.5" customHeight="1" x14ac:dyDescent="0.2">
      <c r="A38" s="438" t="s">
        <v>162</v>
      </c>
      <c r="B38" s="438"/>
      <c r="C38" s="438"/>
      <c r="D38" s="438"/>
      <c r="E38" s="438"/>
      <c r="F38" s="438"/>
      <c r="G38" s="438"/>
      <c r="H38" s="438"/>
    </row>
    <row r="39" spans="1:8" s="92" customFormat="1" ht="15.75" x14ac:dyDescent="0.25">
      <c r="A39" s="432"/>
      <c r="B39" s="432"/>
      <c r="C39" s="432"/>
      <c r="D39" s="432"/>
      <c r="E39" s="432"/>
      <c r="F39" s="432"/>
      <c r="G39" s="432"/>
    </row>
    <row r="40" spans="1:8" s="92" customFormat="1" x14ac:dyDescent="0.2">
      <c r="A40" s="437"/>
      <c r="B40" s="437"/>
      <c r="C40" s="437"/>
      <c r="D40" s="437"/>
      <c r="E40" s="437"/>
      <c r="F40" s="437"/>
      <c r="G40" s="437"/>
    </row>
    <row r="41" spans="1:8" s="92" customFormat="1" x14ac:dyDescent="0.2">
      <c r="B41" s="437"/>
      <c r="C41" s="437"/>
      <c r="D41" s="437"/>
      <c r="E41" s="437"/>
      <c r="F41" s="437"/>
      <c r="G41" s="437"/>
    </row>
    <row r="42" spans="1:8" s="92" customFormat="1" ht="14.25" customHeight="1" x14ac:dyDescent="0.2">
      <c r="B42" s="433"/>
      <c r="C42" s="433"/>
      <c r="D42" s="433"/>
      <c r="E42" s="433"/>
      <c r="F42" s="433"/>
      <c r="G42" s="433"/>
    </row>
    <row r="43" spans="1:8" s="92" customFormat="1" x14ac:dyDescent="0.2">
      <c r="B43" s="430"/>
      <c r="C43" s="430"/>
      <c r="D43" s="430"/>
      <c r="E43" s="430"/>
      <c r="F43" s="430"/>
      <c r="G43" s="430"/>
    </row>
    <row r="44" spans="1:8" s="92" customFormat="1" x14ac:dyDescent="0.2"/>
    <row r="45" spans="1:8" s="92" customFormat="1" x14ac:dyDescent="0.2"/>
    <row r="46" spans="1:8" s="92" customFormat="1" x14ac:dyDescent="0.2"/>
    <row r="47" spans="1:8" s="92" customFormat="1" ht="15" customHeight="1" x14ac:dyDescent="0.2">
      <c r="A47" s="132"/>
      <c r="B47" s="132"/>
      <c r="C47" s="132"/>
      <c r="D47" s="132"/>
      <c r="E47" s="132"/>
      <c r="F47" s="132"/>
      <c r="G47" s="132"/>
    </row>
    <row r="48" spans="1:8" s="92" customFormat="1" x14ac:dyDescent="0.2">
      <c r="A48" s="132"/>
      <c r="B48" s="132"/>
      <c r="C48" s="132"/>
      <c r="D48" s="132"/>
      <c r="E48" s="132"/>
      <c r="F48" s="132"/>
      <c r="G48" s="132"/>
    </row>
    <row r="49" spans="1:8" s="92" customFormat="1" ht="27" customHeight="1" x14ac:dyDescent="0.2">
      <c r="A49" s="132"/>
      <c r="B49" s="132"/>
      <c r="C49" s="132"/>
      <c r="D49" s="132"/>
      <c r="E49" s="132"/>
      <c r="F49" s="132"/>
      <c r="G49" s="132"/>
      <c r="H49" s="132"/>
    </row>
    <row r="50" spans="1:8" s="92" customFormat="1" ht="22.5" customHeight="1" x14ac:dyDescent="0.2">
      <c r="A50" s="132"/>
      <c r="B50" s="132"/>
      <c r="C50" s="132"/>
      <c r="D50" s="132"/>
      <c r="E50" s="132"/>
      <c r="F50" s="132"/>
      <c r="G50" s="132"/>
      <c r="H50" s="132"/>
    </row>
    <row r="51" spans="1:8" s="92" customFormat="1" ht="22.5" customHeight="1" x14ac:dyDescent="0.35">
      <c r="A51" s="245"/>
      <c r="B51" s="246"/>
      <c r="C51" s="246"/>
      <c r="D51" s="246"/>
      <c r="E51" s="246"/>
      <c r="F51" s="246"/>
      <c r="G51" s="246"/>
      <c r="H51" s="246"/>
    </row>
    <row r="52" spans="1:8" ht="22.5" customHeight="1" x14ac:dyDescent="0.35">
      <c r="A52" s="245"/>
      <c r="B52" s="247"/>
      <c r="C52" s="247"/>
      <c r="D52" s="247"/>
      <c r="E52" s="247"/>
      <c r="F52" s="247"/>
      <c r="G52" s="247"/>
      <c r="H52" s="247"/>
    </row>
    <row r="54" spans="1:8" ht="15" customHeight="1" x14ac:dyDescent="0.25"/>
    <row r="56" spans="1:8" ht="15.75" x14ac:dyDescent="0.25">
      <c r="D56" s="234" t="s">
        <v>185</v>
      </c>
    </row>
    <row r="57" spans="1:8" ht="15.75" x14ac:dyDescent="0.25">
      <c r="D57" s="248" t="str">
        <f>'Estado de costos'!E15</f>
        <v>Carlos Camacho</v>
      </c>
    </row>
    <row r="58" spans="1:8" ht="15.75" x14ac:dyDescent="0.25">
      <c r="D58" s="234" t="str">
        <f>IF(D57="Alvaro Vega","Jefe Activaciones ",IF(D57="Carlos Camacho"," Jefe de Taller y Diseño",IF(D57="Cristhian Ayala","Ejecutivo de Cuentas de Taller y Diseño ")))</f>
        <v xml:space="preserve"> Jefe de Taller y Diseño</v>
      </c>
    </row>
    <row r="59" spans="1:8" ht="15.75" x14ac:dyDescent="0.25">
      <c r="D59" s="249" t="str">
        <f>IF(D57="Alvaro Vega","alvarovega@gruporegional.com",IF(D57="Carlos Camacho","carloscamacho@gruporegional.com",IF(D57="Cristhian Ayala","cristhianayala@gruporegional.com")))</f>
        <v>carloscamacho@gruporegional.com</v>
      </c>
    </row>
    <row r="60" spans="1:8" ht="15.75" x14ac:dyDescent="0.25">
      <c r="D60" s="249" t="s">
        <v>163</v>
      </c>
    </row>
  </sheetData>
  <mergeCells count="21">
    <mergeCell ref="A22:H22"/>
    <mergeCell ref="B27:C27"/>
    <mergeCell ref="B28:C30"/>
    <mergeCell ref="D28:D30"/>
    <mergeCell ref="E28:E30"/>
    <mergeCell ref="F28:F30"/>
    <mergeCell ref="B42:G42"/>
    <mergeCell ref="B43:G43"/>
    <mergeCell ref="A25:F25"/>
    <mergeCell ref="A36:G36"/>
    <mergeCell ref="A39:G39"/>
    <mergeCell ref="A40:G40"/>
    <mergeCell ref="B41:G41"/>
    <mergeCell ref="A38:H38"/>
    <mergeCell ref="B33:F35"/>
    <mergeCell ref="A9:G9"/>
    <mergeCell ref="A12:G12"/>
    <mergeCell ref="A14:G14"/>
    <mergeCell ref="A16:G16"/>
    <mergeCell ref="A20:G20"/>
    <mergeCell ref="C18:F18"/>
  </mergeCell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4100" r:id="rId5" name="CommandButton2">
          <controlPr defaultSize="0" print="0" autoLine="0" r:id="rId6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266700</xdr:colOff>
                <xdr:row>2</xdr:row>
                <xdr:rowOff>85725</xdr:rowOff>
              </to>
            </anchor>
          </controlPr>
        </control>
      </mc:Choice>
      <mc:Fallback>
        <control shapeId="4100" r:id="rId5" name="CommandButton2"/>
      </mc:Fallback>
    </mc:AlternateContent>
    <mc:AlternateContent xmlns:mc="http://schemas.openxmlformats.org/markup-compatibility/2006">
      <mc:Choice Requires="x14">
        <control shapeId="4098" r:id="rId7" name="CommandButton1">
          <controlPr defaultSize="0" print="0" autoLine="0" r:id="rId8">
            <anchor moveWithCells="1">
              <from>
                <xdr:col>7</xdr:col>
                <xdr:colOff>285750</xdr:colOff>
                <xdr:row>0</xdr:row>
                <xdr:rowOff>0</xdr:rowOff>
              </from>
              <to>
                <xdr:col>7</xdr:col>
                <xdr:colOff>752475</xdr:colOff>
                <xdr:row>2</xdr:row>
                <xdr:rowOff>85725</xdr:rowOff>
              </to>
            </anchor>
          </controlPr>
        </control>
      </mc:Choice>
      <mc:Fallback>
        <control shapeId="4098" r:id="rId7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8" tint="0.39997558519241921"/>
  </sheetPr>
  <dimension ref="A1:K53"/>
  <sheetViews>
    <sheetView topLeftCell="A11" zoomScale="85" zoomScaleNormal="85" zoomScalePageLayoutView="85" workbookViewId="0">
      <selection activeCell="H11" sqref="H11"/>
    </sheetView>
  </sheetViews>
  <sheetFormatPr baseColWidth="10" defaultRowHeight="15.75" x14ac:dyDescent="0.25"/>
  <cols>
    <col min="1" max="1" width="5.42578125" customWidth="1"/>
    <col min="2" max="2" width="16.85546875" style="130" customWidth="1"/>
    <col min="3" max="3" width="11.42578125" style="130"/>
    <col min="4" max="4" width="13.42578125" style="130" customWidth="1"/>
    <col min="5" max="5" width="24.85546875" style="130" customWidth="1"/>
    <col min="6" max="6" width="14.140625" style="130" customWidth="1"/>
    <col min="7" max="7" width="15.42578125" style="130" bestFit="1" customWidth="1"/>
    <col min="8" max="8" width="15.28515625" style="130" bestFit="1" customWidth="1"/>
    <col min="9" max="9" width="13.140625" style="130" customWidth="1"/>
    <col min="10" max="10" width="17.42578125" style="130" customWidth="1"/>
    <col min="11" max="11" width="16.28515625" style="130" customWidth="1"/>
  </cols>
  <sheetData>
    <row r="1" spans="1:11" x14ac:dyDescent="0.25">
      <c r="A1" s="92"/>
      <c r="B1"/>
      <c r="C1"/>
      <c r="D1"/>
      <c r="E1"/>
      <c r="F1"/>
      <c r="G1"/>
      <c r="H1"/>
      <c r="I1"/>
      <c r="J1"/>
      <c r="K1"/>
    </row>
    <row r="2" spans="1:11" s="84" customFormat="1" ht="14.25" x14ac:dyDescent="0.2"/>
    <row r="3" spans="1:11" s="84" customFormat="1" ht="14.25" x14ac:dyDescent="0.2"/>
    <row r="4" spans="1:11" s="84" customFormat="1" ht="14.25" x14ac:dyDescent="0.2"/>
    <row r="5" spans="1:11" s="84" customFormat="1" ht="14.25" x14ac:dyDescent="0.2"/>
    <row r="6" spans="1:11" s="84" customFormat="1" ht="14.25" x14ac:dyDescent="0.2"/>
    <row r="7" spans="1:11" s="84" customFormat="1" ht="14.25" x14ac:dyDescent="0.2"/>
    <row r="8" spans="1:11" s="84" customFormat="1" ht="27.75" x14ac:dyDescent="0.2">
      <c r="B8" s="466" t="s">
        <v>168</v>
      </c>
      <c r="C8" s="467"/>
      <c r="D8" s="467"/>
      <c r="E8" s="467"/>
      <c r="F8" s="467"/>
      <c r="G8" s="467"/>
      <c r="H8" s="467"/>
      <c r="I8" s="467"/>
      <c r="J8" s="467"/>
      <c r="K8" s="467"/>
    </row>
    <row r="9" spans="1:11" s="84" customFormat="1" ht="27.75" x14ac:dyDescent="0.2">
      <c r="B9" s="467" t="s">
        <v>141</v>
      </c>
      <c r="C9" s="467"/>
      <c r="D9" s="467"/>
      <c r="E9" s="467"/>
      <c r="F9" s="467"/>
      <c r="G9" s="467"/>
      <c r="H9" s="467"/>
      <c r="I9" s="467"/>
      <c r="J9" s="467"/>
      <c r="K9" s="467"/>
    </row>
    <row r="10" spans="1:11" s="84" customFormat="1" ht="27.75" x14ac:dyDescent="0.2">
      <c r="B10" s="103"/>
      <c r="C10" s="103"/>
      <c r="D10" s="103"/>
      <c r="E10" s="103"/>
      <c r="F10" s="103"/>
      <c r="G10" s="103"/>
      <c r="H10" s="103"/>
      <c r="I10" s="103"/>
      <c r="J10" s="103"/>
      <c r="K10" s="103"/>
    </row>
    <row r="11" spans="1:11" s="84" customFormat="1" ht="30" customHeight="1" x14ac:dyDescent="0.2">
      <c r="A11" s="83">
        <v>1.1000000000000001</v>
      </c>
      <c r="B11" s="457" t="s">
        <v>142</v>
      </c>
      <c r="C11" s="457"/>
      <c r="D11" s="468" t="str">
        <f>+'Estado de costos'!D7:G7</f>
        <v>UNILEVER</v>
      </c>
      <c r="E11" s="468"/>
      <c r="F11" s="468"/>
      <c r="G11" s="104">
        <v>1.2</v>
      </c>
      <c r="H11" s="85" t="s">
        <v>97</v>
      </c>
      <c r="I11" s="105"/>
      <c r="J11" s="464">
        <f>+'Estado de costos'!K7</f>
        <v>0</v>
      </c>
      <c r="K11" s="464"/>
    </row>
    <row r="12" spans="1:11" s="84" customFormat="1" ht="15.75" customHeight="1" x14ac:dyDescent="0.2">
      <c r="A12" s="83"/>
      <c r="B12" s="106"/>
      <c r="C12" s="106"/>
      <c r="D12" s="106"/>
      <c r="E12" s="106"/>
      <c r="F12" s="106"/>
      <c r="G12" s="106"/>
      <c r="H12" s="106"/>
      <c r="I12" s="106"/>
      <c r="J12" s="106"/>
      <c r="K12" s="106"/>
    </row>
    <row r="13" spans="1:11" s="84" customFormat="1" ht="61.5" customHeight="1" x14ac:dyDescent="0.2">
      <c r="A13" s="83">
        <v>1.3</v>
      </c>
      <c r="B13" s="462" t="s">
        <v>143</v>
      </c>
      <c r="C13" s="462"/>
      <c r="D13" s="463">
        <f>+'Estado de costos'!D9:G9</f>
        <v>0</v>
      </c>
      <c r="E13" s="464"/>
      <c r="F13" s="464"/>
      <c r="G13" s="83">
        <v>1.4</v>
      </c>
      <c r="H13" s="107" t="s">
        <v>144</v>
      </c>
      <c r="I13" s="465" t="str">
        <f>+'Estado de costos'!K9</f>
        <v>50 CAJAS DE TEE CON NUEVE DIVISIONES INCLUYE TAPA MADERA PINO Y SERIGRAFIA DE LOGO LIPTON EN UN COLOR EN TAPA ANVERSO Y REVERSO</v>
      </c>
      <c r="J13" s="465"/>
      <c r="K13" s="465"/>
    </row>
    <row r="14" spans="1:11" s="84" customFormat="1" ht="15" x14ac:dyDescent="0.2">
      <c r="A14" s="83"/>
      <c r="B14" s="106"/>
      <c r="C14" s="106"/>
      <c r="D14" s="106"/>
      <c r="E14" s="106"/>
      <c r="F14" s="106"/>
      <c r="G14" s="106"/>
      <c r="H14" s="106"/>
      <c r="I14" s="106"/>
      <c r="J14" s="106"/>
      <c r="K14" s="106"/>
    </row>
    <row r="15" spans="1:11" s="84" customFormat="1" ht="37.5" customHeight="1" x14ac:dyDescent="0.2">
      <c r="A15" s="83">
        <v>1.5</v>
      </c>
      <c r="B15" s="457" t="s">
        <v>145</v>
      </c>
      <c r="C15" s="457"/>
      <c r="D15" s="457"/>
      <c r="E15" s="455">
        <f>+'Estado de costos'!D11</f>
        <v>43343</v>
      </c>
      <c r="F15" s="455"/>
      <c r="G15" s="83">
        <v>1.6</v>
      </c>
      <c r="H15" s="458" t="s">
        <v>146</v>
      </c>
      <c r="I15" s="458"/>
      <c r="J15" s="455">
        <f>+'Estado de costos'!K11</f>
        <v>43319</v>
      </c>
      <c r="K15" s="455"/>
    </row>
    <row r="16" spans="1:11" s="113" customFormat="1" ht="37.5" customHeight="1" x14ac:dyDescent="0.2">
      <c r="A16" s="108"/>
      <c r="B16" s="109"/>
      <c r="C16" s="109"/>
      <c r="D16" s="109"/>
      <c r="E16" s="110"/>
      <c r="F16" s="111"/>
      <c r="G16" s="112"/>
      <c r="H16" s="112"/>
      <c r="I16" s="112"/>
      <c r="J16" s="112"/>
      <c r="K16" s="112"/>
    </row>
    <row r="17" spans="1:11" s="84" customFormat="1" ht="37.5" customHeight="1" x14ac:dyDescent="0.2">
      <c r="A17" s="83">
        <v>3</v>
      </c>
      <c r="B17" s="456" t="s">
        <v>147</v>
      </c>
      <c r="C17" s="456"/>
      <c r="D17" s="456"/>
      <c r="E17" s="456"/>
      <c r="F17" s="456"/>
      <c r="G17" s="456"/>
      <c r="H17" s="456"/>
      <c r="I17" s="456"/>
      <c r="J17" s="456"/>
      <c r="K17" s="456"/>
    </row>
    <row r="18" spans="1:11" s="84" customFormat="1" ht="7.5" customHeight="1" x14ac:dyDescent="0.2">
      <c r="A18" s="83"/>
      <c r="B18" s="109"/>
      <c r="C18" s="109"/>
      <c r="D18" s="109"/>
      <c r="E18" s="110"/>
      <c r="F18" s="111"/>
      <c r="G18" s="114"/>
      <c r="H18" s="114"/>
      <c r="I18" s="114"/>
      <c r="J18" s="114"/>
      <c r="K18" s="114"/>
    </row>
    <row r="19" spans="1:11" s="84" customFormat="1" ht="28.5" customHeight="1" x14ac:dyDescent="0.2">
      <c r="A19" s="83" t="s">
        <v>131</v>
      </c>
      <c r="B19" s="451" t="s">
        <v>148</v>
      </c>
      <c r="C19" s="451"/>
      <c r="D19" s="451"/>
      <c r="E19" s="451"/>
      <c r="F19" s="451"/>
      <c r="G19" s="451" t="s">
        <v>149</v>
      </c>
      <c r="H19" s="451"/>
      <c r="I19" s="451"/>
      <c r="J19" s="451"/>
      <c r="K19" s="451"/>
    </row>
    <row r="20" spans="1:11" s="116" customFormat="1" ht="65.25" customHeight="1" x14ac:dyDescent="0.25">
      <c r="A20" s="115"/>
      <c r="B20" s="459" t="s">
        <v>150</v>
      </c>
      <c r="C20" s="460"/>
      <c r="D20" s="461"/>
      <c r="E20" s="459" t="s">
        <v>151</v>
      </c>
      <c r="F20" s="461"/>
      <c r="G20" s="86" t="s">
        <v>152</v>
      </c>
      <c r="H20" s="86" t="s">
        <v>62</v>
      </c>
      <c r="I20" s="86" t="s">
        <v>153</v>
      </c>
      <c r="J20" s="86" t="s">
        <v>154</v>
      </c>
      <c r="K20" s="86" t="s">
        <v>166</v>
      </c>
    </row>
    <row r="21" spans="1:11" s="116" customFormat="1" ht="55.5" hidden="1" customHeight="1" x14ac:dyDescent="0.25">
      <c r="A21" s="115"/>
      <c r="B21" s="452" t="s">
        <v>155</v>
      </c>
      <c r="C21" s="453"/>
      <c r="D21" s="454"/>
      <c r="E21" s="117"/>
      <c r="F21" s="118"/>
      <c r="G21" s="118"/>
      <c r="H21" s="118"/>
      <c r="I21" s="119"/>
      <c r="J21" s="118"/>
      <c r="K21" s="118"/>
    </row>
    <row r="22" spans="1:11" s="84" customFormat="1" ht="35.25" customHeight="1" x14ac:dyDescent="0.2">
      <c r="A22" s="83"/>
      <c r="B22" s="452" t="str">
        <f>+'Estado de costos'!B30:E30</f>
        <v>COMBUSTIBLE</v>
      </c>
      <c r="C22" s="453"/>
      <c r="D22" s="454"/>
      <c r="E22" s="452">
        <f>+'Estado de costos'!F30</f>
        <v>0</v>
      </c>
      <c r="F22" s="454"/>
      <c r="G22" s="120">
        <f>+'Estado de costos'!J30</f>
        <v>10</v>
      </c>
      <c r="H22" s="121">
        <f>+'Estado de costos'!K30</f>
        <v>3.74</v>
      </c>
      <c r="I22" s="88">
        <f>+H22*G22</f>
        <v>37.400000000000006</v>
      </c>
      <c r="J22" s="89" t="str">
        <f>+'Estado de costos'!L30</f>
        <v>FACTURA</v>
      </c>
      <c r="K22" s="82">
        <f>IF(J22="FACTURA",I22*1,IF(J22="RECIBO",I22/0.92,IF(J22="ALMACEN",I22*1,)))</f>
        <v>37.400000000000006</v>
      </c>
    </row>
    <row r="23" spans="1:11" s="84" customFormat="1" ht="35.25" customHeight="1" x14ac:dyDescent="0.2">
      <c r="A23" s="83"/>
      <c r="B23" s="452" t="e">
        <f>+'Estado de costos'!#REF!</f>
        <v>#REF!</v>
      </c>
      <c r="C23" s="453"/>
      <c r="D23" s="454"/>
      <c r="E23" s="452" t="e">
        <f>+'Estado de costos'!#REF!</f>
        <v>#REF!</v>
      </c>
      <c r="F23" s="454"/>
      <c r="G23" s="120" t="e">
        <f>+'Estado de costos'!#REF!</f>
        <v>#REF!</v>
      </c>
      <c r="H23" s="121" t="e">
        <f>+'Estado de costos'!#REF!</f>
        <v>#REF!</v>
      </c>
      <c r="I23" s="90" t="e">
        <f t="shared" ref="I23:I36" si="0">+H23*G23</f>
        <v>#REF!</v>
      </c>
      <c r="J23" s="89" t="e">
        <f>+'Estado de costos'!#REF!</f>
        <v>#REF!</v>
      </c>
      <c r="K23" s="82" t="e">
        <f t="shared" ref="K23:K36" si="1">IF(J23="FACTURA",I23*1,IF(J23="RECIBO",I23/0.92,IF(J23="ALMACEN",I23*1,)))</f>
        <v>#REF!</v>
      </c>
    </row>
    <row r="24" spans="1:11" s="84" customFormat="1" ht="35.25" customHeight="1" x14ac:dyDescent="0.2">
      <c r="A24" s="83"/>
      <c r="B24" s="452" t="e">
        <f>+'Estado de costos'!#REF!</f>
        <v>#REF!</v>
      </c>
      <c r="C24" s="453"/>
      <c r="D24" s="454"/>
      <c r="E24" s="452" t="e">
        <f>+'Estado de costos'!#REF!</f>
        <v>#REF!</v>
      </c>
      <c r="F24" s="454"/>
      <c r="G24" s="120" t="e">
        <f>+'Estado de costos'!#REF!</f>
        <v>#REF!</v>
      </c>
      <c r="H24" s="121" t="e">
        <f>+'Estado de costos'!#REF!</f>
        <v>#REF!</v>
      </c>
      <c r="I24" s="90" t="e">
        <f t="shared" si="0"/>
        <v>#REF!</v>
      </c>
      <c r="J24" s="89" t="e">
        <f>+'Estado de costos'!#REF!</f>
        <v>#REF!</v>
      </c>
      <c r="K24" s="82" t="e">
        <f t="shared" si="1"/>
        <v>#REF!</v>
      </c>
    </row>
    <row r="25" spans="1:11" s="84" customFormat="1" ht="39" customHeight="1" x14ac:dyDescent="0.2">
      <c r="A25" s="83"/>
      <c r="B25" s="452" t="e">
        <f>+'Estado de costos'!#REF!</f>
        <v>#REF!</v>
      </c>
      <c r="C25" s="453"/>
      <c r="D25" s="454"/>
      <c r="E25" s="452" t="e">
        <f>+'Estado de costos'!#REF!</f>
        <v>#REF!</v>
      </c>
      <c r="F25" s="454"/>
      <c r="G25" s="120" t="e">
        <f>+'Estado de costos'!#REF!</f>
        <v>#REF!</v>
      </c>
      <c r="H25" s="121" t="e">
        <f>+'Estado de costos'!#REF!</f>
        <v>#REF!</v>
      </c>
      <c r="I25" s="90" t="e">
        <f t="shared" si="0"/>
        <v>#REF!</v>
      </c>
      <c r="J25" s="89" t="e">
        <f>+'Estado de costos'!#REF!</f>
        <v>#REF!</v>
      </c>
      <c r="K25" s="82" t="e">
        <f t="shared" si="1"/>
        <v>#REF!</v>
      </c>
    </row>
    <row r="26" spans="1:11" s="84" customFormat="1" ht="39" customHeight="1" x14ac:dyDescent="0.2">
      <c r="A26" s="83"/>
      <c r="B26" s="452" t="e">
        <f>+'Estado de costos'!#REF!</f>
        <v>#REF!</v>
      </c>
      <c r="C26" s="453"/>
      <c r="D26" s="454"/>
      <c r="E26" s="452" t="e">
        <f>+'Estado de costos'!#REF!</f>
        <v>#REF!</v>
      </c>
      <c r="F26" s="454"/>
      <c r="G26" s="120" t="e">
        <f>+'Estado de costos'!#REF!</f>
        <v>#REF!</v>
      </c>
      <c r="H26" s="121" t="e">
        <f>+'Estado de costos'!#REF!</f>
        <v>#REF!</v>
      </c>
      <c r="I26" s="90" t="e">
        <f t="shared" si="0"/>
        <v>#REF!</v>
      </c>
      <c r="J26" s="89" t="e">
        <f>+'Estado de costos'!#REF!</f>
        <v>#REF!</v>
      </c>
      <c r="K26" s="82" t="e">
        <f t="shared" si="1"/>
        <v>#REF!</v>
      </c>
    </row>
    <row r="27" spans="1:11" s="84" customFormat="1" ht="39" customHeight="1" x14ac:dyDescent="0.2">
      <c r="A27" s="83"/>
      <c r="B27" s="452" t="e">
        <f>+'Estado de costos'!#REF!</f>
        <v>#REF!</v>
      </c>
      <c r="C27" s="453"/>
      <c r="D27" s="454"/>
      <c r="E27" s="452" t="e">
        <f>+'Estado de costos'!#REF!</f>
        <v>#REF!</v>
      </c>
      <c r="F27" s="454"/>
      <c r="G27" s="120" t="e">
        <f>+'Estado de costos'!#REF!</f>
        <v>#REF!</v>
      </c>
      <c r="H27" s="121" t="e">
        <f>+'Estado de costos'!#REF!</f>
        <v>#REF!</v>
      </c>
      <c r="I27" s="90" t="e">
        <f t="shared" si="0"/>
        <v>#REF!</v>
      </c>
      <c r="J27" s="89" t="e">
        <f>+'Estado de costos'!#REF!</f>
        <v>#REF!</v>
      </c>
      <c r="K27" s="82" t="e">
        <f t="shared" si="1"/>
        <v>#REF!</v>
      </c>
    </row>
    <row r="28" spans="1:11" s="84" customFormat="1" ht="39" customHeight="1" x14ac:dyDescent="0.2">
      <c r="A28" s="83"/>
      <c r="B28" s="452" t="e">
        <f>+'Estado de costos'!#REF!</f>
        <v>#REF!</v>
      </c>
      <c r="C28" s="453"/>
      <c r="D28" s="454"/>
      <c r="E28" s="452" t="e">
        <f>+'Estado de costos'!#REF!</f>
        <v>#REF!</v>
      </c>
      <c r="F28" s="454"/>
      <c r="G28" s="120" t="e">
        <f>+'Estado de costos'!#REF!</f>
        <v>#REF!</v>
      </c>
      <c r="H28" s="121" t="e">
        <f>+'Estado de costos'!#REF!</f>
        <v>#REF!</v>
      </c>
      <c r="I28" s="90" t="e">
        <f t="shared" si="0"/>
        <v>#REF!</v>
      </c>
      <c r="J28" s="89" t="e">
        <f>+'Estado de costos'!#REF!</f>
        <v>#REF!</v>
      </c>
      <c r="K28" s="82" t="e">
        <f t="shared" si="1"/>
        <v>#REF!</v>
      </c>
    </row>
    <row r="29" spans="1:11" s="84" customFormat="1" ht="39" customHeight="1" x14ac:dyDescent="0.2">
      <c r="A29" s="83"/>
      <c r="B29" s="452" t="e">
        <f>+'Estado de costos'!#REF!</f>
        <v>#REF!</v>
      </c>
      <c r="C29" s="453"/>
      <c r="D29" s="454"/>
      <c r="E29" s="452" t="e">
        <f>+'Estado de costos'!#REF!</f>
        <v>#REF!</v>
      </c>
      <c r="F29" s="454"/>
      <c r="G29" s="120" t="e">
        <f>+'Estado de costos'!#REF!</f>
        <v>#REF!</v>
      </c>
      <c r="H29" s="121" t="e">
        <f>+'Estado de costos'!#REF!</f>
        <v>#REF!</v>
      </c>
      <c r="I29" s="90" t="e">
        <f t="shared" si="0"/>
        <v>#REF!</v>
      </c>
      <c r="J29" s="89" t="e">
        <f>+'Estado de costos'!#REF!</f>
        <v>#REF!</v>
      </c>
      <c r="K29" s="82" t="e">
        <f t="shared" si="1"/>
        <v>#REF!</v>
      </c>
    </row>
    <row r="30" spans="1:11" s="84" customFormat="1" ht="39" customHeight="1" x14ac:dyDescent="0.2">
      <c r="A30" s="83"/>
      <c r="B30" s="452" t="e">
        <f>+'Estado de costos'!#REF!</f>
        <v>#REF!</v>
      </c>
      <c r="C30" s="453"/>
      <c r="D30" s="454"/>
      <c r="E30" s="452" t="e">
        <f>+'Estado de costos'!#REF!</f>
        <v>#REF!</v>
      </c>
      <c r="F30" s="454"/>
      <c r="G30" s="120" t="e">
        <f>+'Estado de costos'!#REF!</f>
        <v>#REF!</v>
      </c>
      <c r="H30" s="121" t="e">
        <f>+'Estado de costos'!#REF!</f>
        <v>#REF!</v>
      </c>
      <c r="I30" s="90" t="e">
        <f t="shared" si="0"/>
        <v>#REF!</v>
      </c>
      <c r="J30" s="89" t="e">
        <f>+'Estado de costos'!#REF!</f>
        <v>#REF!</v>
      </c>
      <c r="K30" s="82" t="e">
        <f t="shared" si="1"/>
        <v>#REF!</v>
      </c>
    </row>
    <row r="31" spans="1:11" s="84" customFormat="1" ht="39" customHeight="1" x14ac:dyDescent="0.2">
      <c r="A31" s="83"/>
      <c r="B31" s="452" t="e">
        <f>+'Estado de costos'!#REF!</f>
        <v>#REF!</v>
      </c>
      <c r="C31" s="453"/>
      <c r="D31" s="454"/>
      <c r="E31" s="452" t="e">
        <f>+'Estado de costos'!#REF!</f>
        <v>#REF!</v>
      </c>
      <c r="F31" s="454"/>
      <c r="G31" s="120" t="e">
        <f>+'Estado de costos'!#REF!</f>
        <v>#REF!</v>
      </c>
      <c r="H31" s="121" t="e">
        <f>+'Estado de costos'!#REF!</f>
        <v>#REF!</v>
      </c>
      <c r="I31" s="90" t="e">
        <f t="shared" si="0"/>
        <v>#REF!</v>
      </c>
      <c r="J31" s="89" t="e">
        <f>+'Estado de costos'!#REF!</f>
        <v>#REF!</v>
      </c>
      <c r="K31" s="82" t="e">
        <f t="shared" si="1"/>
        <v>#REF!</v>
      </c>
    </row>
    <row r="32" spans="1:11" s="84" customFormat="1" ht="39" customHeight="1" x14ac:dyDescent="0.2">
      <c r="A32" s="83"/>
      <c r="B32" s="452" t="e">
        <f>+'Estado de costos'!#REF!</f>
        <v>#REF!</v>
      </c>
      <c r="C32" s="453"/>
      <c r="D32" s="454"/>
      <c r="E32" s="452" t="e">
        <f>+'Estado de costos'!#REF!</f>
        <v>#REF!</v>
      </c>
      <c r="F32" s="454"/>
      <c r="G32" s="120" t="e">
        <f>+'Estado de costos'!#REF!</f>
        <v>#REF!</v>
      </c>
      <c r="H32" s="121" t="e">
        <f>+'Estado de costos'!#REF!</f>
        <v>#REF!</v>
      </c>
      <c r="I32" s="90" t="e">
        <f t="shared" si="0"/>
        <v>#REF!</v>
      </c>
      <c r="J32" s="89" t="e">
        <f>+'Estado de costos'!#REF!</f>
        <v>#REF!</v>
      </c>
      <c r="K32" s="82" t="e">
        <f t="shared" si="1"/>
        <v>#REF!</v>
      </c>
    </row>
    <row r="33" spans="1:11" s="84" customFormat="1" ht="39" customHeight="1" x14ac:dyDescent="0.2">
      <c r="A33" s="83"/>
      <c r="B33" s="452" t="e">
        <f>+'Estado de costos'!#REF!</f>
        <v>#REF!</v>
      </c>
      <c r="C33" s="453"/>
      <c r="D33" s="454"/>
      <c r="E33" s="452" t="e">
        <f>+'Estado de costos'!#REF!</f>
        <v>#REF!</v>
      </c>
      <c r="F33" s="454"/>
      <c r="G33" s="120" t="e">
        <f>+'Estado de costos'!#REF!</f>
        <v>#REF!</v>
      </c>
      <c r="H33" s="121" t="e">
        <f>+'Estado de costos'!#REF!</f>
        <v>#REF!</v>
      </c>
      <c r="I33" s="90" t="e">
        <f t="shared" si="0"/>
        <v>#REF!</v>
      </c>
      <c r="J33" s="89" t="e">
        <f>+'Estado de costos'!#REF!</f>
        <v>#REF!</v>
      </c>
      <c r="K33" s="82" t="e">
        <f t="shared" si="1"/>
        <v>#REF!</v>
      </c>
    </row>
    <row r="34" spans="1:11" s="84" customFormat="1" ht="39" customHeight="1" x14ac:dyDescent="0.2">
      <c r="A34" s="83"/>
      <c r="B34" s="452" t="e">
        <f>+'Estado de costos'!#REF!</f>
        <v>#REF!</v>
      </c>
      <c r="C34" s="453"/>
      <c r="D34" s="454"/>
      <c r="E34" s="452" t="e">
        <f>+'Estado de costos'!#REF!</f>
        <v>#REF!</v>
      </c>
      <c r="F34" s="454"/>
      <c r="G34" s="120" t="e">
        <f>+'Estado de costos'!#REF!</f>
        <v>#REF!</v>
      </c>
      <c r="H34" s="121" t="e">
        <f>+'Estado de costos'!#REF!</f>
        <v>#REF!</v>
      </c>
      <c r="I34" s="90" t="e">
        <f t="shared" si="0"/>
        <v>#REF!</v>
      </c>
      <c r="J34" s="89" t="e">
        <f>+'Estado de costos'!#REF!</f>
        <v>#REF!</v>
      </c>
      <c r="K34" s="82" t="e">
        <f t="shared" si="1"/>
        <v>#REF!</v>
      </c>
    </row>
    <row r="35" spans="1:11" s="84" customFormat="1" ht="39" customHeight="1" x14ac:dyDescent="0.2">
      <c r="A35" s="83"/>
      <c r="B35" s="452" t="e">
        <f>+'Estado de costos'!#REF!</f>
        <v>#REF!</v>
      </c>
      <c r="C35" s="453"/>
      <c r="D35" s="454"/>
      <c r="E35" s="452" t="e">
        <f>+'Estado de costos'!#REF!</f>
        <v>#REF!</v>
      </c>
      <c r="F35" s="454"/>
      <c r="G35" s="120" t="e">
        <f>+'Estado de costos'!#REF!</f>
        <v>#REF!</v>
      </c>
      <c r="H35" s="121" t="e">
        <f>+'Estado de costos'!#REF!</f>
        <v>#REF!</v>
      </c>
      <c r="I35" s="90" t="e">
        <f t="shared" si="0"/>
        <v>#REF!</v>
      </c>
      <c r="J35" s="89" t="e">
        <f>+'Estado de costos'!#REF!</f>
        <v>#REF!</v>
      </c>
      <c r="K35" s="82" t="e">
        <f t="shared" si="1"/>
        <v>#REF!</v>
      </c>
    </row>
    <row r="36" spans="1:11" s="84" customFormat="1" ht="39" customHeight="1" x14ac:dyDescent="0.2">
      <c r="A36" s="83"/>
      <c r="B36" s="452" t="e">
        <f>+'Estado de costos'!#REF!</f>
        <v>#REF!</v>
      </c>
      <c r="C36" s="453"/>
      <c r="D36" s="454"/>
      <c r="E36" s="452" t="e">
        <f>+'Estado de costos'!#REF!</f>
        <v>#REF!</v>
      </c>
      <c r="F36" s="454"/>
      <c r="G36" s="120" t="e">
        <f>+'Estado de costos'!#REF!</f>
        <v>#REF!</v>
      </c>
      <c r="H36" s="121" t="e">
        <f>+'Estado de costos'!#REF!</f>
        <v>#REF!</v>
      </c>
      <c r="I36" s="90" t="e">
        <f t="shared" si="0"/>
        <v>#REF!</v>
      </c>
      <c r="J36" s="89" t="e">
        <f>+'Estado de costos'!#REF!</f>
        <v>#REF!</v>
      </c>
      <c r="K36" s="82" t="e">
        <f t="shared" si="1"/>
        <v>#REF!</v>
      </c>
    </row>
    <row r="37" spans="1:11" s="84" customFormat="1" ht="36" customHeight="1" x14ac:dyDescent="0.2">
      <c r="A37" s="83"/>
      <c r="B37" s="445" t="s">
        <v>156</v>
      </c>
      <c r="C37" s="446"/>
      <c r="D37" s="446"/>
      <c r="E37" s="446"/>
      <c r="F37" s="447"/>
      <c r="G37" s="122"/>
      <c r="H37" s="87"/>
      <c r="I37" s="88" t="e">
        <f>SUM(I22:I36)</f>
        <v>#REF!</v>
      </c>
      <c r="J37" s="89"/>
      <c r="K37" s="88" t="e">
        <f>SUM(K22:K36)</f>
        <v>#REF!</v>
      </c>
    </row>
    <row r="38" spans="1:11" s="84" customFormat="1" ht="15" x14ac:dyDescent="0.2">
      <c r="A38" s="83"/>
      <c r="B38" s="123"/>
      <c r="C38" s="123"/>
      <c r="D38" s="123"/>
      <c r="E38" s="123"/>
      <c r="F38" s="124"/>
      <c r="G38" s="124"/>
      <c r="H38" s="123"/>
      <c r="I38" s="123"/>
      <c r="J38" s="123"/>
      <c r="K38" s="123"/>
    </row>
    <row r="39" spans="1:11" s="84" customFormat="1" ht="15" x14ac:dyDescent="0.2">
      <c r="A39" s="83"/>
      <c r="B39" s="123"/>
      <c r="C39" s="123"/>
      <c r="D39" s="123"/>
      <c r="E39" s="123"/>
      <c r="F39" s="124"/>
      <c r="G39" s="124"/>
      <c r="H39" s="123"/>
      <c r="I39" s="123"/>
      <c r="J39" s="123"/>
      <c r="K39" s="123"/>
    </row>
    <row r="40" spans="1:11" s="84" customFormat="1" ht="15" hidden="1" x14ac:dyDescent="0.2">
      <c r="A40" s="83"/>
      <c r="B40" s="123"/>
      <c r="C40" s="123"/>
      <c r="D40" s="123"/>
      <c r="E40" s="123"/>
      <c r="F40" s="124"/>
      <c r="G40" s="124"/>
      <c r="H40" s="123"/>
      <c r="I40" s="123"/>
      <c r="J40" s="123"/>
      <c r="K40" s="125" t="e">
        <f>+K37+K49</f>
        <v>#REF!</v>
      </c>
    </row>
    <row r="41" spans="1:11" s="84" customFormat="1" ht="15" x14ac:dyDescent="0.2">
      <c r="A41" s="83"/>
      <c r="B41" s="123"/>
      <c r="C41" s="123"/>
      <c r="D41" s="123"/>
      <c r="E41" s="123"/>
      <c r="F41" s="124"/>
      <c r="G41" s="124"/>
      <c r="H41" s="123"/>
      <c r="I41" s="123"/>
      <c r="J41" s="123"/>
      <c r="K41" s="123"/>
    </row>
    <row r="42" spans="1:11" s="84" customFormat="1" ht="26.25" customHeight="1" x14ac:dyDescent="0.2">
      <c r="A42" s="83" t="s">
        <v>157</v>
      </c>
      <c r="B42" s="451" t="s">
        <v>158</v>
      </c>
      <c r="C42" s="451"/>
      <c r="D42" s="451"/>
      <c r="E42" s="451"/>
      <c r="F42" s="451"/>
      <c r="G42" s="451" t="s">
        <v>159</v>
      </c>
      <c r="H42" s="451"/>
      <c r="I42" s="451"/>
      <c r="J42" s="451"/>
      <c r="K42" s="451"/>
    </row>
    <row r="43" spans="1:11" s="84" customFormat="1" ht="50.25" customHeight="1" x14ac:dyDescent="0.2">
      <c r="A43" s="83"/>
      <c r="B43" s="448" t="s">
        <v>65</v>
      </c>
      <c r="C43" s="449"/>
      <c r="D43" s="450"/>
      <c r="E43" s="86" t="s">
        <v>151</v>
      </c>
      <c r="F43" s="86" t="s">
        <v>87</v>
      </c>
      <c r="G43" s="86" t="s">
        <v>152</v>
      </c>
      <c r="H43" s="86" t="s">
        <v>62</v>
      </c>
      <c r="I43" s="87" t="s">
        <v>60</v>
      </c>
      <c r="J43" s="87" t="s">
        <v>160</v>
      </c>
      <c r="K43" s="86" t="s">
        <v>167</v>
      </c>
    </row>
    <row r="44" spans="1:11" s="84" customFormat="1" ht="30.75" customHeight="1" x14ac:dyDescent="0.2">
      <c r="A44" s="83"/>
      <c r="B44" s="445" t="str">
        <f>+'Estado de costos'!B37:E37</f>
        <v>CAJAS DE TEE</v>
      </c>
      <c r="C44" s="446"/>
      <c r="D44" s="447"/>
      <c r="E44" s="131">
        <f>+'Estado de costos'!F37</f>
        <v>0</v>
      </c>
      <c r="F44" s="126">
        <f>+'Estado de costos'!H37</f>
        <v>0</v>
      </c>
      <c r="G44" s="127">
        <f>+'Estado de costos'!J37</f>
        <v>50</v>
      </c>
      <c r="H44" s="128">
        <f>+'Estado de costos'!K37</f>
        <v>75</v>
      </c>
      <c r="I44" s="129">
        <f>+H44*G44</f>
        <v>3750</v>
      </c>
      <c r="J44" s="86" t="str">
        <f>+'Estado de costos'!L37</f>
        <v>RECIBO</v>
      </c>
      <c r="K44" s="91">
        <f>IF(J44="FACTURA",I44*1,IF(J44="RECIBO",I44/0.845,IF(J44="VALORADOS",I44*1,IF(J44="ALQUILER CON RECIBO",I44/0.84))))</f>
        <v>4437.8698224852069</v>
      </c>
    </row>
    <row r="45" spans="1:11" s="84" customFormat="1" ht="30.75" customHeight="1" x14ac:dyDescent="0.2">
      <c r="A45" s="83"/>
      <c r="B45" s="445" t="e">
        <f>+'Estado de costos'!#REF!</f>
        <v>#REF!</v>
      </c>
      <c r="C45" s="446"/>
      <c r="D45" s="447"/>
      <c r="E45" s="131" t="e">
        <f>+'Estado de costos'!#REF!</f>
        <v>#REF!</v>
      </c>
      <c r="F45" s="126" t="e">
        <f>+'Estado de costos'!#REF!</f>
        <v>#REF!</v>
      </c>
      <c r="G45" s="127" t="e">
        <f>+'Estado de costos'!#REF!</f>
        <v>#REF!</v>
      </c>
      <c r="H45" s="128" t="e">
        <f>+'Estado de costos'!#REF!</f>
        <v>#REF!</v>
      </c>
      <c r="I45" s="129" t="e">
        <f t="shared" ref="I45:I48" si="2">+H45*G45</f>
        <v>#REF!</v>
      </c>
      <c r="J45" s="86" t="e">
        <f>+'Estado de costos'!#REF!</f>
        <v>#REF!</v>
      </c>
      <c r="K45" s="91" t="e">
        <f t="shared" ref="K45:K48" si="3">IF(J45="FACTURA",I45*1,IF(J45="RECIBO",I45/0.845,IF(J45="VALORADOS",I45*1,IF(J45="ALQUILER CON RECIBO",I45/0.84))))</f>
        <v>#REF!</v>
      </c>
    </row>
    <row r="46" spans="1:11" s="84" customFormat="1" ht="30.75" customHeight="1" x14ac:dyDescent="0.2">
      <c r="A46" s="83"/>
      <c r="B46" s="445" t="e">
        <f>+'Estado de costos'!#REF!</f>
        <v>#REF!</v>
      </c>
      <c r="C46" s="446"/>
      <c r="D46" s="447"/>
      <c r="E46" s="131" t="e">
        <f>+'Estado de costos'!#REF!</f>
        <v>#REF!</v>
      </c>
      <c r="F46" s="126" t="e">
        <f>+'Estado de costos'!#REF!</f>
        <v>#REF!</v>
      </c>
      <c r="G46" s="127" t="e">
        <f>+'Estado de costos'!#REF!</f>
        <v>#REF!</v>
      </c>
      <c r="H46" s="128" t="e">
        <f>+'Estado de costos'!#REF!</f>
        <v>#REF!</v>
      </c>
      <c r="I46" s="129" t="e">
        <f t="shared" si="2"/>
        <v>#REF!</v>
      </c>
      <c r="J46" s="86" t="e">
        <f>+'Estado de costos'!#REF!</f>
        <v>#REF!</v>
      </c>
      <c r="K46" s="91" t="e">
        <f t="shared" si="3"/>
        <v>#REF!</v>
      </c>
    </row>
    <row r="47" spans="1:11" s="84" customFormat="1" ht="30.75" customHeight="1" x14ac:dyDescent="0.2">
      <c r="A47" s="83"/>
      <c r="B47" s="445" t="e">
        <f>+'Estado de costos'!#REF!</f>
        <v>#REF!</v>
      </c>
      <c r="C47" s="446"/>
      <c r="D47" s="447"/>
      <c r="E47" s="131" t="e">
        <f>+'Estado de costos'!#REF!</f>
        <v>#REF!</v>
      </c>
      <c r="F47" s="126" t="e">
        <f>+'Estado de costos'!#REF!</f>
        <v>#REF!</v>
      </c>
      <c r="G47" s="127" t="e">
        <f>+'Estado de costos'!#REF!</f>
        <v>#REF!</v>
      </c>
      <c r="H47" s="128" t="e">
        <f>+'Estado de costos'!#REF!</f>
        <v>#REF!</v>
      </c>
      <c r="I47" s="129" t="e">
        <f t="shared" si="2"/>
        <v>#REF!</v>
      </c>
      <c r="J47" s="86" t="e">
        <f>+'Estado de costos'!#REF!</f>
        <v>#REF!</v>
      </c>
      <c r="K47" s="91" t="e">
        <f t="shared" si="3"/>
        <v>#REF!</v>
      </c>
    </row>
    <row r="48" spans="1:11" s="84" customFormat="1" ht="30.75" customHeight="1" x14ac:dyDescent="0.2">
      <c r="A48" s="83"/>
      <c r="B48" s="445" t="e">
        <f>+'Estado de costos'!#REF!</f>
        <v>#REF!</v>
      </c>
      <c r="C48" s="446"/>
      <c r="D48" s="447"/>
      <c r="E48" s="131" t="e">
        <f>+'Estado de costos'!#REF!</f>
        <v>#REF!</v>
      </c>
      <c r="F48" s="126" t="e">
        <f>+'Estado de costos'!#REF!</f>
        <v>#REF!</v>
      </c>
      <c r="G48" s="127" t="e">
        <f>+'Estado de costos'!#REF!</f>
        <v>#REF!</v>
      </c>
      <c r="H48" s="128" t="e">
        <f>+'Estado de costos'!#REF!</f>
        <v>#REF!</v>
      </c>
      <c r="I48" s="129" t="e">
        <f t="shared" si="2"/>
        <v>#REF!</v>
      </c>
      <c r="J48" s="86" t="e">
        <f>+'Estado de costos'!#REF!</f>
        <v>#REF!</v>
      </c>
      <c r="K48" s="91" t="e">
        <f t="shared" si="3"/>
        <v>#REF!</v>
      </c>
    </row>
    <row r="49" spans="1:11" s="84" customFormat="1" ht="20.25" customHeight="1" x14ac:dyDescent="0.2">
      <c r="A49" s="83"/>
      <c r="B49" s="448" t="s">
        <v>161</v>
      </c>
      <c r="C49" s="449"/>
      <c r="D49" s="449"/>
      <c r="E49" s="450"/>
      <c r="F49" s="87"/>
      <c r="G49" s="87"/>
      <c r="H49" s="87"/>
      <c r="I49" s="88"/>
      <c r="J49" s="88"/>
      <c r="K49" s="88" t="e">
        <f>SUM(K44:K48)</f>
        <v>#REF!</v>
      </c>
    </row>
    <row r="50" spans="1:11" s="84" customFormat="1" ht="15" x14ac:dyDescent="0.2">
      <c r="B50" s="92"/>
      <c r="C50" s="92"/>
      <c r="D50" s="92"/>
      <c r="E50" s="92"/>
      <c r="F50" s="92"/>
      <c r="G50" s="93"/>
      <c r="H50" s="92"/>
      <c r="I50" s="92"/>
      <c r="J50" s="92"/>
      <c r="K50" s="92"/>
    </row>
    <row r="51" spans="1:11" s="84" customFormat="1" ht="15" x14ac:dyDescent="0.2">
      <c r="B51" s="92"/>
      <c r="C51" s="92"/>
      <c r="D51" s="92"/>
      <c r="E51" s="92"/>
      <c r="F51" s="92"/>
      <c r="G51" s="92"/>
      <c r="H51" s="92"/>
      <c r="I51" s="92"/>
      <c r="J51" s="92"/>
      <c r="K51" s="92"/>
    </row>
    <row r="52" spans="1:11" s="84" customFormat="1" ht="15" x14ac:dyDescent="0.2">
      <c r="B52" s="92"/>
      <c r="C52" s="92"/>
      <c r="D52" s="92"/>
      <c r="E52" s="92"/>
      <c r="F52" s="92"/>
      <c r="G52" s="92"/>
      <c r="H52" s="92"/>
      <c r="I52" s="92"/>
      <c r="J52" s="92"/>
      <c r="K52" s="92"/>
    </row>
    <row r="53" spans="1:11" s="84" customFormat="1" ht="15" x14ac:dyDescent="0.2">
      <c r="B53" s="92"/>
      <c r="C53" s="92"/>
      <c r="D53" s="92"/>
      <c r="E53" s="92"/>
      <c r="F53" s="92"/>
      <c r="G53" s="92"/>
      <c r="H53" s="92"/>
      <c r="I53" s="92"/>
      <c r="J53" s="92"/>
      <c r="K53" s="92"/>
    </row>
  </sheetData>
  <protectedRanges>
    <protectedRange sqref="D11 J11 J15 I13 E15 E16:F16 E22:H36 J22:J36 J44:J48 E44:H48" name="Rango3"/>
  </protectedRanges>
  <mergeCells count="58">
    <mergeCell ref="B13:C13"/>
    <mergeCell ref="D13:F13"/>
    <mergeCell ref="I13:K13"/>
    <mergeCell ref="B8:K8"/>
    <mergeCell ref="B9:K9"/>
    <mergeCell ref="B11:C11"/>
    <mergeCell ref="D11:F11"/>
    <mergeCell ref="J11:K11"/>
    <mergeCell ref="B21:D21"/>
    <mergeCell ref="B22:D22"/>
    <mergeCell ref="E22:F22"/>
    <mergeCell ref="J15:K15"/>
    <mergeCell ref="B17:K17"/>
    <mergeCell ref="B19:F19"/>
    <mergeCell ref="G19:K19"/>
    <mergeCell ref="B15:D15"/>
    <mergeCell ref="E15:F15"/>
    <mergeCell ref="H15:I15"/>
    <mergeCell ref="B20:D20"/>
    <mergeCell ref="E20:F20"/>
    <mergeCell ref="E27:F27"/>
    <mergeCell ref="E28:F28"/>
    <mergeCell ref="E29:F29"/>
    <mergeCell ref="E30:F30"/>
    <mergeCell ref="B23:D23"/>
    <mergeCell ref="E23:F23"/>
    <mergeCell ref="B36:D36"/>
    <mergeCell ref="E36:F36"/>
    <mergeCell ref="B37:F37"/>
    <mergeCell ref="B42:F42"/>
    <mergeCell ref="B24:D24"/>
    <mergeCell ref="E24:F24"/>
    <mergeCell ref="B25:D25"/>
    <mergeCell ref="E25:F25"/>
    <mergeCell ref="B31:D31"/>
    <mergeCell ref="E31:F31"/>
    <mergeCell ref="B26:D26"/>
    <mergeCell ref="B27:D27"/>
    <mergeCell ref="B28:D28"/>
    <mergeCell ref="B29:D29"/>
    <mergeCell ref="B30:D30"/>
    <mergeCell ref="E26:F26"/>
    <mergeCell ref="B32:D32"/>
    <mergeCell ref="E32:F32"/>
    <mergeCell ref="B33:D33"/>
    <mergeCell ref="E33:F33"/>
    <mergeCell ref="B35:D35"/>
    <mergeCell ref="E35:F35"/>
    <mergeCell ref="B34:D34"/>
    <mergeCell ref="E34:F34"/>
    <mergeCell ref="B48:D48"/>
    <mergeCell ref="B49:E49"/>
    <mergeCell ref="G42:K42"/>
    <mergeCell ref="B44:D44"/>
    <mergeCell ref="B45:D45"/>
    <mergeCell ref="B46:D46"/>
    <mergeCell ref="B47:D47"/>
    <mergeCell ref="B43:D43"/>
  </mergeCells>
  <dataValidations count="1">
    <dataValidation type="list" allowBlank="1" showInputMessage="1" showErrorMessage="1" sqref="E16">
      <formula1>#REF!</formula1>
    </dataValidation>
  </dataValidations>
  <hyperlinks>
    <hyperlink ref="D13" r:id="rId1" display="VICTORLOPEZ@GRUPOREGIONAL.COM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[1]Hoja2!#REF!</xm:f>
          </x14:formula1>
          <xm:sqref>E18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21"/>
  <sheetViews>
    <sheetView topLeftCell="A7" workbookViewId="0">
      <selection activeCell="C16" sqref="C16"/>
    </sheetView>
  </sheetViews>
  <sheetFormatPr baseColWidth="10" defaultRowHeight="15" x14ac:dyDescent="0.25"/>
  <cols>
    <col min="2" max="2" width="22" customWidth="1"/>
    <col min="4" max="4" width="32.28515625" customWidth="1"/>
    <col min="5" max="5" width="12.7109375" bestFit="1" customWidth="1"/>
    <col min="6" max="6" width="11.42578125" customWidth="1"/>
  </cols>
  <sheetData>
    <row r="1" spans="2:16" x14ac:dyDescent="0.25">
      <c r="H1" t="s">
        <v>98</v>
      </c>
    </row>
    <row r="2" spans="2:16" x14ac:dyDescent="0.25">
      <c r="B2" t="s">
        <v>82</v>
      </c>
      <c r="E2">
        <v>15</v>
      </c>
      <c r="H2" t="s">
        <v>69</v>
      </c>
      <c r="J2" t="s">
        <v>85</v>
      </c>
      <c r="L2" s="76">
        <v>0</v>
      </c>
      <c r="N2" t="s">
        <v>68</v>
      </c>
      <c r="O2">
        <v>0.5</v>
      </c>
      <c r="P2">
        <v>5</v>
      </c>
    </row>
    <row r="3" spans="2:16" x14ac:dyDescent="0.25">
      <c r="B3" t="s">
        <v>83</v>
      </c>
      <c r="D3">
        <v>120</v>
      </c>
      <c r="E3">
        <v>30</v>
      </c>
      <c r="H3" t="s">
        <v>84</v>
      </c>
      <c r="J3" t="s">
        <v>86</v>
      </c>
      <c r="L3" s="76">
        <v>0.05</v>
      </c>
      <c r="N3" t="s">
        <v>92</v>
      </c>
      <c r="O3">
        <v>1.5</v>
      </c>
    </row>
    <row r="4" spans="2:16" x14ac:dyDescent="0.25">
      <c r="E4">
        <v>45</v>
      </c>
      <c r="H4" t="s">
        <v>74</v>
      </c>
      <c r="L4" s="76">
        <v>0.1</v>
      </c>
      <c r="O4">
        <v>2</v>
      </c>
    </row>
    <row r="5" spans="2:16" x14ac:dyDescent="0.25">
      <c r="E5">
        <v>60</v>
      </c>
      <c r="L5" s="76">
        <v>0.15</v>
      </c>
      <c r="O5">
        <v>2.5</v>
      </c>
    </row>
    <row r="6" spans="2:16" x14ac:dyDescent="0.25">
      <c r="E6">
        <v>75</v>
      </c>
      <c r="L6" s="76">
        <v>0.2</v>
      </c>
      <c r="O6">
        <v>3</v>
      </c>
    </row>
    <row r="7" spans="2:16" x14ac:dyDescent="0.25">
      <c r="E7">
        <v>90</v>
      </c>
      <c r="L7" s="76">
        <v>0.25</v>
      </c>
      <c r="O7">
        <v>3.5</v>
      </c>
    </row>
    <row r="8" spans="2:16" x14ac:dyDescent="0.25">
      <c r="E8">
        <v>120</v>
      </c>
      <c r="L8" s="76">
        <v>0.3</v>
      </c>
      <c r="O8">
        <v>4</v>
      </c>
    </row>
    <row r="12" spans="2:16" ht="42.75" customHeight="1" x14ac:dyDescent="0.25">
      <c r="B12" s="79" t="s">
        <v>76</v>
      </c>
      <c r="C12" s="79" t="s">
        <v>77</v>
      </c>
      <c r="D12" s="79" t="s">
        <v>78</v>
      </c>
      <c r="E12" s="79" t="s">
        <v>79</v>
      </c>
      <c r="F12" s="79" t="s">
        <v>80</v>
      </c>
      <c r="I12">
        <v>24</v>
      </c>
      <c r="J12">
        <v>30</v>
      </c>
      <c r="K12">
        <f>+J12*I12</f>
        <v>720</v>
      </c>
    </row>
    <row r="13" spans="2:16" ht="24.75" customHeight="1" x14ac:dyDescent="0.25">
      <c r="B13" s="78">
        <v>0.17</v>
      </c>
      <c r="C13" s="77">
        <v>208</v>
      </c>
      <c r="D13" s="77">
        <f>+C13*12</f>
        <v>2496</v>
      </c>
      <c r="E13" s="81">
        <f>+B13/D13</f>
        <v>6.8108974358974369E-5</v>
      </c>
      <c r="F13" s="80">
        <f>+E13*8</f>
        <v>5.4487179487179495E-4</v>
      </c>
    </row>
    <row r="17" spans="2:4" x14ac:dyDescent="0.25">
      <c r="B17" t="s">
        <v>119</v>
      </c>
      <c r="C17">
        <v>26</v>
      </c>
      <c r="D17">
        <f>+C17*8</f>
        <v>208</v>
      </c>
    </row>
    <row r="18" spans="2:4" x14ac:dyDescent="0.25">
      <c r="B18" t="s">
        <v>120</v>
      </c>
      <c r="C18">
        <v>27</v>
      </c>
      <c r="D18">
        <f t="shared" ref="D18:D21" si="0">+C18*8</f>
        <v>216</v>
      </c>
    </row>
    <row r="19" spans="2:4" x14ac:dyDescent="0.25">
      <c r="B19" t="s">
        <v>121</v>
      </c>
      <c r="C19">
        <v>15</v>
      </c>
      <c r="D19">
        <f t="shared" si="0"/>
        <v>120</v>
      </c>
    </row>
    <row r="20" spans="2:4" x14ac:dyDescent="0.25">
      <c r="B20" t="s">
        <v>122</v>
      </c>
      <c r="C20">
        <v>28</v>
      </c>
      <c r="D20">
        <f t="shared" si="0"/>
        <v>224</v>
      </c>
    </row>
    <row r="21" spans="2:4" x14ac:dyDescent="0.25">
      <c r="B21" t="s">
        <v>123</v>
      </c>
      <c r="C21">
        <v>16</v>
      </c>
      <c r="D21">
        <f t="shared" si="0"/>
        <v>128</v>
      </c>
    </row>
  </sheetData>
  <dataValidations count="2">
    <dataValidation type="list" allowBlank="1" showInputMessage="1" showErrorMessage="1" sqref="D3">
      <formula1>$E$2:$E$8</formula1>
    </dataValidation>
    <dataValidation type="list" allowBlank="1" showInputMessage="1" showErrorMessage="1" sqref="P2">
      <formula1>$O$2:$O$8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PARA FOTOS</vt:lpstr>
      <vt:lpstr>FORMATO DE COTIZACION1</vt:lpstr>
      <vt:lpstr>NOTA DE ENTREGA </vt:lpstr>
      <vt:lpstr>NGRESO A TALLER </vt:lpstr>
      <vt:lpstr>Estado de costos</vt:lpstr>
      <vt:lpstr>Carta PDF</vt:lpstr>
      <vt:lpstr>Adquisicion(ISA) </vt:lpstr>
      <vt:lpstr>Hoja2</vt:lpstr>
      <vt:lpstr>'PARA FOTOS'!Área_de_impresión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Alvaro Vega</cp:lastModifiedBy>
  <cp:lastPrinted>2019-01-09T20:23:48Z</cp:lastPrinted>
  <dcterms:created xsi:type="dcterms:W3CDTF">2016-10-17T20:34:40Z</dcterms:created>
  <dcterms:modified xsi:type="dcterms:W3CDTF">2019-01-10T13:19:09Z</dcterms:modified>
</cp:coreProperties>
</file>