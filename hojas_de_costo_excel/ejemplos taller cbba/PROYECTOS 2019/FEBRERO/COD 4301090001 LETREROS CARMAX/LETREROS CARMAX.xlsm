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CARMAX\"/>
    </mc:Choice>
  </mc:AlternateContent>
  <xr:revisionPtr revIDLastSave="0" documentId="13_ncr:1_{2104593F-B282-48DC-A8D0-CCA88BAB7646}" xr6:coauthVersionLast="40" xr6:coauthVersionMax="40" xr10:uidLastSave="{00000000-0000-0000-0000-000000000000}"/>
  <bookViews>
    <workbookView xWindow="0" yWindow="0" windowWidth="20490" windowHeight="7755" firstSheet="4" activeTab="5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5" i="12" l="1"/>
  <c r="H45" i="12" s="1"/>
  <c r="E44" i="12"/>
  <c r="H44" i="12" s="1"/>
  <c r="E43" i="12"/>
  <c r="H43" i="12" s="1"/>
  <c r="E42" i="12"/>
  <c r="H42" i="12" s="1"/>
  <c r="E41" i="12"/>
  <c r="H41" i="12" s="1"/>
  <c r="H37" i="12"/>
  <c r="E37" i="12"/>
  <c r="H36" i="12"/>
  <c r="E36" i="12"/>
  <c r="H35" i="12"/>
  <c r="E35" i="12"/>
  <c r="H34" i="12"/>
  <c r="E34" i="12"/>
  <c r="H33" i="12"/>
  <c r="E33" i="12"/>
  <c r="H32" i="12"/>
  <c r="H38" i="12" s="1"/>
  <c r="E32" i="12"/>
  <c r="E28" i="12"/>
  <c r="H28" i="12" s="1"/>
  <c r="H29" i="12" s="1"/>
  <c r="H46" i="12" l="1"/>
  <c r="H47" i="12" s="1"/>
  <c r="G54" i="8"/>
  <c r="H24" i="8"/>
  <c r="H1" i="8" l="1"/>
  <c r="B7" i="12" l="1"/>
  <c r="A57" i="12"/>
  <c r="A59" i="12" l="1"/>
  <c r="A58" i="12"/>
  <c r="K75" i="8"/>
  <c r="B23" i="12" s="1"/>
  <c r="C18" i="12" l="1"/>
  <c r="L46" i="8" l="1"/>
  <c r="K46" i="8"/>
  <c r="A14" i="12" l="1"/>
  <c r="L70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5" i="8" l="1"/>
  <c r="M46" i="8" s="1"/>
  <c r="J21" i="8" l="1"/>
  <c r="K21" i="8" s="1"/>
  <c r="J22" i="8"/>
  <c r="K22" i="8" s="1"/>
  <c r="J23" i="8"/>
  <c r="K23" i="8" s="1"/>
  <c r="G24" i="8"/>
  <c r="F58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58" i="8" s="1"/>
  <c r="K12" i="11"/>
  <c r="P37" i="8"/>
  <c r="M37" i="8" s="1"/>
  <c r="M38" i="8" s="1"/>
  <c r="P30" i="8"/>
  <c r="M30" i="8" s="1"/>
  <c r="M31" i="8" s="1"/>
  <c r="I21" i="5"/>
  <c r="F54" i="8" l="1"/>
  <c r="H54" i="8" l="1"/>
  <c r="H58" i="8" s="1"/>
  <c r="L66" i="8" s="1"/>
  <c r="C23" i="12"/>
  <c r="D23" i="12" s="1"/>
  <c r="L67" i="8" l="1"/>
  <c r="G61" i="8"/>
  <c r="L68" i="8" l="1"/>
  <c r="L69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3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3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36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4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4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1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1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<sst xmlns="http://schemas.openxmlformats.org/spreadsheetml/2006/main" count="288" uniqueCount="209">
  <si>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</si>
  <si>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</si>
  <si>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</si>
  <si>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</si>
  <si>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</si>
  <si>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</si>
  <si>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</si>
  <si>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</si>
  <si>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</si>
  <si>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</si>
  <si>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</si>
  <si>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</si>
  <si>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</si>
  <si>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</si>
  <si>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</si>
  <si>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</si>
  <si>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</si>
  <si>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</si>
  <si>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</si>
  <si>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</si>
  <si>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</si>
  <si>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</si>
  <si>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</si>
  <si>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</si>
  <si>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</si>
  <si>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</si>
  <si>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</si>
  <si>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</si>
  <si>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</si>
  <si>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</si>
  <si>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</si>
  <si>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</si>
  <si>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</si>
  <si>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</si>
  <si>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</si>
  <si>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</si>
  <si>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</si>
  <si>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</si>
  <si>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</si>
  <si>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</si>
  <si>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</si>
  <si>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</si>
  <si>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</si>
  <si>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</si>
  <si>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</si>
  <si>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</si>
  <si>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</si>
  <si>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</si>
  <si>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</si>
  <si>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</si>
  <si>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</si>
  <si>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</si>
  <si>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</si>
  <si>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</si>
  <si>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</si>
  <si>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</si>
  <si>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</si>
  <si>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</si>
  <si>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</si>
  <si>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</si>
  <si>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</si>
  <si>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</si>
  <si>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</si>
  <si>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</si>
  <si>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</si>
  <si>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</si>
  <si>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</si>
  <si>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</si>
  <si>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</si>
  <si>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</si>
  <si>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</si>
  <si>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</si>
  <si>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</si>
  <si>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</si>
  <si>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</si>
  <si>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</si>
  <si>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</si>
  <si>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</si>
  <si>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</si>
  <si>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</si>
  <si>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</si>
  <si>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</si>
  <si>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</si>
  <si>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</si>
  <si>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</si>
  <si>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</si>
  <si>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</si>
  <si>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</si>
  <si>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</si>
  <si>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</si>
  <si>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</si>
  <si>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</si>
  <si>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</si>
  <si>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</si>
  <si>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</si>
  <si>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</si>
  <si>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</si>
  <si>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</si>
  <si>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</si>
  <si>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</si>
  <si>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</si>
  <si>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</si>
  <si>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</si>
  <si>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</si>
  <si>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</si>
  <si>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</si>
  <si>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</si>
  <si>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</si>
  <si>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</si>
  <si>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</si>
  <si>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</si>
  <si>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</si>
  <si>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</si>
  <si>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</si>
  <si>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</si>
  <si>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</si>
  <si>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</si>
  <si>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</si>
  <si>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</si>
  <si>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</si>
  <si>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</si>
  <si>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</si>
  <si>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</si>
  <si>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</si>
  <si>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</si>
  <si>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</si>
  <si>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</si>
  <si>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</si>
  <si>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</si>
  <si>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</si>
  <si>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</si>
  <si>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</si>
  <si>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</si>
  <si>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</si>
  <si>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</si>
  <si>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</si>
  <si>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</si>
  <si>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</si>
  <si>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</si>
  <si>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</si>
  <si>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</si>
  <si>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</si>
  <si>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</si>
  <si>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</si>
  <si>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</si>
  <si>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</si>
  <si>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</si>
  <si>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</si>
  <si>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</si>
  <si>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</si>
  <si>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</si>
  <si>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</si>
  <si>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</si>
  <si>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</si>
  <si>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</si>
  <si>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</si>
  <si>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</si>
  <si>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</si>
  <si>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</si>
  <si>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</si>
  <si>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</si>
  <si>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</si>
  <si>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</si>
  <si>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</si>
  <si>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</si>
  <si>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</si>
  <si>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</si>
  <si>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</si>
  <si>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</si>
  <si>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</si>
  <si>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</si>
  <si>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</si>
  <si>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</si>
  <si>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</si>
  <si>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</si>
  <si>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</si>
  <si>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</si>
  <si>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</si>
  <si>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</si>
  <si>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</si>
  <si>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</si>
  <si>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</si>
  <si>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</si>
  <si>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</si>
  <si>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</si>
  <si>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</si>
  <si>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</si>
  <si>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</si>
  <si>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</si>
  <si>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</si>
  <si>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CARMAX</t>
  </si>
  <si>
    <t>LETREROS CARMAX</t>
  </si>
  <si>
    <t>MICROPERFORADO SOBRE VIDRIO</t>
  </si>
  <si>
    <t>No.</t>
  </si>
  <si>
    <t>DESCRIPCION DEL ITEM</t>
  </si>
  <si>
    <t>M2</t>
  </si>
  <si>
    <t>PRECIO UNITARIO</t>
  </si>
  <si>
    <t>ADHESIVO MICROPERFORADO CON FULL IMPRESIÓN DE 1440 DPIS</t>
  </si>
  <si>
    <t xml:space="preserve">TOTAL PARCIAL </t>
  </si>
  <si>
    <t>TOTEM HYUNDAI CARMAX</t>
  </si>
  <si>
    <t>LETRERO HYUNDAI CARMAX</t>
  </si>
  <si>
    <t>TOTAL COSTO DE IMPLEMENTACION</t>
  </si>
  <si>
    <t>LONA BLOCKOUT CON ESTRUCTURA METALICA, IMPRESIÓN A 1440 DPIS DOBLE CARA DIMENSIONES 5X1,2X0,2 METROS</t>
  </si>
  <si>
    <r>
      <t>BASE EN H</t>
    </r>
    <r>
      <rPr>
        <sz val="11"/>
        <color theme="1"/>
        <rFont val="Calibri"/>
        <family val="2"/>
      </rPr>
      <t xml:space="preserve">⁰A⁰ </t>
    </r>
    <r>
      <rPr>
        <sz val="11"/>
        <color theme="1"/>
        <rFont val="Calibri"/>
        <family val="2"/>
        <scheme val="minor"/>
      </rPr>
      <t>PARA ESTRUCTURA Y PERNOS DE ANCLAJE</t>
    </r>
  </si>
  <si>
    <t>LETRERO LUMINOSO CARMAX CON LUCES LED CUERPO EN ACERO INOXIDABLE Y ACRILICO PARA DEJAR PASAR LA LUZ</t>
  </si>
  <si>
    <t>LETRERO LUMINOSO CARMAX EMBLEMA CON LUCES LED CUERPO EN ACERO INOXIDABLE Y ACRILICO PARA DEJAR PASAR LA LUZ</t>
  </si>
  <si>
    <t>LETRERO HYUNDAI CON LUCES LED CUERPO EN ACERO INOXIDABLE Y ACRILICO PARA DEJAR PASAR LA LUZ</t>
  </si>
  <si>
    <t>LETRERO HYUNDAI EMBLEMA CON LUCES LED CUERPO EN ACERO INOXIDABLE Y ACRILICO PARA DEJAR PASAR LA LUZ</t>
  </si>
  <si>
    <t xml:space="preserve">LONA BLOCKOUT DOS CARAS CON ESTRUCTURA METALICA, IMPRESIÓN A 1440 DPIS INCLUYE EL SOPORTE PARA LAS LETRAS CORPOREAS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</si>
</sst>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0.0000%"/>
  </numFmts>
  <fonts count="6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4" borderId="0" applyNumberFormat="0" applyBorder="0" applyAlignment="0" applyProtection="0"/>
  </cellStyleXfs>
  <cellXfs count="472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0" fontId="0" fillId="0" borderId="0" xfId="0" applyAlignment="1">
      <alignment horizontal="center"/>
    </xf>
    <xf numFmtId="0" fontId="39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2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3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2" fillId="0" borderId="29" xfId="0" applyFont="1" applyBorder="1" applyProtection="1"/>
    <xf numFmtId="0" fontId="54" fillId="0" borderId="0" xfId="0" applyFont="1"/>
    <xf numFmtId="4" fontId="54" fillId="0" borderId="0" xfId="0" applyNumberFormat="1" applyFont="1"/>
    <xf numFmtId="0" fontId="49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49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49" fillId="2" borderId="58" xfId="0" applyFont="1" applyFill="1" applyBorder="1" applyAlignment="1" applyProtection="1">
      <alignment horizontal="center" vertical="center" wrapText="1"/>
    </xf>
    <xf numFmtId="3" fontId="54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2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0" fillId="15" borderId="49" xfId="0" applyFont="1" applyFill="1" applyBorder="1" applyAlignment="1" applyProtection="1">
      <alignment horizontal="center" vertical="center"/>
    </xf>
    <xf numFmtId="0" fontId="50" fillId="15" borderId="49" xfId="0" applyFont="1" applyFill="1" applyBorder="1" applyAlignment="1" applyProtection="1">
      <alignment vertical="center" wrapText="1"/>
    </xf>
    <xf numFmtId="0" fontId="50" fillId="15" borderId="37" xfId="0" applyFont="1" applyFill="1" applyBorder="1" applyAlignment="1" applyProtection="1">
      <alignment horizontal="center" vertical="center" wrapText="1"/>
    </xf>
    <xf numFmtId="0" fontId="50" fillId="15" borderId="47" xfId="0" applyFont="1" applyFill="1" applyBorder="1" applyAlignment="1" applyProtection="1">
      <alignment horizontal="center" vertical="center"/>
    </xf>
    <xf numFmtId="1" fontId="50" fillId="15" borderId="47" xfId="0" applyNumberFormat="1" applyFont="1" applyFill="1" applyBorder="1" applyAlignment="1" applyProtection="1">
      <alignment horizontal="center" vertical="center"/>
    </xf>
    <xf numFmtId="4" fontId="50" fillId="15" borderId="42" xfId="0" applyNumberFormat="1" applyFont="1" applyFill="1" applyBorder="1" applyAlignment="1" applyProtection="1">
      <alignment horizontal="center" vertical="center"/>
    </xf>
    <xf numFmtId="4" fontId="50" fillId="15" borderId="32" xfId="0" applyNumberFormat="1" applyFont="1" applyFill="1" applyBorder="1" applyAlignment="1" applyProtection="1">
      <alignment horizontal="center" vertical="center" wrapText="1"/>
    </xf>
    <xf numFmtId="0" fontId="49" fillId="15" borderId="33" xfId="0" applyFont="1" applyFill="1" applyBorder="1" applyAlignment="1" applyProtection="1">
      <alignment horizontal="center" vertical="center" wrapText="1"/>
    </xf>
    <xf numFmtId="0" fontId="49" fillId="15" borderId="40" xfId="0" applyFont="1" applyFill="1" applyBorder="1" applyAlignment="1" applyProtection="1">
      <alignment horizontal="center" vertical="center" wrapText="1"/>
    </xf>
    <xf numFmtId="4" fontId="51" fillId="15" borderId="44" xfId="0" applyNumberFormat="1" applyFont="1" applyFill="1" applyBorder="1" applyAlignment="1" applyProtection="1">
      <alignment horizontal="center" vertical="center"/>
    </xf>
    <xf numFmtId="4" fontId="51" fillId="15" borderId="43" xfId="0" applyNumberFormat="1" applyFont="1" applyFill="1" applyBorder="1" applyAlignment="1" applyProtection="1">
      <alignment horizontal="center"/>
    </xf>
    <xf numFmtId="0" fontId="51" fillId="15" borderId="47" xfId="0" applyFont="1" applyFill="1" applyBorder="1" applyProtection="1"/>
    <xf numFmtId="0" fontId="51" fillId="15" borderId="47" xfId="0" applyFont="1" applyFill="1" applyBorder="1" applyAlignment="1" applyProtection="1">
      <alignment horizontal="left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38" xfId="0" applyFont="1" applyFill="1" applyBorder="1" applyAlignment="1" applyProtection="1">
      <alignment horizontal="center" vertical="center" wrapText="1"/>
    </xf>
    <xf numFmtId="4" fontId="52" fillId="15" borderId="44" xfId="0" applyNumberFormat="1" applyFont="1" applyFill="1" applyBorder="1" applyAlignment="1" applyProtection="1">
      <alignment horizontal="center" vertical="center"/>
    </xf>
    <xf numFmtId="4" fontId="52" fillId="15" borderId="43" xfId="0" applyNumberFormat="1" applyFont="1" applyFill="1" applyBorder="1" applyAlignment="1" applyProtection="1">
      <alignment horizontal="center" vertical="center"/>
    </xf>
    <xf numFmtId="0" fontId="52" fillId="15" borderId="47" xfId="0" applyFont="1" applyFill="1" applyBorder="1" applyAlignment="1" applyProtection="1">
      <alignment horizontal="left"/>
    </xf>
    <xf numFmtId="0" fontId="52" fillId="15" borderId="47" xfId="0" applyFont="1" applyFill="1" applyBorder="1" applyAlignment="1" applyProtection="1">
      <alignment horizontal="center" vertical="center"/>
    </xf>
    <xf numFmtId="0" fontId="53" fillId="15" borderId="49" xfId="0" applyFont="1" applyFill="1" applyBorder="1" applyAlignment="1" applyProtection="1">
      <alignment vertical="center"/>
    </xf>
    <xf numFmtId="0" fontId="53" fillId="15" borderId="49" xfId="0" applyFont="1" applyFill="1" applyBorder="1" applyAlignment="1" applyProtection="1">
      <alignment horizontal="center" vertical="center" wrapText="1"/>
    </xf>
    <xf numFmtId="0" fontId="53" fillId="15" borderId="38" xfId="0" applyFont="1" applyFill="1" applyBorder="1" applyAlignment="1" applyProtection="1">
      <alignment horizontal="center" vertical="center" wrapText="1"/>
    </xf>
    <xf numFmtId="3" fontId="52" fillId="15" borderId="47" xfId="0" applyNumberFormat="1" applyFont="1" applyFill="1" applyBorder="1" applyAlignment="1" applyProtection="1">
      <alignment horizontal="center" vertical="center"/>
    </xf>
    <xf numFmtId="2" fontId="53" fillId="15" borderId="47" xfId="0" applyNumberFormat="1" applyFont="1" applyFill="1" applyBorder="1" applyAlignment="1" applyProtection="1">
      <alignment horizontal="center" vertical="center" wrapText="1"/>
    </xf>
    <xf numFmtId="4" fontId="53" fillId="15" borderId="43" xfId="0" applyNumberFormat="1" applyFont="1" applyFill="1" applyBorder="1" applyAlignment="1" applyProtection="1">
      <alignment horizontal="center" vertical="center" wrapText="1"/>
    </xf>
    <xf numFmtId="4" fontId="53" fillId="15" borderId="44" xfId="0" applyNumberFormat="1" applyFont="1" applyFill="1" applyBorder="1" applyAlignment="1" applyProtection="1">
      <alignment horizontal="center" vertical="center" wrapText="1"/>
    </xf>
    <xf numFmtId="0" fontId="52" fillId="15" borderId="11" xfId="7" applyFont="1" applyFill="1" applyBorder="1" applyAlignment="1" applyProtection="1">
      <alignment horizontal="left" vertical="center" wrapText="1"/>
    </xf>
    <xf numFmtId="1" fontId="52" fillId="15" borderId="11" xfId="7" applyNumberFormat="1" applyFont="1" applyFill="1" applyBorder="1" applyAlignment="1" applyProtection="1">
      <alignment horizontal="center" vertical="center" wrapText="1"/>
    </xf>
    <xf numFmtId="168" fontId="52" fillId="15" borderId="11" xfId="7" applyNumberFormat="1" applyFont="1" applyFill="1" applyBorder="1" applyAlignment="1" applyProtection="1">
      <alignment horizontal="center" vertical="center" wrapText="1"/>
    </xf>
    <xf numFmtId="4" fontId="52" fillId="15" borderId="11" xfId="7" applyNumberFormat="1" applyFont="1" applyFill="1" applyBorder="1" applyAlignment="1" applyProtection="1">
      <alignment horizontal="center" vertical="center" wrapText="1"/>
    </xf>
    <xf numFmtId="166" fontId="52" fillId="15" borderId="11" xfId="7" applyNumberFormat="1" applyFont="1" applyFill="1" applyBorder="1" applyAlignment="1" applyProtection="1">
      <alignment horizontal="center" vertical="center" wrapText="1"/>
    </xf>
    <xf numFmtId="9" fontId="52" fillId="15" borderId="11" xfId="1" applyFont="1" applyFill="1" applyBorder="1" applyAlignment="1" applyProtection="1">
      <alignment horizontal="center" vertical="center"/>
      <protection locked="0"/>
    </xf>
    <xf numFmtId="9" fontId="30" fillId="16" borderId="11" xfId="1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2" fontId="0" fillId="0" borderId="11" xfId="0" applyNumberFormat="1" applyBorder="1" applyAlignment="1">
      <alignment horizontal="center" vertical="center"/>
    </xf>
    <xf numFmtId="0" fontId="0" fillId="0" borderId="11" xfId="0" applyBorder="1"/>
    <xf numFmtId="2" fontId="0" fillId="0" borderId="11" xfId="0" applyNumberFormat="1" applyBorder="1"/>
    <xf numFmtId="2" fontId="6" fillId="0" borderId="11" xfId="0" applyNumberFormat="1" applyFont="1" applyBorder="1"/>
    <xf numFmtId="0" fontId="0" fillId="0" borderId="11" xfId="0" applyBorder="1" applyAlignment="1">
      <alignment wrapText="1"/>
    </xf>
    <xf numFmtId="3" fontId="35" fillId="0" borderId="0" xfId="0" applyNumberFormat="1" applyFont="1" applyAlignment="1"/>
    <xf numFmtId="0" fontId="55" fillId="0" borderId="0" xfId="0" applyFont="1" applyAlignment="1"/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" fontId="52" fillId="15" borderId="39" xfId="0" applyNumberFormat="1" applyFont="1" applyFill="1" applyBorder="1" applyAlignment="1" applyProtection="1">
      <alignment horizontal="center" vertical="center"/>
    </xf>
    <xf numFmtId="4" fontId="52" fillId="15" borderId="40" xfId="0" applyNumberFormat="1" applyFont="1" applyFill="1" applyBorder="1" applyAlignment="1" applyProtection="1">
      <alignment horizontal="center" vertical="center"/>
    </xf>
    <xf numFmtId="0" fontId="52" fillId="15" borderId="11" xfId="0" applyFont="1" applyFill="1" applyBorder="1" applyAlignment="1" applyProtection="1">
      <alignment horizontal="left" vertical="center"/>
    </xf>
    <xf numFmtId="0" fontId="52" fillId="15" borderId="36" xfId="0" applyFont="1" applyFill="1" applyBorder="1" applyAlignment="1" applyProtection="1">
      <alignment horizontal="center"/>
    </xf>
    <xf numFmtId="0" fontId="52" fillId="15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2" fillId="15" borderId="48" xfId="0" applyFont="1" applyFill="1" applyBorder="1" applyAlignment="1" applyProtection="1">
      <alignment horizontal="center" vertical="center" wrapText="1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11" xfId="7" applyFont="1" applyFill="1" applyBorder="1" applyAlignment="1" applyProtection="1">
      <alignment horizontal="center" vertical="center" wrapText="1"/>
    </xf>
    <xf numFmtId="0" fontId="53" fillId="15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2" fillId="15" borderId="11" xfId="7" applyNumberFormat="1" applyFont="1" applyFill="1" applyBorder="1" applyAlignment="1" applyProtection="1">
      <alignment horizontal="center" vertical="center" wrapText="1"/>
    </xf>
    <xf numFmtId="0" fontId="30" fillId="12" borderId="0" xfId="0" applyFont="1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57" fillId="12" borderId="61" xfId="0" applyNumberFormat="1" applyFont="1" applyFill="1" applyBorder="1" applyAlignment="1" applyProtection="1">
      <alignment horizontal="center" vertical="center"/>
    </xf>
    <xf numFmtId="4" fontId="57" fillId="12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58" fillId="18" borderId="25" xfId="0" applyNumberFormat="1" applyFont="1" applyFill="1" applyBorder="1" applyAlignment="1">
      <alignment horizontal="center" vertical="center"/>
    </xf>
    <xf numFmtId="4" fontId="58" fillId="18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49" fillId="15" borderId="45" xfId="0" applyFont="1" applyFill="1" applyBorder="1" applyAlignment="1" applyProtection="1">
      <alignment horizontal="center" vertical="center" wrapText="1"/>
    </xf>
    <xf numFmtId="0" fontId="49" fillId="15" borderId="33" xfId="0" applyFont="1" applyFill="1" applyBorder="1" applyAlignment="1" applyProtection="1">
      <alignment horizontal="center" vertical="center" wrapText="1"/>
    </xf>
    <xf numFmtId="0" fontId="53" fillId="15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53" fillId="15" borderId="42" xfId="0" applyNumberFormat="1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53" fillId="15" borderId="48" xfId="0" applyFont="1" applyFill="1" applyBorder="1" applyAlignment="1" applyProtection="1">
      <alignment horizontal="center" vertical="center"/>
    </xf>
    <xf numFmtId="0" fontId="53" fillId="15" borderId="49" xfId="0" applyFont="1" applyFill="1" applyBorder="1" applyAlignment="1" applyProtection="1">
      <alignment horizontal="center" vertical="center"/>
    </xf>
    <xf numFmtId="0" fontId="51" fillId="15" borderId="36" xfId="0" applyFont="1" applyFill="1" applyBorder="1" applyAlignment="1" applyProtection="1">
      <alignment horizontal="center"/>
    </xf>
    <xf numFmtId="0" fontId="51" fillId="15" borderId="37" xfId="0" applyFont="1" applyFill="1" applyBorder="1" applyAlignment="1" applyProtection="1">
      <alignment horizontal="center"/>
    </xf>
    <xf numFmtId="0" fontId="52" fillId="15" borderId="46" xfId="0" applyFont="1" applyFill="1" applyBorder="1" applyAlignment="1" applyProtection="1">
      <alignment horizontal="center"/>
    </xf>
    <xf numFmtId="0" fontId="52" fillId="15" borderId="47" xfId="0" applyFont="1" applyFill="1" applyBorder="1" applyAlignment="1" applyProtection="1">
      <alignment horizontal="center"/>
    </xf>
    <xf numFmtId="0" fontId="51" fillId="15" borderId="46" xfId="0" applyFont="1" applyFill="1" applyBorder="1" applyAlignment="1" applyProtection="1">
      <alignment horizontal="center"/>
    </xf>
    <xf numFmtId="0" fontId="51" fillId="15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2" fillId="15" borderId="39" xfId="1" applyNumberFormat="1" applyFont="1" applyFill="1" applyBorder="1" applyAlignment="1" applyProtection="1">
      <alignment horizontal="center" vertical="center"/>
    </xf>
    <xf numFmtId="4" fontId="52" fillId="15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2" fillId="15" borderId="11" xfId="7" applyFont="1" applyFill="1" applyBorder="1" applyAlignment="1" applyProtection="1">
      <alignment horizontal="center" vertical="center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56" fillId="0" borderId="29" xfId="0" applyFont="1" applyBorder="1" applyAlignment="1" applyProtection="1">
      <alignment horizontal="center" vertical="center"/>
    </xf>
    <xf numFmtId="0" fontId="8" fillId="13" borderId="28" xfId="0" applyFont="1" applyFill="1" applyBorder="1" applyAlignment="1" applyProtection="1">
      <alignment horizontal="center" vertical="center" wrapText="1"/>
      <protection locked="0"/>
    </xf>
    <xf numFmtId="0" fontId="49" fillId="15" borderId="28" xfId="0" applyFont="1" applyFill="1" applyBorder="1" applyAlignment="1" applyProtection="1">
      <alignment horizontal="center" vertical="center"/>
    </xf>
    <xf numFmtId="0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49" fillId="15" borderId="28" xfId="0" applyFont="1" applyFill="1" applyBorder="1" applyAlignment="1" applyProtection="1">
      <alignment horizontal="center" vertical="center" wrapText="1"/>
    </xf>
    <xf numFmtId="0" fontId="46" fillId="13" borderId="28" xfId="4" applyNumberFormat="1" applyFont="1" applyFill="1" applyBorder="1" applyAlignment="1" applyProtection="1">
      <alignment horizontal="center" vertical="center"/>
      <protection locked="0"/>
    </xf>
    <xf numFmtId="0" fontId="47" fillId="13" borderId="28" xfId="0" applyNumberFormat="1" applyFont="1" applyFill="1" applyBorder="1" applyAlignment="1" applyProtection="1">
      <alignment horizontal="center" vertical="center"/>
      <protection locked="0"/>
    </xf>
    <xf numFmtId="4" fontId="50" fillId="15" borderId="42" xfId="0" applyNumberFormat="1" applyFont="1" applyFill="1" applyBorder="1" applyAlignment="1" applyProtection="1">
      <alignment horizontal="center" vertical="center"/>
    </xf>
    <xf numFmtId="4" fontId="50" fillId="15" borderId="43" xfId="0" applyNumberFormat="1" applyFont="1" applyFill="1" applyBorder="1" applyAlignment="1" applyProtection="1">
      <alignment horizontal="center" vertical="center"/>
    </xf>
    <xf numFmtId="0" fontId="50" fillId="15" borderId="39" xfId="0" applyFont="1" applyFill="1" applyBorder="1" applyAlignment="1" applyProtection="1">
      <alignment horizontal="center" vertical="center"/>
    </xf>
    <xf numFmtId="0" fontId="50" fillId="15" borderId="29" xfId="0" applyFont="1" applyFill="1" applyBorder="1" applyAlignment="1" applyProtection="1">
      <alignment horizontal="center" vertical="center"/>
    </xf>
    <xf numFmtId="0" fontId="50" fillId="15" borderId="30" xfId="0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4" fontId="50" fillId="15" borderId="29" xfId="0" applyNumberFormat="1" applyFont="1" applyFill="1" applyBorder="1" applyAlignment="1" applyProtection="1">
      <alignment horizontal="center" vertical="center"/>
    </xf>
    <xf numFmtId="4" fontId="50" fillId="15" borderId="40" xfId="0" applyNumberFormat="1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1" fillId="15" borderId="38" xfId="0" applyFont="1" applyFill="1" applyBorder="1" applyAlignment="1" applyProtection="1">
      <alignment horizontal="center"/>
    </xf>
    <xf numFmtId="0" fontId="50" fillId="15" borderId="36" xfId="0" applyFont="1" applyFill="1" applyBorder="1" applyAlignment="1" applyProtection="1">
      <alignment horizontal="center" vertical="center"/>
    </xf>
    <xf numFmtId="0" fontId="50" fillId="15" borderId="37" xfId="0" applyFont="1" applyFill="1" applyBorder="1" applyAlignment="1" applyProtection="1">
      <alignment horizontal="center" vertical="center"/>
    </xf>
    <xf numFmtId="0" fontId="50" fillId="15" borderId="64" xfId="0" applyFont="1" applyFill="1" applyBorder="1" applyAlignment="1" applyProtection="1">
      <alignment horizontal="center" vertical="center" wrapText="1"/>
    </xf>
    <xf numFmtId="0" fontId="50" fillId="15" borderId="65" xfId="0" applyFont="1" applyFill="1" applyBorder="1" applyAlignment="1" applyProtection="1">
      <alignment horizontal="center" vertical="center" wrapText="1"/>
    </xf>
    <xf numFmtId="0" fontId="50" fillId="15" borderId="37" xfId="0" applyFont="1" applyFill="1" applyBorder="1" applyAlignment="1" applyProtection="1">
      <alignment horizontal="center" vertical="center" wrapText="1"/>
    </xf>
    <xf numFmtId="0" fontId="50" fillId="15" borderId="38" xfId="0" applyFont="1" applyFill="1" applyBorder="1" applyAlignment="1" applyProtection="1">
      <alignment horizontal="center" vertical="center" wrapText="1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0" fontId="50" fillId="15" borderId="41" xfId="0" applyFont="1" applyFill="1" applyBorder="1" applyAlignment="1" applyProtection="1">
      <alignment horizontal="center" vertical="center"/>
    </xf>
    <xf numFmtId="0" fontId="50" fillId="15" borderId="42" xfId="0" applyFont="1" applyFill="1" applyBorder="1" applyAlignment="1" applyProtection="1">
      <alignment horizontal="center" vertical="center"/>
    </xf>
    <xf numFmtId="0" fontId="50" fillId="15" borderId="64" xfId="0" applyFont="1" applyFill="1" applyBorder="1" applyAlignment="1" applyProtection="1">
      <alignment horizontal="center" vertical="center"/>
    </xf>
    <xf numFmtId="0" fontId="50" fillId="15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53" fillId="15" borderId="46" xfId="0" applyNumberFormat="1" applyFont="1" applyFill="1" applyBorder="1" applyAlignment="1" applyProtection="1">
      <alignment horizontal="center" vertical="center"/>
    </xf>
    <xf numFmtId="1" fontId="53" fillId="15" borderId="47" xfId="0" applyNumberFormat="1" applyFont="1" applyFill="1" applyBorder="1" applyAlignment="1" applyProtection="1">
      <alignment horizontal="center" vertical="center"/>
    </xf>
    <xf numFmtId="1" fontId="53" fillId="15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0" fontId="49" fillId="15" borderId="55" xfId="0" applyFont="1" applyFill="1" applyBorder="1" applyAlignment="1" applyProtection="1">
      <alignment horizontal="center" vertical="center" wrapText="1"/>
    </xf>
    <xf numFmtId="0" fontId="49" fillId="15" borderId="54" xfId="0" applyFont="1" applyFill="1" applyBorder="1" applyAlignment="1" applyProtection="1">
      <alignment horizontal="center" vertical="center" wrapText="1"/>
    </xf>
    <xf numFmtId="3" fontId="24" fillId="13" borderId="57" xfId="0" applyNumberFormat="1" applyFont="1" applyFill="1" applyBorder="1" applyAlignment="1" applyProtection="1">
      <alignment horizontal="center" vertical="center"/>
      <protection locked="0"/>
    </xf>
    <xf numFmtId="3" fontId="24" fillId="13" borderId="56" xfId="0" applyNumberFormat="1" applyFont="1" applyFill="1" applyBorder="1" applyAlignment="1" applyProtection="1">
      <alignment horizontal="center" vertical="center"/>
      <protection locked="0"/>
    </xf>
    <xf numFmtId="14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8" fillId="13" borderId="28" xfId="0" applyFont="1" applyFill="1" applyBorder="1" applyAlignment="1" applyProtection="1">
      <alignment horizontal="center" vertical="center"/>
      <protection locked="0"/>
    </xf>
    <xf numFmtId="3" fontId="24" fillId="13" borderId="28" xfId="0" applyNumberFormat="1" applyFont="1" applyFill="1" applyBorder="1" applyAlignment="1" applyProtection="1">
      <alignment horizontal="center" vertical="center"/>
      <protection locked="0"/>
    </xf>
    <xf numFmtId="0" fontId="24" fillId="13" borderId="28" xfId="0" applyFont="1" applyFill="1" applyBorder="1" applyAlignment="1" applyProtection="1">
      <alignment horizontal="center" vertical="center" wrapText="1"/>
      <protection locked="0"/>
    </xf>
    <xf numFmtId="0" fontId="49" fillId="15" borderId="72" xfId="0" applyFont="1" applyFill="1" applyBorder="1" applyAlignment="1" applyProtection="1">
      <alignment horizontal="center" vertical="center" wrapText="1"/>
    </xf>
    <xf numFmtId="3" fontId="24" fillId="13" borderId="72" xfId="0" applyNumberFormat="1" applyFont="1" applyFill="1" applyBorder="1" applyAlignment="1" applyProtection="1">
      <alignment horizontal="center" vertical="center"/>
      <protection locked="0"/>
    </xf>
    <xf numFmtId="0" fontId="44" fillId="11" borderId="29" xfId="0" applyFont="1" applyFill="1" applyBorder="1" applyAlignment="1" applyProtection="1">
      <alignment horizontal="center" vertical="center"/>
    </xf>
    <xf numFmtId="4" fontId="44" fillId="11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44" fillId="11" borderId="29" xfId="0" applyFont="1" applyFill="1" applyBorder="1" applyAlignment="1" applyProtection="1">
      <alignment horizontal="center" vertical="center"/>
      <protection locked="0"/>
    </xf>
    <xf numFmtId="4" fontId="52" fillId="17" borderId="41" xfId="0" applyNumberFormat="1" applyFont="1" applyFill="1" applyBorder="1" applyAlignment="1" applyProtection="1">
      <alignment horizontal="center" vertical="center" wrapText="1"/>
    </xf>
    <xf numFmtId="4" fontId="52" fillId="17" borderId="43" xfId="0" applyNumberFormat="1" applyFont="1" applyFill="1" applyBorder="1" applyAlignment="1" applyProtection="1">
      <alignment horizontal="center" vertical="center" wrapText="1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6" fillId="6" borderId="11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6" xfId="0" applyBorder="1" applyAlignment="1">
      <alignment horizontal="center"/>
    </xf>
    <xf numFmtId="0" fontId="6" fillId="6" borderId="25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6" fillId="6" borderId="26" xfId="0" applyFont="1" applyFill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35" fillId="0" borderId="0" xfId="0" applyFont="1" applyAlignment="1">
      <alignment horizontal="center"/>
    </xf>
    <xf numFmtId="3" fontId="3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45" fillId="7" borderId="0" xfId="4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center" wrapText="1"/>
    </xf>
    <xf numFmtId="0" fontId="35" fillId="0" borderId="0" xfId="0" applyFont="1" applyAlignment="1">
      <alignment wrapText="1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60</xdr:row>
      <xdr:rowOff>114905</xdr:rowOff>
    </xdr:from>
    <xdr:to>
      <xdr:col>7</xdr:col>
      <xdr:colOff>260048</xdr:colOff>
      <xdr:row>60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60</xdr:row>
      <xdr:rowOff>128211</xdr:rowOff>
    </xdr:from>
    <xdr:to>
      <xdr:col>8</xdr:col>
      <xdr:colOff>136829</xdr:colOff>
      <xdr:row>60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60</xdr:row>
      <xdr:rowOff>123371</xdr:rowOff>
    </xdr:from>
    <xdr:to>
      <xdr:col>8</xdr:col>
      <xdr:colOff>603250</xdr:colOff>
      <xdr:row>60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457200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87" t="s">
        <v>20</v>
      </c>
      <c r="C1" s="287"/>
      <c r="D1" s="287"/>
      <c r="E1" s="2"/>
      <c r="F1" s="2"/>
      <c r="G1" s="2"/>
      <c r="H1" s="2"/>
      <c r="J1" s="14" t="s">
        <v>9</v>
      </c>
      <c r="L1" s="2"/>
      <c r="M1" s="287" t="s">
        <v>20</v>
      </c>
      <c r="N1" s="287"/>
      <c r="O1" s="287"/>
    </row>
    <row r="2" spans="1:15" ht="17.25" customHeight="1" thickBot="1" x14ac:dyDescent="0.25">
      <c r="A2" s="10" t="s">
        <v>1</v>
      </c>
      <c r="B2" s="288"/>
      <c r="C2" s="288"/>
      <c r="D2" s="288"/>
      <c r="E2" s="288"/>
      <c r="F2" s="288"/>
      <c r="G2" s="288"/>
      <c r="H2" s="288"/>
      <c r="I2" s="288"/>
      <c r="J2" s="288"/>
      <c r="K2" s="2"/>
      <c r="L2" s="2"/>
    </row>
    <row r="3" spans="1:15" ht="17.25" customHeight="1" thickBot="1" x14ac:dyDescent="0.25">
      <c r="A3" s="10" t="s">
        <v>2</v>
      </c>
      <c r="B3" s="289"/>
      <c r="C3" s="289"/>
      <c r="D3" s="289"/>
      <c r="E3" s="289"/>
      <c r="F3" s="289"/>
      <c r="G3" s="289"/>
      <c r="H3" s="289"/>
      <c r="I3" s="289"/>
      <c r="J3" s="289"/>
      <c r="K3" s="290" t="s">
        <v>15</v>
      </c>
      <c r="L3" s="290"/>
      <c r="M3" s="291"/>
      <c r="N3" s="292"/>
      <c r="O3" s="293"/>
    </row>
    <row r="4" spans="1:15" ht="17.25" customHeight="1" x14ac:dyDescent="0.2">
      <c r="A4" s="10" t="s">
        <v>3</v>
      </c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88"/>
      <c r="C8" s="288"/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</row>
    <row r="9" spans="1:15" ht="17.25" customHeight="1" x14ac:dyDescent="0.2">
      <c r="A9" s="289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86" t="s">
        <v>10</v>
      </c>
      <c r="F36" s="286"/>
      <c r="G36" s="286"/>
      <c r="H36" s="19" t="s">
        <v>16</v>
      </c>
      <c r="I36" s="19" t="s">
        <v>14</v>
      </c>
      <c r="J36" s="10"/>
      <c r="K36" s="286" t="s">
        <v>10</v>
      </c>
      <c r="L36" s="286"/>
      <c r="M36" s="286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86"/>
      <c r="F37" s="286"/>
      <c r="G37" s="286"/>
      <c r="H37" s="18"/>
      <c r="I37" s="18"/>
      <c r="J37" s="2"/>
      <c r="K37" s="286"/>
      <c r="L37" s="286"/>
      <c r="M37" s="286"/>
      <c r="N37" s="18"/>
      <c r="O37" s="18"/>
    </row>
    <row r="38" spans="1:15" ht="14.1" customHeight="1" x14ac:dyDescent="0.2">
      <c r="A38" s="18"/>
      <c r="B38" s="18"/>
      <c r="C38" s="18"/>
      <c r="D38" s="2"/>
      <c r="E38" s="286"/>
      <c r="F38" s="286"/>
      <c r="G38" s="286"/>
      <c r="H38" s="18"/>
      <c r="I38" s="18"/>
      <c r="J38" s="2"/>
      <c r="K38" s="286"/>
      <c r="L38" s="286"/>
      <c r="M38" s="286"/>
      <c r="N38" s="18"/>
      <c r="O38" s="18"/>
    </row>
    <row r="39" spans="1:15" ht="14.1" customHeight="1" x14ac:dyDescent="0.2">
      <c r="A39" s="18"/>
      <c r="B39" s="18"/>
      <c r="C39" s="18"/>
      <c r="D39" s="2"/>
      <c r="E39" s="286"/>
      <c r="F39" s="286"/>
      <c r="G39" s="286"/>
      <c r="H39" s="18"/>
      <c r="I39" s="18"/>
      <c r="J39" s="2"/>
      <c r="K39" s="286"/>
      <c r="L39" s="286"/>
      <c r="M39" s="286"/>
      <c r="N39" s="18"/>
      <c r="O39" s="18"/>
    </row>
    <row r="40" spans="1:15" ht="14.1" customHeight="1" x14ac:dyDescent="0.2">
      <c r="A40" s="18"/>
      <c r="B40" s="18"/>
      <c r="C40" s="18"/>
      <c r="D40" s="2"/>
      <c r="E40" s="286"/>
      <c r="F40" s="286"/>
      <c r="G40" s="286"/>
      <c r="H40" s="18"/>
      <c r="I40" s="18"/>
      <c r="J40" s="2"/>
      <c r="K40" s="286"/>
      <c r="L40" s="286"/>
      <c r="M40" s="286"/>
      <c r="N40" s="18"/>
      <c r="O40" s="18"/>
    </row>
    <row r="41" spans="1:15" ht="14.1" customHeight="1" x14ac:dyDescent="0.2">
      <c r="A41" s="18"/>
      <c r="B41" s="18"/>
      <c r="C41" s="18"/>
      <c r="D41" s="2"/>
      <c r="E41" s="286"/>
      <c r="F41" s="286"/>
      <c r="G41" s="286"/>
      <c r="H41" s="18"/>
      <c r="I41" s="18"/>
      <c r="J41" s="2"/>
      <c r="K41" s="286"/>
      <c r="L41" s="286"/>
      <c r="M41" s="286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94" t="s">
        <v>18</v>
      </c>
      <c r="L43" s="295"/>
      <c r="M43" s="295"/>
      <c r="N43" s="291"/>
      <c r="O43" s="293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87" t="s">
        <v>20</v>
      </c>
      <c r="C49" s="287"/>
      <c r="D49" s="287"/>
      <c r="I49" s="10" t="s">
        <v>19</v>
      </c>
      <c r="J49" s="287" t="s">
        <v>20</v>
      </c>
      <c r="K49" s="287"/>
      <c r="L49" s="287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296" t="s">
        <v>30</v>
      </c>
      <c r="D9" s="296"/>
      <c r="E9" s="296"/>
      <c r="F9" s="296"/>
      <c r="G9" s="296"/>
      <c r="H9" s="296"/>
      <c r="I9" s="296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298" t="s">
        <v>57</v>
      </c>
      <c r="B11" s="298"/>
      <c r="C11" s="298"/>
      <c r="D11" s="298"/>
      <c r="E11" s="298"/>
      <c r="F11" s="298"/>
      <c r="G11" s="298"/>
      <c r="H11" s="298"/>
      <c r="I11" s="298"/>
    </row>
    <row r="12" spans="1:9" x14ac:dyDescent="0.25">
      <c r="A12" s="298" t="s">
        <v>58</v>
      </c>
      <c r="B12" s="298"/>
      <c r="C12" s="298"/>
      <c r="D12" s="298"/>
      <c r="E12" s="298"/>
      <c r="F12" s="298"/>
      <c r="G12" s="298"/>
      <c r="H12" s="298"/>
      <c r="I12" s="298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297" t="s">
        <v>28</v>
      </c>
      <c r="B26" s="297"/>
      <c r="C26" s="297"/>
      <c r="D26" s="297"/>
      <c r="E26" s="297"/>
      <c r="F26" s="297"/>
      <c r="G26" s="297"/>
      <c r="H26" s="297"/>
      <c r="I26" s="297"/>
    </row>
    <row r="27" spans="1:9" x14ac:dyDescent="0.25">
      <c r="A27" s="297"/>
      <c r="B27" s="297"/>
      <c r="C27" s="297"/>
      <c r="D27" s="297"/>
      <c r="E27" s="297"/>
      <c r="F27" s="297"/>
      <c r="G27" s="297"/>
      <c r="H27" s="297"/>
      <c r="I27" s="297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299" t="s">
        <v>38</v>
      </c>
      <c r="D8" s="300"/>
      <c r="E8" s="301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2" t="s">
        <v>40</v>
      </c>
      <c r="F21" s="302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299" t="s">
        <v>38</v>
      </c>
      <c r="D30" s="300"/>
      <c r="E30" s="301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2" t="s">
        <v>40</v>
      </c>
      <c r="F43" s="302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07" t="s">
        <v>44</v>
      </c>
      <c r="C3" s="307"/>
      <c r="D3" s="307"/>
      <c r="E3" s="307"/>
      <c r="F3" s="307"/>
      <c r="G3" s="307"/>
    </row>
    <row r="4" spans="2:7" ht="18.75" x14ac:dyDescent="0.3">
      <c r="B4" s="308" t="s">
        <v>45</v>
      </c>
      <c r="C4" s="308"/>
      <c r="D4" s="308"/>
      <c r="E4" s="308"/>
      <c r="F4" s="308"/>
      <c r="G4" s="308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03" t="s">
        <v>46</v>
      </c>
      <c r="D9" s="304"/>
      <c r="E9" s="304"/>
      <c r="F9" s="305"/>
      <c r="G9" s="72" t="s">
        <v>47</v>
      </c>
    </row>
    <row r="10" spans="2:7" ht="15.75" thickBot="1" x14ac:dyDescent="0.3">
      <c r="B10" s="73"/>
      <c r="C10" s="303"/>
      <c r="D10" s="304"/>
      <c r="E10" s="304"/>
      <c r="F10" s="305"/>
      <c r="G10" s="73"/>
    </row>
    <row r="11" spans="2:7" ht="30" customHeight="1" x14ac:dyDescent="0.25">
      <c r="B11" s="74">
        <v>1</v>
      </c>
      <c r="C11" s="309" t="s">
        <v>53</v>
      </c>
      <c r="D11" s="310"/>
      <c r="E11" s="310"/>
      <c r="F11" s="311"/>
      <c r="G11" s="74">
        <v>6</v>
      </c>
    </row>
    <row r="12" spans="2:7" ht="45.75" customHeight="1" thickBot="1" x14ac:dyDescent="0.3">
      <c r="B12" s="75"/>
      <c r="C12" s="312"/>
      <c r="D12" s="313"/>
      <c r="E12" s="313"/>
      <c r="F12" s="314"/>
      <c r="G12" s="75"/>
    </row>
    <row r="16" spans="2:7" x14ac:dyDescent="0.25">
      <c r="F16" s="306" t="s">
        <v>48</v>
      </c>
      <c r="G16" s="306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75"/>
  <sheetViews>
    <sheetView zoomScale="90" zoomScaleNormal="90" zoomScalePageLayoutView="85" workbookViewId="0">
      <pane ySplit="2" topLeftCell="A63" activePane="bottomLeft" state="frozen"/>
      <selection pane="bottomLeft" activeCell="K77" sqref="K77"/>
    </sheetView>
  </sheetViews>
  <sheetFormatPr baseColWidth="10" defaultRowHeight="15.75" x14ac:dyDescent="0.25"/>
  <cols>
    <col min="1" max="1" width="11.42578125" style="139"/>
    <col min="2" max="2" width="16.85546875" style="166" customWidth="1"/>
    <col min="3" max="3" width="11.42578125" style="166"/>
    <col min="4" max="4" width="2.140625" style="166" customWidth="1"/>
    <col min="5" max="5" width="13" style="166" customWidth="1"/>
    <col min="6" max="6" width="14.5703125" style="166" customWidth="1"/>
    <col min="7" max="7" width="20.28515625" style="166" customWidth="1"/>
    <col min="8" max="8" width="8.28515625" style="166" customWidth="1"/>
    <col min="9" max="9" width="13.140625" style="166" customWidth="1"/>
    <col min="10" max="10" width="14.85546875" style="166" customWidth="1"/>
    <col min="11" max="11" width="14.140625" style="166" customWidth="1"/>
    <col min="12" max="13" width="17.140625" style="166" customWidth="1"/>
    <col min="14" max="15" width="11.42578125" style="138"/>
    <col min="16" max="16" width="0" style="138" hidden="1" customWidth="1"/>
    <col min="17" max="16384" width="11.42578125" style="138"/>
  </cols>
  <sheetData>
    <row r="1" spans="1:14" s="328" customFormat="1" ht="39.950000000000003" customHeight="1" x14ac:dyDescent="0.25">
      <c r="A1" s="329"/>
      <c r="B1" s="330" t="s">
        <v>178</v>
      </c>
      <c r="C1" s="331"/>
      <c r="D1" s="331"/>
      <c r="E1" s="332"/>
      <c r="F1" s="336">
        <f ca="1">IF(K13="EXTERNO",L68/0.84,IF(K13="INTERNO",L66))</f>
        <v>4283.6812500000005</v>
      </c>
      <c r="G1" s="337"/>
      <c r="H1" s="340">
        <f>+L73</f>
        <v>30500</v>
      </c>
      <c r="I1" s="341"/>
      <c r="J1" s="241">
        <f ca="1">H1-F1</f>
        <v>26216.318749999999</v>
      </c>
    </row>
    <row r="2" spans="1:14" s="328" customFormat="1" ht="15.75" customHeight="1" x14ac:dyDescent="0.25">
      <c r="A2" s="329"/>
      <c r="B2" s="333"/>
      <c r="C2" s="334"/>
      <c r="D2" s="334"/>
      <c r="E2" s="335"/>
      <c r="F2" s="338" t="s">
        <v>184</v>
      </c>
      <c r="G2" s="339"/>
      <c r="H2" s="338" t="s">
        <v>183</v>
      </c>
      <c r="I2" s="342"/>
      <c r="J2" s="240" t="s">
        <v>185</v>
      </c>
    </row>
    <row r="3" spans="1:14" s="238" customFormat="1" ht="15" x14ac:dyDescent="0.25"/>
    <row r="4" spans="1:14" ht="28.5" x14ac:dyDescent="0.25">
      <c r="A4" s="138"/>
      <c r="B4" s="366" t="s">
        <v>112</v>
      </c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</row>
    <row r="5" spans="1:14" ht="28.5" x14ac:dyDescent="0.25">
      <c r="A5" s="138"/>
      <c r="B5" s="366" t="s">
        <v>181</v>
      </c>
      <c r="C5" s="366"/>
      <c r="D5" s="366"/>
      <c r="E5" s="366"/>
      <c r="F5" s="366"/>
      <c r="G5" s="366"/>
      <c r="H5" s="366"/>
      <c r="I5" s="366"/>
      <c r="J5" s="366"/>
      <c r="K5" s="366"/>
      <c r="L5" s="366"/>
      <c r="M5" s="366"/>
    </row>
    <row r="6" spans="1:14" ht="28.5" x14ac:dyDescent="0.25">
      <c r="A6" s="138"/>
      <c r="B6" s="168"/>
      <c r="C6" s="168"/>
      <c r="D6" s="168"/>
      <c r="E6" s="168"/>
      <c r="F6" s="168"/>
      <c r="G6" s="168"/>
      <c r="H6" s="140"/>
      <c r="I6" s="168"/>
      <c r="J6" s="168"/>
      <c r="K6" s="168"/>
      <c r="L6" s="168"/>
      <c r="M6" s="168"/>
    </row>
    <row r="7" spans="1:14" ht="30" customHeight="1" x14ac:dyDescent="0.25">
      <c r="A7" s="167" t="s">
        <v>99</v>
      </c>
      <c r="B7" s="368" t="s">
        <v>1</v>
      </c>
      <c r="C7" s="368"/>
      <c r="D7" s="369" t="s">
        <v>190</v>
      </c>
      <c r="E7" s="369"/>
      <c r="F7" s="369"/>
      <c r="G7" s="369"/>
      <c r="H7" s="169" t="s">
        <v>100</v>
      </c>
      <c r="I7" s="368" t="s">
        <v>97</v>
      </c>
      <c r="J7" s="368"/>
      <c r="K7" s="411"/>
      <c r="L7" s="411"/>
      <c r="M7" s="411"/>
      <c r="N7" s="220"/>
    </row>
    <row r="8" spans="1:14" ht="18.75" x14ac:dyDescent="0.25">
      <c r="A8" s="141"/>
      <c r="B8" s="173"/>
      <c r="C8" s="173"/>
      <c r="D8" s="173"/>
      <c r="E8" s="173"/>
      <c r="F8" s="173"/>
      <c r="G8" s="173"/>
      <c r="H8" s="142"/>
      <c r="I8" s="173"/>
      <c r="J8" s="173"/>
      <c r="K8" s="173"/>
      <c r="L8" s="173"/>
      <c r="M8" s="173"/>
    </row>
    <row r="9" spans="1:14" ht="75.75" customHeight="1" x14ac:dyDescent="0.25">
      <c r="A9" s="167" t="s">
        <v>101</v>
      </c>
      <c r="B9" s="370" t="s">
        <v>102</v>
      </c>
      <c r="C9" s="370"/>
      <c r="D9" s="371"/>
      <c r="E9" s="372"/>
      <c r="F9" s="372"/>
      <c r="G9" s="372"/>
      <c r="H9" s="169" t="s">
        <v>107</v>
      </c>
      <c r="I9" s="368" t="s">
        <v>106</v>
      </c>
      <c r="J9" s="368"/>
      <c r="K9" s="367" t="s">
        <v>191</v>
      </c>
      <c r="L9" s="367"/>
      <c r="M9" s="367"/>
      <c r="N9" s="220"/>
    </row>
    <row r="10" spans="1:14" ht="18.75" x14ac:dyDescent="0.25">
      <c r="A10" s="141"/>
      <c r="B10" s="173"/>
      <c r="C10" s="173"/>
      <c r="D10" s="173"/>
      <c r="E10" s="173"/>
      <c r="F10" s="173"/>
      <c r="G10" s="173"/>
      <c r="H10" s="142"/>
      <c r="I10" s="173"/>
      <c r="J10" s="173"/>
      <c r="K10" s="173"/>
      <c r="L10" s="173"/>
      <c r="M10" s="173"/>
    </row>
    <row r="11" spans="1:14" ht="37.5" customHeight="1" x14ac:dyDescent="0.25">
      <c r="A11" s="167" t="s">
        <v>109</v>
      </c>
      <c r="B11" s="370" t="s">
        <v>103</v>
      </c>
      <c r="C11" s="370"/>
      <c r="D11" s="410">
        <v>43435</v>
      </c>
      <c r="E11" s="410"/>
      <c r="F11" s="410"/>
      <c r="G11" s="410"/>
      <c r="H11" s="169" t="s">
        <v>110</v>
      </c>
      <c r="I11" s="370" t="s">
        <v>104</v>
      </c>
      <c r="J11" s="370"/>
      <c r="K11" s="410">
        <v>43464</v>
      </c>
      <c r="L11" s="411"/>
      <c r="M11" s="411"/>
      <c r="N11" s="220"/>
    </row>
    <row r="12" spans="1:14" s="221" customFormat="1" ht="19.5" customHeight="1" x14ac:dyDescent="0.3">
      <c r="A12" s="143"/>
      <c r="B12" s="179"/>
      <c r="C12" s="184"/>
      <c r="D12" s="185"/>
      <c r="E12" s="186"/>
      <c r="F12" s="178"/>
      <c r="G12" s="187"/>
      <c r="H12" s="145"/>
      <c r="I12" s="178"/>
      <c r="J12" s="178"/>
      <c r="K12" s="179"/>
      <c r="L12" s="180"/>
      <c r="M12" s="181"/>
    </row>
    <row r="13" spans="1:14" s="221" customFormat="1" ht="27" customHeight="1" x14ac:dyDescent="0.3">
      <c r="A13" s="170" t="s">
        <v>111</v>
      </c>
      <c r="B13" s="370" t="s">
        <v>105</v>
      </c>
      <c r="C13" s="370"/>
      <c r="D13" s="370"/>
      <c r="E13" s="412">
        <v>30</v>
      </c>
      <c r="F13" s="412"/>
      <c r="G13" s="172"/>
      <c r="H13" s="234">
        <v>1.8</v>
      </c>
      <c r="I13" s="368" t="s">
        <v>108</v>
      </c>
      <c r="J13" s="368"/>
      <c r="K13" s="413" t="s">
        <v>179</v>
      </c>
      <c r="L13" s="413"/>
      <c r="M13" s="171"/>
    </row>
    <row r="14" spans="1:14" s="233" customFormat="1" ht="27" customHeight="1" x14ac:dyDescent="0.3">
      <c r="A14" s="170"/>
      <c r="B14" s="227"/>
      <c r="C14" s="236"/>
      <c r="D14" s="227"/>
      <c r="E14" s="235"/>
      <c r="F14" s="235"/>
      <c r="G14" s="228"/>
      <c r="H14" s="229"/>
      <c r="I14" s="230"/>
      <c r="J14" s="230"/>
      <c r="K14" s="231"/>
      <c r="L14" s="231"/>
      <c r="M14" s="232"/>
    </row>
    <row r="15" spans="1:14" s="221" customFormat="1" ht="27" customHeight="1" x14ac:dyDescent="0.3">
      <c r="A15" s="170">
        <v>1.9</v>
      </c>
      <c r="B15" s="406" t="s">
        <v>180</v>
      </c>
      <c r="C15" s="406"/>
      <c r="D15" s="407"/>
      <c r="E15" s="408" t="s">
        <v>189</v>
      </c>
      <c r="F15" s="409"/>
      <c r="G15" s="172"/>
      <c r="H15" s="242">
        <v>1.1000000000000001</v>
      </c>
      <c r="I15" s="414" t="s">
        <v>186</v>
      </c>
      <c r="J15" s="414"/>
      <c r="K15" s="415" t="s">
        <v>187</v>
      </c>
      <c r="L15" s="415"/>
      <c r="M15" s="171"/>
    </row>
    <row r="16" spans="1:14" s="221" customFormat="1" ht="27" customHeight="1" x14ac:dyDescent="0.3">
      <c r="A16" s="143"/>
      <c r="B16" s="188"/>
      <c r="C16" s="188"/>
      <c r="D16" s="188"/>
      <c r="E16" s="189"/>
      <c r="F16" s="189"/>
      <c r="G16" s="145"/>
      <c r="H16" s="146"/>
      <c r="I16" s="182"/>
      <c r="J16" s="182"/>
      <c r="K16" s="183"/>
      <c r="L16" s="183"/>
      <c r="M16" s="147"/>
    </row>
    <row r="17" spans="1:16" s="221" customFormat="1" ht="27" customHeight="1" x14ac:dyDescent="0.25">
      <c r="A17" s="143">
        <v>2</v>
      </c>
      <c r="B17" s="384" t="s">
        <v>171</v>
      </c>
      <c r="C17" s="384"/>
      <c r="D17" s="384"/>
      <c r="E17" s="384"/>
      <c r="F17" s="384"/>
      <c r="G17" s="384"/>
      <c r="H17" s="384"/>
      <c r="I17" s="144"/>
      <c r="J17" s="144"/>
      <c r="K17" s="148"/>
      <c r="L17" s="148"/>
    </row>
    <row r="18" spans="1:16" s="221" customFormat="1" ht="12.75" customHeight="1" x14ac:dyDescent="0.3">
      <c r="A18" s="143"/>
      <c r="B18" s="175"/>
      <c r="C18" s="175"/>
      <c r="D18" s="175"/>
      <c r="E18" s="190"/>
      <c r="F18" s="190"/>
      <c r="G18" s="174"/>
      <c r="H18" s="191"/>
      <c r="I18" s="177"/>
      <c r="J18" s="177"/>
      <c r="K18" s="192"/>
      <c r="L18" s="192"/>
      <c r="M18" s="147"/>
    </row>
    <row r="19" spans="1:16" s="221" customFormat="1" ht="27" customHeight="1" x14ac:dyDescent="0.25">
      <c r="A19" s="167" t="s">
        <v>166</v>
      </c>
      <c r="B19" s="389" t="s">
        <v>116</v>
      </c>
      <c r="C19" s="390"/>
      <c r="D19" s="390"/>
      <c r="E19" s="390"/>
      <c r="F19" s="245" t="s">
        <v>118</v>
      </c>
      <c r="G19" s="246" t="s">
        <v>66</v>
      </c>
      <c r="H19" s="391" t="s">
        <v>117</v>
      </c>
      <c r="I19" s="392"/>
      <c r="J19" s="247" t="s">
        <v>67</v>
      </c>
      <c r="K19" s="393" t="s">
        <v>70</v>
      </c>
      <c r="L19" s="394"/>
    </row>
    <row r="20" spans="1:16" s="221" customFormat="1" ht="27" customHeight="1" x14ac:dyDescent="0.25">
      <c r="A20" s="167"/>
      <c r="B20" s="375" t="s">
        <v>120</v>
      </c>
      <c r="C20" s="376"/>
      <c r="D20" s="376"/>
      <c r="E20" s="377"/>
      <c r="F20" s="130" t="s">
        <v>92</v>
      </c>
      <c r="G20" s="239">
        <v>1</v>
      </c>
      <c r="H20" s="395">
        <v>1</v>
      </c>
      <c r="I20" s="396"/>
      <c r="J20" s="251">
        <f>IF(F20="HRS",Hoja2!C18,IF('Estado de costos'!F20="DIAS",Hoja2!D18))</f>
        <v>27</v>
      </c>
      <c r="K20" s="380">
        <f>+J20*G20*H20</f>
        <v>27</v>
      </c>
      <c r="L20" s="381"/>
    </row>
    <row r="21" spans="1:16" s="221" customFormat="1" ht="27" customHeight="1" x14ac:dyDescent="0.25">
      <c r="A21" s="167"/>
      <c r="B21" s="375" t="s">
        <v>170</v>
      </c>
      <c r="C21" s="376"/>
      <c r="D21" s="376"/>
      <c r="E21" s="377"/>
      <c r="F21" s="130" t="s">
        <v>92</v>
      </c>
      <c r="G21" s="239">
        <v>1</v>
      </c>
      <c r="H21" s="378">
        <v>1</v>
      </c>
      <c r="I21" s="379"/>
      <c r="J21" s="251">
        <f>IF(F21="HRS",Hoja2!C19,IF('Estado de costos'!F21="DIAS",Hoja2!D19))</f>
        <v>15</v>
      </c>
      <c r="K21" s="380">
        <f t="shared" ref="K21:K23" si="0">+J21*G21*H21</f>
        <v>15</v>
      </c>
      <c r="L21" s="381"/>
    </row>
    <row r="22" spans="1:16" s="221" customFormat="1" ht="27" customHeight="1" x14ac:dyDescent="0.25">
      <c r="A22" s="167"/>
      <c r="B22" s="375" t="s">
        <v>122</v>
      </c>
      <c r="C22" s="376"/>
      <c r="D22" s="376"/>
      <c r="E22" s="377"/>
      <c r="F22" s="130" t="s">
        <v>92</v>
      </c>
      <c r="G22" s="239">
        <v>1</v>
      </c>
      <c r="H22" s="382">
        <v>1</v>
      </c>
      <c r="I22" s="383"/>
      <c r="J22" s="251">
        <f>IF(F22="HRS",Hoja2!C20,IF('Estado de costos'!F22="DIAS",Hoja2!D20))</f>
        <v>28</v>
      </c>
      <c r="K22" s="380">
        <f t="shared" si="0"/>
        <v>28</v>
      </c>
      <c r="L22" s="381"/>
    </row>
    <row r="23" spans="1:16" s="221" customFormat="1" ht="27" customHeight="1" x14ac:dyDescent="0.25">
      <c r="A23" s="167"/>
      <c r="B23" s="375" t="s">
        <v>123</v>
      </c>
      <c r="C23" s="376"/>
      <c r="D23" s="376"/>
      <c r="E23" s="377"/>
      <c r="F23" s="130" t="s">
        <v>68</v>
      </c>
      <c r="G23" s="239">
        <v>2</v>
      </c>
      <c r="H23" s="382">
        <v>4</v>
      </c>
      <c r="I23" s="383"/>
      <c r="J23" s="251">
        <f>IF(F23="HRS",Hoja2!C21,IF('Estado de costos'!F23="DIAS",Hoja2!D21))</f>
        <v>128</v>
      </c>
      <c r="K23" s="380">
        <f t="shared" si="0"/>
        <v>1024</v>
      </c>
      <c r="L23" s="381"/>
    </row>
    <row r="24" spans="1:16" s="221" customFormat="1" ht="27" customHeight="1" x14ac:dyDescent="0.25">
      <c r="A24" s="167"/>
      <c r="B24" s="397" t="s">
        <v>167</v>
      </c>
      <c r="C24" s="398"/>
      <c r="D24" s="398"/>
      <c r="E24" s="398"/>
      <c r="F24" s="248"/>
      <c r="G24" s="249">
        <f>SUM(G20:I23)</f>
        <v>12</v>
      </c>
      <c r="H24" s="399">
        <f>+SUM(H20:I23)</f>
        <v>7</v>
      </c>
      <c r="I24" s="400"/>
      <c r="J24" s="250">
        <f>SUM(J20:J23)</f>
        <v>198</v>
      </c>
      <c r="K24" s="373">
        <f>SUM(K20:L23)</f>
        <v>1094</v>
      </c>
      <c r="L24" s="374"/>
    </row>
    <row r="25" spans="1:16" s="221" customFormat="1" ht="27" customHeight="1" x14ac:dyDescent="0.3">
      <c r="A25" s="143"/>
      <c r="B25" s="188"/>
      <c r="C25" s="188"/>
      <c r="D25" s="188"/>
      <c r="E25" s="189"/>
      <c r="F25" s="189"/>
      <c r="G25" s="187"/>
      <c r="H25" s="193"/>
      <c r="I25" s="182"/>
      <c r="J25" s="182"/>
      <c r="K25" s="183"/>
      <c r="L25" s="183"/>
      <c r="M25" s="147"/>
    </row>
    <row r="26" spans="1:16" s="221" customFormat="1" ht="27" customHeight="1" x14ac:dyDescent="0.25">
      <c r="A26" s="143">
        <v>3</v>
      </c>
      <c r="B26" s="385" t="s">
        <v>172</v>
      </c>
      <c r="C26" s="385"/>
      <c r="D26" s="385"/>
      <c r="E26" s="385"/>
      <c r="F26" s="385"/>
      <c r="G26" s="385"/>
      <c r="H26" s="385"/>
      <c r="I26" s="385"/>
      <c r="J26" s="385"/>
      <c r="K26" s="385"/>
      <c r="L26" s="148"/>
      <c r="M26" s="147"/>
    </row>
    <row r="27" spans="1:16" ht="10.5" customHeight="1" x14ac:dyDescent="0.3">
      <c r="A27" s="141"/>
      <c r="B27" s="175"/>
      <c r="C27" s="175"/>
      <c r="D27" s="175"/>
      <c r="E27" s="176"/>
      <c r="F27" s="177"/>
      <c r="G27" s="195"/>
      <c r="H27" s="195"/>
      <c r="I27" s="195"/>
      <c r="J27" s="196"/>
      <c r="K27" s="197"/>
      <c r="L27" s="197"/>
      <c r="M27" s="197"/>
    </row>
    <row r="28" spans="1:16" ht="19.5" customHeight="1" x14ac:dyDescent="0.3">
      <c r="A28" s="167" t="s">
        <v>131</v>
      </c>
      <c r="B28" s="353" t="s">
        <v>10</v>
      </c>
      <c r="C28" s="354"/>
      <c r="D28" s="354"/>
      <c r="E28" s="354"/>
      <c r="F28" s="354"/>
      <c r="G28" s="354"/>
      <c r="H28" s="354" t="s">
        <v>125</v>
      </c>
      <c r="I28" s="354"/>
      <c r="J28" s="354"/>
      <c r="K28" s="354"/>
      <c r="L28" s="354"/>
      <c r="M28" s="388"/>
      <c r="N28" s="220"/>
    </row>
    <row r="29" spans="1:16" s="223" customFormat="1" ht="55.5" customHeight="1" x14ac:dyDescent="0.25">
      <c r="A29" s="194"/>
      <c r="B29" s="343" t="s">
        <v>63</v>
      </c>
      <c r="C29" s="344"/>
      <c r="D29" s="344"/>
      <c r="E29" s="344"/>
      <c r="F29" s="344" t="s">
        <v>113</v>
      </c>
      <c r="G29" s="344"/>
      <c r="H29" s="344" t="s">
        <v>61</v>
      </c>
      <c r="I29" s="344"/>
      <c r="J29" s="252" t="s">
        <v>23</v>
      </c>
      <c r="K29" s="252" t="s">
        <v>62</v>
      </c>
      <c r="L29" s="252" t="s">
        <v>114</v>
      </c>
      <c r="M29" s="253" t="s">
        <v>95</v>
      </c>
      <c r="N29" s="222"/>
    </row>
    <row r="30" spans="1:16" ht="35.25" customHeight="1" x14ac:dyDescent="0.25">
      <c r="A30" s="167"/>
      <c r="B30" s="350"/>
      <c r="C30" s="350"/>
      <c r="D30" s="350"/>
      <c r="E30" s="350"/>
      <c r="F30" s="350"/>
      <c r="G30" s="350"/>
      <c r="H30" s="365"/>
      <c r="I30" s="365"/>
      <c r="J30" s="131"/>
      <c r="K30" s="132"/>
      <c r="L30" s="133"/>
      <c r="M30" s="254">
        <f>IF(L30="FACTURA",P30*0.87,IF(L30="RECIBO",P30/0.92,IF(L30="ALMACEN",P30*1,)))</f>
        <v>0</v>
      </c>
      <c r="N30" s="220"/>
      <c r="P30" s="138">
        <f>+J30*K30</f>
        <v>0</v>
      </c>
    </row>
    <row r="31" spans="1:16" ht="17.25" x14ac:dyDescent="0.3">
      <c r="A31" s="167"/>
      <c r="B31" s="357" t="s">
        <v>60</v>
      </c>
      <c r="C31" s="358"/>
      <c r="D31" s="358"/>
      <c r="E31" s="358"/>
      <c r="F31" s="358"/>
      <c r="G31" s="358"/>
      <c r="H31" s="358"/>
      <c r="I31" s="358"/>
      <c r="J31" s="256"/>
      <c r="K31" s="257"/>
      <c r="L31" s="256"/>
      <c r="M31" s="255">
        <f ca="1">SUM(M30:OFFSET(M31,-1,0))</f>
        <v>0</v>
      </c>
      <c r="N31" s="220"/>
    </row>
    <row r="32" spans="1:16" x14ac:dyDescent="0.25">
      <c r="A32" s="141"/>
      <c r="B32" s="198"/>
      <c r="C32" s="198"/>
      <c r="D32" s="198"/>
      <c r="E32" s="198"/>
      <c r="F32" s="199"/>
      <c r="G32" s="199"/>
      <c r="H32" s="198"/>
      <c r="I32" s="198"/>
      <c r="J32" s="200"/>
      <c r="K32" s="200"/>
      <c r="L32" s="200"/>
      <c r="M32" s="200"/>
    </row>
    <row r="33" spans="1:16" x14ac:dyDescent="0.25">
      <c r="A33" s="141"/>
      <c r="B33" s="149"/>
      <c r="C33" s="149"/>
      <c r="D33" s="149"/>
      <c r="E33" s="149"/>
      <c r="F33" s="150"/>
      <c r="G33" s="150"/>
      <c r="H33" s="149"/>
      <c r="I33" s="149"/>
      <c r="J33" s="151"/>
      <c r="K33" s="151"/>
      <c r="L33" s="151"/>
      <c r="M33" s="151"/>
    </row>
    <row r="34" spans="1:16" x14ac:dyDescent="0.25">
      <c r="A34" s="141"/>
      <c r="B34" s="149"/>
      <c r="C34" s="149"/>
      <c r="D34" s="149"/>
      <c r="E34" s="149"/>
      <c r="F34" s="150"/>
      <c r="G34" s="150"/>
      <c r="H34" s="149"/>
      <c r="I34" s="149"/>
      <c r="J34" s="151"/>
      <c r="K34" s="152"/>
      <c r="L34" s="152"/>
      <c r="M34" s="152"/>
    </row>
    <row r="35" spans="1:16" ht="17.25" x14ac:dyDescent="0.3">
      <c r="A35" s="141" t="s">
        <v>154</v>
      </c>
      <c r="B35" s="359" t="s">
        <v>65</v>
      </c>
      <c r="C35" s="359"/>
      <c r="D35" s="359"/>
      <c r="E35" s="359"/>
      <c r="F35" s="359"/>
      <c r="G35" s="359"/>
      <c r="H35" s="359" t="s">
        <v>124</v>
      </c>
      <c r="I35" s="359"/>
      <c r="J35" s="359"/>
      <c r="K35" s="359"/>
      <c r="L35" s="359"/>
      <c r="M35" s="359"/>
    </row>
    <row r="36" spans="1:16" ht="66" customHeight="1" x14ac:dyDescent="0.25">
      <c r="A36" s="167"/>
      <c r="B36" s="321" t="s">
        <v>65</v>
      </c>
      <c r="C36" s="322"/>
      <c r="D36" s="322"/>
      <c r="E36" s="322"/>
      <c r="F36" s="322" t="s">
        <v>115</v>
      </c>
      <c r="G36" s="322"/>
      <c r="H36" s="322" t="s">
        <v>87</v>
      </c>
      <c r="I36" s="322"/>
      <c r="J36" s="258" t="s">
        <v>23</v>
      </c>
      <c r="K36" s="258" t="s">
        <v>88</v>
      </c>
      <c r="L36" s="258" t="s">
        <v>114</v>
      </c>
      <c r="M36" s="259" t="s">
        <v>89</v>
      </c>
      <c r="N36" s="220"/>
    </row>
    <row r="37" spans="1:16" ht="33.75" customHeight="1" x14ac:dyDescent="0.25">
      <c r="A37" s="167"/>
      <c r="B37" s="320"/>
      <c r="C37" s="320"/>
      <c r="D37" s="320"/>
      <c r="E37" s="320"/>
      <c r="F37" s="362"/>
      <c r="G37" s="362"/>
      <c r="H37" s="363"/>
      <c r="I37" s="363"/>
      <c r="J37" s="134">
        <v>1</v>
      </c>
      <c r="K37" s="134">
        <v>1300</v>
      </c>
      <c r="L37" s="135" t="s">
        <v>69</v>
      </c>
      <c r="M37" s="260">
        <f>IF(L37="FACTURA",P37*0.87,IF(L37="RECIBO",P37/0.845,IF(L37="VALORADOS",P37*1,IF(L37="ALQUILER CON RECIBO",P37/0.84))))</f>
        <v>1131</v>
      </c>
      <c r="N37" s="220"/>
      <c r="P37" s="138">
        <f>+K37*J37</f>
        <v>1300</v>
      </c>
    </row>
    <row r="38" spans="1:16" ht="16.5" customHeight="1" x14ac:dyDescent="0.25">
      <c r="A38" s="167"/>
      <c r="B38" s="355" t="s">
        <v>60</v>
      </c>
      <c r="C38" s="356"/>
      <c r="D38" s="356"/>
      <c r="E38" s="356"/>
      <c r="F38" s="356"/>
      <c r="G38" s="356"/>
      <c r="H38" s="356"/>
      <c r="I38" s="356"/>
      <c r="J38" s="262"/>
      <c r="K38" s="263"/>
      <c r="L38" s="263"/>
      <c r="M38" s="261">
        <f ca="1">SUM(M37:OFFSET(M38,-1,0))</f>
        <v>1131</v>
      </c>
      <c r="N38" s="220"/>
    </row>
    <row r="39" spans="1:16" ht="16.5" customHeight="1" x14ac:dyDescent="0.25">
      <c r="A39" s="141"/>
      <c r="B39" s="198"/>
      <c r="C39" s="201"/>
      <c r="D39" s="201"/>
      <c r="E39" s="201"/>
      <c r="F39" s="199"/>
      <c r="G39" s="199"/>
      <c r="H39" s="199"/>
      <c r="I39" s="199"/>
      <c r="J39" s="200"/>
      <c r="K39" s="202"/>
      <c r="L39" s="202"/>
      <c r="M39" s="202"/>
    </row>
    <row r="40" spans="1:16" ht="16.5" customHeight="1" x14ac:dyDescent="0.25">
      <c r="A40" s="141"/>
      <c r="B40" s="149"/>
      <c r="C40" s="153"/>
      <c r="D40" s="153"/>
      <c r="E40" s="153"/>
      <c r="F40" s="150"/>
      <c r="G40" s="150"/>
      <c r="H40" s="150"/>
      <c r="I40" s="150"/>
      <c r="J40" s="151"/>
      <c r="K40" s="154"/>
      <c r="L40" s="154"/>
      <c r="M40" s="154"/>
    </row>
    <row r="41" spans="1:16" ht="16.5" customHeight="1" x14ac:dyDescent="0.25">
      <c r="A41" s="141"/>
      <c r="B41" s="401" t="s">
        <v>130</v>
      </c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</row>
    <row r="42" spans="1:16" ht="33" customHeight="1" x14ac:dyDescent="0.25">
      <c r="A42" s="155">
        <v>4</v>
      </c>
      <c r="B42" s="156" t="s">
        <v>126</v>
      </c>
      <c r="C42" s="157"/>
      <c r="D42" s="157"/>
      <c r="E42" s="157"/>
      <c r="F42" s="157"/>
      <c r="G42" s="157"/>
      <c r="H42" s="157"/>
      <c r="I42" s="157"/>
      <c r="J42" s="158"/>
      <c r="K42" s="158"/>
      <c r="L42" s="154"/>
      <c r="M42" s="154"/>
    </row>
    <row r="43" spans="1:16" ht="33" customHeight="1" x14ac:dyDescent="0.25">
      <c r="A43" s="155"/>
      <c r="B43" s="204"/>
      <c r="C43" s="204"/>
      <c r="D43" s="204"/>
      <c r="E43" s="204"/>
      <c r="F43" s="204"/>
      <c r="G43" s="204"/>
      <c r="H43" s="204"/>
      <c r="I43" s="205"/>
      <c r="J43" s="205"/>
      <c r="K43" s="205"/>
      <c r="L43" s="206"/>
      <c r="M43" s="206"/>
    </row>
    <row r="44" spans="1:16" ht="33" customHeight="1" x14ac:dyDescent="0.25">
      <c r="A44" s="203" t="s">
        <v>168</v>
      </c>
      <c r="B44" s="351" t="s">
        <v>127</v>
      </c>
      <c r="C44" s="352"/>
      <c r="D44" s="352"/>
      <c r="E44" s="352"/>
      <c r="F44" s="345"/>
      <c r="G44" s="345"/>
      <c r="H44" s="345" t="s">
        <v>128</v>
      </c>
      <c r="I44" s="345"/>
      <c r="J44" s="345"/>
      <c r="K44" s="264" t="s">
        <v>11</v>
      </c>
      <c r="L44" s="265" t="s">
        <v>62</v>
      </c>
      <c r="M44" s="266" t="s">
        <v>129</v>
      </c>
      <c r="N44" s="220"/>
    </row>
    <row r="45" spans="1:16" ht="33" customHeight="1" x14ac:dyDescent="0.25">
      <c r="A45" s="203"/>
      <c r="B45" s="405"/>
      <c r="C45" s="405"/>
      <c r="D45" s="405"/>
      <c r="E45" s="405"/>
      <c r="F45" s="405"/>
      <c r="G45" s="405"/>
      <c r="H45" s="346"/>
      <c r="I45" s="347"/>
      <c r="J45" s="348"/>
      <c r="K45" s="136"/>
      <c r="L45" s="137"/>
      <c r="M45" s="270">
        <f>+L45*K45</f>
        <v>0</v>
      </c>
      <c r="N45" s="220"/>
    </row>
    <row r="46" spans="1:16" ht="33" customHeight="1" x14ac:dyDescent="0.25">
      <c r="A46" s="203"/>
      <c r="B46" s="402" t="s">
        <v>60</v>
      </c>
      <c r="C46" s="403"/>
      <c r="D46" s="403"/>
      <c r="E46" s="403"/>
      <c r="F46" s="404"/>
      <c r="G46" s="404"/>
      <c r="H46" s="349"/>
      <c r="I46" s="349"/>
      <c r="J46" s="349"/>
      <c r="K46" s="267">
        <f ca="1">SUM(K45:OFFSET(K46,-1,0))</f>
        <v>0</v>
      </c>
      <c r="L46" s="268">
        <f ca="1">SUM(L45:OFFSET(L46,-1,0))</f>
        <v>0</v>
      </c>
      <c r="M46" s="269">
        <f ca="1">SUM(M45:OFFSET(M46,-1,0))</f>
        <v>0</v>
      </c>
      <c r="N46" s="220"/>
    </row>
    <row r="47" spans="1:16" ht="16.5" customHeight="1" x14ac:dyDescent="0.25">
      <c r="A47" s="141"/>
      <c r="B47" s="198"/>
      <c r="C47" s="201"/>
      <c r="D47" s="201"/>
      <c r="E47" s="201"/>
      <c r="F47" s="199"/>
      <c r="G47" s="199"/>
      <c r="H47" s="199"/>
      <c r="I47" s="199"/>
      <c r="J47" s="200"/>
      <c r="K47" s="202"/>
      <c r="L47" s="202"/>
      <c r="M47" s="202"/>
    </row>
    <row r="48" spans="1:16" ht="16.5" customHeight="1" x14ac:dyDescent="0.25">
      <c r="A48" s="141"/>
      <c r="B48" s="149"/>
      <c r="C48" s="153"/>
      <c r="D48" s="153"/>
      <c r="E48" s="153"/>
      <c r="F48" s="150"/>
      <c r="G48" s="150"/>
      <c r="H48" s="150"/>
      <c r="I48" s="150"/>
      <c r="J48" s="151"/>
      <c r="K48" s="154"/>
      <c r="L48" s="154"/>
      <c r="M48" s="154"/>
    </row>
    <row r="49" spans="1:15" ht="16.5" customHeight="1" x14ac:dyDescent="0.25">
      <c r="A49" s="141"/>
      <c r="B49" s="149"/>
      <c r="C49" s="153"/>
      <c r="D49" s="153"/>
      <c r="E49" s="153"/>
      <c r="F49" s="150"/>
      <c r="G49" s="150"/>
      <c r="H49" s="150"/>
      <c r="I49" s="150"/>
      <c r="J49" s="151"/>
      <c r="K49" s="154"/>
      <c r="L49" s="244"/>
      <c r="M49" s="154"/>
    </row>
    <row r="50" spans="1:15" x14ac:dyDescent="0.25">
      <c r="A50" s="141"/>
      <c r="B50" s="150"/>
      <c r="C50" s="150"/>
      <c r="D50" s="150"/>
      <c r="E50" s="150"/>
      <c r="F50" s="150"/>
      <c r="G50" s="150"/>
      <c r="H50" s="150"/>
      <c r="I50" s="152"/>
      <c r="J50" s="159"/>
      <c r="K50" s="160"/>
      <c r="L50" s="159"/>
      <c r="M50" s="161"/>
    </row>
    <row r="51" spans="1:15" s="221" customFormat="1" ht="29.25" customHeight="1" x14ac:dyDescent="0.25">
      <c r="A51" s="143">
        <v>5</v>
      </c>
      <c r="B51" s="386" t="s">
        <v>174</v>
      </c>
      <c r="C51" s="387"/>
      <c r="D51" s="387"/>
      <c r="E51" s="387"/>
      <c r="F51" s="387"/>
      <c r="G51" s="387"/>
      <c r="H51" s="387"/>
      <c r="I51" s="387"/>
      <c r="J51" s="387"/>
      <c r="K51" s="162"/>
      <c r="L51" s="162"/>
      <c r="M51" s="152"/>
    </row>
    <row r="52" spans="1:15" x14ac:dyDescent="0.25">
      <c r="A52" s="141"/>
      <c r="B52" s="209"/>
      <c r="C52" s="209"/>
      <c r="D52" s="209"/>
      <c r="E52" s="209"/>
      <c r="F52" s="209"/>
      <c r="G52" s="209"/>
      <c r="H52" s="209"/>
      <c r="I52" s="210"/>
      <c r="J52" s="210"/>
      <c r="K52" s="163"/>
      <c r="L52" s="152"/>
      <c r="M52" s="150"/>
    </row>
    <row r="53" spans="1:15" ht="70.5" customHeight="1" x14ac:dyDescent="0.25">
      <c r="A53" s="167" t="s">
        <v>175</v>
      </c>
      <c r="B53" s="364" t="s">
        <v>173</v>
      </c>
      <c r="C53" s="364"/>
      <c r="D53" s="364"/>
      <c r="E53" s="364"/>
      <c r="F53" s="271" t="s">
        <v>93</v>
      </c>
      <c r="G53" s="271" t="s">
        <v>91</v>
      </c>
      <c r="H53" s="323" t="s">
        <v>94</v>
      </c>
      <c r="I53" s="323"/>
      <c r="J53" s="323"/>
      <c r="K53" s="207"/>
      <c r="L53" s="152"/>
      <c r="M53" s="150"/>
    </row>
    <row r="54" spans="1:15" ht="24" customHeight="1" x14ac:dyDescent="0.25">
      <c r="A54" s="167"/>
      <c r="B54" s="364"/>
      <c r="C54" s="364"/>
      <c r="D54" s="364"/>
      <c r="E54" s="364"/>
      <c r="F54" s="274">
        <f ca="1">+K24+M38+M31+M46</f>
        <v>2225</v>
      </c>
      <c r="G54" s="275">
        <f>+IF(K15="SANTA CRUZ",0.21,IF(K15="COCHABAMBA",0.17))</f>
        <v>0.17</v>
      </c>
      <c r="H54" s="327">
        <f ca="1">+G54*F54</f>
        <v>378.25</v>
      </c>
      <c r="I54" s="327"/>
      <c r="J54" s="327"/>
      <c r="K54" s="208"/>
      <c r="L54" s="152"/>
      <c r="M54" s="164"/>
    </row>
    <row r="55" spans="1:15" x14ac:dyDescent="0.25">
      <c r="A55" s="141"/>
      <c r="B55" s="199"/>
      <c r="C55" s="199"/>
      <c r="D55" s="199"/>
      <c r="E55" s="199"/>
      <c r="F55" s="199"/>
      <c r="G55" s="199"/>
      <c r="H55" s="199"/>
      <c r="I55" s="211"/>
      <c r="J55" s="211"/>
      <c r="K55" s="152"/>
      <c r="L55" s="152"/>
      <c r="M55" s="150"/>
    </row>
    <row r="56" spans="1:15" x14ac:dyDescent="0.25">
      <c r="A56" s="141"/>
      <c r="B56" s="209"/>
      <c r="C56" s="209"/>
      <c r="D56" s="209"/>
      <c r="E56" s="209"/>
      <c r="F56" s="209"/>
      <c r="G56" s="209"/>
      <c r="H56" s="209"/>
      <c r="I56" s="210"/>
      <c r="J56" s="210"/>
      <c r="K56" s="163"/>
      <c r="L56" s="152"/>
      <c r="M56" s="150"/>
    </row>
    <row r="57" spans="1:15" ht="60" customHeight="1" x14ac:dyDescent="0.25">
      <c r="A57" s="167" t="s">
        <v>176</v>
      </c>
      <c r="B57" s="323" t="s">
        <v>75</v>
      </c>
      <c r="C57" s="323"/>
      <c r="D57" s="323"/>
      <c r="E57" s="323"/>
      <c r="F57" s="271" t="s">
        <v>66</v>
      </c>
      <c r="G57" s="271" t="s">
        <v>90</v>
      </c>
      <c r="H57" s="323" t="s">
        <v>81</v>
      </c>
      <c r="I57" s="323"/>
      <c r="J57" s="323"/>
      <c r="K57" s="212"/>
      <c r="L57" s="152"/>
      <c r="M57" s="150"/>
    </row>
    <row r="58" spans="1:15" ht="25.5" customHeight="1" x14ac:dyDescent="0.25">
      <c r="A58" s="167"/>
      <c r="B58" s="323"/>
      <c r="C58" s="323"/>
      <c r="D58" s="323"/>
      <c r="E58" s="323"/>
      <c r="F58" s="272">
        <f>+E13</f>
        <v>30</v>
      </c>
      <c r="G58" s="273">
        <f>+Hoja2!F13</f>
        <v>5.4487179487179495E-4</v>
      </c>
      <c r="H58" s="327">
        <f ca="1">+G58*F58*(F54+H54)</f>
        <v>42.553125000000001</v>
      </c>
      <c r="I58" s="327"/>
      <c r="J58" s="327"/>
      <c r="K58" s="208"/>
      <c r="L58" s="152"/>
      <c r="M58" s="150"/>
    </row>
    <row r="59" spans="1:15" x14ac:dyDescent="0.25">
      <c r="A59" s="165"/>
      <c r="B59" s="199"/>
      <c r="C59" s="199"/>
      <c r="D59" s="199"/>
      <c r="E59" s="199"/>
      <c r="F59" s="199"/>
      <c r="G59" s="199"/>
      <c r="H59" s="199"/>
      <c r="I59" s="199"/>
      <c r="J59" s="199"/>
      <c r="K59" s="150"/>
      <c r="L59" s="150"/>
      <c r="M59" s="150"/>
    </row>
    <row r="60" spans="1:15" x14ac:dyDescent="0.25">
      <c r="A60" s="165"/>
      <c r="B60" s="150"/>
      <c r="C60" s="209"/>
      <c r="D60" s="209"/>
      <c r="E60" s="209"/>
      <c r="F60" s="209"/>
      <c r="G60" s="209"/>
      <c r="H60" s="150"/>
      <c r="I60" s="150"/>
      <c r="J60" s="209"/>
      <c r="K60" s="209"/>
      <c r="L60" s="209"/>
      <c r="M60" s="150"/>
    </row>
    <row r="61" spans="1:15" ht="26.25" customHeight="1" x14ac:dyDescent="0.25">
      <c r="A61" s="165"/>
      <c r="B61" s="213"/>
      <c r="C61" s="325" t="s">
        <v>96</v>
      </c>
      <c r="D61" s="325"/>
      <c r="E61" s="325"/>
      <c r="F61" s="325"/>
      <c r="G61" s="276">
        <f ca="1">+IF(L66&lt;=5000,0.16,IF(L66&lt;=50000,0.15,IF(L66&gt;50000,0.14)))</f>
        <v>0.16</v>
      </c>
      <c r="H61" s="326"/>
      <c r="I61" s="326"/>
      <c r="J61" s="325" t="s">
        <v>188</v>
      </c>
      <c r="K61" s="325"/>
      <c r="L61" s="277">
        <v>0.36</v>
      </c>
      <c r="M61" s="243"/>
    </row>
    <row r="62" spans="1:15" ht="15" hidden="1" customHeight="1" x14ac:dyDescent="0.25">
      <c r="A62" s="165"/>
      <c r="B62" s="150"/>
      <c r="C62" s="199"/>
      <c r="D62" s="199"/>
      <c r="E62" s="199"/>
      <c r="F62" s="199"/>
      <c r="G62" s="199"/>
      <c r="H62" s="150"/>
      <c r="I62" s="150"/>
      <c r="J62" s="199"/>
      <c r="K62" s="199"/>
      <c r="L62" s="199"/>
      <c r="M62" s="150"/>
    </row>
    <row r="63" spans="1:15" x14ac:dyDescent="0.25">
      <c r="A63" s="165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</row>
    <row r="64" spans="1:15" x14ac:dyDescent="0.25">
      <c r="A64" s="165"/>
      <c r="B64" s="150"/>
      <c r="C64" s="150"/>
      <c r="D64" s="209"/>
      <c r="E64" s="209"/>
      <c r="F64" s="209"/>
      <c r="G64" s="209"/>
      <c r="H64" s="209"/>
      <c r="I64" s="209"/>
      <c r="J64" s="209"/>
      <c r="K64" s="150"/>
      <c r="L64" s="209"/>
      <c r="M64" s="209"/>
      <c r="O64" s="138">
        <v>0</v>
      </c>
    </row>
    <row r="65" spans="1:14" x14ac:dyDescent="0.25">
      <c r="A65" s="165"/>
      <c r="B65" s="150"/>
      <c r="C65" s="213"/>
      <c r="D65" s="324" t="s">
        <v>177</v>
      </c>
      <c r="E65" s="324"/>
      <c r="F65" s="324"/>
      <c r="G65" s="324"/>
      <c r="H65" s="324"/>
      <c r="I65" s="324"/>
      <c r="J65" s="324"/>
      <c r="K65" s="216"/>
      <c r="L65" s="318" t="s">
        <v>64</v>
      </c>
      <c r="M65" s="319"/>
      <c r="N65" s="220"/>
    </row>
    <row r="66" spans="1:14" ht="27.75" customHeight="1" x14ac:dyDescent="0.25">
      <c r="A66" s="138"/>
      <c r="B66" s="150"/>
      <c r="C66" s="214" t="s">
        <v>169</v>
      </c>
      <c r="D66" s="317" t="s">
        <v>71</v>
      </c>
      <c r="E66" s="317"/>
      <c r="F66" s="317"/>
      <c r="G66" s="317"/>
      <c r="H66" s="317"/>
      <c r="I66" s="317"/>
      <c r="J66" s="317"/>
      <c r="K66" s="217"/>
      <c r="L66" s="315">
        <f ca="1">+H58+H54+M38+M31+K24+M46</f>
        <v>2645.8031249999999</v>
      </c>
      <c r="M66" s="316"/>
      <c r="N66" s="220"/>
    </row>
    <row r="67" spans="1:14" ht="27.75" customHeight="1" x14ac:dyDescent="0.25">
      <c r="A67" s="138"/>
      <c r="B67" s="150"/>
      <c r="C67" s="213"/>
      <c r="D67" s="317" t="s">
        <v>96</v>
      </c>
      <c r="E67" s="317"/>
      <c r="F67" s="317"/>
      <c r="G67" s="317"/>
      <c r="H67" s="317"/>
      <c r="I67" s="317"/>
      <c r="J67" s="317"/>
      <c r="K67" s="216"/>
      <c r="L67" s="360">
        <f ca="1">+IF(K13="EXTERNO",IF(OR($L$61="",$L$61=0),$L$66*$G$61,$L$61*$L$66),IF(K13="INTERNO",L66,))</f>
        <v>952.48912499999994</v>
      </c>
      <c r="M67" s="361"/>
      <c r="N67" s="220"/>
    </row>
    <row r="68" spans="1:14" ht="27.75" customHeight="1" x14ac:dyDescent="0.25">
      <c r="A68" s="138"/>
      <c r="B68" s="150"/>
      <c r="C68" s="213"/>
      <c r="D68" s="317" t="s">
        <v>73</v>
      </c>
      <c r="E68" s="317"/>
      <c r="F68" s="317"/>
      <c r="G68" s="317"/>
      <c r="H68" s="317"/>
      <c r="I68" s="317"/>
      <c r="J68" s="317"/>
      <c r="K68" s="216"/>
      <c r="L68" s="315">
        <f ca="1">IF(K13="EXTERNO",L67+L66,IF(K13="INTERNO",L66))</f>
        <v>3598.29225</v>
      </c>
      <c r="M68" s="316"/>
      <c r="N68" s="220"/>
    </row>
    <row r="69" spans="1:14" ht="27.75" customHeight="1" x14ac:dyDescent="0.25">
      <c r="A69" s="138"/>
      <c r="B69" s="150"/>
      <c r="C69" s="213"/>
      <c r="D69" s="317" t="s">
        <v>72</v>
      </c>
      <c r="E69" s="317"/>
      <c r="F69" s="317"/>
      <c r="G69" s="317"/>
      <c r="H69" s="317"/>
      <c r="I69" s="317"/>
      <c r="J69" s="317"/>
      <c r="K69" s="218"/>
      <c r="L69" s="315">
        <f ca="1">IF(K13="EXTERNO",L68/0.84,IF(K13="INTERNO",L66))</f>
        <v>4283.6812500000005</v>
      </c>
      <c r="M69" s="316"/>
      <c r="N69" s="220"/>
    </row>
    <row r="70" spans="1:14" ht="45.75" customHeight="1" x14ac:dyDescent="0.25">
      <c r="A70" s="138"/>
      <c r="B70" s="150"/>
      <c r="C70" s="150"/>
      <c r="D70" s="215"/>
      <c r="E70" s="215"/>
      <c r="F70" s="215"/>
      <c r="G70" s="215"/>
      <c r="H70" s="215"/>
      <c r="I70" s="215"/>
      <c r="J70" s="215"/>
      <c r="K70" s="219"/>
      <c r="L70" s="420" t="str">
        <f>IF(K13="EXTERNO","ESTE PRECIO QUE COTIZA ES PARA CLIENTE EXTERNO",IF(K13="INTERNO","ESTE  PRECIO ES SOLO PARA AREA DE GRUPO REGIONAL "))</f>
        <v>ESTE PRECIO QUE COTIZA ES PARA CLIENTE EXTERNO</v>
      </c>
      <c r="M70" s="421"/>
      <c r="N70" s="220"/>
    </row>
    <row r="71" spans="1:14" x14ac:dyDescent="0.25">
      <c r="A71" s="138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99"/>
      <c r="M71" s="199"/>
    </row>
    <row r="72" spans="1:14" x14ac:dyDescent="0.25">
      <c r="K72" s="166" t="s">
        <v>11</v>
      </c>
      <c r="L72" s="418" t="s">
        <v>162</v>
      </c>
      <c r="M72" s="418"/>
    </row>
    <row r="73" spans="1:14" x14ac:dyDescent="0.25">
      <c r="D73" s="416" t="s">
        <v>161</v>
      </c>
      <c r="E73" s="416"/>
      <c r="F73" s="416"/>
      <c r="G73" s="416"/>
      <c r="H73" s="416"/>
      <c r="I73" s="416"/>
      <c r="J73" s="416"/>
      <c r="K73" s="419">
        <v>1</v>
      </c>
      <c r="L73" s="417">
        <v>30500</v>
      </c>
      <c r="M73" s="417"/>
    </row>
    <row r="74" spans="1:14" x14ac:dyDescent="0.25">
      <c r="D74" s="416"/>
      <c r="E74" s="416"/>
      <c r="F74" s="416"/>
      <c r="G74" s="416"/>
      <c r="H74" s="416"/>
      <c r="I74" s="416"/>
      <c r="J74" s="416"/>
      <c r="K74" s="419"/>
      <c r="L74" s="417"/>
      <c r="M74" s="417"/>
    </row>
    <row r="75" spans="1:14" x14ac:dyDescent="0.25">
      <c r="K75" s="224">
        <f>L73*K73</f>
        <v>30500</v>
      </c>
    </row>
  </sheetData>
  <sheetProtection selectLockedCells="1"/>
  <protectedRanges>
    <protectedRange sqref="H30 K9 G61 D11 K11 B30:E30 D9 E27:F27 E13:F18 E25:F25 J30:K30 D7 K7 B37:E37 H37:K37 K15 L61" name="Rango1"/>
    <protectedRange sqref="F20:F23" name="Rango4_1"/>
    <protectedRange sqref="F20:F23" name="Rango3_1"/>
    <protectedRange sqref="G46 E46 F45 H45 L45 B45:B46" name="Rango3"/>
    <protectedRange sqref="E51:J51" name="Rango3_1_1_1"/>
  </protectedRanges>
  <mergeCells count="100">
    <mergeCell ref="D73:J74"/>
    <mergeCell ref="L73:M74"/>
    <mergeCell ref="L72:M72"/>
    <mergeCell ref="K73:K74"/>
    <mergeCell ref="L70:M70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1:J51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1:M41"/>
    <mergeCell ref="B46:G46"/>
    <mergeCell ref="F45:G45"/>
    <mergeCell ref="B45:E45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L69:M69"/>
    <mergeCell ref="B28:G28"/>
    <mergeCell ref="B38:I38"/>
    <mergeCell ref="B31:I31"/>
    <mergeCell ref="B35:G35"/>
    <mergeCell ref="H35:M35"/>
    <mergeCell ref="L68:M68"/>
    <mergeCell ref="D66:J66"/>
    <mergeCell ref="D68:J68"/>
    <mergeCell ref="D69:J69"/>
    <mergeCell ref="L67:M67"/>
    <mergeCell ref="F37:G37"/>
    <mergeCell ref="H37:I37"/>
    <mergeCell ref="B53:E54"/>
    <mergeCell ref="H29:I29"/>
    <mergeCell ref="H30:I30"/>
    <mergeCell ref="B29:E29"/>
    <mergeCell ref="H53:J53"/>
    <mergeCell ref="H54:J54"/>
    <mergeCell ref="F36:G36"/>
    <mergeCell ref="H36:I36"/>
    <mergeCell ref="F29:G29"/>
    <mergeCell ref="H44:J44"/>
    <mergeCell ref="H45:J45"/>
    <mergeCell ref="H46:J46"/>
    <mergeCell ref="F30:G30"/>
    <mergeCell ref="B44:G44"/>
    <mergeCell ref="B30:E30"/>
    <mergeCell ref="K1:XFD2"/>
    <mergeCell ref="A1:A2"/>
    <mergeCell ref="B1:E2"/>
    <mergeCell ref="F1:G1"/>
    <mergeCell ref="F2:G2"/>
    <mergeCell ref="H1:I1"/>
    <mergeCell ref="H2:I2"/>
    <mergeCell ref="L66:M66"/>
    <mergeCell ref="D67:J67"/>
    <mergeCell ref="L65:M65"/>
    <mergeCell ref="B37:E37"/>
    <mergeCell ref="B36:E36"/>
    <mergeCell ref="B57:E58"/>
    <mergeCell ref="D65:J65"/>
    <mergeCell ref="C61:F61"/>
    <mergeCell ref="H61:I61"/>
    <mergeCell ref="J61:K61"/>
    <mergeCell ref="H57:J57"/>
    <mergeCell ref="H58:J58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" xr:uid="{00000000-0002-0000-0400-000001000000}">
      <formula1>"FACTURA,RECIBO,ALMACEN"</formula1>
    </dataValidation>
    <dataValidation type="list" allowBlank="1" showInputMessage="1" showErrorMessage="1" sqref="L37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J60"/>
  <sheetViews>
    <sheetView showGridLines="0" tabSelected="1" view="pageLayout" topLeftCell="A31" zoomScale="70" zoomScaleNormal="100" zoomScaleSheetLayoutView="106" zoomScalePageLayoutView="70" workbookViewId="0">
      <selection activeCell="B53" sqref="B53"/>
    </sheetView>
  </sheetViews>
  <sheetFormatPr baseColWidth="10" defaultRowHeight="15" outlineLevelCol="1" x14ac:dyDescent="0.25"/>
  <cols>
    <col min="1" max="1" width="5.140625" customWidth="1"/>
    <col min="2" max="2" width="70.5703125" customWidth="1"/>
    <col min="3" max="3" width="8.7109375" customWidth="1"/>
    <col min="4" max="4" width="7" customWidth="1"/>
    <col min="5" max="5" width="8.140625" style="98" customWidth="1"/>
    <col min="6" max="6" width="12.28515625" customWidth="1"/>
    <col min="7" max="7" width="2.7109375" hidden="1" customWidth="1" outlineLevel="1"/>
    <col min="8" max="8" width="15.140625" customWidth="1" collapsed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37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22">
        <f ca="1">TODAY()</f>
        <v>43496</v>
      </c>
      <c r="B9" s="422"/>
      <c r="C9" s="422"/>
      <c r="D9" s="422"/>
      <c r="E9" s="422"/>
      <c r="F9" s="422"/>
      <c r="G9" s="422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23" t="s">
        <v>132</v>
      </c>
      <c r="B12" s="423"/>
      <c r="C12" s="423"/>
      <c r="D12" s="423"/>
      <c r="E12" s="423"/>
      <c r="F12" s="423"/>
      <c r="G12" s="423"/>
    </row>
    <row r="13" spans="1:7" s="95" customFormat="1" x14ac:dyDescent="0.2"/>
    <row r="14" spans="1:7" s="92" customFormat="1" x14ac:dyDescent="0.2">
      <c r="A14" s="423" t="str">
        <f>IF('Estado de costos'!K13="EXTERNO",'Estado de costos'!D7,IF('Estado de costos'!K13="INTERNO"," GRUPO REGIONAL SRL"))</f>
        <v>CARMAX</v>
      </c>
      <c r="B14" s="423"/>
      <c r="C14" s="423"/>
      <c r="D14" s="423"/>
      <c r="E14" s="423"/>
      <c r="F14" s="423"/>
      <c r="G14" s="423"/>
    </row>
    <row r="15" spans="1:7" s="95" customFormat="1" x14ac:dyDescent="0.2"/>
    <row r="16" spans="1:7" s="92" customFormat="1" x14ac:dyDescent="0.2">
      <c r="A16" s="423" t="s">
        <v>133</v>
      </c>
      <c r="B16" s="423"/>
      <c r="C16" s="423"/>
      <c r="D16" s="423"/>
      <c r="E16" s="423"/>
      <c r="F16" s="423"/>
      <c r="G16" s="423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25" t="str">
        <f>+'Estado de costos'!K9</f>
        <v>LETREROS CARMAX</v>
      </c>
      <c r="D18" s="425"/>
      <c r="E18" s="425"/>
      <c r="F18" s="425"/>
      <c r="G18" s="97"/>
    </row>
    <row r="19" spans="1:8" s="92" customFormat="1" x14ac:dyDescent="0.2">
      <c r="E19" s="93"/>
    </row>
    <row r="20" spans="1:8" s="92" customFormat="1" x14ac:dyDescent="0.2">
      <c r="A20" s="424"/>
      <c r="B20" s="424"/>
      <c r="C20" s="424"/>
      <c r="D20" s="424"/>
      <c r="E20" s="424"/>
      <c r="F20" s="424"/>
      <c r="G20" s="424"/>
    </row>
    <row r="21" spans="1:8" s="92" customFormat="1" x14ac:dyDescent="0.2">
      <c r="E21" s="93"/>
    </row>
    <row r="22" spans="1:8" s="92" customFormat="1" ht="48" customHeight="1" x14ac:dyDescent="0.2">
      <c r="A22" s="426" t="s">
        <v>135</v>
      </c>
      <c r="B22" s="426"/>
      <c r="C22" s="426"/>
      <c r="D22" s="426"/>
      <c r="E22" s="426"/>
      <c r="F22" s="426"/>
      <c r="G22" s="426"/>
      <c r="H22" s="426"/>
    </row>
    <row r="23" spans="1:8" s="92" customFormat="1" x14ac:dyDescent="0.2">
      <c r="B23" s="225">
        <f>+'Estado de costos'!K75</f>
        <v>30500</v>
      </c>
      <c r="C23" s="226" t="e">
        <f>#REF!</f>
        <v>#REF!</v>
      </c>
      <c r="D23" s="225" t="e">
        <f>GESTEP(C23,B23)</f>
        <v>#REF!</v>
      </c>
      <c r="E23" s="93"/>
    </row>
    <row r="24" spans="1:8" s="92" customFormat="1" x14ac:dyDescent="0.2">
      <c r="E24" s="93"/>
    </row>
    <row r="25" spans="1:8" s="92" customFormat="1" ht="15.75" x14ac:dyDescent="0.2">
      <c r="A25" s="427" t="s">
        <v>136</v>
      </c>
      <c r="B25" s="428"/>
      <c r="C25" s="428"/>
      <c r="D25" s="428"/>
      <c r="E25" s="428"/>
      <c r="F25" s="428"/>
    </row>
    <row r="26" spans="1:8" s="278" customFormat="1" ht="15.75" x14ac:dyDescent="0.25">
      <c r="A26" s="432" t="s">
        <v>192</v>
      </c>
      <c r="B26" s="432"/>
      <c r="C26" s="432"/>
      <c r="D26" s="432"/>
      <c r="E26" s="432"/>
      <c r="F26" s="432"/>
      <c r="G26" s="432"/>
      <c r="H26" s="432"/>
    </row>
    <row r="27" spans="1:8" s="471" customFormat="1" ht="18.75" customHeight="1" x14ac:dyDescent="0.2">
      <c r="A27" s="469" t="s">
        <v>193</v>
      </c>
      <c r="B27" s="469" t="s">
        <v>194</v>
      </c>
      <c r="C27" s="469" t="s">
        <v>6</v>
      </c>
      <c r="D27" s="469" t="s">
        <v>5</v>
      </c>
      <c r="E27" s="469" t="s">
        <v>195</v>
      </c>
      <c r="F27" s="469" t="s">
        <v>11</v>
      </c>
      <c r="G27" s="469" t="s">
        <v>196</v>
      </c>
      <c r="H27" s="470" t="s">
        <v>14</v>
      </c>
    </row>
    <row r="28" spans="1:8" s="278" customFormat="1" ht="15.75" x14ac:dyDescent="0.25">
      <c r="A28" s="280">
        <v>1</v>
      </c>
      <c r="B28" s="280" t="s">
        <v>197</v>
      </c>
      <c r="C28" s="280">
        <v>11.5</v>
      </c>
      <c r="D28" s="280">
        <v>3.4</v>
      </c>
      <c r="E28" s="280">
        <f>C28*D28</f>
        <v>39.1</v>
      </c>
      <c r="F28" s="280">
        <v>1</v>
      </c>
      <c r="G28" s="280">
        <v>170</v>
      </c>
      <c r="H28" s="281">
        <f>(E28*F28)*G28</f>
        <v>6647</v>
      </c>
    </row>
    <row r="29" spans="1:8" s="278" customFormat="1" ht="15.75" x14ac:dyDescent="0.25">
      <c r="A29" s="433" t="s">
        <v>198</v>
      </c>
      <c r="B29" s="434"/>
      <c r="C29" s="434"/>
      <c r="D29" s="434"/>
      <c r="E29" s="434"/>
      <c r="F29" s="434"/>
      <c r="G29" s="435"/>
      <c r="H29" s="281">
        <f>H28</f>
        <v>6647</v>
      </c>
    </row>
    <row r="30" spans="1:8" s="278" customFormat="1" ht="15.75" x14ac:dyDescent="0.25">
      <c r="A30" s="436" t="s">
        <v>199</v>
      </c>
      <c r="B30" s="437"/>
      <c r="C30" s="437"/>
      <c r="D30" s="437"/>
      <c r="E30" s="437"/>
      <c r="F30" s="437"/>
      <c r="G30" s="437"/>
      <c r="H30" s="438"/>
    </row>
    <row r="31" spans="1:8" s="129" customFormat="1" x14ac:dyDescent="0.2">
      <c r="A31" s="77" t="s">
        <v>193</v>
      </c>
      <c r="B31" s="77" t="s">
        <v>194</v>
      </c>
      <c r="C31" s="77" t="s">
        <v>6</v>
      </c>
      <c r="D31" s="77" t="s">
        <v>5</v>
      </c>
      <c r="E31" s="77" t="s">
        <v>195</v>
      </c>
      <c r="F31" s="77" t="s">
        <v>11</v>
      </c>
      <c r="G31" s="77" t="s">
        <v>196</v>
      </c>
      <c r="H31" s="279" t="s">
        <v>14</v>
      </c>
    </row>
    <row r="32" spans="1:8" s="278" customFormat="1" ht="30" x14ac:dyDescent="0.25">
      <c r="A32" s="280">
        <v>1</v>
      </c>
      <c r="B32" s="283" t="s">
        <v>202</v>
      </c>
      <c r="C32" s="280">
        <v>11</v>
      </c>
      <c r="D32" s="280">
        <v>3</v>
      </c>
      <c r="E32" s="280">
        <f t="shared" ref="E32:E37" si="0">C32*D32</f>
        <v>33</v>
      </c>
      <c r="F32" s="280">
        <v>1</v>
      </c>
      <c r="G32" s="280">
        <v>196.761</v>
      </c>
      <c r="H32" s="281">
        <f>(E32*F32)*G32</f>
        <v>6493.1130000000003</v>
      </c>
    </row>
    <row r="33" spans="1:8" s="278" customFormat="1" ht="15.75" x14ac:dyDescent="0.25">
      <c r="A33" s="280">
        <v>2</v>
      </c>
      <c r="B33" s="280" t="s">
        <v>203</v>
      </c>
      <c r="C33" s="280">
        <v>1.2</v>
      </c>
      <c r="D33" s="280">
        <v>0.3</v>
      </c>
      <c r="E33" s="280">
        <f t="shared" si="0"/>
        <v>0.36</v>
      </c>
      <c r="F33" s="280">
        <v>1</v>
      </c>
      <c r="G33" s="280">
        <v>2050</v>
      </c>
      <c r="H33" s="281">
        <f t="shared" ref="H33:H37" si="1">(E33*F33)*G33</f>
        <v>738</v>
      </c>
    </row>
    <row r="34" spans="1:8" s="278" customFormat="1" ht="30" x14ac:dyDescent="0.25">
      <c r="A34" s="280">
        <v>3</v>
      </c>
      <c r="B34" s="283" t="s">
        <v>204</v>
      </c>
      <c r="C34" s="280">
        <v>0.74</v>
      </c>
      <c r="D34" s="280">
        <v>0.1</v>
      </c>
      <c r="E34" s="280">
        <f t="shared" si="0"/>
        <v>7.3999999999999996E-2</v>
      </c>
      <c r="F34" s="280">
        <v>1</v>
      </c>
      <c r="G34" s="280">
        <v>9250</v>
      </c>
      <c r="H34" s="281">
        <f t="shared" si="1"/>
        <v>684.5</v>
      </c>
    </row>
    <row r="35" spans="1:8" s="278" customFormat="1" ht="30" x14ac:dyDescent="0.25">
      <c r="A35" s="280">
        <v>4</v>
      </c>
      <c r="B35" s="283" t="s">
        <v>205</v>
      </c>
      <c r="C35" s="280">
        <v>0.18</v>
      </c>
      <c r="D35" s="280">
        <v>0.18</v>
      </c>
      <c r="E35" s="280">
        <f t="shared" si="0"/>
        <v>3.2399999999999998E-2</v>
      </c>
      <c r="F35" s="280">
        <v>1</v>
      </c>
      <c r="G35" s="280">
        <v>9250</v>
      </c>
      <c r="H35" s="281">
        <f t="shared" si="1"/>
        <v>299.7</v>
      </c>
    </row>
    <row r="36" spans="1:8" s="278" customFormat="1" ht="30" x14ac:dyDescent="0.25">
      <c r="A36" s="280">
        <v>6</v>
      </c>
      <c r="B36" s="283" t="s">
        <v>206</v>
      </c>
      <c r="C36" s="280">
        <v>0.85</v>
      </c>
      <c r="D36" s="280">
        <v>0.126</v>
      </c>
      <c r="E36" s="280">
        <f t="shared" si="0"/>
        <v>0.1071</v>
      </c>
      <c r="F36" s="280">
        <v>1</v>
      </c>
      <c r="G36" s="280">
        <v>9250</v>
      </c>
      <c r="H36" s="281">
        <f t="shared" si="1"/>
        <v>990.67499999999995</v>
      </c>
    </row>
    <row r="37" spans="1:8" s="278" customFormat="1" ht="30" x14ac:dyDescent="0.25">
      <c r="A37" s="280">
        <v>7</v>
      </c>
      <c r="B37" s="283" t="s">
        <v>207</v>
      </c>
      <c r="C37" s="280">
        <v>0.625</v>
      </c>
      <c r="D37" s="280">
        <v>0.32</v>
      </c>
      <c r="E37" s="280">
        <f t="shared" si="0"/>
        <v>0.2</v>
      </c>
      <c r="F37" s="280">
        <v>1</v>
      </c>
      <c r="G37" s="280">
        <v>11000</v>
      </c>
      <c r="H37" s="281">
        <f t="shared" si="1"/>
        <v>2200</v>
      </c>
    </row>
    <row r="38" spans="1:8" s="278" customFormat="1" ht="15.75" x14ac:dyDescent="0.25">
      <c r="A38" s="433" t="s">
        <v>198</v>
      </c>
      <c r="B38" s="434"/>
      <c r="C38" s="434"/>
      <c r="D38" s="434"/>
      <c r="E38" s="434"/>
      <c r="F38" s="434"/>
      <c r="G38" s="435"/>
      <c r="H38" s="281">
        <f>SUM(H32:H37)</f>
        <v>11405.987999999999</v>
      </c>
    </row>
    <row r="39" spans="1:8" s="278" customFormat="1" ht="15.75" x14ac:dyDescent="0.25">
      <c r="A39" s="432" t="s">
        <v>200</v>
      </c>
      <c r="B39" s="432"/>
      <c r="C39" s="432"/>
      <c r="D39" s="432"/>
      <c r="E39" s="432"/>
      <c r="F39" s="432"/>
      <c r="G39" s="432"/>
      <c r="H39" s="432"/>
    </row>
    <row r="40" spans="1:8" s="129" customFormat="1" x14ac:dyDescent="0.2">
      <c r="A40" s="77" t="s">
        <v>193</v>
      </c>
      <c r="B40" s="77" t="s">
        <v>194</v>
      </c>
      <c r="C40" s="77" t="s">
        <v>6</v>
      </c>
      <c r="D40" s="77" t="s">
        <v>5</v>
      </c>
      <c r="E40" s="77" t="s">
        <v>195</v>
      </c>
      <c r="F40" s="77" t="s">
        <v>11</v>
      </c>
      <c r="G40" s="77" t="s">
        <v>196</v>
      </c>
      <c r="H40" s="279" t="s">
        <v>14</v>
      </c>
    </row>
    <row r="41" spans="1:8" s="278" customFormat="1" ht="30" x14ac:dyDescent="0.25">
      <c r="A41" s="280">
        <v>1</v>
      </c>
      <c r="B41" s="283" t="s">
        <v>208</v>
      </c>
      <c r="C41" s="280">
        <v>10.27</v>
      </c>
      <c r="D41" s="280">
        <v>1.74</v>
      </c>
      <c r="E41" s="280">
        <f>C41*D41</f>
        <v>17.869799999999998</v>
      </c>
      <c r="F41" s="280">
        <v>1</v>
      </c>
      <c r="G41" s="280">
        <v>200</v>
      </c>
      <c r="H41" s="281">
        <f>(E41*F41)*G41</f>
        <v>3573.9599999999996</v>
      </c>
    </row>
    <row r="42" spans="1:8" s="278" customFormat="1" ht="30" x14ac:dyDescent="0.25">
      <c r="A42" s="280">
        <v>2</v>
      </c>
      <c r="B42" s="283" t="s">
        <v>204</v>
      </c>
      <c r="C42" s="280">
        <v>1.69</v>
      </c>
      <c r="D42" s="280">
        <v>0.25</v>
      </c>
      <c r="E42" s="280">
        <f>C42*D42</f>
        <v>0.42249999999999999</v>
      </c>
      <c r="F42" s="280">
        <v>1</v>
      </c>
      <c r="G42" s="280">
        <v>9250</v>
      </c>
      <c r="H42" s="281">
        <f t="shared" ref="H42:H45" si="2">(E42*F42)*G42</f>
        <v>3908.125</v>
      </c>
    </row>
    <row r="43" spans="1:8" s="278" customFormat="1" ht="30" x14ac:dyDescent="0.25">
      <c r="A43" s="280">
        <v>3</v>
      </c>
      <c r="B43" s="283" t="s">
        <v>205</v>
      </c>
      <c r="C43" s="280">
        <v>0.41</v>
      </c>
      <c r="D43" s="280">
        <v>0.41</v>
      </c>
      <c r="E43" s="280">
        <f t="shared" ref="E43:E45" si="3">C43*D43</f>
        <v>0.16809999999999997</v>
      </c>
      <c r="F43" s="280">
        <v>1</v>
      </c>
      <c r="G43" s="280">
        <v>9250</v>
      </c>
      <c r="H43" s="281">
        <f t="shared" si="2"/>
        <v>1554.9249999999997</v>
      </c>
    </row>
    <row r="44" spans="1:8" s="278" customFormat="1" ht="30" x14ac:dyDescent="0.25">
      <c r="A44" s="280">
        <v>4</v>
      </c>
      <c r="B44" s="283" t="s">
        <v>206</v>
      </c>
      <c r="C44" s="280">
        <v>1.69</v>
      </c>
      <c r="D44" s="280">
        <v>0.25</v>
      </c>
      <c r="E44" s="280">
        <f t="shared" si="3"/>
        <v>0.42249999999999999</v>
      </c>
      <c r="F44" s="280">
        <v>1</v>
      </c>
      <c r="G44" s="280">
        <v>9250</v>
      </c>
      <c r="H44" s="281">
        <f t="shared" si="2"/>
        <v>3908.125</v>
      </c>
    </row>
    <row r="45" spans="1:8" s="278" customFormat="1" ht="30" x14ac:dyDescent="0.25">
      <c r="A45" s="280">
        <v>5</v>
      </c>
      <c r="B45" s="283" t="s">
        <v>207</v>
      </c>
      <c r="C45" s="280">
        <v>0.67</v>
      </c>
      <c r="D45" s="280">
        <v>0.34</v>
      </c>
      <c r="E45" s="280">
        <f t="shared" si="3"/>
        <v>0.22780000000000003</v>
      </c>
      <c r="F45" s="280">
        <v>1</v>
      </c>
      <c r="G45" s="280">
        <v>10000</v>
      </c>
      <c r="H45" s="281">
        <f t="shared" si="2"/>
        <v>2278.0000000000005</v>
      </c>
    </row>
    <row r="46" spans="1:8" s="278" customFormat="1" ht="15.75" x14ac:dyDescent="0.25">
      <c r="A46" s="433" t="s">
        <v>198</v>
      </c>
      <c r="B46" s="434"/>
      <c r="C46" s="434"/>
      <c r="D46" s="434"/>
      <c r="E46" s="434"/>
      <c r="F46" s="434"/>
      <c r="G46" s="435"/>
      <c r="H46" s="281">
        <f>SUM(H41:H45)</f>
        <v>15223.134999999998</v>
      </c>
    </row>
    <row r="47" spans="1:8" s="278" customFormat="1" ht="15.75" x14ac:dyDescent="0.25">
      <c r="A47" s="439" t="s">
        <v>201</v>
      </c>
      <c r="B47" s="440"/>
      <c r="C47" s="440"/>
      <c r="D47" s="440"/>
      <c r="E47" s="440"/>
      <c r="F47" s="440"/>
      <c r="G47" s="441"/>
      <c r="H47" s="282">
        <f>H29+H38+H46</f>
        <v>33276.122999999992</v>
      </c>
    </row>
    <row r="48" spans="1:8" ht="18.75" x14ac:dyDescent="0.3">
      <c r="A48" s="429" t="s">
        <v>137</v>
      </c>
      <c r="B48" s="429"/>
      <c r="C48" s="429"/>
      <c r="D48" s="429"/>
      <c r="E48" s="429"/>
      <c r="F48" s="429"/>
      <c r="G48" s="429"/>
    </row>
    <row r="49" spans="1:10" x14ac:dyDescent="0.25">
      <c r="A49" s="99"/>
      <c r="B49" s="99"/>
      <c r="C49" s="99"/>
      <c r="D49" s="99"/>
      <c r="E49" s="99"/>
      <c r="F49" s="99"/>
      <c r="G49" s="99"/>
    </row>
    <row r="50" spans="1:10" s="92" customFormat="1" ht="28.5" customHeight="1" x14ac:dyDescent="0.2">
      <c r="A50" s="431" t="s">
        <v>159</v>
      </c>
      <c r="B50" s="431"/>
      <c r="C50" s="431"/>
      <c r="D50" s="431"/>
      <c r="E50" s="431"/>
      <c r="F50" s="431"/>
      <c r="G50" s="431"/>
      <c r="H50" s="431"/>
    </row>
    <row r="51" spans="1:10" s="92" customFormat="1" ht="15.75" x14ac:dyDescent="0.25">
      <c r="A51" s="425"/>
      <c r="B51" s="425"/>
      <c r="C51" s="425"/>
      <c r="D51" s="425"/>
      <c r="E51" s="425"/>
      <c r="F51" s="425"/>
      <c r="G51" s="425"/>
    </row>
    <row r="52" spans="1:10" s="92" customFormat="1" x14ac:dyDescent="0.2">
      <c r="A52" s="430"/>
      <c r="B52" s="430"/>
      <c r="C52" s="430"/>
      <c r="D52" s="430"/>
      <c r="E52" s="430"/>
      <c r="F52" s="430"/>
      <c r="G52" s="430"/>
    </row>
    <row r="54" spans="1:10" ht="15" customHeight="1" x14ac:dyDescent="0.25"/>
    <row r="55" spans="1:10" ht="15" customHeight="1" x14ac:dyDescent="0.25">
      <c r="A55" s="442" t="s">
        <v>182</v>
      </c>
      <c r="B55" s="442"/>
      <c r="C55" s="442"/>
      <c r="D55" s="442"/>
      <c r="E55" s="442"/>
      <c r="F55" s="442"/>
      <c r="G55" s="442"/>
      <c r="H55" s="442"/>
      <c r="I55" s="129"/>
      <c r="J55" s="129"/>
    </row>
    <row r="56" spans="1:10" ht="15.75" customHeight="1" x14ac:dyDescent="0.25">
      <c r="A56" s="129"/>
      <c r="B56" s="129"/>
      <c r="C56" s="129"/>
      <c r="D56" s="129"/>
      <c r="E56" s="129"/>
      <c r="F56" s="129"/>
      <c r="G56" s="129"/>
      <c r="H56" s="129"/>
      <c r="I56" s="129"/>
      <c r="J56" s="129"/>
    </row>
    <row r="57" spans="1:10" ht="15.75" x14ac:dyDescent="0.25">
      <c r="A57" s="443" t="str">
        <f>'Estado de costos'!E15</f>
        <v>Carlos Camacho</v>
      </c>
      <c r="B57" s="443"/>
      <c r="C57" s="443"/>
      <c r="D57" s="443"/>
      <c r="E57" s="443"/>
      <c r="F57" s="443"/>
      <c r="G57" s="443"/>
      <c r="H57" s="443"/>
      <c r="I57" s="284"/>
      <c r="J57" s="284"/>
    </row>
    <row r="58" spans="1:10" ht="15.75" x14ac:dyDescent="0.25">
      <c r="A58" s="442" t="str">
        <f>IF(A57="Alvaro Vega","Jefe Activaciones ",IF(A57="Carlos Camacho"," Jefe de Taller y Diseño",IF(A57="Cristhian Ayala","Ejecutivo de Cuentas de Taller y Diseño ")))</f>
        <v xml:space="preserve"> Jefe de Taller y Diseño</v>
      </c>
      <c r="B58" s="442"/>
      <c r="C58" s="442"/>
      <c r="D58" s="442"/>
      <c r="E58" s="442"/>
      <c r="F58" s="442"/>
      <c r="G58" s="442"/>
      <c r="H58" s="442"/>
      <c r="I58" s="129"/>
      <c r="J58" s="129"/>
    </row>
    <row r="59" spans="1:10" ht="15.75" x14ac:dyDescent="0.25">
      <c r="A59" s="444" t="str">
        <f>IF(A57="Alvaro Vega","alvarovega@gruporegional.com",IF(A57="Carlos Camacho","carloscamacho@gruporegional.com",IF(A57="Cristhian Ayala","cristhianayala@gruporegional.com")))</f>
        <v>carloscamacho@gruporegional.com</v>
      </c>
      <c r="B59" s="444"/>
      <c r="C59" s="444"/>
      <c r="D59" s="444"/>
      <c r="E59" s="444"/>
      <c r="F59" s="444"/>
      <c r="G59" s="444"/>
      <c r="H59" s="444"/>
      <c r="I59" s="285"/>
      <c r="J59" s="285"/>
    </row>
    <row r="60" spans="1:10" ht="15.75" x14ac:dyDescent="0.25">
      <c r="A60" s="444" t="s">
        <v>160</v>
      </c>
      <c r="B60" s="444"/>
      <c r="C60" s="444"/>
      <c r="D60" s="444"/>
      <c r="E60" s="444"/>
      <c r="F60" s="444"/>
      <c r="G60" s="444"/>
      <c r="H60" s="444"/>
      <c r="I60" s="285"/>
      <c r="J60" s="285"/>
    </row>
  </sheetData>
  <mergeCells count="24">
    <mergeCell ref="A55:H55"/>
    <mergeCell ref="A57:H57"/>
    <mergeCell ref="A58:H58"/>
    <mergeCell ref="A59:H59"/>
    <mergeCell ref="A60:H60"/>
    <mergeCell ref="A22:H22"/>
    <mergeCell ref="A25:F25"/>
    <mergeCell ref="A48:G48"/>
    <mergeCell ref="A51:G51"/>
    <mergeCell ref="A52:G52"/>
    <mergeCell ref="A50:H50"/>
    <mergeCell ref="A26:H26"/>
    <mergeCell ref="A29:G29"/>
    <mergeCell ref="A30:H30"/>
    <mergeCell ref="A38:G38"/>
    <mergeCell ref="A39:H39"/>
    <mergeCell ref="A46:G46"/>
    <mergeCell ref="A47:G47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autoPict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457200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27" customWidth="1"/>
    <col min="3" max="3" width="11.42578125" style="127"/>
    <col min="4" max="4" width="13.42578125" style="127" customWidth="1"/>
    <col min="5" max="5" width="24.85546875" style="127" customWidth="1"/>
    <col min="6" max="6" width="14.140625" style="127" customWidth="1"/>
    <col min="7" max="7" width="15.42578125" style="127" bestFit="1" customWidth="1"/>
    <col min="8" max="8" width="15.28515625" style="127" bestFit="1" customWidth="1"/>
    <col min="9" max="9" width="13.140625" style="127" customWidth="1"/>
    <col min="10" max="10" width="17.42578125" style="127" customWidth="1"/>
    <col min="11" max="11" width="16.28515625" style="127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6" t="s">
        <v>165</v>
      </c>
      <c r="C8" s="467"/>
      <c r="D8" s="467"/>
      <c r="E8" s="467"/>
      <c r="F8" s="467"/>
      <c r="G8" s="467"/>
      <c r="H8" s="467"/>
      <c r="I8" s="467"/>
      <c r="J8" s="467"/>
      <c r="K8" s="467"/>
    </row>
    <row r="9" spans="1:11" s="84" customFormat="1" ht="27.75" x14ac:dyDescent="0.2">
      <c r="B9" s="467" t="s">
        <v>138</v>
      </c>
      <c r="C9" s="467"/>
      <c r="D9" s="467"/>
      <c r="E9" s="467"/>
      <c r="F9" s="467"/>
      <c r="G9" s="467"/>
      <c r="H9" s="467"/>
      <c r="I9" s="467"/>
      <c r="J9" s="467"/>
      <c r="K9" s="467"/>
    </row>
    <row r="10" spans="1:11" s="84" customFormat="1" ht="27.75" x14ac:dyDescent="0.2">
      <c r="B10" s="100"/>
      <c r="C10" s="100"/>
      <c r="D10" s="100"/>
      <c r="E10" s="100"/>
      <c r="F10" s="100"/>
      <c r="G10" s="100"/>
      <c r="H10" s="100"/>
      <c r="I10" s="100"/>
      <c r="J10" s="100"/>
      <c r="K10" s="100"/>
    </row>
    <row r="11" spans="1:11" s="84" customFormat="1" ht="30" customHeight="1" x14ac:dyDescent="0.2">
      <c r="A11" s="83">
        <v>1.1000000000000001</v>
      </c>
      <c r="B11" s="457" t="s">
        <v>139</v>
      </c>
      <c r="C11" s="457"/>
      <c r="D11" s="468" t="str">
        <f>+'Estado de costos'!D7:G7</f>
        <v>CARMAX</v>
      </c>
      <c r="E11" s="468"/>
      <c r="F11" s="468"/>
      <c r="G11" s="101">
        <v>1.2</v>
      </c>
      <c r="H11" s="85" t="s">
        <v>97</v>
      </c>
      <c r="I11" s="102"/>
      <c r="J11" s="464">
        <f>+'Estado de costos'!K7</f>
        <v>0</v>
      </c>
      <c r="K11" s="464"/>
    </row>
    <row r="12" spans="1:11" s="84" customFormat="1" ht="15.75" customHeight="1" x14ac:dyDescent="0.2">
      <c r="A12" s="83"/>
      <c r="B12" s="103"/>
      <c r="C12" s="103"/>
      <c r="D12" s="103"/>
      <c r="E12" s="103"/>
      <c r="F12" s="103"/>
      <c r="G12" s="103"/>
      <c r="H12" s="103"/>
      <c r="I12" s="103"/>
      <c r="J12" s="103"/>
      <c r="K12" s="103"/>
    </row>
    <row r="13" spans="1:11" s="84" customFormat="1" ht="61.5" customHeight="1" x14ac:dyDescent="0.2">
      <c r="A13" s="83">
        <v>1.3</v>
      </c>
      <c r="B13" s="462" t="s">
        <v>140</v>
      </c>
      <c r="C13" s="462"/>
      <c r="D13" s="463">
        <f>+'Estado de costos'!D9:G9</f>
        <v>0</v>
      </c>
      <c r="E13" s="464"/>
      <c r="F13" s="464"/>
      <c r="G13" s="83">
        <v>1.4</v>
      </c>
      <c r="H13" s="104" t="s">
        <v>141</v>
      </c>
      <c r="I13" s="465" t="str">
        <f>+'Estado de costos'!K9</f>
        <v>LETREROS CARMAX</v>
      </c>
      <c r="J13" s="465"/>
      <c r="K13" s="465"/>
    </row>
    <row r="14" spans="1:11" s="84" customFormat="1" ht="15" x14ac:dyDescent="0.2">
      <c r="A14" s="83"/>
      <c r="B14" s="103"/>
      <c r="C14" s="103"/>
      <c r="D14" s="103"/>
      <c r="E14" s="103"/>
      <c r="F14" s="103"/>
      <c r="G14" s="103"/>
      <c r="H14" s="103"/>
      <c r="I14" s="103"/>
      <c r="J14" s="103"/>
      <c r="K14" s="103"/>
    </row>
    <row r="15" spans="1:11" s="84" customFormat="1" ht="37.5" customHeight="1" x14ac:dyDescent="0.2">
      <c r="A15" s="83">
        <v>1.5</v>
      </c>
      <c r="B15" s="457" t="s">
        <v>142</v>
      </c>
      <c r="C15" s="457"/>
      <c r="D15" s="457"/>
      <c r="E15" s="455">
        <f>+'Estado de costos'!D11</f>
        <v>43435</v>
      </c>
      <c r="F15" s="455"/>
      <c r="G15" s="83">
        <v>1.6</v>
      </c>
      <c r="H15" s="458" t="s">
        <v>143</v>
      </c>
      <c r="I15" s="458"/>
      <c r="J15" s="455">
        <f>+'Estado de costos'!K11</f>
        <v>43464</v>
      </c>
      <c r="K15" s="455"/>
    </row>
    <row r="16" spans="1:11" s="110" customFormat="1" ht="37.5" customHeight="1" x14ac:dyDescent="0.2">
      <c r="A16" s="105"/>
      <c r="B16" s="106"/>
      <c r="C16" s="106"/>
      <c r="D16" s="106"/>
      <c r="E16" s="107"/>
      <c r="F16" s="108"/>
      <c r="G16" s="109"/>
      <c r="H16" s="109"/>
      <c r="I16" s="109"/>
      <c r="J16" s="109"/>
      <c r="K16" s="109"/>
    </row>
    <row r="17" spans="1:11" s="84" customFormat="1" ht="37.5" customHeight="1" x14ac:dyDescent="0.2">
      <c r="A17" s="83">
        <v>3</v>
      </c>
      <c r="B17" s="456" t="s">
        <v>144</v>
      </c>
      <c r="C17" s="456"/>
      <c r="D17" s="456"/>
      <c r="E17" s="456"/>
      <c r="F17" s="456"/>
      <c r="G17" s="456"/>
      <c r="H17" s="456"/>
      <c r="I17" s="456"/>
      <c r="J17" s="456"/>
      <c r="K17" s="456"/>
    </row>
    <row r="18" spans="1:11" s="84" customFormat="1" ht="7.5" customHeight="1" x14ac:dyDescent="0.2">
      <c r="A18" s="83"/>
      <c r="B18" s="106"/>
      <c r="C18" s="106"/>
      <c r="D18" s="106"/>
      <c r="E18" s="107"/>
      <c r="F18" s="108"/>
      <c r="G18" s="111"/>
      <c r="H18" s="111"/>
      <c r="I18" s="111"/>
      <c r="J18" s="111"/>
      <c r="K18" s="111"/>
    </row>
    <row r="19" spans="1:11" s="84" customFormat="1" ht="28.5" customHeight="1" x14ac:dyDescent="0.2">
      <c r="A19" s="83" t="s">
        <v>131</v>
      </c>
      <c r="B19" s="451" t="s">
        <v>145</v>
      </c>
      <c r="C19" s="451"/>
      <c r="D19" s="451"/>
      <c r="E19" s="451"/>
      <c r="F19" s="451"/>
      <c r="G19" s="451" t="s">
        <v>146</v>
      </c>
      <c r="H19" s="451"/>
      <c r="I19" s="451"/>
      <c r="J19" s="451"/>
      <c r="K19" s="451"/>
    </row>
    <row r="20" spans="1:11" s="113" customFormat="1" ht="65.25" customHeight="1" x14ac:dyDescent="0.25">
      <c r="A20" s="112"/>
      <c r="B20" s="459" t="s">
        <v>147</v>
      </c>
      <c r="C20" s="460"/>
      <c r="D20" s="461"/>
      <c r="E20" s="459" t="s">
        <v>148</v>
      </c>
      <c r="F20" s="461"/>
      <c r="G20" s="86" t="s">
        <v>149</v>
      </c>
      <c r="H20" s="86" t="s">
        <v>62</v>
      </c>
      <c r="I20" s="86" t="s">
        <v>150</v>
      </c>
      <c r="J20" s="86" t="s">
        <v>151</v>
      </c>
      <c r="K20" s="86" t="s">
        <v>163</v>
      </c>
    </row>
    <row r="21" spans="1:11" s="113" customFormat="1" ht="55.5" hidden="1" customHeight="1" x14ac:dyDescent="0.25">
      <c r="A21" s="112"/>
      <c r="B21" s="452" t="s">
        <v>152</v>
      </c>
      <c r="C21" s="453"/>
      <c r="D21" s="454"/>
      <c r="E21" s="114"/>
      <c r="F21" s="115"/>
      <c r="G21" s="115"/>
      <c r="H21" s="115"/>
      <c r="I21" s="116"/>
      <c r="J21" s="115"/>
      <c r="K21" s="115"/>
    </row>
    <row r="22" spans="1:11" s="84" customFormat="1" ht="35.25" customHeight="1" x14ac:dyDescent="0.2">
      <c r="A22" s="83"/>
      <c r="B22" s="452">
        <f>+'Estado de costos'!B30:E30</f>
        <v>0</v>
      </c>
      <c r="C22" s="453"/>
      <c r="D22" s="454"/>
      <c r="E22" s="452">
        <f>+'Estado de costos'!F30</f>
        <v>0</v>
      </c>
      <c r="F22" s="454"/>
      <c r="G22" s="117">
        <f>+'Estado de costos'!J30</f>
        <v>0</v>
      </c>
      <c r="H22" s="118">
        <f>+'Estado de costos'!K30</f>
        <v>0</v>
      </c>
      <c r="I22" s="88">
        <f>+H22*G22</f>
        <v>0</v>
      </c>
      <c r="J22" s="89">
        <f>+'Estado de costos'!L30</f>
        <v>0</v>
      </c>
      <c r="K22" s="82">
        <f>IF(J22="FACTURA",I22*1,IF(J22="RECIBO",I22/0.92,IF(J22="ALMACEN",I22*1,)))</f>
        <v>0</v>
      </c>
    </row>
    <row r="23" spans="1:11" s="84" customFormat="1" ht="35.25" customHeight="1" x14ac:dyDescent="0.2">
      <c r="A23" s="83"/>
      <c r="B23" s="452" t="e">
        <f>+'Estado de costos'!#REF!</f>
        <v>#REF!</v>
      </c>
      <c r="C23" s="453"/>
      <c r="D23" s="454"/>
      <c r="E23" s="452" t="e">
        <f>+'Estado de costos'!#REF!</f>
        <v>#REF!</v>
      </c>
      <c r="F23" s="454"/>
      <c r="G23" s="117" t="e">
        <f>+'Estado de costos'!#REF!</f>
        <v>#REF!</v>
      </c>
      <c r="H23" s="118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2" t="e">
        <f>+'Estado de costos'!#REF!</f>
        <v>#REF!</v>
      </c>
      <c r="C24" s="453"/>
      <c r="D24" s="454"/>
      <c r="E24" s="452" t="e">
        <f>+'Estado de costos'!#REF!</f>
        <v>#REF!</v>
      </c>
      <c r="F24" s="454"/>
      <c r="G24" s="117" t="e">
        <f>+'Estado de costos'!#REF!</f>
        <v>#REF!</v>
      </c>
      <c r="H24" s="118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2" t="e">
        <f>+'Estado de costos'!#REF!</f>
        <v>#REF!</v>
      </c>
      <c r="C25" s="453"/>
      <c r="D25" s="454"/>
      <c r="E25" s="452" t="e">
        <f>+'Estado de costos'!#REF!</f>
        <v>#REF!</v>
      </c>
      <c r="F25" s="454"/>
      <c r="G25" s="117" t="e">
        <f>+'Estado de costos'!#REF!</f>
        <v>#REF!</v>
      </c>
      <c r="H25" s="118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2" t="e">
        <f>+'Estado de costos'!#REF!</f>
        <v>#REF!</v>
      </c>
      <c r="C26" s="453"/>
      <c r="D26" s="454"/>
      <c r="E26" s="452" t="e">
        <f>+'Estado de costos'!#REF!</f>
        <v>#REF!</v>
      </c>
      <c r="F26" s="454"/>
      <c r="G26" s="117" t="e">
        <f>+'Estado de costos'!#REF!</f>
        <v>#REF!</v>
      </c>
      <c r="H26" s="118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2" t="e">
        <f>+'Estado de costos'!#REF!</f>
        <v>#REF!</v>
      </c>
      <c r="C27" s="453"/>
      <c r="D27" s="454"/>
      <c r="E27" s="452" t="e">
        <f>+'Estado de costos'!#REF!</f>
        <v>#REF!</v>
      </c>
      <c r="F27" s="454"/>
      <c r="G27" s="117" t="e">
        <f>+'Estado de costos'!#REF!</f>
        <v>#REF!</v>
      </c>
      <c r="H27" s="118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2" t="e">
        <f>+'Estado de costos'!#REF!</f>
        <v>#REF!</v>
      </c>
      <c r="C28" s="453"/>
      <c r="D28" s="454"/>
      <c r="E28" s="452" t="e">
        <f>+'Estado de costos'!#REF!</f>
        <v>#REF!</v>
      </c>
      <c r="F28" s="454"/>
      <c r="G28" s="117" t="e">
        <f>+'Estado de costos'!#REF!</f>
        <v>#REF!</v>
      </c>
      <c r="H28" s="118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2" t="e">
        <f>+'Estado de costos'!#REF!</f>
        <v>#REF!</v>
      </c>
      <c r="C29" s="453"/>
      <c r="D29" s="454"/>
      <c r="E29" s="452" t="e">
        <f>+'Estado de costos'!#REF!</f>
        <v>#REF!</v>
      </c>
      <c r="F29" s="454"/>
      <c r="G29" s="117" t="e">
        <f>+'Estado de costos'!#REF!</f>
        <v>#REF!</v>
      </c>
      <c r="H29" s="118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2" t="e">
        <f>+'Estado de costos'!#REF!</f>
        <v>#REF!</v>
      </c>
      <c r="C30" s="453"/>
      <c r="D30" s="454"/>
      <c r="E30" s="452" t="e">
        <f>+'Estado de costos'!#REF!</f>
        <v>#REF!</v>
      </c>
      <c r="F30" s="454"/>
      <c r="G30" s="117" t="e">
        <f>+'Estado de costos'!#REF!</f>
        <v>#REF!</v>
      </c>
      <c r="H30" s="118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2" t="e">
        <f>+'Estado de costos'!#REF!</f>
        <v>#REF!</v>
      </c>
      <c r="C31" s="453"/>
      <c r="D31" s="454"/>
      <c r="E31" s="452" t="e">
        <f>+'Estado de costos'!#REF!</f>
        <v>#REF!</v>
      </c>
      <c r="F31" s="454"/>
      <c r="G31" s="117" t="e">
        <f>+'Estado de costos'!#REF!</f>
        <v>#REF!</v>
      </c>
      <c r="H31" s="118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2" t="e">
        <f>+'Estado de costos'!#REF!</f>
        <v>#REF!</v>
      </c>
      <c r="C32" s="453"/>
      <c r="D32" s="454"/>
      <c r="E32" s="452" t="e">
        <f>+'Estado de costos'!#REF!</f>
        <v>#REF!</v>
      </c>
      <c r="F32" s="454"/>
      <c r="G32" s="117" t="e">
        <f>+'Estado de costos'!#REF!</f>
        <v>#REF!</v>
      </c>
      <c r="H32" s="118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2" t="e">
        <f>+'Estado de costos'!#REF!</f>
        <v>#REF!</v>
      </c>
      <c r="C33" s="453"/>
      <c r="D33" s="454"/>
      <c r="E33" s="452" t="e">
        <f>+'Estado de costos'!#REF!</f>
        <v>#REF!</v>
      </c>
      <c r="F33" s="454"/>
      <c r="G33" s="117" t="e">
        <f>+'Estado de costos'!#REF!</f>
        <v>#REF!</v>
      </c>
      <c r="H33" s="118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2" t="e">
        <f>+'Estado de costos'!#REF!</f>
        <v>#REF!</v>
      </c>
      <c r="C34" s="453"/>
      <c r="D34" s="454"/>
      <c r="E34" s="452" t="e">
        <f>+'Estado de costos'!#REF!</f>
        <v>#REF!</v>
      </c>
      <c r="F34" s="454"/>
      <c r="G34" s="117" t="e">
        <f>+'Estado de costos'!#REF!</f>
        <v>#REF!</v>
      </c>
      <c r="H34" s="118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2" t="e">
        <f>+'Estado de costos'!#REF!</f>
        <v>#REF!</v>
      </c>
      <c r="C35" s="453"/>
      <c r="D35" s="454"/>
      <c r="E35" s="452" t="e">
        <f>+'Estado de costos'!#REF!</f>
        <v>#REF!</v>
      </c>
      <c r="F35" s="454"/>
      <c r="G35" s="117" t="e">
        <f>+'Estado de costos'!#REF!</f>
        <v>#REF!</v>
      </c>
      <c r="H35" s="118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2" t="e">
        <f>+'Estado de costos'!#REF!</f>
        <v>#REF!</v>
      </c>
      <c r="C36" s="453"/>
      <c r="D36" s="454"/>
      <c r="E36" s="452" t="e">
        <f>+'Estado de costos'!#REF!</f>
        <v>#REF!</v>
      </c>
      <c r="F36" s="454"/>
      <c r="G36" s="117" t="e">
        <f>+'Estado de costos'!#REF!</f>
        <v>#REF!</v>
      </c>
      <c r="H36" s="118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5" t="s">
        <v>153</v>
      </c>
      <c r="C37" s="446"/>
      <c r="D37" s="446"/>
      <c r="E37" s="446"/>
      <c r="F37" s="447"/>
      <c r="G37" s="119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0"/>
      <c r="C38" s="120"/>
      <c r="D38" s="120"/>
      <c r="E38" s="120"/>
      <c r="F38" s="121"/>
      <c r="G38" s="121"/>
      <c r="H38" s="120"/>
      <c r="I38" s="120"/>
      <c r="J38" s="120"/>
      <c r="K38" s="120"/>
    </row>
    <row r="39" spans="1:11" s="84" customFormat="1" ht="15" x14ac:dyDescent="0.2">
      <c r="A39" s="83"/>
      <c r="B39" s="120"/>
      <c r="C39" s="120"/>
      <c r="D39" s="120"/>
      <c r="E39" s="120"/>
      <c r="F39" s="121"/>
      <c r="G39" s="121"/>
      <c r="H39" s="120"/>
      <c r="I39" s="120"/>
      <c r="J39" s="120"/>
      <c r="K39" s="120"/>
    </row>
    <row r="40" spans="1:11" s="84" customFormat="1" ht="15" hidden="1" x14ac:dyDescent="0.2">
      <c r="A40" s="83"/>
      <c r="B40" s="120"/>
      <c r="C40" s="120"/>
      <c r="D40" s="120"/>
      <c r="E40" s="120"/>
      <c r="F40" s="121"/>
      <c r="G40" s="121"/>
      <c r="H40" s="120"/>
      <c r="I40" s="120"/>
      <c r="J40" s="120"/>
      <c r="K40" s="122" t="e">
        <f>+K37+K49</f>
        <v>#REF!</v>
      </c>
    </row>
    <row r="41" spans="1:11" s="84" customFormat="1" ht="15" x14ac:dyDescent="0.2">
      <c r="A41" s="83"/>
      <c r="B41" s="120"/>
      <c r="C41" s="120"/>
      <c r="D41" s="120"/>
      <c r="E41" s="120"/>
      <c r="F41" s="121"/>
      <c r="G41" s="121"/>
      <c r="H41" s="120"/>
      <c r="I41" s="120"/>
      <c r="J41" s="120"/>
      <c r="K41" s="120"/>
    </row>
    <row r="42" spans="1:11" s="84" customFormat="1" ht="26.25" customHeight="1" x14ac:dyDescent="0.2">
      <c r="A42" s="83" t="s">
        <v>154</v>
      </c>
      <c r="B42" s="451" t="s">
        <v>155</v>
      </c>
      <c r="C42" s="451"/>
      <c r="D42" s="451"/>
      <c r="E42" s="451"/>
      <c r="F42" s="451"/>
      <c r="G42" s="451" t="s">
        <v>156</v>
      </c>
      <c r="H42" s="451"/>
      <c r="I42" s="451"/>
      <c r="J42" s="451"/>
      <c r="K42" s="451"/>
    </row>
    <row r="43" spans="1:11" s="84" customFormat="1" ht="50.25" customHeight="1" x14ac:dyDescent="0.2">
      <c r="A43" s="83"/>
      <c r="B43" s="448" t="s">
        <v>65</v>
      </c>
      <c r="C43" s="449"/>
      <c r="D43" s="450"/>
      <c r="E43" s="86" t="s">
        <v>148</v>
      </c>
      <c r="F43" s="86" t="s">
        <v>87</v>
      </c>
      <c r="G43" s="86" t="s">
        <v>149</v>
      </c>
      <c r="H43" s="86" t="s">
        <v>62</v>
      </c>
      <c r="I43" s="87" t="s">
        <v>60</v>
      </c>
      <c r="J43" s="87" t="s">
        <v>157</v>
      </c>
      <c r="K43" s="86" t="s">
        <v>164</v>
      </c>
    </row>
    <row r="44" spans="1:11" s="84" customFormat="1" ht="30.75" customHeight="1" x14ac:dyDescent="0.2">
      <c r="A44" s="83"/>
      <c r="B44" s="445">
        <f>+'Estado de costos'!B37:E37</f>
        <v>0</v>
      </c>
      <c r="C44" s="446"/>
      <c r="D44" s="447"/>
      <c r="E44" s="128">
        <f>+'Estado de costos'!F37</f>
        <v>0</v>
      </c>
      <c r="F44" s="123">
        <f>+'Estado de costos'!H37</f>
        <v>0</v>
      </c>
      <c r="G44" s="124">
        <f>+'Estado de costos'!J37</f>
        <v>1</v>
      </c>
      <c r="H44" s="125">
        <f>+'Estado de costos'!K37</f>
        <v>1300</v>
      </c>
      <c r="I44" s="126">
        <f>+H44*G44</f>
        <v>1300</v>
      </c>
      <c r="J44" s="86" t="str">
        <f>+'Estado de costos'!L37</f>
        <v>FACTURA</v>
      </c>
      <c r="K44" s="91">
        <f>IF(J44="FACTURA",I44*1,IF(J44="RECIBO",I44/0.845,IF(J44="VALORADOS",I44*1,IF(J44="ALQUILER CON RECIBO",I44/0.84))))</f>
        <v>1300</v>
      </c>
    </row>
    <row r="45" spans="1:11" s="84" customFormat="1" ht="30.75" customHeight="1" x14ac:dyDescent="0.2">
      <c r="A45" s="83"/>
      <c r="B45" s="445" t="e">
        <f>+'Estado de costos'!#REF!</f>
        <v>#REF!</v>
      </c>
      <c r="C45" s="446"/>
      <c r="D45" s="447"/>
      <c r="E45" s="128" t="e">
        <f>+'Estado de costos'!#REF!</f>
        <v>#REF!</v>
      </c>
      <c r="F45" s="123" t="e">
        <f>+'Estado de costos'!#REF!</f>
        <v>#REF!</v>
      </c>
      <c r="G45" s="124" t="e">
        <f>+'Estado de costos'!#REF!</f>
        <v>#REF!</v>
      </c>
      <c r="H45" s="125" t="e">
        <f>+'Estado de costos'!#REF!</f>
        <v>#REF!</v>
      </c>
      <c r="I45" s="126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5" t="e">
        <f>+'Estado de costos'!#REF!</f>
        <v>#REF!</v>
      </c>
      <c r="C46" s="446"/>
      <c r="D46" s="447"/>
      <c r="E46" s="128" t="e">
        <f>+'Estado de costos'!#REF!</f>
        <v>#REF!</v>
      </c>
      <c r="F46" s="123" t="e">
        <f>+'Estado de costos'!#REF!</f>
        <v>#REF!</v>
      </c>
      <c r="G46" s="124" t="e">
        <f>+'Estado de costos'!#REF!</f>
        <v>#REF!</v>
      </c>
      <c r="H46" s="125" t="e">
        <f>+'Estado de costos'!#REF!</f>
        <v>#REF!</v>
      </c>
      <c r="I46" s="126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5" t="e">
        <f>+'Estado de costos'!#REF!</f>
        <v>#REF!</v>
      </c>
      <c r="C47" s="446"/>
      <c r="D47" s="447"/>
      <c r="E47" s="128" t="e">
        <f>+'Estado de costos'!#REF!</f>
        <v>#REF!</v>
      </c>
      <c r="F47" s="123" t="e">
        <f>+'Estado de costos'!#REF!</f>
        <v>#REF!</v>
      </c>
      <c r="G47" s="124" t="e">
        <f>+'Estado de costos'!#REF!</f>
        <v>#REF!</v>
      </c>
      <c r="H47" s="125" t="e">
        <f>+'Estado de costos'!#REF!</f>
        <v>#REF!</v>
      </c>
      <c r="I47" s="126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5" t="e">
        <f>+'Estado de costos'!#REF!</f>
        <v>#REF!</v>
      </c>
      <c r="C48" s="446"/>
      <c r="D48" s="447"/>
      <c r="E48" s="128" t="e">
        <f>+'Estado de costos'!#REF!</f>
        <v>#REF!</v>
      </c>
      <c r="F48" s="123" t="e">
        <f>+'Estado de costos'!#REF!</f>
        <v>#REF!</v>
      </c>
      <c r="G48" s="124" t="e">
        <f>+'Estado de costos'!#REF!</f>
        <v>#REF!</v>
      </c>
      <c r="H48" s="125" t="e">
        <f>+'Estado de costos'!#REF!</f>
        <v>#REF!</v>
      </c>
      <c r="I48" s="126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8" t="s">
        <v>158</v>
      </c>
      <c r="C49" s="449"/>
      <c r="D49" s="449"/>
      <c r="E49" s="450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2019-01-31T19:44:40Z</cp:lastPrinted>
  <dcterms:created xsi:type="dcterms:W3CDTF">2016-10-17T20:34:40Z</dcterms:created>
  <dcterms:modified xsi:type="dcterms:W3CDTF">2019-01-31T19:45:02Z</dcterms:modified>
</cp:coreProperties>
</file>