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lfredo\Dropbox\trabajo\proyecto_planillas\hoja de costos BTL\"/>
    </mc:Choice>
  </mc:AlternateContent>
  <bookViews>
    <workbookView xWindow="0" yWindow="0" windowWidth="20490" windowHeight="7755" tabRatio="795" activeTab="1"/>
  </bookViews>
  <sheets>
    <sheet name="HOJA_DE_TRABAJO" sheetId="8" r:id="rId1"/>
    <sheet name="HOJA 1 AUX" sheetId="30" r:id="rId2"/>
    <sheet name="calc_hoja_de_trabajo" sheetId="46" r:id="rId3"/>
    <sheet name="Carta_PDF" sheetId="44" r:id="rId4"/>
    <sheet name="Carta PDF" sheetId="40" r:id="rId5"/>
    <sheet name="Hoja2" sheetId="11" r:id="rId6"/>
    <sheet name="GASTO AUX " sheetId="43" r:id="rId7"/>
  </sheets>
  <externalReferences>
    <externalReference r:id="rId8"/>
  </externalReferences>
  <definedNames>
    <definedName name="_xlnm._FilterDatabase" localSheetId="3">#REF!</definedName>
    <definedName name="_xlnm._FilterDatabase">#REF!</definedName>
    <definedName name="_xlnm.Print_Area" localSheetId="1">'HOJA 1 AUX'!$A$1:$O$21</definedName>
    <definedName name="_xlnm.Print_Area" localSheetId="0">HOJA_DE_TRABAJO!$A$1:$N$274</definedName>
    <definedName name="Carga" localSheetId="3">#REF!</definedName>
    <definedName name="Carga">#REF!</definedName>
    <definedName name="DEPENDE">[1]Hoja3!$A$2:$A$4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6" i="8" l="1"/>
  <c r="J47" i="8"/>
  <c r="J48" i="8"/>
  <c r="J49" i="8"/>
  <c r="J45" i="8"/>
  <c r="J30" i="8"/>
  <c r="J31" i="8"/>
  <c r="J32" i="8"/>
  <c r="J33" i="8"/>
  <c r="J34" i="8"/>
  <c r="J35" i="8"/>
  <c r="J36" i="8"/>
  <c r="J37" i="8"/>
  <c r="J38" i="8"/>
  <c r="J39" i="8"/>
  <c r="J40" i="8"/>
  <c r="J29" i="8"/>
  <c r="F21" i="44" l="1"/>
  <c r="F22" i="44"/>
  <c r="F23" i="44"/>
  <c r="F24" i="44"/>
  <c r="F25" i="44"/>
  <c r="F26" i="44"/>
  <c r="F27" i="44"/>
  <c r="F28" i="44"/>
  <c r="F29" i="44"/>
  <c r="F30" i="44"/>
  <c r="F31" i="44"/>
  <c r="F32" i="44"/>
  <c r="F33" i="44"/>
  <c r="F34" i="44"/>
  <c r="F35" i="44"/>
  <c r="F36" i="44"/>
  <c r="F37" i="44"/>
  <c r="F38" i="44"/>
  <c r="F39" i="44"/>
  <c r="F40" i="44"/>
  <c r="F41" i="44"/>
  <c r="F42" i="44"/>
  <c r="F43" i="44"/>
  <c r="F44" i="44"/>
  <c r="F45" i="44"/>
  <c r="F46" i="44"/>
  <c r="F47" i="44"/>
  <c r="F48" i="44"/>
  <c r="F49" i="44"/>
  <c r="F50" i="44"/>
  <c r="F51" i="44"/>
  <c r="F52" i="44"/>
  <c r="F53" i="44"/>
  <c r="F54" i="44"/>
  <c r="F20" i="44"/>
  <c r="N21" i="46"/>
  <c r="N22" i="46"/>
  <c r="N23" i="46"/>
  <c r="N24" i="46"/>
  <c r="N25" i="46"/>
  <c r="N26" i="46"/>
  <c r="N27" i="46"/>
  <c r="N28" i="46"/>
  <c r="N29" i="46"/>
  <c r="N30" i="46"/>
  <c r="N31" i="46"/>
  <c r="N32" i="46"/>
  <c r="N33" i="46"/>
  <c r="N34" i="46"/>
  <c r="N35" i="46"/>
  <c r="N36" i="46"/>
  <c r="N37" i="46"/>
  <c r="N38" i="46"/>
  <c r="N39" i="46"/>
  <c r="N40" i="46"/>
  <c r="N41" i="46"/>
  <c r="N42" i="46"/>
  <c r="N43" i="46"/>
  <c r="N44" i="46"/>
  <c r="N45" i="46"/>
  <c r="N46" i="46"/>
  <c r="N47" i="46"/>
  <c r="N48" i="46"/>
  <c r="N49" i="46"/>
  <c r="N50" i="46"/>
  <c r="N51" i="46"/>
  <c r="N52" i="46"/>
  <c r="N53" i="46"/>
  <c r="N54" i="46"/>
  <c r="N55" i="46"/>
  <c r="N56" i="46"/>
  <c r="N57" i="46"/>
  <c r="N58" i="46"/>
  <c r="N59" i="46"/>
  <c r="N60" i="46"/>
  <c r="N61" i="46"/>
  <c r="N62" i="46"/>
  <c r="N63" i="46"/>
  <c r="N64" i="46"/>
  <c r="N65" i="46"/>
  <c r="N66" i="46"/>
  <c r="N67" i="46"/>
  <c r="N68" i="46"/>
  <c r="N69" i="46"/>
  <c r="N70" i="46"/>
  <c r="N71" i="46"/>
  <c r="N72" i="46"/>
  <c r="N73" i="46"/>
  <c r="N74" i="46"/>
  <c r="N75" i="46"/>
  <c r="N76" i="46"/>
  <c r="N77" i="46"/>
  <c r="N78" i="46"/>
  <c r="N79" i="46"/>
  <c r="N80" i="46"/>
  <c r="N81" i="46"/>
  <c r="N82" i="46"/>
  <c r="N83" i="46"/>
  <c r="N84" i="46"/>
  <c r="N85" i="46"/>
  <c r="N86" i="46"/>
  <c r="N87" i="46"/>
  <c r="N88" i="46"/>
  <c r="N89" i="46"/>
  <c r="N90" i="46"/>
  <c r="N91" i="46"/>
  <c r="O2" i="46"/>
  <c r="E3" i="46" l="1"/>
  <c r="F3" i="46" s="1"/>
  <c r="E4" i="46"/>
  <c r="E5" i="46"/>
  <c r="E6" i="46"/>
  <c r="E7" i="46"/>
  <c r="G7" i="46" s="1"/>
  <c r="E8" i="46"/>
  <c r="E9" i="46"/>
  <c r="E10" i="46"/>
  <c r="E11" i="46"/>
  <c r="G11" i="46" s="1"/>
  <c r="E12" i="46"/>
  <c r="E13" i="46"/>
  <c r="E14" i="46"/>
  <c r="E15" i="46"/>
  <c r="G15" i="46" s="1"/>
  <c r="E16" i="46"/>
  <c r="G16" i="46" s="1"/>
  <c r="E17" i="46"/>
  <c r="E18" i="46"/>
  <c r="F18" i="46" s="1"/>
  <c r="E19" i="46"/>
  <c r="F19" i="46" s="1"/>
  <c r="E20" i="46"/>
  <c r="E21" i="46"/>
  <c r="E22" i="46"/>
  <c r="E23" i="46"/>
  <c r="E24" i="46"/>
  <c r="E25" i="46"/>
  <c r="E26" i="46"/>
  <c r="E27" i="46"/>
  <c r="E28" i="46"/>
  <c r="E29" i="46"/>
  <c r="E30" i="46"/>
  <c r="E31" i="46"/>
  <c r="E32" i="46"/>
  <c r="E33" i="46"/>
  <c r="E34" i="46"/>
  <c r="F34" i="46" s="1"/>
  <c r="E35" i="46"/>
  <c r="E36" i="46"/>
  <c r="E37" i="46"/>
  <c r="E38" i="46"/>
  <c r="E39" i="46"/>
  <c r="E40" i="46"/>
  <c r="E41" i="46"/>
  <c r="E42" i="46"/>
  <c r="E43" i="46"/>
  <c r="E44" i="46"/>
  <c r="E45" i="46"/>
  <c r="E46" i="46"/>
  <c r="E47" i="46"/>
  <c r="E48" i="46"/>
  <c r="E49" i="46"/>
  <c r="E50" i="46"/>
  <c r="F50" i="46" s="1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64" i="46"/>
  <c r="E65" i="46"/>
  <c r="E66" i="46"/>
  <c r="F66" i="46" s="1"/>
  <c r="E67" i="46"/>
  <c r="E68" i="46"/>
  <c r="E69" i="46"/>
  <c r="E70" i="46"/>
  <c r="F70" i="46" s="1"/>
  <c r="E71" i="46"/>
  <c r="E72" i="46"/>
  <c r="E73" i="46"/>
  <c r="E74" i="46"/>
  <c r="E75" i="46"/>
  <c r="E76" i="46"/>
  <c r="E77" i="46"/>
  <c r="E78" i="46"/>
  <c r="E79" i="46"/>
  <c r="E80" i="46"/>
  <c r="E81" i="46"/>
  <c r="E82" i="46"/>
  <c r="E83" i="46"/>
  <c r="E84" i="46"/>
  <c r="E85" i="46"/>
  <c r="E86" i="46"/>
  <c r="F86" i="46" s="1"/>
  <c r="E87" i="46"/>
  <c r="E88" i="46"/>
  <c r="E89" i="46"/>
  <c r="E90" i="46"/>
  <c r="E91" i="46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36" i="46"/>
  <c r="J37" i="46"/>
  <c r="J38" i="46"/>
  <c r="J39" i="46"/>
  <c r="J40" i="46"/>
  <c r="J41" i="46"/>
  <c r="J42" i="46"/>
  <c r="J43" i="46"/>
  <c r="J44" i="46"/>
  <c r="J45" i="46"/>
  <c r="J46" i="46"/>
  <c r="J47" i="46"/>
  <c r="J48" i="46"/>
  <c r="J49" i="46"/>
  <c r="J50" i="46"/>
  <c r="J51" i="46"/>
  <c r="J52" i="46"/>
  <c r="J53" i="46"/>
  <c r="J54" i="46"/>
  <c r="J55" i="46"/>
  <c r="J56" i="46"/>
  <c r="J57" i="46"/>
  <c r="J58" i="46"/>
  <c r="J59" i="46"/>
  <c r="J60" i="46"/>
  <c r="J61" i="46"/>
  <c r="J62" i="46"/>
  <c r="J63" i="46"/>
  <c r="J64" i="46"/>
  <c r="J65" i="46"/>
  <c r="J66" i="46"/>
  <c r="J67" i="46"/>
  <c r="J68" i="46"/>
  <c r="J69" i="46"/>
  <c r="J70" i="46"/>
  <c r="J71" i="46"/>
  <c r="J72" i="46"/>
  <c r="J73" i="46"/>
  <c r="J74" i="46"/>
  <c r="J75" i="46"/>
  <c r="J76" i="46"/>
  <c r="J77" i="46"/>
  <c r="J78" i="46"/>
  <c r="J79" i="46"/>
  <c r="J80" i="46"/>
  <c r="J81" i="46"/>
  <c r="J82" i="46"/>
  <c r="J83" i="46"/>
  <c r="J84" i="46"/>
  <c r="J85" i="46"/>
  <c r="J86" i="46"/>
  <c r="J87" i="46"/>
  <c r="J88" i="46"/>
  <c r="J89" i="46"/>
  <c r="J90" i="46"/>
  <c r="J91" i="46"/>
  <c r="J2" i="46"/>
  <c r="G3" i="46"/>
  <c r="G4" i="46"/>
  <c r="G5" i="46"/>
  <c r="G8" i="46"/>
  <c r="G9" i="46"/>
  <c r="G12" i="46"/>
  <c r="G13" i="46"/>
  <c r="G17" i="46"/>
  <c r="G19" i="46"/>
  <c r="G20" i="46"/>
  <c r="G21" i="46"/>
  <c r="G23" i="46"/>
  <c r="G24" i="46"/>
  <c r="G25" i="46"/>
  <c r="G27" i="46"/>
  <c r="G28" i="46"/>
  <c r="G29" i="46"/>
  <c r="G31" i="46"/>
  <c r="G32" i="46"/>
  <c r="G33" i="46"/>
  <c r="G35" i="46"/>
  <c r="G36" i="46"/>
  <c r="G37" i="46"/>
  <c r="G39" i="46"/>
  <c r="G40" i="46"/>
  <c r="G41" i="46"/>
  <c r="G43" i="46"/>
  <c r="G44" i="46"/>
  <c r="G45" i="46"/>
  <c r="G47" i="46"/>
  <c r="G48" i="46"/>
  <c r="G49" i="46"/>
  <c r="G51" i="46"/>
  <c r="G52" i="46"/>
  <c r="G53" i="46"/>
  <c r="G55" i="46"/>
  <c r="G56" i="46"/>
  <c r="G57" i="46"/>
  <c r="G59" i="46"/>
  <c r="G60" i="46"/>
  <c r="G61" i="46"/>
  <c r="G63" i="46"/>
  <c r="G64" i="46"/>
  <c r="G65" i="46"/>
  <c r="G67" i="46"/>
  <c r="G68" i="46"/>
  <c r="G69" i="46"/>
  <c r="G71" i="46"/>
  <c r="G72" i="46"/>
  <c r="G73" i="46"/>
  <c r="G75" i="46"/>
  <c r="G76" i="46"/>
  <c r="G77" i="46"/>
  <c r="G79" i="46"/>
  <c r="G80" i="46"/>
  <c r="G81" i="46"/>
  <c r="G83" i="46"/>
  <c r="G84" i="46"/>
  <c r="G85" i="46"/>
  <c r="G87" i="46"/>
  <c r="G88" i="46"/>
  <c r="G89" i="46"/>
  <c r="G91" i="46"/>
  <c r="F83" i="46"/>
  <c r="F84" i="46"/>
  <c r="F85" i="46"/>
  <c r="F87" i="46"/>
  <c r="F88" i="46"/>
  <c r="F89" i="46"/>
  <c r="F91" i="46"/>
  <c r="F74" i="46"/>
  <c r="F75" i="46"/>
  <c r="F76" i="46"/>
  <c r="F77" i="46"/>
  <c r="F78" i="46"/>
  <c r="F79" i="46"/>
  <c r="F80" i="46"/>
  <c r="F81" i="46"/>
  <c r="F82" i="46"/>
  <c r="F65" i="46"/>
  <c r="F67" i="46"/>
  <c r="F68" i="46"/>
  <c r="F69" i="46"/>
  <c r="F71" i="46"/>
  <c r="F72" i="46"/>
  <c r="F73" i="46"/>
  <c r="F56" i="46"/>
  <c r="F57" i="46"/>
  <c r="F58" i="46"/>
  <c r="F59" i="46"/>
  <c r="F60" i="46"/>
  <c r="F61" i="46"/>
  <c r="F62" i="46"/>
  <c r="F63" i="46"/>
  <c r="F64" i="46"/>
  <c r="F47" i="46"/>
  <c r="F48" i="46"/>
  <c r="F49" i="46"/>
  <c r="F51" i="46"/>
  <c r="F52" i="46"/>
  <c r="F53" i="46"/>
  <c r="F55" i="46"/>
  <c r="F38" i="46"/>
  <c r="F39" i="46"/>
  <c r="F40" i="46"/>
  <c r="F41" i="46"/>
  <c r="F42" i="46"/>
  <c r="F43" i="46"/>
  <c r="F44" i="46"/>
  <c r="F45" i="46"/>
  <c r="F46" i="46"/>
  <c r="F29" i="46"/>
  <c r="F31" i="46"/>
  <c r="F32" i="46"/>
  <c r="F33" i="46"/>
  <c r="F35" i="46"/>
  <c r="F36" i="46"/>
  <c r="F37" i="46"/>
  <c r="F20" i="46"/>
  <c r="F21" i="46"/>
  <c r="F22" i="46"/>
  <c r="F23" i="46"/>
  <c r="F24" i="46"/>
  <c r="F25" i="46"/>
  <c r="F26" i="46"/>
  <c r="F27" i="46"/>
  <c r="F28" i="46"/>
  <c r="F12" i="46"/>
  <c r="F13" i="46"/>
  <c r="F16" i="46"/>
  <c r="F17" i="46"/>
  <c r="F4" i="46"/>
  <c r="F5" i="46"/>
  <c r="F8" i="46"/>
  <c r="F9" i="46"/>
  <c r="F7" i="46" l="1"/>
  <c r="F11" i="46"/>
  <c r="F15" i="46"/>
  <c r="G90" i="46"/>
  <c r="G82" i="46"/>
  <c r="G74" i="46"/>
  <c r="G62" i="46"/>
  <c r="G54" i="46"/>
  <c r="G46" i="46"/>
  <c r="G38" i="46"/>
  <c r="G30" i="46"/>
  <c r="G22" i="46"/>
  <c r="G14" i="46"/>
  <c r="F10" i="46"/>
  <c r="G10" i="46"/>
  <c r="F14" i="46"/>
  <c r="F30" i="46"/>
  <c r="F54" i="46"/>
  <c r="F90" i="46"/>
  <c r="G86" i="46"/>
  <c r="G78" i="46"/>
  <c r="G70" i="46"/>
  <c r="G66" i="46"/>
  <c r="G58" i="46"/>
  <c r="G50" i="46"/>
  <c r="G42" i="46"/>
  <c r="G34" i="46"/>
  <c r="G26" i="46"/>
  <c r="G18" i="46"/>
  <c r="F6" i="46"/>
  <c r="G6" i="46"/>
  <c r="E2" i="46" l="1"/>
  <c r="G2" i="46" s="1"/>
  <c r="F55" i="44" l="1"/>
  <c r="A56" i="44" s="1"/>
  <c r="D55" i="44"/>
  <c r="C55" i="44"/>
  <c r="A16" i="44" l="1"/>
  <c r="B11" i="44" l="1"/>
  <c r="C129" i="44"/>
  <c r="A5" i="44"/>
  <c r="E62" i="44" l="1"/>
  <c r="E84" i="44"/>
  <c r="E88" i="44"/>
  <c r="E61" i="44"/>
  <c r="E83" i="44"/>
  <c r="E87" i="44"/>
  <c r="E63" i="44"/>
  <c r="E85" i="44"/>
  <c r="E89" i="44"/>
  <c r="D91" i="44"/>
  <c r="E64" i="44"/>
  <c r="E86" i="44"/>
  <c r="E90" i="44"/>
  <c r="C128" i="44"/>
  <c r="E92" i="44" l="1"/>
  <c r="E95" i="44" s="1"/>
  <c r="E94" i="44" s="1"/>
  <c r="G177" i="30"/>
  <c r="O156" i="30"/>
  <c r="G156" i="30"/>
  <c r="O135" i="30"/>
  <c r="G135" i="30"/>
  <c r="O114" i="30"/>
  <c r="G114" i="30"/>
  <c r="O93" i="30"/>
  <c r="G93" i="30"/>
  <c r="O72" i="30"/>
  <c r="G72" i="30"/>
  <c r="O51" i="30"/>
  <c r="G51" i="30"/>
  <c r="O30" i="30"/>
  <c r="G30" i="30" l="1"/>
  <c r="G9" i="30"/>
  <c r="M184" i="30"/>
  <c r="E184" i="30"/>
  <c r="M163" i="30"/>
  <c r="E163" i="30"/>
  <c r="M142" i="30"/>
  <c r="E142" i="30"/>
  <c r="M121" i="30"/>
  <c r="E121" i="30"/>
  <c r="M100" i="30"/>
  <c r="E100" i="30"/>
  <c r="M79" i="30"/>
  <c r="E79" i="30"/>
  <c r="M58" i="30"/>
  <c r="E58" i="30"/>
  <c r="M37" i="30"/>
  <c r="E37" i="30"/>
  <c r="M16" i="30"/>
  <c r="N179" i="30"/>
  <c r="F179" i="30"/>
  <c r="N158" i="30"/>
  <c r="F158" i="30"/>
  <c r="N137" i="30"/>
  <c r="F137" i="30"/>
  <c r="N116" i="30"/>
  <c r="F116" i="30"/>
  <c r="N95" i="30"/>
  <c r="F95" i="30"/>
  <c r="N74" i="30"/>
  <c r="F74" i="30"/>
  <c r="N53" i="30"/>
  <c r="F53" i="30"/>
  <c r="N32" i="30"/>
  <c r="F32" i="30"/>
  <c r="B20" i="40" l="1"/>
  <c r="C20" i="40"/>
  <c r="B21" i="40"/>
  <c r="C21" i="40"/>
  <c r="B46" i="40"/>
  <c r="C46" i="40"/>
  <c r="B47" i="40"/>
  <c r="C47" i="40"/>
  <c r="B48" i="40"/>
  <c r="C48" i="40"/>
  <c r="D48" i="40"/>
  <c r="B49" i="40"/>
  <c r="C49" i="40"/>
  <c r="D49" i="40"/>
  <c r="C40" i="40" l="1"/>
  <c r="E48" i="40"/>
  <c r="E49" i="40"/>
  <c r="M186" i="30"/>
  <c r="E186" i="30"/>
  <c r="I174" i="30"/>
  <c r="G174" i="30"/>
  <c r="C174" i="30"/>
  <c r="A177" i="30" s="1"/>
  <c r="E170" i="30"/>
  <c r="M165" i="30"/>
  <c r="E165" i="30"/>
  <c r="O153" i="30"/>
  <c r="K153" i="30"/>
  <c r="I156" i="30" s="1"/>
  <c r="I153" i="30"/>
  <c r="G153" i="30"/>
  <c r="C153" i="30"/>
  <c r="A156" i="30" s="1"/>
  <c r="E149" i="30"/>
  <c r="M144" i="30"/>
  <c r="E144" i="30"/>
  <c r="O132" i="30"/>
  <c r="K132" i="30"/>
  <c r="I135" i="30" s="1"/>
  <c r="I132" i="30"/>
  <c r="G132" i="30"/>
  <c r="C132" i="30"/>
  <c r="A135" i="30" s="1"/>
  <c r="E128" i="30"/>
  <c r="M123" i="30"/>
  <c r="E123" i="30"/>
  <c r="O111" i="30"/>
  <c r="K111" i="30"/>
  <c r="I114" i="30" s="1"/>
  <c r="I111" i="30"/>
  <c r="G111" i="30"/>
  <c r="C111" i="30"/>
  <c r="A114" i="30" s="1"/>
  <c r="E107" i="30"/>
  <c r="M102" i="30"/>
  <c r="E102" i="30"/>
  <c r="O90" i="30"/>
  <c r="K90" i="30"/>
  <c r="I93" i="30" s="1"/>
  <c r="I90" i="30"/>
  <c r="G90" i="30"/>
  <c r="C90" i="30"/>
  <c r="A93" i="30" s="1"/>
  <c r="E86" i="30"/>
  <c r="M81" i="30"/>
  <c r="E81" i="30"/>
  <c r="O69" i="30"/>
  <c r="K69" i="30"/>
  <c r="I72" i="30" s="1"/>
  <c r="I69" i="30"/>
  <c r="G69" i="30"/>
  <c r="C69" i="30"/>
  <c r="A72" i="30" s="1"/>
  <c r="E65" i="30"/>
  <c r="M60" i="30"/>
  <c r="E60" i="30"/>
  <c r="O48" i="30"/>
  <c r="K48" i="30"/>
  <c r="I51" i="30" s="1"/>
  <c r="I48" i="30"/>
  <c r="G48" i="30"/>
  <c r="C48" i="30"/>
  <c r="A51" i="30" s="1"/>
  <c r="E44" i="30"/>
  <c r="M39" i="30"/>
  <c r="E39" i="30"/>
  <c r="O27" i="30"/>
  <c r="K27" i="30"/>
  <c r="I30" i="30" s="1"/>
  <c r="I27" i="30"/>
  <c r="G27" i="30"/>
  <c r="C27" i="30"/>
  <c r="A30" i="30" s="1"/>
  <c r="E23" i="30"/>
  <c r="M18" i="30"/>
  <c r="E18" i="30"/>
  <c r="E16" i="30"/>
  <c r="N11" i="30"/>
  <c r="G11" i="30"/>
  <c r="F11" i="30"/>
  <c r="I6" i="30"/>
  <c r="K6" i="30" s="1"/>
  <c r="I9" i="30" s="1"/>
  <c r="G6" i="30"/>
  <c r="D20" i="40" s="1"/>
  <c r="C6" i="30"/>
  <c r="A9" i="30" s="1"/>
  <c r="E2" i="30"/>
  <c r="G195" i="43"/>
  <c r="G194" i="43"/>
  <c r="E194" i="43"/>
  <c r="G193" i="43"/>
  <c r="E193" i="43"/>
  <c r="G192" i="43"/>
  <c r="E192" i="43"/>
  <c r="G191" i="43"/>
  <c r="E191" i="43"/>
  <c r="G190" i="43"/>
  <c r="E190" i="43"/>
  <c r="G189" i="43"/>
  <c r="G188" i="43"/>
  <c r="E188" i="43"/>
  <c r="G187" i="43"/>
  <c r="E187" i="43"/>
  <c r="G186" i="43"/>
  <c r="E186" i="43"/>
  <c r="G185" i="43"/>
  <c r="E185" i="43"/>
  <c r="G184" i="43"/>
  <c r="E184" i="43"/>
  <c r="G183" i="43"/>
  <c r="G182" i="43"/>
  <c r="E182" i="43"/>
  <c r="G181" i="43"/>
  <c r="E181" i="43"/>
  <c r="G180" i="43"/>
  <c r="E180" i="43"/>
  <c r="G179" i="43"/>
  <c r="E179" i="43"/>
  <c r="G178" i="43"/>
  <c r="E178" i="43"/>
  <c r="G177" i="43"/>
  <c r="G176" i="43"/>
  <c r="E176" i="43"/>
  <c r="G175" i="43"/>
  <c r="E175" i="43"/>
  <c r="G174" i="43"/>
  <c r="E174" i="43"/>
  <c r="G173" i="43"/>
  <c r="E173" i="43"/>
  <c r="G172" i="43"/>
  <c r="E172" i="43"/>
  <c r="G171" i="43"/>
  <c r="G170" i="43"/>
  <c r="E170" i="43"/>
  <c r="G169" i="43"/>
  <c r="E169" i="43"/>
  <c r="G168" i="43"/>
  <c r="E168" i="43"/>
  <c r="G167" i="43"/>
  <c r="E167" i="43"/>
  <c r="G166" i="43"/>
  <c r="E166" i="43"/>
  <c r="G165" i="43"/>
  <c r="G164" i="43"/>
  <c r="E164" i="43"/>
  <c r="G163" i="43"/>
  <c r="E163" i="43"/>
  <c r="G162" i="43"/>
  <c r="E162" i="43"/>
  <c r="G161" i="43"/>
  <c r="E161" i="43"/>
  <c r="G160" i="43"/>
  <c r="E160" i="43"/>
  <c r="G159" i="43"/>
  <c r="G158" i="43"/>
  <c r="E158" i="43"/>
  <c r="G157" i="43"/>
  <c r="E157" i="43"/>
  <c r="G156" i="43"/>
  <c r="E156" i="43"/>
  <c r="G155" i="43"/>
  <c r="E155" i="43"/>
  <c r="G154" i="43"/>
  <c r="E154" i="43"/>
  <c r="G153" i="43"/>
  <c r="G152" i="43"/>
  <c r="E152" i="43"/>
  <c r="G151" i="43"/>
  <c r="E151" i="43"/>
  <c r="G150" i="43"/>
  <c r="E150" i="43"/>
  <c r="G149" i="43"/>
  <c r="E149" i="43"/>
  <c r="G148" i="43"/>
  <c r="E148" i="43"/>
  <c r="G147" i="43"/>
  <c r="G146" i="43"/>
  <c r="E146" i="43"/>
  <c r="G145" i="43"/>
  <c r="E145" i="43"/>
  <c r="G144" i="43"/>
  <c r="E144" i="43"/>
  <c r="G143" i="43"/>
  <c r="E143" i="43"/>
  <c r="G142" i="43"/>
  <c r="E142" i="43"/>
  <c r="G141" i="43"/>
  <c r="G140" i="43"/>
  <c r="G139" i="43"/>
  <c r="E139" i="43"/>
  <c r="G138" i="43"/>
  <c r="E138" i="43"/>
  <c r="G137" i="43"/>
  <c r="E137" i="43"/>
  <c r="G136" i="43"/>
  <c r="E136" i="43"/>
  <c r="G135" i="43"/>
  <c r="E135" i="43"/>
  <c r="G134" i="43"/>
  <c r="G133" i="43"/>
  <c r="E133" i="43"/>
  <c r="G132" i="43"/>
  <c r="E132" i="43"/>
  <c r="G131" i="43"/>
  <c r="E131" i="43"/>
  <c r="G130" i="43"/>
  <c r="E130" i="43"/>
  <c r="G129" i="43"/>
  <c r="E129" i="43"/>
  <c r="G128" i="43"/>
  <c r="G127" i="43"/>
  <c r="E127" i="43"/>
  <c r="G126" i="43"/>
  <c r="E126" i="43"/>
  <c r="G125" i="43"/>
  <c r="E125" i="43"/>
  <c r="G124" i="43"/>
  <c r="E124" i="43"/>
  <c r="G123" i="43"/>
  <c r="E123" i="43"/>
  <c r="G122" i="43"/>
  <c r="G121" i="43"/>
  <c r="E121" i="43"/>
  <c r="G120" i="43"/>
  <c r="E120" i="43"/>
  <c r="G119" i="43"/>
  <c r="E119" i="43"/>
  <c r="G118" i="43"/>
  <c r="E118" i="43"/>
  <c r="G117" i="43"/>
  <c r="E117" i="43"/>
  <c r="G116" i="43"/>
  <c r="G115" i="43"/>
  <c r="E115" i="43"/>
  <c r="G114" i="43"/>
  <c r="E114" i="43"/>
  <c r="G113" i="43"/>
  <c r="E113" i="43"/>
  <c r="G112" i="43"/>
  <c r="E112" i="43"/>
  <c r="G111" i="43"/>
  <c r="E111" i="43"/>
  <c r="G110" i="43"/>
  <c r="G109" i="43"/>
  <c r="E109" i="43"/>
  <c r="G108" i="43"/>
  <c r="E108" i="43"/>
  <c r="G107" i="43"/>
  <c r="E107" i="43"/>
  <c r="G106" i="43"/>
  <c r="E106" i="43"/>
  <c r="G105" i="43"/>
  <c r="E105" i="43"/>
  <c r="G104" i="43"/>
  <c r="G103" i="43"/>
  <c r="E103" i="43"/>
  <c r="G102" i="43"/>
  <c r="E102" i="43"/>
  <c r="G101" i="43"/>
  <c r="E101" i="43"/>
  <c r="G100" i="43"/>
  <c r="E100" i="43"/>
  <c r="G99" i="43"/>
  <c r="E99" i="43"/>
  <c r="G98" i="43"/>
  <c r="G97" i="43"/>
  <c r="G96" i="43"/>
  <c r="E96" i="43"/>
  <c r="G95" i="43"/>
  <c r="E95" i="43"/>
  <c r="G94" i="43"/>
  <c r="E94" i="43"/>
  <c r="G93" i="43"/>
  <c r="E93" i="43"/>
  <c r="G92" i="43"/>
  <c r="E92" i="43"/>
  <c r="G91" i="43"/>
  <c r="G90" i="43"/>
  <c r="G89" i="43"/>
  <c r="E89" i="43"/>
  <c r="G88" i="43"/>
  <c r="E88" i="43"/>
  <c r="G87" i="43"/>
  <c r="E87" i="43"/>
  <c r="G86" i="43"/>
  <c r="E86" i="43"/>
  <c r="G85" i="43"/>
  <c r="E85" i="43"/>
  <c r="G84" i="43"/>
  <c r="G83" i="43"/>
  <c r="E83" i="43"/>
  <c r="G82" i="43"/>
  <c r="E82" i="43"/>
  <c r="G81" i="43"/>
  <c r="E81" i="43"/>
  <c r="G80" i="43"/>
  <c r="E80" i="43"/>
  <c r="G79" i="43"/>
  <c r="E79" i="43"/>
  <c r="G78" i="43"/>
  <c r="G77" i="43"/>
  <c r="E77" i="43"/>
  <c r="G76" i="43"/>
  <c r="E76" i="43"/>
  <c r="G75" i="43"/>
  <c r="E75" i="43"/>
  <c r="G74" i="43"/>
  <c r="E74" i="43"/>
  <c r="G73" i="43"/>
  <c r="E73" i="43"/>
  <c r="G72" i="43"/>
  <c r="G71" i="43"/>
  <c r="E71" i="43"/>
  <c r="G70" i="43"/>
  <c r="E70" i="43"/>
  <c r="G69" i="43"/>
  <c r="E69" i="43"/>
  <c r="G68" i="43"/>
  <c r="E68" i="43"/>
  <c r="G67" i="43"/>
  <c r="E67" i="43"/>
  <c r="G66" i="43"/>
  <c r="G65" i="43"/>
  <c r="E65" i="43"/>
  <c r="G64" i="43"/>
  <c r="E64" i="43"/>
  <c r="G63" i="43"/>
  <c r="E63" i="43"/>
  <c r="G62" i="43"/>
  <c r="E62" i="43"/>
  <c r="G61" i="43"/>
  <c r="E61" i="43"/>
  <c r="G60" i="43"/>
  <c r="G59" i="43"/>
  <c r="G58" i="43"/>
  <c r="E58" i="43"/>
  <c r="G57" i="43"/>
  <c r="E57" i="43"/>
  <c r="G56" i="43"/>
  <c r="E56" i="43"/>
  <c r="G55" i="43"/>
  <c r="E55" i="43"/>
  <c r="G54" i="43"/>
  <c r="E54" i="43"/>
  <c r="G53" i="43"/>
  <c r="G52" i="43"/>
  <c r="E52" i="43"/>
  <c r="G51" i="43"/>
  <c r="E51" i="43"/>
  <c r="G50" i="43"/>
  <c r="E50" i="43"/>
  <c r="G49" i="43"/>
  <c r="E49" i="43"/>
  <c r="G48" i="43"/>
  <c r="E48" i="43"/>
  <c r="G47" i="43"/>
  <c r="G46" i="43"/>
  <c r="E46" i="43"/>
  <c r="G45" i="43"/>
  <c r="E45" i="43"/>
  <c r="G44" i="43"/>
  <c r="E44" i="43"/>
  <c r="G43" i="43"/>
  <c r="E43" i="43"/>
  <c r="G42" i="43"/>
  <c r="E42" i="43"/>
  <c r="G41" i="43"/>
  <c r="G40" i="43"/>
  <c r="E40" i="43"/>
  <c r="G39" i="43"/>
  <c r="E39" i="43"/>
  <c r="G38" i="43"/>
  <c r="E38" i="43"/>
  <c r="G37" i="43"/>
  <c r="E37" i="43"/>
  <c r="G36" i="43"/>
  <c r="E36" i="43"/>
  <c r="G35" i="43"/>
  <c r="G34" i="43"/>
  <c r="G33" i="43"/>
  <c r="E33" i="43"/>
  <c r="G32" i="43"/>
  <c r="E32" i="43"/>
  <c r="G31" i="43"/>
  <c r="E31" i="43"/>
  <c r="G30" i="43"/>
  <c r="E30" i="43"/>
  <c r="G29" i="43"/>
  <c r="E29" i="43"/>
  <c r="G28" i="43"/>
  <c r="G27" i="43"/>
  <c r="E27" i="43"/>
  <c r="G26" i="43"/>
  <c r="E26" i="43"/>
  <c r="G25" i="43"/>
  <c r="E25" i="43"/>
  <c r="G24" i="43"/>
  <c r="E24" i="43"/>
  <c r="G23" i="43"/>
  <c r="E23" i="43"/>
  <c r="G22" i="43"/>
  <c r="G21" i="43"/>
  <c r="E21" i="43"/>
  <c r="G20" i="43"/>
  <c r="E20" i="43"/>
  <c r="G19" i="43"/>
  <c r="E19" i="43"/>
  <c r="G18" i="43"/>
  <c r="E18" i="43"/>
  <c r="G17" i="43"/>
  <c r="E17" i="43"/>
  <c r="G16" i="43"/>
  <c r="G15" i="43"/>
  <c r="G14" i="43"/>
  <c r="E14" i="43"/>
  <c r="G13" i="43"/>
  <c r="E13" i="43"/>
  <c r="G12" i="43"/>
  <c r="E12" i="43"/>
  <c r="G11" i="43"/>
  <c r="E11" i="43"/>
  <c r="G10" i="43"/>
  <c r="E10" i="43"/>
  <c r="G9" i="43"/>
  <c r="G8" i="43"/>
  <c r="C116" i="40"/>
  <c r="C117" i="40" s="1"/>
  <c r="A85" i="40"/>
  <c r="E80" i="40"/>
  <c r="C80" i="40"/>
  <c r="B80" i="40"/>
  <c r="E79" i="40"/>
  <c r="C79" i="40"/>
  <c r="B79" i="40"/>
  <c r="E78" i="40"/>
  <c r="C78" i="40"/>
  <c r="B78" i="40"/>
  <c r="E77" i="40"/>
  <c r="C77" i="40"/>
  <c r="B77" i="40"/>
  <c r="E76" i="40"/>
  <c r="C76" i="40"/>
  <c r="B76" i="40"/>
  <c r="E75" i="40"/>
  <c r="C75" i="40"/>
  <c r="B75" i="40"/>
  <c r="D74" i="40"/>
  <c r="C74" i="40"/>
  <c r="B74" i="40"/>
  <c r="D73" i="40"/>
  <c r="C73" i="40"/>
  <c r="B73" i="40"/>
  <c r="D72" i="40"/>
  <c r="C72" i="40"/>
  <c r="B72" i="40"/>
  <c r="D71" i="40"/>
  <c r="C71" i="40"/>
  <c r="B71" i="40"/>
  <c r="D70" i="40"/>
  <c r="C70" i="40"/>
  <c r="B70" i="40"/>
  <c r="D69" i="40"/>
  <c r="C69" i="40"/>
  <c r="B69" i="40"/>
  <c r="D68" i="40"/>
  <c r="C68" i="40"/>
  <c r="B68" i="40"/>
  <c r="D67" i="40"/>
  <c r="C67" i="40"/>
  <c r="B67" i="40"/>
  <c r="D66" i="40"/>
  <c r="C66" i="40"/>
  <c r="B66" i="40"/>
  <c r="D65" i="40"/>
  <c r="C65" i="40"/>
  <c r="B65" i="40"/>
  <c r="D64" i="40"/>
  <c r="C64" i="40"/>
  <c r="B64" i="40"/>
  <c r="D63" i="40"/>
  <c r="C63" i="40"/>
  <c r="B63" i="40"/>
  <c r="D62" i="40"/>
  <c r="C62" i="40"/>
  <c r="B62" i="40"/>
  <c r="D61" i="40"/>
  <c r="C61" i="40"/>
  <c r="B61" i="40"/>
  <c r="C60" i="40"/>
  <c r="B60" i="40"/>
  <c r="D59" i="40"/>
  <c r="C59" i="40"/>
  <c r="B59" i="40"/>
  <c r="D58" i="40"/>
  <c r="C58" i="40"/>
  <c r="B58" i="40"/>
  <c r="D57" i="40"/>
  <c r="C57" i="40"/>
  <c r="B57" i="40"/>
  <c r="D56" i="40"/>
  <c r="C56" i="40"/>
  <c r="B56" i="40"/>
  <c r="D55" i="40"/>
  <c r="C55" i="40"/>
  <c r="B55" i="40"/>
  <c r="D54" i="40"/>
  <c r="C54" i="40"/>
  <c r="B54" i="40"/>
  <c r="D53" i="40"/>
  <c r="C53" i="40"/>
  <c r="B53" i="40"/>
  <c r="D52" i="40"/>
  <c r="C52" i="40"/>
  <c r="B52" i="40"/>
  <c r="D51" i="40"/>
  <c r="C51" i="40"/>
  <c r="B51" i="40"/>
  <c r="D50" i="40"/>
  <c r="C50" i="40"/>
  <c r="B50" i="40"/>
  <c r="B11" i="40"/>
  <c r="A8" i="40"/>
  <c r="A5" i="40"/>
  <c r="F139" i="11"/>
  <c r="F131" i="11"/>
  <c r="B131" i="11"/>
  <c r="F130" i="11"/>
  <c r="B130" i="11"/>
  <c r="F129" i="11"/>
  <c r="B129" i="11"/>
  <c r="F128" i="11"/>
  <c r="B128" i="11"/>
  <c r="F127" i="11"/>
  <c r="B127" i="11"/>
  <c r="F126" i="11"/>
  <c r="B126" i="11"/>
  <c r="F125" i="11"/>
  <c r="B125" i="11"/>
  <c r="F124" i="11"/>
  <c r="B124" i="11"/>
  <c r="F123" i="11"/>
  <c r="B123" i="11"/>
  <c r="F122" i="11"/>
  <c r="B122" i="11"/>
  <c r="F121" i="11"/>
  <c r="B121" i="11"/>
  <c r="F120" i="11"/>
  <c r="B120" i="11"/>
  <c r="F119" i="11"/>
  <c r="B119" i="11"/>
  <c r="F118" i="11"/>
  <c r="B118" i="11"/>
  <c r="F117" i="11"/>
  <c r="B117" i="11"/>
  <c r="F116" i="11"/>
  <c r="B116" i="11"/>
  <c r="F115" i="11"/>
  <c r="B115" i="11"/>
  <c r="F114" i="11"/>
  <c r="B114" i="11"/>
  <c r="F113" i="11"/>
  <c r="B113" i="11"/>
  <c r="F112" i="11"/>
  <c r="B112" i="11"/>
  <c r="F111" i="11"/>
  <c r="B111" i="11"/>
  <c r="F110" i="11"/>
  <c r="B110" i="11"/>
  <c r="F109" i="11"/>
  <c r="B109" i="11"/>
  <c r="F108" i="11"/>
  <c r="B108" i="11"/>
  <c r="F107" i="11"/>
  <c r="B107" i="11"/>
  <c r="F106" i="11"/>
  <c r="B106" i="11"/>
  <c r="F105" i="11"/>
  <c r="B105" i="11"/>
  <c r="F104" i="11"/>
  <c r="B104" i="11"/>
  <c r="F103" i="11"/>
  <c r="B103" i="11"/>
  <c r="F102" i="11"/>
  <c r="B102" i="11"/>
  <c r="F101" i="11"/>
  <c r="B101" i="11"/>
  <c r="F100" i="11"/>
  <c r="B100" i="11"/>
  <c r="F99" i="11"/>
  <c r="B99" i="11"/>
  <c r="F98" i="11"/>
  <c r="B98" i="11"/>
  <c r="F97" i="11"/>
  <c r="B97" i="11"/>
  <c r="F96" i="11"/>
  <c r="B96" i="11"/>
  <c r="F95" i="11"/>
  <c r="B95" i="11"/>
  <c r="F94" i="11"/>
  <c r="B94" i="11"/>
  <c r="F93" i="11"/>
  <c r="B93" i="11"/>
  <c r="F92" i="11"/>
  <c r="B92" i="11"/>
  <c r="F91" i="11"/>
  <c r="B91" i="11"/>
  <c r="F90" i="11"/>
  <c r="B90" i="11"/>
  <c r="F89" i="11"/>
  <c r="B89" i="11"/>
  <c r="F88" i="11"/>
  <c r="B88" i="11"/>
  <c r="F87" i="11"/>
  <c r="B87" i="11"/>
  <c r="F86" i="11"/>
  <c r="B86" i="11"/>
  <c r="F85" i="11"/>
  <c r="B85" i="11"/>
  <c r="F84" i="11"/>
  <c r="B84" i="11"/>
  <c r="F83" i="11"/>
  <c r="B83" i="11"/>
  <c r="F82" i="11"/>
  <c r="B82" i="11"/>
  <c r="F81" i="11"/>
  <c r="B81" i="11"/>
  <c r="F80" i="11"/>
  <c r="B80" i="11"/>
  <c r="F79" i="11"/>
  <c r="B79" i="11"/>
  <c r="F78" i="11"/>
  <c r="B78" i="11"/>
  <c r="F77" i="11"/>
  <c r="B77" i="11"/>
  <c r="F76" i="11"/>
  <c r="B76" i="11"/>
  <c r="F75" i="11"/>
  <c r="B75" i="11"/>
  <c r="F74" i="11"/>
  <c r="B74" i="11"/>
  <c r="F73" i="11"/>
  <c r="B73" i="11"/>
  <c r="F72" i="11"/>
  <c r="B72" i="11"/>
  <c r="F71" i="11"/>
  <c r="B71" i="11"/>
  <c r="F70" i="11"/>
  <c r="B70" i="11"/>
  <c r="F69" i="11"/>
  <c r="B69" i="11"/>
  <c r="F68" i="11"/>
  <c r="B68" i="11"/>
  <c r="F67" i="11"/>
  <c r="B67" i="11"/>
  <c r="F66" i="11"/>
  <c r="B66" i="11"/>
  <c r="F65" i="11"/>
  <c r="B65" i="11"/>
  <c r="F64" i="11"/>
  <c r="B64" i="11"/>
  <c r="F63" i="11"/>
  <c r="B63" i="11"/>
  <c r="F62" i="11"/>
  <c r="B62" i="11"/>
  <c r="F61" i="11"/>
  <c r="B61" i="11"/>
  <c r="F60" i="11"/>
  <c r="B60" i="11"/>
  <c r="F59" i="11"/>
  <c r="B59" i="11"/>
  <c r="F58" i="11"/>
  <c r="B58" i="11"/>
  <c r="F57" i="11"/>
  <c r="B57" i="11"/>
  <c r="F56" i="11"/>
  <c r="B56" i="11"/>
  <c r="F55" i="11"/>
  <c r="B55" i="11"/>
  <c r="F54" i="11"/>
  <c r="B54" i="11"/>
  <c r="F53" i="11"/>
  <c r="B53" i="11"/>
  <c r="F52" i="11"/>
  <c r="B52" i="11"/>
  <c r="F51" i="11"/>
  <c r="B51" i="11"/>
  <c r="F50" i="11"/>
  <c r="B50" i="11"/>
  <c r="F49" i="11"/>
  <c r="B49" i="11"/>
  <c r="F48" i="11"/>
  <c r="B48" i="11"/>
  <c r="F47" i="11"/>
  <c r="B47" i="11"/>
  <c r="F46" i="11"/>
  <c r="B46" i="11"/>
  <c r="F45" i="11"/>
  <c r="B45" i="11"/>
  <c r="F44" i="11"/>
  <c r="B44" i="11"/>
  <c r="F43" i="11"/>
  <c r="B43" i="11"/>
  <c r="F42" i="11"/>
  <c r="B42" i="11"/>
  <c r="F41" i="11"/>
  <c r="B41" i="11"/>
  <c r="F40" i="11"/>
  <c r="B40" i="11"/>
  <c r="F39" i="11"/>
  <c r="B39" i="11"/>
  <c r="F38" i="11"/>
  <c r="B38" i="11"/>
  <c r="F37" i="11"/>
  <c r="B37" i="11"/>
  <c r="F36" i="11"/>
  <c r="B36" i="11"/>
  <c r="F35" i="11"/>
  <c r="B35" i="11"/>
  <c r="F34" i="11"/>
  <c r="B34" i="11"/>
  <c r="F33" i="11"/>
  <c r="B33" i="11"/>
  <c r="F32" i="11"/>
  <c r="B32" i="11"/>
  <c r="F27" i="11"/>
  <c r="E27" i="11"/>
  <c r="D27" i="11"/>
  <c r="F21" i="11"/>
  <c r="E21" i="11"/>
  <c r="D12" i="11"/>
  <c r="C273" i="8"/>
  <c r="D259" i="8"/>
  <c r="C259" i="8"/>
  <c r="K251" i="8"/>
  <c r="I251" i="8"/>
  <c r="H251" i="8"/>
  <c r="K250" i="8"/>
  <c r="K249" i="8"/>
  <c r="K244" i="8"/>
  <c r="I244" i="8"/>
  <c r="H244" i="8"/>
  <c r="G244" i="8"/>
  <c r="K243" i="8"/>
  <c r="K242" i="8"/>
  <c r="I237" i="8"/>
  <c r="H237" i="8"/>
  <c r="G237" i="8"/>
  <c r="K236" i="8"/>
  <c r="K235" i="8"/>
  <c r="K237" i="8" s="1"/>
  <c r="N226" i="8"/>
  <c r="K226" i="8"/>
  <c r="N225" i="8"/>
  <c r="K225" i="8"/>
  <c r="N224" i="8"/>
  <c r="K224" i="8"/>
  <c r="N223" i="8"/>
  <c r="K223" i="8"/>
  <c r="N222" i="8"/>
  <c r="K222" i="8"/>
  <c r="N221" i="8"/>
  <c r="K221" i="8"/>
  <c r="N220" i="8"/>
  <c r="K220" i="8"/>
  <c r="N219" i="8"/>
  <c r="K219" i="8"/>
  <c r="N218" i="8"/>
  <c r="K218" i="8"/>
  <c r="N217" i="8"/>
  <c r="K217" i="8"/>
  <c r="N216" i="8"/>
  <c r="K216" i="8"/>
  <c r="N215" i="8"/>
  <c r="K215" i="8"/>
  <c r="N214" i="8"/>
  <c r="K214" i="8"/>
  <c r="N213" i="8"/>
  <c r="K213" i="8"/>
  <c r="N212" i="8"/>
  <c r="N227" i="8" s="1"/>
  <c r="K212" i="8"/>
  <c r="D60" i="40" s="1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D47" i="40" s="1"/>
  <c r="E47" i="40" s="1"/>
  <c r="K190" i="8"/>
  <c r="D46" i="40" s="1"/>
  <c r="E46" i="40" s="1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E169" i="8"/>
  <c r="D169" i="8"/>
  <c r="C169" i="8"/>
  <c r="H168" i="8"/>
  <c r="I168" i="8" s="1"/>
  <c r="H167" i="8"/>
  <c r="I167" i="8" s="1"/>
  <c r="H166" i="8"/>
  <c r="I166" i="8" s="1"/>
  <c r="H165" i="8"/>
  <c r="I165" i="8" s="1"/>
  <c r="H164" i="8"/>
  <c r="I164" i="8" s="1"/>
  <c r="H163" i="8"/>
  <c r="I163" i="8" s="1"/>
  <c r="H162" i="8"/>
  <c r="I162" i="8" s="1"/>
  <c r="H161" i="8"/>
  <c r="I161" i="8" s="1"/>
  <c r="H160" i="8"/>
  <c r="I160" i="8" s="1"/>
  <c r="H159" i="8"/>
  <c r="G179" i="30" s="1"/>
  <c r="H158" i="8"/>
  <c r="I158" i="8" s="1"/>
  <c r="H157" i="8"/>
  <c r="I157" i="8" s="1"/>
  <c r="E153" i="8"/>
  <c r="D153" i="8"/>
  <c r="C153" i="8"/>
  <c r="I152" i="8"/>
  <c r="H152" i="8"/>
  <c r="I151" i="8"/>
  <c r="H151" i="8"/>
  <c r="I150" i="8"/>
  <c r="H150" i="8"/>
  <c r="I149" i="8"/>
  <c r="H149" i="8"/>
  <c r="I148" i="8"/>
  <c r="H148" i="8"/>
  <c r="I147" i="8"/>
  <c r="H147" i="8"/>
  <c r="I146" i="8"/>
  <c r="H146" i="8"/>
  <c r="I145" i="8"/>
  <c r="H145" i="8"/>
  <c r="I144" i="8"/>
  <c r="H144" i="8"/>
  <c r="I143" i="8"/>
  <c r="H143" i="8"/>
  <c r="I142" i="8"/>
  <c r="H142" i="8"/>
  <c r="O158" i="30" s="1"/>
  <c r="H141" i="8"/>
  <c r="G158" i="30" s="1"/>
  <c r="E137" i="8"/>
  <c r="D137" i="8"/>
  <c r="C137" i="8"/>
  <c r="H136" i="8"/>
  <c r="I136" i="8" s="1"/>
  <c r="H135" i="8"/>
  <c r="I135" i="8" s="1"/>
  <c r="H134" i="8"/>
  <c r="I134" i="8" s="1"/>
  <c r="H133" i="8"/>
  <c r="I133" i="8" s="1"/>
  <c r="H132" i="8"/>
  <c r="I132" i="8" s="1"/>
  <c r="H131" i="8"/>
  <c r="I131" i="8" s="1"/>
  <c r="H130" i="8"/>
  <c r="I130" i="8" s="1"/>
  <c r="H129" i="8"/>
  <c r="I129" i="8" s="1"/>
  <c r="H128" i="8"/>
  <c r="I128" i="8" s="1"/>
  <c r="H127" i="8"/>
  <c r="I127" i="8" s="1"/>
  <c r="H126" i="8"/>
  <c r="I126" i="8" s="1"/>
  <c r="H125" i="8"/>
  <c r="I125" i="8" s="1"/>
  <c r="H121" i="8"/>
  <c r="E121" i="8"/>
  <c r="D121" i="8"/>
  <c r="C121" i="8"/>
  <c r="I120" i="8"/>
  <c r="H120" i="8"/>
  <c r="I119" i="8"/>
  <c r="H119" i="8"/>
  <c r="I118" i="8"/>
  <c r="H118" i="8"/>
  <c r="I117" i="8"/>
  <c r="H117" i="8"/>
  <c r="I116" i="8"/>
  <c r="H116" i="8"/>
  <c r="I115" i="8"/>
  <c r="H115" i="8"/>
  <c r="I114" i="8"/>
  <c r="H114" i="8"/>
  <c r="I113" i="8"/>
  <c r="H113" i="8"/>
  <c r="I112" i="8"/>
  <c r="H112" i="8"/>
  <c r="I111" i="8"/>
  <c r="H111" i="8"/>
  <c r="I110" i="8"/>
  <c r="H110" i="8"/>
  <c r="O116" i="30" s="1"/>
  <c r="H109" i="8"/>
  <c r="G116" i="30" s="1"/>
  <c r="E105" i="8"/>
  <c r="D105" i="8"/>
  <c r="C105" i="8"/>
  <c r="H104" i="8"/>
  <c r="I104" i="8" s="1"/>
  <c r="H103" i="8"/>
  <c r="I103" i="8" s="1"/>
  <c r="H102" i="8"/>
  <c r="I102" i="8" s="1"/>
  <c r="H101" i="8"/>
  <c r="I101" i="8" s="1"/>
  <c r="H100" i="8"/>
  <c r="I100" i="8" s="1"/>
  <c r="H99" i="8"/>
  <c r="I99" i="8" s="1"/>
  <c r="H98" i="8"/>
  <c r="I98" i="8" s="1"/>
  <c r="H97" i="8"/>
  <c r="I97" i="8" s="1"/>
  <c r="H96" i="8"/>
  <c r="I96" i="8" s="1"/>
  <c r="H95" i="8"/>
  <c r="I95" i="8" s="1"/>
  <c r="H94" i="8"/>
  <c r="O95" i="30" s="1"/>
  <c r="H93" i="8"/>
  <c r="G95" i="30" s="1"/>
  <c r="E89" i="8"/>
  <c r="D89" i="8"/>
  <c r="C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H78" i="8"/>
  <c r="O74" i="30" s="1"/>
  <c r="H77" i="8"/>
  <c r="G74" i="30" s="1"/>
  <c r="E73" i="8"/>
  <c r="D73" i="8"/>
  <c r="C73" i="8"/>
  <c r="I72" i="8"/>
  <c r="H72" i="8"/>
  <c r="H71" i="8"/>
  <c r="I71" i="8" s="1"/>
  <c r="I70" i="8"/>
  <c r="H70" i="8"/>
  <c r="H69" i="8"/>
  <c r="I69" i="8" s="1"/>
  <c r="I68" i="8"/>
  <c r="H68" i="8"/>
  <c r="H67" i="8"/>
  <c r="I67" i="8" s="1"/>
  <c r="I66" i="8"/>
  <c r="H66" i="8"/>
  <c r="H65" i="8"/>
  <c r="I65" i="8" s="1"/>
  <c r="I64" i="8"/>
  <c r="H64" i="8"/>
  <c r="H63" i="8"/>
  <c r="I63" i="8" s="1"/>
  <c r="H62" i="8"/>
  <c r="O53" i="30" s="1"/>
  <c r="H61" i="8"/>
  <c r="G53" i="30" s="1"/>
  <c r="E57" i="8"/>
  <c r="D57" i="8"/>
  <c r="C57" i="8"/>
  <c r="I56" i="8"/>
  <c r="H56" i="8"/>
  <c r="I55" i="8"/>
  <c r="H55" i="8"/>
  <c r="I54" i="8"/>
  <c r="H54" i="8"/>
  <c r="I53" i="8"/>
  <c r="H53" i="8"/>
  <c r="I52" i="8"/>
  <c r="H52" i="8"/>
  <c r="I51" i="8"/>
  <c r="H51" i="8"/>
  <c r="I50" i="8"/>
  <c r="H50" i="8"/>
  <c r="I49" i="8"/>
  <c r="H49" i="8"/>
  <c r="I48" i="8"/>
  <c r="H48" i="8"/>
  <c r="I47" i="8"/>
  <c r="H47" i="8"/>
  <c r="I46" i="8"/>
  <c r="H46" i="8"/>
  <c r="O32" i="30" s="1"/>
  <c r="H45" i="8"/>
  <c r="G32" i="30" s="1"/>
  <c r="E41" i="8"/>
  <c r="D41" i="8"/>
  <c r="C41" i="8"/>
  <c r="I40" i="8"/>
  <c r="H40" i="8"/>
  <c r="I39" i="8"/>
  <c r="H39" i="8"/>
  <c r="I38" i="8"/>
  <c r="H38" i="8"/>
  <c r="I37" i="8"/>
  <c r="H37" i="8"/>
  <c r="I36" i="8"/>
  <c r="H36" i="8"/>
  <c r="I35" i="8"/>
  <c r="H35" i="8"/>
  <c r="I34" i="8"/>
  <c r="H34" i="8"/>
  <c r="I33" i="8"/>
  <c r="H33" i="8"/>
  <c r="I32" i="8"/>
  <c r="H32" i="8"/>
  <c r="I31" i="8"/>
  <c r="H31" i="8"/>
  <c r="H30" i="8"/>
  <c r="I30" i="8" s="1"/>
  <c r="H29" i="8"/>
  <c r="E23" i="8"/>
  <c r="D23" i="8"/>
  <c r="H22" i="8"/>
  <c r="H21" i="8"/>
  <c r="I21" i="8" s="1"/>
  <c r="E69" i="40" l="1"/>
  <c r="E73" i="40"/>
  <c r="E183" i="30"/>
  <c r="E141" i="30"/>
  <c r="E99" i="30"/>
  <c r="E57" i="30"/>
  <c r="M162" i="30"/>
  <c r="M78" i="30"/>
  <c r="M36" i="30"/>
  <c r="M15" i="30"/>
  <c r="M120" i="30"/>
  <c r="E162" i="30"/>
  <c r="E120" i="30"/>
  <c r="E78" i="30"/>
  <c r="E36" i="30"/>
  <c r="M183" i="30"/>
  <c r="M141" i="30"/>
  <c r="M99" i="30"/>
  <c r="M57" i="30"/>
  <c r="H23" i="8"/>
  <c r="E15" i="30"/>
  <c r="I22" i="8"/>
  <c r="I23" i="8" s="1"/>
  <c r="I141" i="8"/>
  <c r="I153" i="8" s="1"/>
  <c r="H153" i="8"/>
  <c r="I109" i="8"/>
  <c r="I121" i="8" s="1"/>
  <c r="I77" i="8"/>
  <c r="I78" i="8"/>
  <c r="H89" i="8"/>
  <c r="I89" i="8"/>
  <c r="I62" i="8"/>
  <c r="H73" i="8"/>
  <c r="I45" i="8"/>
  <c r="I57" i="8" s="1"/>
  <c r="H57" i="8"/>
  <c r="K227" i="8"/>
  <c r="K204" i="8"/>
  <c r="K229" i="8" s="1"/>
  <c r="H169" i="8"/>
  <c r="I159" i="8"/>
  <c r="I169" i="8" s="1"/>
  <c r="I137" i="8"/>
  <c r="G137" i="30"/>
  <c r="O137" i="30"/>
  <c r="H137" i="8"/>
  <c r="I94" i="8"/>
  <c r="H105" i="8"/>
  <c r="I93" i="8"/>
  <c r="I105" i="8" s="1"/>
  <c r="I61" i="8"/>
  <c r="I73" i="8" s="1"/>
  <c r="E174" i="8"/>
  <c r="E176" i="8"/>
  <c r="E178" i="8"/>
  <c r="E180" i="8"/>
  <c r="E182" i="8"/>
  <c r="E173" i="8"/>
  <c r="E175" i="8"/>
  <c r="E177" i="8"/>
  <c r="E179" i="8"/>
  <c r="E181" i="8"/>
  <c r="E183" i="8"/>
  <c r="B184" i="8"/>
  <c r="O179" i="30"/>
  <c r="O177" i="30"/>
  <c r="K174" i="30"/>
  <c r="I177" i="30" s="1"/>
  <c r="O174" i="30"/>
  <c r="H41" i="8"/>
  <c r="C184" i="8"/>
  <c r="I29" i="8"/>
  <c r="I41" i="8" s="1"/>
  <c r="O6" i="30"/>
  <c r="D21" i="40" s="1"/>
  <c r="D40" i="40" s="1"/>
  <c r="O9" i="30"/>
  <c r="O11" i="30"/>
  <c r="E60" i="40"/>
  <c r="E64" i="40"/>
  <c r="E68" i="40"/>
  <c r="E71" i="40"/>
  <c r="D76" i="40"/>
  <c r="D80" i="40"/>
  <c r="E53" i="40"/>
  <c r="E62" i="40"/>
  <c r="E66" i="40"/>
  <c r="D78" i="40"/>
  <c r="E51" i="40"/>
  <c r="E55" i="40"/>
  <c r="E59" i="40"/>
  <c r="E63" i="40"/>
  <c r="E67" i="40"/>
  <c r="E70" i="40"/>
  <c r="E74" i="40"/>
  <c r="E57" i="40"/>
  <c r="E61" i="40"/>
  <c r="E65" i="40"/>
  <c r="E72" i="40"/>
  <c r="E52" i="40"/>
  <c r="E56" i="40"/>
  <c r="E50" i="40"/>
  <c r="E54" i="40"/>
  <c r="E58" i="40"/>
  <c r="D75" i="40"/>
  <c r="D79" i="40"/>
  <c r="D77" i="40"/>
  <c r="C118" i="40"/>
  <c r="E172" i="8" l="1"/>
  <c r="E184" i="8" s="1"/>
  <c r="F2" i="46" s="1"/>
  <c r="E81" i="40"/>
  <c r="E82" i="40" s="1"/>
  <c r="E84" i="40" s="1"/>
  <c r="E83" i="40" s="1"/>
  <c r="G168" i="8" l="1"/>
  <c r="G64" i="8"/>
  <c r="G157" i="8"/>
  <c r="G119" i="8"/>
  <c r="G83" i="8"/>
  <c r="G55" i="8"/>
  <c r="G29" i="8"/>
  <c r="G144" i="8"/>
  <c r="G116" i="8"/>
  <c r="G88" i="8"/>
  <c r="G56" i="8"/>
  <c r="G30" i="8"/>
  <c r="G145" i="8"/>
  <c r="G113" i="8"/>
  <c r="G85" i="8"/>
  <c r="G63" i="8"/>
  <c r="G31" i="8"/>
  <c r="G71" i="8"/>
  <c r="G86" i="8"/>
  <c r="G93" i="8"/>
  <c r="G33" i="8"/>
  <c r="G120" i="8"/>
  <c r="G66" i="8"/>
  <c r="G149" i="8"/>
  <c r="G95" i="8"/>
  <c r="G39" i="8"/>
  <c r="G54" i="8"/>
  <c r="G147" i="8"/>
  <c r="G101" i="8"/>
  <c r="G79" i="8"/>
  <c r="G51" i="8"/>
  <c r="G162" i="8"/>
  <c r="G134" i="8"/>
  <c r="G112" i="8"/>
  <c r="G80" i="8"/>
  <c r="G52" i="8"/>
  <c r="G167" i="8"/>
  <c r="G135" i="8"/>
  <c r="G109" i="8"/>
  <c r="G81" i="8"/>
  <c r="G49" i="8"/>
  <c r="C256" i="8"/>
  <c r="G45" i="8"/>
  <c r="G161" i="8"/>
  <c r="G125" i="8"/>
  <c r="G61" i="8"/>
  <c r="G152" i="8"/>
  <c r="G94" i="8"/>
  <c r="G34" i="8"/>
  <c r="G127" i="8"/>
  <c r="G67" i="8"/>
  <c r="G110" i="8"/>
  <c r="G40" i="8"/>
  <c r="G133" i="8"/>
  <c r="G97" i="8"/>
  <c r="G69" i="8"/>
  <c r="G37" i="8"/>
  <c r="G158" i="8"/>
  <c r="G130" i="8"/>
  <c r="G98" i="8"/>
  <c r="G70" i="8"/>
  <c r="G48" i="8"/>
  <c r="G159" i="8"/>
  <c r="G131" i="8"/>
  <c r="G103" i="8"/>
  <c r="N256" i="8"/>
  <c r="D256" i="8" s="1"/>
  <c r="G197" i="43" s="1"/>
  <c r="G198" i="43" s="1"/>
  <c r="G199" i="43" s="1"/>
  <c r="E256" i="8" s="1"/>
  <c r="G114" i="8"/>
  <c r="G115" i="8"/>
  <c r="G143" i="8"/>
  <c r="G36" i="8"/>
  <c r="G78" i="8"/>
  <c r="G136" i="8"/>
  <c r="G142" i="8"/>
  <c r="G165" i="8"/>
  <c r="G46" i="8"/>
  <c r="G68" i="8"/>
  <c r="G96" i="8"/>
  <c r="G118" i="8"/>
  <c r="G150" i="8"/>
  <c r="G35" i="8"/>
  <c r="G53" i="8"/>
  <c r="G77" i="8"/>
  <c r="G99" i="8"/>
  <c r="G117" i="8"/>
  <c r="G141" i="8"/>
  <c r="G163" i="8"/>
  <c r="G38" i="8"/>
  <c r="G62" i="8"/>
  <c r="G84" i="8"/>
  <c r="G102" i="8"/>
  <c r="G126" i="8"/>
  <c r="G148" i="8"/>
  <c r="G166" i="8"/>
  <c r="G47" i="8"/>
  <c r="G65" i="8"/>
  <c r="G87" i="8"/>
  <c r="G111" i="8"/>
  <c r="G129" i="8"/>
  <c r="G151" i="8"/>
  <c r="G32" i="8"/>
  <c r="G50" i="8"/>
  <c r="G72" i="8"/>
  <c r="G100" i="8"/>
  <c r="G132" i="8"/>
  <c r="G160" i="8"/>
  <c r="G164" i="8"/>
  <c r="G82" i="8"/>
  <c r="G104" i="8"/>
  <c r="G128" i="8"/>
  <c r="G146" i="8"/>
  <c r="K270" i="8"/>
  <c r="H40" i="46" l="1"/>
  <c r="H76" i="46"/>
  <c r="H24" i="46"/>
  <c r="H4" i="46"/>
  <c r="H58" i="46"/>
  <c r="H89" i="46"/>
  <c r="H67" i="46"/>
  <c r="H26" i="46"/>
  <c r="H86" i="46"/>
  <c r="H22" i="46"/>
  <c r="H19" i="46"/>
  <c r="H46" i="46"/>
  <c r="H17" i="46"/>
  <c r="H39" i="46"/>
  <c r="H69" i="46"/>
  <c r="H35" i="46"/>
  <c r="H55" i="46"/>
  <c r="H63" i="46"/>
  <c r="H72" i="46"/>
  <c r="H91" i="46"/>
  <c r="H51" i="46"/>
  <c r="H90" i="46"/>
  <c r="H14" i="46"/>
  <c r="H83" i="46"/>
  <c r="H68" i="46"/>
  <c r="H59" i="46"/>
  <c r="H64" i="46"/>
  <c r="H30" i="46"/>
  <c r="H61" i="46"/>
  <c r="H60" i="46"/>
  <c r="H80" i="46"/>
  <c r="H70" i="46"/>
  <c r="H28" i="46"/>
  <c r="H73" i="46"/>
  <c r="H47" i="46"/>
  <c r="H65" i="46"/>
  <c r="H18" i="46"/>
  <c r="H23" i="46"/>
  <c r="H66" i="46"/>
  <c r="H5" i="46"/>
  <c r="H27" i="46"/>
  <c r="H49" i="46"/>
  <c r="H21" i="46"/>
  <c r="H3" i="46"/>
  <c r="H9" i="46"/>
  <c r="H41" i="46"/>
  <c r="H48" i="46"/>
  <c r="H16" i="46"/>
  <c r="H7" i="46"/>
  <c r="H6" i="46"/>
  <c r="H71" i="46"/>
  <c r="H36" i="46"/>
  <c r="H10" i="46"/>
  <c r="H56" i="46"/>
  <c r="H77" i="46"/>
  <c r="H62" i="46"/>
  <c r="H8" i="46"/>
  <c r="H82" i="46"/>
  <c r="H38" i="46"/>
  <c r="H31" i="46"/>
  <c r="H84" i="46"/>
  <c r="H87" i="46"/>
  <c r="H20" i="46"/>
  <c r="H29" i="46"/>
  <c r="H85" i="46"/>
  <c r="H45" i="46"/>
  <c r="H33" i="46"/>
  <c r="H44" i="46"/>
  <c r="H43" i="46"/>
  <c r="H11" i="46"/>
  <c r="H81" i="46"/>
  <c r="H57" i="46"/>
  <c r="H78" i="46"/>
  <c r="H88" i="46"/>
  <c r="H32" i="46"/>
  <c r="H25" i="46"/>
  <c r="H15" i="46"/>
  <c r="H75" i="46"/>
  <c r="H50" i="46"/>
  <c r="H53" i="46"/>
  <c r="H34" i="46"/>
  <c r="H52" i="46"/>
  <c r="H37" i="46"/>
  <c r="H42" i="46"/>
  <c r="H79" i="46"/>
  <c r="H12" i="46"/>
  <c r="H13" i="46"/>
  <c r="H74" i="46"/>
  <c r="H54" i="46"/>
  <c r="H2" i="46"/>
  <c r="O161" i="30"/>
  <c r="O56" i="30"/>
  <c r="G56" i="30"/>
  <c r="G14" i="30"/>
  <c r="G98" i="30"/>
  <c r="G119" i="30"/>
  <c r="O98" i="30"/>
  <c r="G182" i="30"/>
  <c r="O140" i="30"/>
  <c r="O35" i="30"/>
  <c r="O77" i="30"/>
  <c r="E259" i="8"/>
  <c r="G140" i="30"/>
  <c r="O119" i="30"/>
  <c r="G77" i="30"/>
  <c r="O14" i="30"/>
  <c r="G35" i="30"/>
  <c r="O182" i="30"/>
  <c r="G161" i="30"/>
  <c r="G169" i="8"/>
  <c r="G57" i="8"/>
  <c r="G105" i="8"/>
  <c r="G137" i="8"/>
  <c r="G41" i="8"/>
  <c r="G73" i="8"/>
  <c r="G153" i="8"/>
  <c r="G121" i="8"/>
  <c r="G89" i="8"/>
  <c r="K80" i="46" l="1"/>
  <c r="K5" i="46"/>
  <c r="L5" i="46" s="1"/>
  <c r="N5" i="46" s="1"/>
  <c r="M5" i="46" s="1"/>
  <c r="K35" i="46"/>
  <c r="L35" i="46" s="1"/>
  <c r="M35" i="46" s="1"/>
  <c r="I40" i="46"/>
  <c r="I80" i="46"/>
  <c r="I46" i="46"/>
  <c r="I32" i="46"/>
  <c r="K32" i="46" s="1"/>
  <c r="I59" i="46"/>
  <c r="I77" i="46"/>
  <c r="K77" i="46" s="1"/>
  <c r="L77" i="46" s="1"/>
  <c r="M77" i="46" s="1"/>
  <c r="I20" i="46"/>
  <c r="K20" i="46" s="1"/>
  <c r="L20" i="46" s="1"/>
  <c r="N20" i="46" s="1"/>
  <c r="M20" i="46" s="1"/>
  <c r="I82" i="46"/>
  <c r="K82" i="46" s="1"/>
  <c r="L82" i="46" s="1"/>
  <c r="M82" i="46" s="1"/>
  <c r="I36" i="46"/>
  <c r="I76" i="46"/>
  <c r="I35" i="46"/>
  <c r="I57" i="46"/>
  <c r="I75" i="46"/>
  <c r="I3" i="46"/>
  <c r="I66" i="46"/>
  <c r="K66" i="46" s="1"/>
  <c r="L66" i="46" s="1"/>
  <c r="M66" i="46" s="1"/>
  <c r="I34" i="46"/>
  <c r="K34" i="46" s="1"/>
  <c r="L34" i="46" s="1"/>
  <c r="M34" i="46" s="1"/>
  <c r="I5" i="46"/>
  <c r="I17" i="46"/>
  <c r="I27" i="46"/>
  <c r="I37" i="46"/>
  <c r="K37" i="46" s="1"/>
  <c r="L37" i="46" s="1"/>
  <c r="M37" i="46" s="1"/>
  <c r="I29" i="46"/>
  <c r="I39" i="46"/>
  <c r="K39" i="46" s="1"/>
  <c r="L39" i="46" s="1"/>
  <c r="M39" i="46" s="1"/>
  <c r="I49" i="46"/>
  <c r="I23" i="46"/>
  <c r="K23" i="46" s="1"/>
  <c r="L23" i="46" s="1"/>
  <c r="M23" i="46" s="1"/>
  <c r="I43" i="46"/>
  <c r="I69" i="46"/>
  <c r="I81" i="46"/>
  <c r="K81" i="46" s="1"/>
  <c r="L81" i="46" s="1"/>
  <c r="M81" i="46" s="1"/>
  <c r="I28" i="46"/>
  <c r="K28" i="46" s="1"/>
  <c r="I48" i="46"/>
  <c r="K48" i="46" s="1"/>
  <c r="L48" i="46" s="1"/>
  <c r="M48" i="46" s="1"/>
  <c r="I64" i="46"/>
  <c r="K64" i="46" s="1"/>
  <c r="L64" i="46" s="1"/>
  <c r="M64" i="46" s="1"/>
  <c r="I61" i="46"/>
  <c r="I19" i="46"/>
  <c r="K19" i="46" s="1"/>
  <c r="L19" i="46" s="1"/>
  <c r="N19" i="46" s="1"/>
  <c r="M19" i="46" s="1"/>
  <c r="I24" i="46"/>
  <c r="K24" i="46" s="1"/>
  <c r="L24" i="46" s="1"/>
  <c r="M24" i="46" s="1"/>
  <c r="I38" i="46"/>
  <c r="K38" i="46" s="1"/>
  <c r="L38" i="46" s="1"/>
  <c r="M38" i="46" s="1"/>
  <c r="I74" i="46"/>
  <c r="K74" i="46" s="1"/>
  <c r="L74" i="46" s="1"/>
  <c r="M74" i="46" s="1"/>
  <c r="I45" i="46"/>
  <c r="K45" i="46" s="1"/>
  <c r="L45" i="46" s="1"/>
  <c r="M45" i="46" s="1"/>
  <c r="I73" i="46"/>
  <c r="I91" i="46"/>
  <c r="I42" i="46"/>
  <c r="I87" i="46"/>
  <c r="K87" i="46" s="1"/>
  <c r="L87" i="46" s="1"/>
  <c r="M87" i="46" s="1"/>
  <c r="I31" i="46"/>
  <c r="K31" i="46" s="1"/>
  <c r="L31" i="46" s="1"/>
  <c r="M31" i="46" s="1"/>
  <c r="I58" i="46"/>
  <c r="I89" i="46"/>
  <c r="I12" i="46"/>
  <c r="K12" i="46" s="1"/>
  <c r="L12" i="46" s="1"/>
  <c r="N12" i="46" s="1"/>
  <c r="M12" i="46" s="1"/>
  <c r="I52" i="46"/>
  <c r="I71" i="46"/>
  <c r="K71" i="46" s="1"/>
  <c r="L71" i="46" s="1"/>
  <c r="M71" i="46" s="1"/>
  <c r="I88" i="46"/>
  <c r="I4" i="46"/>
  <c r="I70" i="46"/>
  <c r="I72" i="46"/>
  <c r="K72" i="46" s="1"/>
  <c r="I33" i="46"/>
  <c r="K33" i="46" s="1"/>
  <c r="L33" i="46" s="1"/>
  <c r="M33" i="46" s="1"/>
  <c r="I63" i="46"/>
  <c r="K63" i="46" s="1"/>
  <c r="L63" i="46" s="1"/>
  <c r="M63" i="46" s="1"/>
  <c r="I55" i="46"/>
  <c r="I60" i="46"/>
  <c r="K60" i="46" s="1"/>
  <c r="L60" i="46" s="1"/>
  <c r="M60" i="46" s="1"/>
  <c r="I22" i="46"/>
  <c r="I67" i="46"/>
  <c r="K67" i="46" s="1"/>
  <c r="L67" i="46" s="1"/>
  <c r="M67" i="46" s="1"/>
  <c r="I21" i="46"/>
  <c r="K21" i="46" s="1"/>
  <c r="L21" i="46" s="1"/>
  <c r="I79" i="46"/>
  <c r="I62" i="46"/>
  <c r="I9" i="46"/>
  <c r="K9" i="46" s="1"/>
  <c r="L9" i="46" s="1"/>
  <c r="N9" i="46" s="1"/>
  <c r="M9" i="46" s="1"/>
  <c r="I56" i="46"/>
  <c r="I8" i="46"/>
  <c r="I41" i="46"/>
  <c r="I68" i="46"/>
  <c r="K68" i="46" s="1"/>
  <c r="L68" i="46" s="1"/>
  <c r="M68" i="46" s="1"/>
  <c r="I85" i="46"/>
  <c r="I51" i="46"/>
  <c r="I26" i="46"/>
  <c r="I44" i="46"/>
  <c r="I84" i="46"/>
  <c r="I25" i="46"/>
  <c r="K25" i="46" s="1"/>
  <c r="L25" i="46" s="1"/>
  <c r="M25" i="46" s="1"/>
  <c r="I47" i="46"/>
  <c r="K47" i="46" s="1"/>
  <c r="L47" i="46" s="1"/>
  <c r="M47" i="46" s="1"/>
  <c r="I65" i="46"/>
  <c r="K65" i="46" s="1"/>
  <c r="L65" i="46" s="1"/>
  <c r="M65" i="46" s="1"/>
  <c r="I83" i="46"/>
  <c r="K83" i="46" s="1"/>
  <c r="L83" i="46" s="1"/>
  <c r="M83" i="46" s="1"/>
  <c r="I86" i="46"/>
  <c r="I18" i="46"/>
  <c r="I50" i="46"/>
  <c r="I16" i="46"/>
  <c r="K16" i="46" s="1"/>
  <c r="I78" i="46"/>
  <c r="I13" i="46"/>
  <c r="K13" i="46" s="1"/>
  <c r="L13" i="46" s="1"/>
  <c r="N13" i="46" s="1"/>
  <c r="M13" i="46" s="1"/>
  <c r="I53" i="46"/>
  <c r="K53" i="46" s="1"/>
  <c r="L53" i="46" s="1"/>
  <c r="M53" i="46" s="1"/>
  <c r="I90" i="46"/>
  <c r="I6" i="46"/>
  <c r="K6" i="46" s="1"/>
  <c r="L6" i="46" s="1"/>
  <c r="N6" i="46" s="1"/>
  <c r="M6" i="46" s="1"/>
  <c r="I10" i="46"/>
  <c r="I11" i="46"/>
  <c r="K11" i="46" s="1"/>
  <c r="L11" i="46" s="1"/>
  <c r="N11" i="46" s="1"/>
  <c r="M11" i="46" s="1"/>
  <c r="I30" i="46"/>
  <c r="K30" i="46" s="1"/>
  <c r="L30" i="46" s="1"/>
  <c r="M30" i="46" s="1"/>
  <c r="I14" i="46"/>
  <c r="K14" i="46" s="1"/>
  <c r="L14" i="46" s="1"/>
  <c r="N14" i="46" s="1"/>
  <c r="M14" i="46" s="1"/>
  <c r="I54" i="46"/>
  <c r="I15" i="46"/>
  <c r="K15" i="46" s="1"/>
  <c r="L15" i="46" s="1"/>
  <c r="N15" i="46" s="1"/>
  <c r="M15" i="46" s="1"/>
  <c r="I7" i="46"/>
  <c r="K7" i="46" s="1"/>
  <c r="L7" i="46" s="1"/>
  <c r="N7" i="46" s="1"/>
  <c r="M7" i="46" s="1"/>
  <c r="K52" i="46"/>
  <c r="L52" i="46" s="1"/>
  <c r="M52" i="46" s="1"/>
  <c r="K75" i="46"/>
  <c r="L75" i="46" s="1"/>
  <c r="M75" i="46" s="1"/>
  <c r="K88" i="46"/>
  <c r="L88" i="46" s="1"/>
  <c r="M88" i="46" s="1"/>
  <c r="K56" i="46"/>
  <c r="L56" i="46" s="1"/>
  <c r="M56" i="46" s="1"/>
  <c r="K41" i="46"/>
  <c r="L41" i="46" s="1"/>
  <c r="M41" i="46" s="1"/>
  <c r="K49" i="46"/>
  <c r="L49" i="46" s="1"/>
  <c r="M49" i="46" s="1"/>
  <c r="K73" i="46"/>
  <c r="L73" i="46" s="1"/>
  <c r="M73" i="46" s="1"/>
  <c r="K59" i="46"/>
  <c r="L59" i="46" s="1"/>
  <c r="M59" i="46" s="1"/>
  <c r="K90" i="46"/>
  <c r="L90" i="46" s="1"/>
  <c r="M90" i="46" s="1"/>
  <c r="K22" i="46"/>
  <c r="L22" i="46" s="1"/>
  <c r="M22" i="46" s="1"/>
  <c r="K89" i="46"/>
  <c r="L89" i="46" s="1"/>
  <c r="M89" i="46" s="1"/>
  <c r="K76" i="46"/>
  <c r="L76" i="46" s="1"/>
  <c r="M76" i="46" s="1"/>
  <c r="K42" i="46"/>
  <c r="L42" i="46" s="1"/>
  <c r="M42" i="46" s="1"/>
  <c r="K29" i="46"/>
  <c r="L29" i="46" s="1"/>
  <c r="M29" i="46" s="1"/>
  <c r="K62" i="46"/>
  <c r="K3" i="46"/>
  <c r="L3" i="46" s="1"/>
  <c r="N3" i="46" s="1"/>
  <c r="M3" i="46" s="1"/>
  <c r="K70" i="46"/>
  <c r="K91" i="46"/>
  <c r="L91" i="46" s="1"/>
  <c r="M91" i="46" s="1"/>
  <c r="K46" i="46"/>
  <c r="L46" i="46"/>
  <c r="M46" i="46" s="1"/>
  <c r="K26" i="46"/>
  <c r="L26" i="46" s="1"/>
  <c r="M26" i="46" s="1"/>
  <c r="K54" i="46"/>
  <c r="L54" i="46" s="1"/>
  <c r="M54" i="46" s="1"/>
  <c r="K79" i="46"/>
  <c r="L79" i="46" s="1"/>
  <c r="M79" i="46" s="1"/>
  <c r="K78" i="46"/>
  <c r="K43" i="46"/>
  <c r="L43" i="46" s="1"/>
  <c r="M43" i="46" s="1"/>
  <c r="K85" i="46"/>
  <c r="L85" i="46" s="1"/>
  <c r="M85" i="46" s="1"/>
  <c r="K84" i="46"/>
  <c r="L84" i="46" s="1"/>
  <c r="M84" i="46" s="1"/>
  <c r="K8" i="46"/>
  <c r="L8" i="46" s="1"/>
  <c r="N8" i="46" s="1"/>
  <c r="M8" i="46" s="1"/>
  <c r="K10" i="46"/>
  <c r="L10" i="46" s="1"/>
  <c r="N10" i="46" s="1"/>
  <c r="M10" i="46" s="1"/>
  <c r="K27" i="46"/>
  <c r="L27" i="46" s="1"/>
  <c r="M27" i="46" s="1"/>
  <c r="K18" i="46"/>
  <c r="L18" i="46" s="1"/>
  <c r="N18" i="46" s="1"/>
  <c r="M18" i="46" s="1"/>
  <c r="K61" i="46"/>
  <c r="L61" i="46" s="1"/>
  <c r="M61" i="46" s="1"/>
  <c r="K51" i="46"/>
  <c r="L51" i="46" s="1"/>
  <c r="M51" i="46" s="1"/>
  <c r="K55" i="46"/>
  <c r="L55" i="46" s="1"/>
  <c r="M55" i="46" s="1"/>
  <c r="K17" i="46"/>
  <c r="L17" i="46" s="1"/>
  <c r="N17" i="46" s="1"/>
  <c r="M17" i="46" s="1"/>
  <c r="K86" i="46"/>
  <c r="L86" i="46" s="1"/>
  <c r="M86" i="46" s="1"/>
  <c r="K58" i="46"/>
  <c r="L58" i="46" s="1"/>
  <c r="M58" i="46" s="1"/>
  <c r="K40" i="46"/>
  <c r="L40" i="46" s="1"/>
  <c r="M40" i="46" s="1"/>
  <c r="G99" i="30"/>
  <c r="G100" i="30" s="1"/>
  <c r="G101" i="30" s="1"/>
  <c r="G105" i="30" s="1"/>
  <c r="G102" i="30" s="1"/>
  <c r="I2" i="46"/>
  <c r="O57" i="30"/>
  <c r="O58" i="30" s="1"/>
  <c r="O59" i="30" s="1"/>
  <c r="O63" i="30" s="1"/>
  <c r="O60" i="30" s="1"/>
  <c r="C269" i="8"/>
  <c r="C262" i="8" s="1"/>
  <c r="O183" i="30"/>
  <c r="O184" i="30" s="1"/>
  <c r="O78" i="30"/>
  <c r="O79" i="30" s="1"/>
  <c r="O99" i="30"/>
  <c r="O100" i="30" s="1"/>
  <c r="O101" i="30" s="1"/>
  <c r="O105" i="30" s="1"/>
  <c r="O102" i="30" s="1"/>
  <c r="G78" i="30"/>
  <c r="G79" i="30" s="1"/>
  <c r="O162" i="30"/>
  <c r="O163" i="30" s="1"/>
  <c r="G120" i="30"/>
  <c r="G121" i="30" s="1"/>
  <c r="G183" i="30"/>
  <c r="G184" i="30" s="1"/>
  <c r="G15" i="30"/>
  <c r="G16" i="30" s="1"/>
  <c r="G141" i="30"/>
  <c r="G142" i="30" s="1"/>
  <c r="G143" i="30" s="1"/>
  <c r="G147" i="30" s="1"/>
  <c r="G144" i="30" s="1"/>
  <c r="O120" i="30"/>
  <c r="O121" i="30" s="1"/>
  <c r="O122" i="30" s="1"/>
  <c r="O126" i="30" s="1"/>
  <c r="O123" i="30" s="1"/>
  <c r="G36" i="30"/>
  <c r="G37" i="30" s="1"/>
  <c r="G38" i="30" s="1"/>
  <c r="G42" i="30" s="1"/>
  <c r="G39" i="30" s="1"/>
  <c r="O15" i="30"/>
  <c r="O16" i="30" s="1"/>
  <c r="O17" i="30" s="1"/>
  <c r="O21" i="30" s="1"/>
  <c r="O18" i="30" s="1"/>
  <c r="G162" i="30"/>
  <c r="G163" i="30" s="1"/>
  <c r="G164" i="30" s="1"/>
  <c r="G168" i="30" s="1"/>
  <c r="G165" i="30" s="1"/>
  <c r="O141" i="30"/>
  <c r="G57" i="30"/>
  <c r="G58" i="30" s="1"/>
  <c r="G59" i="30" s="1"/>
  <c r="G63" i="30" s="1"/>
  <c r="G60" i="30" s="1"/>
  <c r="O36" i="30"/>
  <c r="O37" i="30" s="1"/>
  <c r="O38" i="30" s="1"/>
  <c r="O42" i="30" s="1"/>
  <c r="O39" i="30" s="1"/>
  <c r="L78" i="46" l="1"/>
  <c r="M78" i="46" s="1"/>
  <c r="L80" i="46"/>
  <c r="M80" i="46" s="1"/>
  <c r="L72" i="46"/>
  <c r="M72" i="46" s="1"/>
  <c r="K36" i="46"/>
  <c r="L36" i="46" s="1"/>
  <c r="M36" i="46" s="1"/>
  <c r="K4" i="46"/>
  <c r="L4" i="46" s="1"/>
  <c r="N4" i="46" s="1"/>
  <c r="M4" i="46" s="1"/>
  <c r="L32" i="46"/>
  <c r="M32" i="46" s="1"/>
  <c r="L28" i="46"/>
  <c r="M28" i="46" s="1"/>
  <c r="K57" i="46"/>
  <c r="L57" i="46" s="1"/>
  <c r="M57" i="46" s="1"/>
  <c r="L62" i="46"/>
  <c r="M62" i="46" s="1"/>
  <c r="K44" i="46"/>
  <c r="L44" i="46" s="1"/>
  <c r="M44" i="46" s="1"/>
  <c r="K69" i="46"/>
  <c r="L69" i="46" s="1"/>
  <c r="M69" i="46" s="1"/>
  <c r="K50" i="46"/>
  <c r="L50" i="46" s="1"/>
  <c r="M50" i="46" s="1"/>
  <c r="L70" i="46"/>
  <c r="M70" i="46" s="1"/>
  <c r="L16" i="46"/>
  <c r="N16" i="46" s="1"/>
  <c r="M16" i="46" s="1"/>
  <c r="C270" i="8"/>
  <c r="C271" i="8" s="1"/>
  <c r="C272" i="8" s="1"/>
  <c r="C2" i="8" s="1"/>
  <c r="K2" i="46"/>
  <c r="L2" i="46" s="1"/>
  <c r="G17" i="30"/>
  <c r="G21" i="30" s="1"/>
  <c r="E55" i="44" s="1"/>
  <c r="G185" i="30"/>
  <c r="G189" i="30" s="1"/>
  <c r="G186" i="30" s="1"/>
  <c r="O185" i="30"/>
  <c r="O189" i="30" s="1"/>
  <c r="O186" i="30" s="1"/>
  <c r="O80" i="30"/>
  <c r="O84" i="30" s="1"/>
  <c r="O81" i="30" s="1"/>
  <c r="G80" i="30"/>
  <c r="G84" i="30" s="1"/>
  <c r="G81" i="30" s="1"/>
  <c r="O164" i="30"/>
  <c r="O168" i="30" s="1"/>
  <c r="O165" i="30" s="1"/>
  <c r="G122" i="30"/>
  <c r="G126" i="30" s="1"/>
  <c r="G123" i="30" s="1"/>
  <c r="E21" i="40"/>
  <c r="F21" i="40" s="1"/>
  <c r="O142" i="30"/>
  <c r="O143" i="30" s="1"/>
  <c r="O147" i="30" s="1"/>
  <c r="O144" i="30" s="1"/>
  <c r="E20" i="40" l="1"/>
  <c r="F20" i="40" s="1"/>
  <c r="F40" i="40" s="1"/>
  <c r="K269" i="8" s="1"/>
  <c r="K272" i="8" s="1"/>
  <c r="E2" i="8" s="1"/>
  <c r="I2" i="8" s="1"/>
  <c r="G18" i="30"/>
  <c r="N2" i="46"/>
  <c r="M2" i="46" s="1"/>
  <c r="E40" i="40" l="1"/>
  <c r="M21" i="46"/>
</calcChain>
</file>

<file path=xl/comments1.xml><?xml version="1.0" encoding="utf-8"?>
<comments xmlns="http://schemas.openxmlformats.org/spreadsheetml/2006/main">
  <authors>
    <author>roberto apaza gutierrez</author>
    <author>GRUPOREGIONAL</author>
    <author>Usuario de Windows</author>
  </authors>
  <commentList>
    <comment ref="I2" authorId="0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=</t>
        </r>
      </text>
    </comment>
    <comment ref="C9" authorId="1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EN EL APARTADO 1,2</t>
        </r>
      </text>
    </comment>
    <comment ref="I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EL NOMBRE DEL PROYECTO ,EVENTO O TRABAJO QUE SE ESTA COTIZANDO</t>
        </r>
      </text>
    </comment>
    <comment ref="C1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I13" authorId="2" shapeId="0">
      <text>
        <r>
          <rPr>
            <b/>
            <sz val="9"/>
            <color indexed="81"/>
            <rFont val="Tahoma"/>
            <family val="2"/>
          </rPr>
          <t xml:space="preserve">GRUPOREGIONAL:
SE DEBERA COLOCAR LA FECHA EN LA QUE SE PLANIFICA CONCLUIR EL TRABAJO </t>
        </r>
      </text>
    </comment>
    <comment ref="C15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B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9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18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I189" authorId="1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H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I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B234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H23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1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H24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8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I2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2" authorId="1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<sst xmlns="http://schemas.openxmlformats.org/spreadsheetml/2006/main" count="2367" uniqueCount="1615">
  <si>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</si>
  <si>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</si>
  <si>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</si>
  <si>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</si>
  <si>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</si>
  <si>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</si>
  <si>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</si>
  <si>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</si>
  <si>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</si>
  <si>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</si>
  <si>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</si>
  <si>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</si>
  <si>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</si>
  <si>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</si>
  <si>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</si>
  <si>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</si>
  <si>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</si>
  <si>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</si>
  <si>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</si>
  <si>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</si>
  <si>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</si>
  <si>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</si>
  <si>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</si>
  <si>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</si>
  <si>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</si>
  <si>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</si>
  <si>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</si>
  <si>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</si>
  <si>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</si>
  <si>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</si>
  <si>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</si>
  <si>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</si>
  <si>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</si>
  <si>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</si>
  <si>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</si>
  <si>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</si>
  <si>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</si>
  <si>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</si>
  <si>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</si>
  <si>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</si>
  <si>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</si>
  <si>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</si>
  <si>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</si>
  <si>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</si>
  <si>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</si>
  <si>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</si>
  <si>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</si>
  <si>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</si>
  <si>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</si>
  <si>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</si>
  <si>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</si>
  <si>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</si>
  <si>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</si>
  <si>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</si>
  <si>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</si>
  <si>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</si>
  <si>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</si>
  <si>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</si>
  <si>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</si>
  <si>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</si>
  <si>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</si>
  <si>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</si>
  <si>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</si>
  <si>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</si>
  <si>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</si>
  <si>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</si>
  <si>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</si>
  <si>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</si>
  <si>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</si>
  <si>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</si>
  <si>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</si>
  <si>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</si>
  <si>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</si>
  <si>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</si>
  <si>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</si>
  <si>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</si>
  <si>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</si>
  <si>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</si>
  <si>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</si>
  <si>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</si>
  <si>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</si>
  <si>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</si>
  <si>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</si>
  <si>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</si>
  <si>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</si>
  <si>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</si>
  <si>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</si>
  <si>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</si>
  <si>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</si>
  <si>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</si>
  <si>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</si>
  <si>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</si>
  <si>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</si>
  <si>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</si>
  <si>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</si>
  <si>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</si>
  <si>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</si>
  <si>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</si>
  <si>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</si>
  <si>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</si>
  <si>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</si>
  <si>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</si>
  <si>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</si>
  <si>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</si>
  <si>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</si>
  <si>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</si>
  <si>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</si>
  <si>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</si>
  <si>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</si>
  <si>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</si>
  <si>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</si>
  <si>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</si>
  <si>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</si>
  <si>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</si>
  <si>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</si>
  <si>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</si>
  <si>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</si>
  <si>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</si>
  <si>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</si>
  <si>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</si>
  <si>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</si>
  <si>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</si>
  <si>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</si>
  <si>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</si>
  <si>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</si>
  <si>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</si>
  <si>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</si>
  <si>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</si>
  <si>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</si>
  <si>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</si>
  <si>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</si>
  <si>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</si>
  <si>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</si>
  <si>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</si>
  <si>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</si>
  <si>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</si>
  <si>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</si>
  <si>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</si>
  <si>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</si>
  <si>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</si>
  <si>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</si>
  <si>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</si>
  <si>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</si>
  <si>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</si>
  <si>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</si>
  <si>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</si>
  <si>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</si>
  <si>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</si>
  <si>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</si>
  <si>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</si>
  <si>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</si>
  <si>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</si>
  <si>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</si>
  <si>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</si>
  <si>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</si>
  <si>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</si>
  <si>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</si>
  <si>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</si>
  <si>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</si>
  <si>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</si>
  <si>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</si>
  <si>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</si>
  <si>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</si>
  <si>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</si>
  <si>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</si>
  <si>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</si>
  <si>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</si>
  <si>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</si>
  <si>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</si>
  <si>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</si>
  <si>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</si>
  <si>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</si>
  <si>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</si>
  <si>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</si>
  <si>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</si>
  <si>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</si>
  <si>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</si>
  <si>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</si>
  <si>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</si>
  <si>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</si>
  <si>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</si>
  <si>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</si>
  <si>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</si>
  <si>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</si>
  <si>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</si>
  <si>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</si>
  <si>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</si>
  <si>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</si>
  <si>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</si>
  <si>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</si>
  <si>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</si>
  <si>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</si>
  <si>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</si>
  <si>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</si>
  <si>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</si>
  <si>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</si>
  <si>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</si>
  <si>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</si>
  <si>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</si>
  <si>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</si>
  <si>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</si>
  <si>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</si>
  <si>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</si>
  <si>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</si>
  <si>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</si>
  <si>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</si>
  <si>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</si>
  <si>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</si>
  <si>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</si>
  <si>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</si>
  <si>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</si>
  <si>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</si>
  <si>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</si>
  <si>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</si>
  <si>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</si>
  <si>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</si>
  <si>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</si>
  <si>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</si>
  <si>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</si>
  <si>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</si>
  <si>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</si>
  <si>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</si>
  <si>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</si>
  <si>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</si>
  <si>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</si>
  <si>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</si>
  <si>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</si>
  <si>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</si>
  <si>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</si>
  <si>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</si>
  <si>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</si>
  <si>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</si>
  <si>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</si>
  <si>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</si>
  <si>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</si>
  <si>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</si>
  <si>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</si>
  <si>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</si>
  <si>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</si>
  <si>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</si>
  <si>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</si>
  <si>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</si>
  <si>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</si>
  <si>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</si>
  <si>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</si>
  <si>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</si>
  <si>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</si>
  <si>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</si>
  <si>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</si>
  <si>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</si>
  <si>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</si>
  <si>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</si>
  <si>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</si>
  <si>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</si>
  <si>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</si>
  <si>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</si>
  <si>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</si>
  <si>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</si>
  <si>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</si>
  <si>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</si>
  <si>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</si>
  <si>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</si>
  <si>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</si>
  <si>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</si>
  <si>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</si>
  <si>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</si>
  <si>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</si>
  <si>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</si>
  <si>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</si>
  <si>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</si>
  <si>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</si>
  <si>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</si>
  <si>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</si>
  <si>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</si>
  <si>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</si>
  <si>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</si>
  <si>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</si>
  <si>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</si>
  <si>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</si>
  <si>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</si>
  <si>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</si>
  <si>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</si>
  <si>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</si>
  <si>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</si>
  <si>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</si>
  <si>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</si>
  <si>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</si>
  <si>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</si>
  <si>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</si>
  <si>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</si>
  <si>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</si>
  <si>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</si>
  <si>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</si>
  <si>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</si>
  <si>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</si>
  <si>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</si>
  <si>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</si>
  <si>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</si>
  <si>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</si>
  <si>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</si>
  <si>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</si>
  <si>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</si>
  <si>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</si>
  <si>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</si>
  <si>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</si>
  <si>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</si>
  <si>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</si>
  <si>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</si>
  <si>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</si>
  <si>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</si>
  <si>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</si>
  <si>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</si>
  <si>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</si>
  <si>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</si>
  <si>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</si>
  <si>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</si>
  <si>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</si>
  <si>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</si>
  <si>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</si>
  <si>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</si>
  <si>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</si>
  <si>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</si>
  <si>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</si>
  <si>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</si>
  <si>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</si>
  <si>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</si>
  <si>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</si>
  <si>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</si>
  <si>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</si>
  <si>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</si>
  <si>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</si>
  <si>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</si>
  <si>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</si>
  <si>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</si>
  <si>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</si>
  <si>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</si>
  <si>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</si>
  <si>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</si>
  <si>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</si>
  <si>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</si>
  <si>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</si>
  <si>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</si>
  <si>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</si>
  <si>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</si>
  <si>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</si>
  <si>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</si>
  <si>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</si>
  <si>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</si>
  <si>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</si>
  <si>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</si>
  <si>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</si>
  <si>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</si>
  <si>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</si>
  <si>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</si>
  <si>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</si>
  <si>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</si>
  <si>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</si>
  <si>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</si>
  <si>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</si>
  <si>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</si>
  <si>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</si>
  <si>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</si>
  <si>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</si>
  <si>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</si>
  <si>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</si>
  <si>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</si>
  <si>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</si>
  <si>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</si>
  <si>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</si>
  <si>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</si>
  <si>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</si>
  <si>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</si>
  <si>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</si>
  <si>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</si>
  <si>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</si>
  <si>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</si>
  <si>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</si>
  <si>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</si>
  <si>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</si>
  <si>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</si>
  <si>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</si>
  <si>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</si>
  <si>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</si>
  <si>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</si>
  <si>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</si>
  <si>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</si>
  <si>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</si>
  <si>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</si>
  <si>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</si>
  <si>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</si>
  <si>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</si>
  <si>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</si>
  <si>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</si>
  <si>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</si>
  <si>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</si>
  <si>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</si>
  <si>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</si>
  <si>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</si>
  <si>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</si>
  <si>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</si>
  <si>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</si>
  <si>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</si>
  <si>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</si>
  <si>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</si>
  <si>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</si>
  <si>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</si>
  <si>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</si>
  <si>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</si>
  <si>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</si>
  <si>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</si>
  <si>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</si>
  <si>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</si>
  <si>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</si>
  <si>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</si>
  <si>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</si>
  <si>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</si>
  <si>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</si>
  <si>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</si>
  <si>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</si>
  <si>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</si>
  <si>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</si>
  <si>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</si>
  <si>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</si>
  <si>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</si>
  <si>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</si>
  <si>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</si>
  <si>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</si>
  <si>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</si>
  <si>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</si>
  <si>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</si>
  <si>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</si>
  <si>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</si>
  <si>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</si>
  <si>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</si>
  <si>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</si>
  <si>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</si>
  <si>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</si>
  <si>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</si>
  <si>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</si>
  <si>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</si>
  <si>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</si>
  <si>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</si>
  <si>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</si>
  <si>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</si>
  <si>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</si>
  <si>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</si>
  <si>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</si>
  <si>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</si>
  <si>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</si>
  <si>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</si>
  <si>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</si>
  <si>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</si>
  <si>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</si>
  <si>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</si>
  <si>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</si>
  <si>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</si>
  <si>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</si>
  <si>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</si>
  <si>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</si>
  <si>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</si>
  <si>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</si>
  <si>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</si>
  <si>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</si>
  <si>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</si>
  <si>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</si>
  <si>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</si>
  <si>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</si>
  <si>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</si>
  <si>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</si>
  <si>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</si>
  <si>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</si>
  <si>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</si>
  <si>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</si>
  <si>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</si>
  <si>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</si>
  <si>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</si>
  <si>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</si>
  <si>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</si>
  <si>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</si>
  <si>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</si>
  <si>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</si>
  <si>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</si>
  <si>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</si>
  <si>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</si>
  <si>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</si>
  <si>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</si>
  <si>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</si>
  <si>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</si>
  <si>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</si>
  <si>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</si>
  <si>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</si>
  <si>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</si>
  <si>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</si>
  <si>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</si>
  <si>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</si>
  <si>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</si>
  <si>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</si>
  <si>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</si>
  <si>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</si>
  <si>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</si>
  <si>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</si>
  <si>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</si>
  <si>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</si>
  <si>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</si>
  <si>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</si>
  <si>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</si>
  <si>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</si>
  <si>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</si>
  <si>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</si>
  <si>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</si>
  <si>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</si>
  <si>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</si>
  <si>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</si>
  <si>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</si>
  <si>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</si>
  <si>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</si>
  <si>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</si>
  <si>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</si>
  <si>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</si>
  <si>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</si>
  <si>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</si>
  <si>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</si>
  <si>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</si>
  <si>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</si>
  <si>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</si>
  <si>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</si>
  <si>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</si>
  <si>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</si>
  <si>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</si>
  <si>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</si>
  <si>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</si>
  <si>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</si>
  <si>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</si>
  <si>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</si>
  <si>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</si>
  <si>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</si>
  <si>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</si>
  <si>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</si>
  <si>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</si>
  <si>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</si>
  <si>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</si>
  <si>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</si>
  <si>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</si>
  <si>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</si>
  <si>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</si>
  <si>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</si>
  <si>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</si>
  <si>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</si>
  <si>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</si>
  <si>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</si>
  <si>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</si>
  <si>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</si>
  <si>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</si>
  <si>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</si>
  <si>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</si>
  <si>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</si>
  <si>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</si>
  <si>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</si>
  <si>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</si>
  <si>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</si>
  <si>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</si>
  <si>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</si>
  <si>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</si>
  <si>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</si>
  <si>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</si>
  <si>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</si>
  <si>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</si>
  <si>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</si>
  <si>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</si>
  <si>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</si>
  <si>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</si>
  <si>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</si>
  <si>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</si>
  <si>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</si>
  <si>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</si>
  <si>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</si>
  <si>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</si>
  <si>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</si>
  <si>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</si>
  <si>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</si>
  <si>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</si>
  <si>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</si>
  <si>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</si>
  <si>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</si>
  <si>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</si>
  <si>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</si>
  <si>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</si>
  <si>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</si>
  <si>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</si>
  <si>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</si>
  <si>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</si>
  <si>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</si>
  <si>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</si>
  <si>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</si>
  <si>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</si>
  <si>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</si>
  <si>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</si>
  <si>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</si>
  <si>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</si>
  <si>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</si>
  <si>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</si>
  <si>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</si>
  <si>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</si>
  <si>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</si>
  <si>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</si>
  <si>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</si>
  <si>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</si>
  <si>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</si>
  <si>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</si>
  <si>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</si>
  <si>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</si>
  <si>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</si>
  <si>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</si>
  <si>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</si>
  <si>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</si>
  <si>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</si>
  <si>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</si>
  <si>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</si>
  <si>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</si>
  <si>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</si>
  <si>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</si>
  <si>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</si>
  <si>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</si>
  <si>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</si>
  <si>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</si>
  <si>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</si>
  <si>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</si>
  <si>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</si>
  <si>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</si>
  <si>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</si>
  <si>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</si>
  <si>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</si>
  <si>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</si>
  <si>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</si>
  <si>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</si>
  <si>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</si>
  <si>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</si>
  <si>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</si>
  <si>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</si>
  <si>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</si>
  <si>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</si>
  <si>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</si>
  <si>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</si>
  <si>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</si>
  <si>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</si>
  <si>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</si>
  <si>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</si>
  <si>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</si>
  <si>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</si>
  <si>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</si>
  <si>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</si>
  <si>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</si>
  <si>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</si>
  <si>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</si>
  <si>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</si>
  <si>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</si>
  <si>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</si>
  <si>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</si>
  <si>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</si>
  <si>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</si>
  <si>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</si>
  <si>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</si>
  <si>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</si>
  <si>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</si>
  <si>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</si>
  <si>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</si>
  <si>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</si>
  <si>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</si>
  <si>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</si>
  <si>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</si>
  <si>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</si>
  <si>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</si>
  <si>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</si>
  <si>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</si>
  <si>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</si>
  <si>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</si>
  <si>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</si>
  <si>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</si>
  <si>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</si>
  <si>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</si>
  <si>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</si>
  <si>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</si>
  <si>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</si>
  <si>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</si>
  <si>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</si>
  <si>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</si>
  <si>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</si>
  <si>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</si>
  <si>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</si>
  <si>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</si>
  <si>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</si>
  <si>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</si>
  <si>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</si>
  <si>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</si>
  <si>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</si>
  <si>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</si>
  <si>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</si>
  <si>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</si>
  <si>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</si>
  <si>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</si>
  <si>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</si>
  <si>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</si>
  <si>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</si>
  <si>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</si>
  <si>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</si>
  <si>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</si>
  <si>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</si>
  <si>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</si>
  <si>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</si>
  <si>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</si>
  <si>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</si>
  <si>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</si>
  <si>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</si>
  <si>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</si>
  <si>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</si>
  <si>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</si>
  <si>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</si>
  <si>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</si>
  <si>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</si>
  <si>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</si>
  <si>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</si>
  <si>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</si>
  <si>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</si>
  <si>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</si>
  <si>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</si>
  <si>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</si>
  <si>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</si>
  <si>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</si>
  <si>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</si>
  <si>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</si>
  <si>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</si>
  <si>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</si>
  <si>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</si>
  <si>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</si>
  <si>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</si>
  <si>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</si>
  <si>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</si>
  <si>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</si>
  <si>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</si>
  <si>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</si>
  <si>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</si>
  <si>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</si>
  <si>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</si>
  <si>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</si>
  <si>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</si>
  <si>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</si>
  <si>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</si>
  <si>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</si>
  <si>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</si>
  <si>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</si>
  <si>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</si>
  <si>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</si>
  <si>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</si>
  <si>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</si>
  <si>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</si>
  <si>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</si>
  <si>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</si>
  <si>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</si>
  <si>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</si>
  <si>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</si>
  <si>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</si>
  <si>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</si>
  <si>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</si>
  <si>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</si>
  <si>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</si>
  <si>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</si>
  <si>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</si>
  <si>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</si>
  <si>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</si>
  <si>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</si>
  <si>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</si>
  <si>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</si>
  <si>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</si>
  <si>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</si>
  <si>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</si>
  <si>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</si>
  <si>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</si>
  <si>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</si>
  <si>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</si>
  <si>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</si>
  <si>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</si>
  <si>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</si>
  <si>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</si>
  <si>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</si>
  <si>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</si>
  <si>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</si>
  <si>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</si>
  <si>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</si>
  <si>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</si>
  <si>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</si>
  <si>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</si>
  <si>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</si>
  <si>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</si>
  <si>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</si>
  <si>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</si>
  <si>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</si>
  <si>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</si>
  <si>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</si>
  <si>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</si>
  <si>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</si>
  <si>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</si>
  <si>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</si>
  <si>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</si>
  <si>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</si>
  <si>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</si>
  <si>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</si>
  <si>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</si>
  <si>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</si>
  <si>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</si>
  <si>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</si>
  <si>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</si>
  <si>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</si>
  <si>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</si>
  <si>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</si>
  <si>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</si>
  <si>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</si>
  <si>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</si>
  <si>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</si>
  <si>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</si>
  <si>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</si>
  <si>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</si>
  <si>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</si>
  <si>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</si>
  <si>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</si>
  <si>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</si>
  <si>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</si>
  <si>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</si>
  <si>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</si>
  <si>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</si>
  <si>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</si>
  <si>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</si>
  <si>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</si>
  <si>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</si>
  <si>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</si>
  <si>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</si>
  <si>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</si>
  <si>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</si>
  <si>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</si>
  <si>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</si>
  <si>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</si>
  <si>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</si>
  <si>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</si>
  <si>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</si>
  <si>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</si>
  <si>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</si>
  <si>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</si>
  <si>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</si>
  <si>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</si>
  <si>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</si>
  <si>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</si>
  <si>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</si>
  <si>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</si>
  <si>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</si>
  <si>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</si>
  <si>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</si>
  <si>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</si>
  <si>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</si>
  <si>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</si>
  <si>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</si>
  <si>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</si>
  <si>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</si>
  <si>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</si>
  <si>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</si>
  <si>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</si>
  <si>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</si>
  <si>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</si>
  <si>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</si>
  <si>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</si>
  <si>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</si>
  <si>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</si>
  <si>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</si>
  <si>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</si>
  <si>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</si>
  <si>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</si>
  <si>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</si>
  <si>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</si>
  <si>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</si>
  <si>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</si>
  <si>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</si>
  <si>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</si>
  <si>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</si>
  <si>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</si>
  <si>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</si>
  <si>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</si>
  <si>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</si>
  <si>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</si>
  <si>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</si>
  <si>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</si>
  <si>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</si>
  <si>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</si>
  <si>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</si>
  <si>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</si>
  <si>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</si>
  <si>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</si>
  <si>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</si>
  <si>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</si>
  <si>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</si>
  <si>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</si>
  <si>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</si>
  <si>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</si>
  <si>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</si>
  <si>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</si>
  <si>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</si>
  <si>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</si>
  <si>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</si>
  <si>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</si>
  <si>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</si>
  <si>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</si>
  <si>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</si>
  <si>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</si>
  <si>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</si>
  <si>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</si>
  <si>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</si>
  <si>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</si>
  <si>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</si>
  <si>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</si>
  <si>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</si>
  <si>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</si>
  <si>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</si>
  <si>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</si>
  <si>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</si>
  <si>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</si>
  <si>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</si>
  <si>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</si>
  <si>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</si>
  <si>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</si>
  <si>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</si>
  <si>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</si>
  <si>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</si>
  <si>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</si>
  <si>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</si>
  <si>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</si>
  <si>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</si>
  <si>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</si>
  <si>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</si>
  <si>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</si>
  <si>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</si>
  <si>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</si>
  <si>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</si>
  <si>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</si>
  <si>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</si>
  <si>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</si>
  <si>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</si>
  <si>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</si>
  <si>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</si>
  <si>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</si>
  <si>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</si>
  <si>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</si>
  <si>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</si>
  <si>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</si>
  <si>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</si>
  <si>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</si>
  <si>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</si>
  <si>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</si>
  <si>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</si>
  <si>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</si>
  <si>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</si>
  <si>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</si>
  <si>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</si>
  <si>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</si>
  <si>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</si>
  <si>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</si>
  <si>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</si>
  <si>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</si>
  <si>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</si>
  <si>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</si>
  <si>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</si>
  <si>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</si>
  <si>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</si>
  <si>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</si>
  <si>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</si>
  <si>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</si>
  <si>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</si>
  <si>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</si>
  <si>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</si>
  <si>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</si>
  <si>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</si>
  <si>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</si>
  <si>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</si>
  <si>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</si>
  <si>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</si>
  <si>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</si>
  <si>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</si>
  <si>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</si>
  <si>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</si>
  <si>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</si>
  <si>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</si>
  <si>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</si>
  <si>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</si>
  <si>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</si>
  <si>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</si>
  <si>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</si>
  <si>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</si>
  <si>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</si>
  <si>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</si>
  <si>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</si>
  <si>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</si>
  <si>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</si>
  <si>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</si>
  <si>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</si>
  <si>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</si>
  <si>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</si>
  <si>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</si>
  <si>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</si>
  <si>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</si>
  <si>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</si>
  <si>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</si>
  <si>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</si>
  <si>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</si>
  <si>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</si>
  <si>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</si>
  <si>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</si>
  <si>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</si>
  <si>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</si>
  <si>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</si>
  <si>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</si>
  <si>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</si>
  <si>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</si>
  <si>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</si>
  <si>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</si>
  <si>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</si>
  <si>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</si>
  <si>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</si>
  <si>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</si>
  <si>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</si>
  <si>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</si>
  <si>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</si>
  <si>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</si>
  <si>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</si>
  <si>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</si>
  <si>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</si>
  <si>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</si>
  <si>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</si>
  <si>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</si>
  <si>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</si>
  <si>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</si>
  <si>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</si>
  <si>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</si>
  <si>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</si>
  <si>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</si>
  <si>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</si>
  <si>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</si>
  <si>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</si>
  <si>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</si>
  <si>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</si>
  <si>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</si>
  <si>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</si>
  <si>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</si>
  <si>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</si>
  <si>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</si>
  <si>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</si>
  <si>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</si>
  <si>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</si>
  <si>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</si>
  <si>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</si>
  <si>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</si>
  <si>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</si>
  <si>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</si>
  <si>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</si>
  <si>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</si>
  <si>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</si>
  <si>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</si>
  <si>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</si>
  <si>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</si>
  <si>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</si>
  <si>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</si>
  <si>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</si>
  <si>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</si>
  <si>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</si>
  <si>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</si>
  <si>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</si>
  <si>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</si>
  <si>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</si>
  <si>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</si>
  <si>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</si>
  <si>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</si>
  <si>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</si>
  <si>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</si>
  <si>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</si>
  <si>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</si>
  <si>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</si>
  <si>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</si>
  <si>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</si>
  <si>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</si>
  <si>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</si>
  <si>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</si>
  <si>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</si>
  <si>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</si>
  <si>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</si>
  <si>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</si>
  <si>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</si>
  <si>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</si>
  <si>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</si>
  <si>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</si>
  <si>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</si>
  <si>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</si>
  <si>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</si>
  <si>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</si>
  <si>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</si>
  <si>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</si>
  <si>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</si>
  <si>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</si>
  <si>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</si>
  <si>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</si>
  <si>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</si>
  <si>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</si>
  <si>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</si>
  <si>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</si>
  <si>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</si>
  <si>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</si>
  <si>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</si>
  <si>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</si>
  <si>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</si>
  <si>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</si>
  <si>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</si>
  <si>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</si>
  <si>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</si>
  <si>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</si>
  <si>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</si>
  <si>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</si>
  <si>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</si>
  <si>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</si>
  <si>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</si>
  <si>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</si>
  <si>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</si>
  <si>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</si>
  <si>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</si>
  <si>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</si>
  <si>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</si>
  <si>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</si>
  <si>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</si>
  <si>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</si>
  <si>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</si>
  <si>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</si>
  <si>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</si>
  <si>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</si>
  <si>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</si>
  <si>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</si>
  <si>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</si>
  <si>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</si>
  <si>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</si>
  <si>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</si>
  <si>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</si>
  <si>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</si>
  <si>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</si>
  <si>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</si>
  <si>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</si>
  <si>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</si>
  <si>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</si>
  <si>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</si>
  <si>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</si>
  <si>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</si>
  <si>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</si>
  <si>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</si>
  <si>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</si>
  <si>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</si>
  <si>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</si>
  <si>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</si>
  <si>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</si>
  <si>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</si>
  <si>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</si>
  <si>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</si>
  <si>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</si>
  <si>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</si>
  <si>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</si>
  <si>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</si>
  <si>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</si>
  <si>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</si>
  <si>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</si>
  <si>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</si>
  <si>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</si>
  <si>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</si>
  <si>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</si>
  <si>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</si>
  <si>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</si>
  <si>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</si>
  <si>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</si>
  <si>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</si>
  <si>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</si>
  <si>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</si>
  <si>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</si>
  <si>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</si>
  <si>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</si>
  <si>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</si>
  <si>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</si>
  <si>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</si>
  <si>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</si>
  <si>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</si>
  <si>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</si>
  <si>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</si>
  <si>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</si>
  <si>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</si>
  <si>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</si>
  <si>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</si>
  <si>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</si>
  <si>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</si>
  <si>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</si>
  <si>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</si>
  <si>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</si>
  <si>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</si>
  <si>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</si>
  <si>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</si>
  <si>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</si>
  <si>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</si>
  <si>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</si>
  <si>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</si>
  <si>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</si>
  <si>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</si>
  <si>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</si>
  <si>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</si>
  <si>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</si>
  <si>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</si>
  <si>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</si>
  <si>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</si>
  <si>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</si>
  <si>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</si>
  <si>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</si>
  <si>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</si>
  <si>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</si>
  <si>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</si>
  <si>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</si>
  <si>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</si>
  <si>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</si>
  <si>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</si>
  <si>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</si>
  <si>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</si>
  <si>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</si>
  <si>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</si>
  <si>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</si>
  <si>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</si>
  <si>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</si>
  <si>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</si>
  <si>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</si>
  <si>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</si>
  <si>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</si>
  <si>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</si>
  <si>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</si>
  <si>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</si>
  <si>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</si>
  <si>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</si>
  <si>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</si>
  <si>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</si>
  <si>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</si>
  <si>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</si>
  <si>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</si>
  <si>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</si>
  <si>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</si>
  <si>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</si>
  <si>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</si>
  <si>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</si>
  <si>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</si>
  <si>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</si>
  <si>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</si>
  <si>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</si>
  <si>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</si>
  <si>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</si>
  <si>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</si>
  <si>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</si>
  <si>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</si>
  <si>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</si>
  <si>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</si>
  <si>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</si>
  <si>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</si>
  <si>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</si>
  <si>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</si>
  <si>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</si>
  <si>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</si>
  <si>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</si>
  <si>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</si>
  <si>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</si>
  <si>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</si>
  <si>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</si>
  <si>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</si>
  <si>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</si>
  <si>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</si>
  <si>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</si>
  <si>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</si>
  <si>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</si>
  <si>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</si>
  <si>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</si>
  <si>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</si>
  <si>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</si>
  <si>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</si>
  <si>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</si>
  <si>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</si>
  <si>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</si>
  <si>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</si>
  <si>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</si>
  <si>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</si>
  <si>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</si>
  <si>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</si>
  <si>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</si>
  <si>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</si>
  <si>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</si>
  <si>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</si>
  <si>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</si>
  <si>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</si>
  <si>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</si>
  <si>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</si>
  <si>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</si>
  <si>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</si>
  <si>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</si>
  <si>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</si>
  <si>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</si>
  <si>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</si>
  <si>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</si>
  <si>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</si>
  <si>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</si>
  <si>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</si>
  <si>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</si>
  <si>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</si>
  <si>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</si>
  <si>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</si>
  <si>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</si>
  <si>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</si>
  <si>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</si>
  <si>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</si>
  <si>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</si>
  <si>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</si>
  <si>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</si>
  <si>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</si>
  <si>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</si>
  <si>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</si>
  <si>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</si>
  <si>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</si>
  <si>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</si>
  <si>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</si>
  <si>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</si>
  <si>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</si>
  <si>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</si>
  <si>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</si>
  <si>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</si>
  <si>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</si>
  <si>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</si>
  <si>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</si>
  <si>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</si>
  <si>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</si>
  <si>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</si>
  <si>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</si>
  <si>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</si>
  <si>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</si>
  <si>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</si>
  <si>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</si>
  <si>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</si>
  <si>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</si>
  <si>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</si>
  <si>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</si>
  <si>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</si>
  <si>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</si>
  <si>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</si>
  <si>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</si>
  <si>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</si>
  <si>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</si>
  <si>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</si>
  <si>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</si>
  <si>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</si>
  <si>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</si>
  <si>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</si>
  <si>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</si>
  <si>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</si>
  <si>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</si>
  <si>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</si>
  <si>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</si>
  <si>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</si>
  <si>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</si>
  <si>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</si>
  <si>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</si>
  <si>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</si>
  <si>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</si>
  <si>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</si>
  <si>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</si>
  <si>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</si>
  <si>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</si>
  <si>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</si>
  <si>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</si>
  <si>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</si>
  <si>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</si>
  <si>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</si>
  <si>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</si>
  <si>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</si>
  <si>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</si>
  <si>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</si>
  <si>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</si>
  <si>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</si>
  <si>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</si>
  <si>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</si>
  <si>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</si>
  <si>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</si>
  <si>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</si>
  <si>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</si>
  <si>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</si>
  <si>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</si>
  <si>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</si>
  <si>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</si>
  <si>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</si>
  <si>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</si>
  <si>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</si>
  <si>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</si>
  <si>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</si>
  <si>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</si>
  <si>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</si>
  <si>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</si>
  <si>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</si>
  <si>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</si>
  <si>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</si>
  <si>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</si>
  <si>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</si>
  <si>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</si>
  <si>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</si>
  <si>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</si>
  <si>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</si>
  <si>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</si>
  <si>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</si>
  <si>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</si>
  <si>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</si>
  <si>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</si>
  <si>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</si>
  <si>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</si>
  <si>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</si>
  <si>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</si>
  <si>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 nuestra mayor consideracion:</t>
  </si>
  <si>
    <t>Le hacemos llegar la cotizacion y facturacion detallada por la ejecucion de Sell Sampling Bolivar en zonas B y C de las ciudades de La Paz y Santa Cruz, durante 24 fechas habiles a partir del 1 de agosto del 2017.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</si>
  <si>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</si>
  <si>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</si>
  <si>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</si>
  <si>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</si>
  <si>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</si>
  <si>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</si>
  <si>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</si>
  <si>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</si>
  <si>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</si>
  <si>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</si>
  <si>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El costo total por el servicio es de 600,291 bs ( seis cientos mil doscientos noventa y un mil bolivianos 00/100)</t>
  </si>
  <si>
    <t>Nuestra cotizacion incluye:</t>
  </si>
  <si>
    <t>• Personal con experiencia en Sampling</t>
  </si>
  <si>
    <t>Promotores con facilidad de palabra y poder de convencimiento</t>
  </si>
  <si>
    <t>• Horario de trabajo 8 horas diarias por 24 dias habiles</t>
  </si>
  <si>
    <t>• Ejecutivo de cuentas especifico y supervision por cada 10 promotores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</si>
  <si>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</si>
  <si>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</si>
  <si>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</si>
  <si>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Informes digitales cuantitativas y fotográficos.</t>
  </si>
  <si>
    <t>• Seguimientos cualitativos.</t>
  </si>
  <si>
    <t>• Documentos de identificación (Credenciales).</t>
  </si>
  <si>
    <t>• Gastos Administrativos.</t>
  </si>
  <si>
    <t>• Impuestos de Ley.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</si>
  <si>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</si>
  <si>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</si>
  <si>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</si>
  <si>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</si>
  <si>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</si>
  <si>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</si>
  <si>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</si>
  <si>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</si>
  <si>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</si>
  <si>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</si>
  <si>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</si>
  <si>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</si>
  <si>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</si>
  <si>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</si>
  <si>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</si>
  <si>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</si>
  <si>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</si>
  <si>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</si>
  <si>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</si>
  <si>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</si>
  <si>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</si>
  <si>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</si>
  <si>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</si>
  <si>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</si>
  <si>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</si>
  <si>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Material de Oficina</t>
  </si>
  <si>
    <t>SCZY LPZ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</si>
  <si>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</si>
  <si>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</si>
  <si>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</si>
  <si>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</si>
  <si>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</si>
  <si>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</si>
  <si>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</si>
  <si>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</si>
  <si>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</si>
  <si>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</si>
  <si>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</si>
  <si>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</si>
  <si>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</si>
  <si>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</si>
  <si>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</si>
  <si>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CHAPARE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</si>
  <si>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</si>
  <si>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</si>
  <si>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</si>
  <si>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</si>
  <si>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</si>
  <si>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</si>
  <si>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</si>
  <si>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</si>
  <si>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</si>
  <si>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</si>
  <si>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</si>
  <si>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</si>
  <si>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</si>
  <si>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</si>
  <si>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</si>
  <si>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</si>
  <si>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</si>
  <si>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</si>
  <si>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</si>
  <si>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</si>
  <si>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</si>
  <si>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</si>
  <si>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</si>
  <si>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</si>
  <si>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</si>
  <si>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</si>
  <si>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</si>
  <si>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</si>
  <si>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</si>
  <si>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</si>
  <si>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</si>
  <si>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</si>
  <si>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</si>
  <si>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</si>
  <si>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</si>
  <si>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ALMACEN DE GR SRL</t>
  </si>
  <si>
    <t xml:space="preserve">DETALLE DEL SERVICIO </t>
  </si>
  <si>
    <t>EVENTOS ATL</t>
  </si>
  <si>
    <t>COSTO INCURRIDO</t>
  </si>
  <si>
    <t>1.8</t>
  </si>
  <si>
    <t>EXTERNO</t>
  </si>
  <si>
    <t>LUGAR</t>
  </si>
  <si>
    <t xml:space="preserve">UNIDAD DE MEDIDA </t>
  </si>
  <si>
    <t>COSTO DE VALOR AGREGADO</t>
  </si>
  <si>
    <t>DIFERENCIA</t>
  </si>
  <si>
    <t>CIUDAD:</t>
  </si>
  <si>
    <t>TOTAL ACT. MAS CARGAS IMPOSITIVA C/U</t>
  </si>
  <si>
    <t>TOTAL ACT. MAS CARGAS IMPOSITIVA GOBLAL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</si>
  <si>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</si>
  <si>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</si>
  <si>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</si>
  <si>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</si>
  <si>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</si>
  <si>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</si>
  <si>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t>3.1</t>
  </si>
  <si>
    <t>4.2</t>
  </si>
  <si>
    <t>7.1</t>
  </si>
  <si>
    <t>8.1</t>
  </si>
  <si>
    <t>8.2</t>
  </si>
  <si>
    <t>TOTAL CLIENTE</t>
  </si>
  <si>
    <t>TOTAL/CLIENTE</t>
  </si>
  <si>
    <t>1.9</t>
  </si>
  <si>
    <t>ELABORADO  POR</t>
  </si>
  <si>
    <t>ALVARO VEGA</t>
  </si>
  <si>
    <t>1.10</t>
  </si>
  <si>
    <t xml:space="preserve">UBICACIÓN </t>
  </si>
  <si>
    <t>1.1</t>
  </si>
  <si>
    <t>1.2</t>
  </si>
  <si>
    <t>1.4</t>
  </si>
  <si>
    <t>1.3</t>
  </si>
  <si>
    <t>1.5</t>
  </si>
  <si>
    <t>1.6</t>
  </si>
  <si>
    <t>1.7</t>
  </si>
  <si>
    <t>COSTOS S/G PDF DEL PROYECTO</t>
  </si>
  <si>
    <t>COSTOS ESTIMADO S/G HOJA COSTO PROYECTO</t>
  </si>
  <si>
    <t>CERVEZERIA BOLIVIANA NACIONAL</t>
  </si>
  <si>
    <t>PERSONAL FEICOBOL</t>
  </si>
  <si>
    <t>COCHABAMBA</t>
  </si>
  <si>
    <t>IMPRESIÓN FACTURAS</t>
  </si>
  <si>
    <t>PIEZAS</t>
  </si>
  <si>
    <t>COSTO DE IT</t>
  </si>
  <si>
    <t>PASAJES SUPERVISOR</t>
  </si>
  <si>
    <t>ENTRADAS SUPERVISOR</t>
  </si>
  <si>
    <t>CREDITO DE LLAMADAS</t>
  </si>
  <si>
    <t>www.gruporegional.com</t>
  </si>
  <si>
    <t>Atentamente</t>
  </si>
  <si>
    <t>DIAS DE CREDITO</t>
  </si>
  <si>
    <t>PERSONAL INTERNO DIRECTO QUE INTERVIENE EN EL PROYECTO</t>
  </si>
  <si>
    <t>TOTAL ACT. MAS CARGAS IMPOSITIVA GOBAL</t>
  </si>
  <si>
    <t>Escoger Personal</t>
  </si>
  <si>
    <t>ch1</t>
  </si>
  <si>
    <t>ch2</t>
  </si>
  <si>
    <t>lp1</t>
  </si>
  <si>
    <t>lp2</t>
  </si>
  <si>
    <t>tr1</t>
  </si>
  <si>
    <t>tr2</t>
  </si>
  <si>
    <t>pt1</t>
  </si>
  <si>
    <t>pt2</t>
  </si>
  <si>
    <t>or1</t>
  </si>
  <si>
    <t>or2</t>
  </si>
  <si>
    <t>p1</t>
  </si>
  <si>
    <t>p2</t>
  </si>
  <si>
    <t>sc1</t>
  </si>
  <si>
    <t>sc2</t>
  </si>
  <si>
    <t>alt1</t>
  </si>
  <si>
    <t>alt2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</si>
  <si>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 V3</t>
    </r>
  </si>
  <si>
    <t>a</t>
  </si>
  <si>
    <t>b</t>
  </si>
  <si>
    <t>c</t>
  </si>
  <si>
    <t>personal</t>
  </si>
  <si>
    <t>cantidad de personas</t>
  </si>
  <si>
    <t>cant. De activaciones</t>
  </si>
  <si>
    <t>pago por activacion</t>
  </si>
  <si>
    <t>total actv. Mas cargas impostivas global</t>
  </si>
  <si>
    <t>Servicio de Respaldo Administrativo</t>
  </si>
  <si>
    <t>Costo financiero</t>
  </si>
  <si>
    <t>Activacion mas carga impsitiva</t>
  </si>
  <si>
    <t>FEE Grupo Regional</t>
  </si>
  <si>
    <t>Grossing-up tributario</t>
  </si>
  <si>
    <t>Total precio facturado</t>
  </si>
  <si>
    <t>Impuesto de facturacion en favor al cliente</t>
  </si>
  <si>
    <t>FEE Grupo Regional (%)</t>
  </si>
  <si>
    <t>Region</t>
  </si>
  <si>
    <t/>
  </si>
  <si>
    <t>Region/Ciudad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</si>
</sst>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1" formatCode="_-* #,##0_-;\-* #,##0_-;_-* &quot;-&quot;_-;_-@_-"/>
    <numFmt numFmtId="43" formatCode="_-* #,##0.00_-;\-* #,##0.00_-;_-* &quot;-&quot;??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Arial"/>
      <family val="2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5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/>
      <diagonal/>
    </border>
    <border>
      <left style="thin">
        <color indexed="64"/>
      </left>
      <right style="thin">
        <color rgb="FF548235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rgb="FF548235"/>
      </right>
      <top/>
      <bottom style="thin">
        <color rgb="FF548235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536">
    <xf numFmtId="0" fontId="0" fillId="0" borderId="0" xfId="0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4" fontId="13" fillId="1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0" fontId="8" fillId="0" borderId="0" xfId="0" applyFont="1"/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0" fontId="9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0" fillId="0" borderId="0" xfId="0"/>
    <xf numFmtId="4" fontId="9" fillId="0" borderId="0" xfId="0" applyNumberFormat="1" applyFont="1"/>
    <xf numFmtId="171" fontId="8" fillId="0" borderId="0" xfId="0" applyNumberFormat="1" applyFont="1"/>
    <xf numFmtId="41" fontId="6" fillId="0" borderId="0" xfId="0" applyNumberFormat="1" applyFont="1" applyFill="1" applyBorder="1" applyAlignment="1">
      <alignment horizontal="center" vertical="center" wrapText="1"/>
    </xf>
    <xf numFmtId="0" fontId="26" fillId="0" borderId="0" xfId="0" applyFont="1"/>
    <xf numFmtId="0" fontId="6" fillId="11" borderId="2" xfId="0" applyFont="1" applyFill="1" applyBorder="1" applyAlignment="1">
      <alignment horizontal="center" vertical="center" wrapText="1"/>
    </xf>
    <xf numFmtId="0" fontId="26" fillId="0" borderId="0" xfId="0" applyFont="1" applyFill="1"/>
    <xf numFmtId="0" fontId="26" fillId="13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13" borderId="0" xfId="0" applyFont="1" applyFill="1" applyBorder="1"/>
    <xf numFmtId="0" fontId="26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4" fontId="6" fillId="2" borderId="2" xfId="0" applyNumberFormat="1" applyFont="1" applyFill="1" applyBorder="1" applyAlignment="1">
      <alignment vertical="center"/>
    </xf>
    <xf numFmtId="4" fontId="26" fillId="0" borderId="2" xfId="0" applyNumberFormat="1" applyFont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0" fontId="26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173" fontId="13" fillId="10" borderId="0" xfId="0" applyNumberFormat="1" applyFont="1" applyFill="1"/>
    <xf numFmtId="0" fontId="8" fillId="0" borderId="0" xfId="0" applyFont="1"/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6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6" fillId="2" borderId="0" xfId="0" applyFont="1" applyFill="1"/>
    <xf numFmtId="4" fontId="26" fillId="2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 wrapText="1"/>
    </xf>
    <xf numFmtId="0" fontId="26" fillId="2" borderId="0" xfId="0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6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6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28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4" xfId="0" applyFont="1" applyFill="1" applyBorder="1" applyAlignment="1">
      <alignment vertical="center"/>
    </xf>
    <xf numFmtId="0" fontId="6" fillId="16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6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6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29" fillId="16" borderId="31" xfId="0" applyFont="1" applyFill="1" applyBorder="1" applyAlignment="1">
      <alignment horizontal="center"/>
    </xf>
    <xf numFmtId="0" fontId="32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6" fillId="0" borderId="15" xfId="0" applyNumberFormat="1" applyFont="1" applyBorder="1" applyAlignment="1">
      <alignment horizontal="center" vertical="center"/>
    </xf>
    <xf numFmtId="4" fontId="26" fillId="16" borderId="15" xfId="0" applyNumberFormat="1" applyFont="1" applyFill="1" applyBorder="1" applyAlignment="1">
      <alignment horizontal="center" vertical="center"/>
    </xf>
    <xf numFmtId="1" fontId="6" fillId="16" borderId="50" xfId="0" applyNumberFormat="1" applyFont="1" applyFill="1" applyBorder="1" applyAlignment="1">
      <alignment horizontal="center" vertical="center"/>
    </xf>
    <xf numFmtId="4" fontId="6" fillId="16" borderId="50" xfId="0" applyNumberFormat="1" applyFont="1" applyFill="1" applyBorder="1" applyAlignment="1">
      <alignment horizontal="center" vertical="center"/>
    </xf>
    <xf numFmtId="0" fontId="26" fillId="16" borderId="2" xfId="0" applyFont="1" applyFill="1" applyBorder="1" applyAlignment="1">
      <alignment horizontal="center"/>
    </xf>
    <xf numFmtId="0" fontId="6" fillId="16" borderId="50" xfId="0" applyFont="1" applyFill="1" applyBorder="1" applyAlignment="1">
      <alignment horizontal="center" vertical="center"/>
    </xf>
    <xf numFmtId="0" fontId="33" fillId="16" borderId="50" xfId="0" applyFont="1" applyFill="1" applyBorder="1" applyAlignment="1">
      <alignment horizontal="center" vertical="center"/>
    </xf>
    <xf numFmtId="9" fontId="33" fillId="11" borderId="50" xfId="1" applyFont="1" applyFill="1" applyBorder="1" applyAlignment="1">
      <alignment horizontal="center" vertical="center"/>
    </xf>
    <xf numFmtId="9" fontId="33" fillId="18" borderId="50" xfId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4" fontId="26" fillId="2" borderId="0" xfId="0" applyNumberFormat="1" applyFont="1" applyFill="1" applyBorder="1"/>
    <xf numFmtId="0" fontId="35" fillId="16" borderId="32" xfId="0" applyFont="1" applyFill="1" applyBorder="1" applyAlignment="1">
      <alignment horizontal="center"/>
    </xf>
    <xf numFmtId="0" fontId="35" fillId="16" borderId="35" xfId="0" applyFont="1" applyFill="1" applyBorder="1" applyAlignment="1">
      <alignment horizontal="center" vertical="center"/>
    </xf>
    <xf numFmtId="0" fontId="35" fillId="16" borderId="37" xfId="0" applyFont="1" applyFill="1" applyBorder="1" applyAlignment="1">
      <alignment horizontal="center" vertical="center"/>
    </xf>
    <xf numFmtId="4" fontId="37" fillId="3" borderId="50" xfId="0" applyNumberFormat="1" applyFont="1" applyFill="1" applyBorder="1" applyAlignment="1">
      <alignment horizontal="center" vertical="center"/>
    </xf>
    <xf numFmtId="0" fontId="35" fillId="16" borderId="27" xfId="0" applyFont="1" applyFill="1" applyBorder="1" applyAlignment="1">
      <alignment horizontal="center" vertical="center" wrapText="1"/>
    </xf>
    <xf numFmtId="0" fontId="35" fillId="16" borderId="28" xfId="0" applyFont="1" applyFill="1" applyBorder="1" applyAlignment="1">
      <alignment horizontal="center" vertical="center" wrapText="1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16" borderId="50" xfId="0" applyFont="1" applyFill="1" applyBorder="1" applyAlignment="1">
      <alignment vertical="center"/>
    </xf>
    <xf numFmtId="0" fontId="36" fillId="2" borderId="0" xfId="0" applyFont="1" applyFill="1" applyAlignment="1">
      <alignment horizontal="right" vertical="center"/>
    </xf>
    <xf numFmtId="0" fontId="37" fillId="2" borderId="0" xfId="0" applyFont="1" applyFill="1" applyAlignment="1">
      <alignment horizontal="right" vertical="center"/>
    </xf>
    <xf numFmtId="4" fontId="37" fillId="2" borderId="0" xfId="0" applyNumberFormat="1" applyFont="1" applyFill="1" applyBorder="1" applyAlignment="1">
      <alignment vertical="center" wrapText="1"/>
    </xf>
    <xf numFmtId="4" fontId="36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0" fontId="0" fillId="2" borderId="0" xfId="0" applyFont="1" applyFill="1"/>
    <xf numFmtId="0" fontId="6" fillId="11" borderId="0" xfId="0" applyFont="1" applyFill="1" applyAlignment="1">
      <alignment vertical="center"/>
    </xf>
    <xf numFmtId="0" fontId="42" fillId="1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14" fontId="43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6" fillId="0" borderId="2" xfId="0" applyNumberFormat="1" applyFont="1" applyBorder="1" applyAlignment="1">
      <alignment horizontal="center" vertical="center" wrapText="1"/>
    </xf>
    <xf numFmtId="41" fontId="26" fillId="0" borderId="2" xfId="0" applyNumberFormat="1" applyFont="1" applyFill="1" applyBorder="1" applyAlignment="1">
      <alignment horizontal="center" vertical="center" wrapText="1"/>
    </xf>
    <xf numFmtId="168" fontId="26" fillId="0" borderId="2" xfId="0" applyNumberFormat="1" applyFont="1" applyFill="1" applyBorder="1" applyAlignment="1">
      <alignment horizontal="center" vertical="center" wrapText="1"/>
    </xf>
    <xf numFmtId="168" fontId="26" fillId="5" borderId="2" xfId="0" applyNumberFormat="1" applyFont="1" applyFill="1" applyBorder="1" applyAlignment="1">
      <alignment horizontal="center" vertical="center" wrapText="1"/>
    </xf>
    <xf numFmtId="169" fontId="26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6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6" fillId="2" borderId="47" xfId="0" applyNumberFormat="1" applyFont="1" applyFill="1" applyBorder="1" applyAlignment="1">
      <alignment horizontal="center" vertical="center" wrapText="1"/>
    </xf>
    <xf numFmtId="41" fontId="6" fillId="2" borderId="47" xfId="0" applyNumberFormat="1" applyFont="1" applyFill="1" applyBorder="1" applyAlignment="1">
      <alignment horizontal="center" vertical="center" wrapText="1"/>
    </xf>
    <xf numFmtId="168" fontId="6" fillId="2" borderId="47" xfId="0" applyNumberFormat="1" applyFont="1" applyFill="1" applyBorder="1" applyAlignment="1">
      <alignment horizontal="center" vertical="center" wrapText="1"/>
    </xf>
    <xf numFmtId="0" fontId="6" fillId="16" borderId="50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vertical="center" wrapText="1"/>
    </xf>
    <xf numFmtId="0" fontId="6" fillId="14" borderId="50" xfId="0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6" fillId="0" borderId="14" xfId="0" applyNumberFormat="1" applyFont="1" applyBorder="1" applyAlignment="1">
      <alignment horizontal="center" vertical="center" wrapText="1"/>
    </xf>
    <xf numFmtId="41" fontId="26" fillId="0" borderId="14" xfId="0" applyNumberFormat="1" applyFont="1" applyFill="1" applyBorder="1" applyAlignment="1">
      <alignment horizontal="center" vertical="center" wrapText="1"/>
    </xf>
    <xf numFmtId="168" fontId="26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5" borderId="50" xfId="0" applyFont="1" applyFill="1" applyBorder="1" applyAlignment="1">
      <alignment horizontal="center" vertical="center" wrapText="1"/>
    </xf>
    <xf numFmtId="168" fontId="26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6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35" fillId="16" borderId="50" xfId="0" applyFont="1" applyFill="1" applyBorder="1" applyAlignment="1">
      <alignment horizontal="center" vertical="center" wrapText="1"/>
    </xf>
    <xf numFmtId="41" fontId="44" fillId="17" borderId="50" xfId="0" applyNumberFormat="1" applyFont="1" applyFill="1" applyBorder="1" applyAlignment="1">
      <alignment horizontal="center" vertical="center" wrapText="1"/>
    </xf>
    <xf numFmtId="41" fontId="31" fillId="17" borderId="50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35" fillId="16" borderId="39" xfId="0" applyFont="1" applyFill="1" applyBorder="1" applyAlignment="1">
      <alignment horizontal="center" vertical="center"/>
    </xf>
    <xf numFmtId="0" fontId="37" fillId="2" borderId="0" xfId="0" applyNumberFormat="1" applyFont="1" applyFill="1" applyBorder="1" applyAlignment="1">
      <alignment vertical="center"/>
    </xf>
    <xf numFmtId="0" fontId="45" fillId="2" borderId="0" xfId="0" applyFont="1" applyFill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37" fillId="2" borderId="0" xfId="0" applyFont="1" applyFill="1" applyBorder="1" applyAlignment="1">
      <alignment vertical="center" wrapText="1"/>
    </xf>
    <xf numFmtId="14" fontId="37" fillId="2" borderId="0" xfId="0" applyNumberFormat="1" applyFont="1" applyFill="1" applyBorder="1" applyAlignment="1">
      <alignment horizontal="left" vertical="center"/>
    </xf>
    <xf numFmtId="0" fontId="37" fillId="2" borderId="0" xfId="0" applyFont="1" applyFill="1" applyAlignment="1">
      <alignment horizontal="center" vertical="center" wrapText="1"/>
    </xf>
    <xf numFmtId="0" fontId="37" fillId="2" borderId="0" xfId="0" applyFont="1" applyFill="1" applyBorder="1" applyAlignment="1"/>
    <xf numFmtId="0" fontId="37" fillId="2" borderId="0" xfId="0" applyFont="1" applyFill="1" applyBorder="1" applyAlignment="1">
      <alignment horizontal="center"/>
    </xf>
    <xf numFmtId="0" fontId="46" fillId="2" borderId="0" xfId="0" applyFont="1" applyFill="1" applyBorder="1"/>
    <xf numFmtId="4" fontId="38" fillId="17" borderId="41" xfId="0" applyNumberFormat="1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36" fillId="16" borderId="42" xfId="0" applyFont="1" applyFill="1" applyBorder="1" applyAlignment="1">
      <alignment vertical="center"/>
    </xf>
    <xf numFmtId="0" fontId="36" fillId="16" borderId="43" xfId="0" applyFont="1" applyFill="1" applyBorder="1" applyAlignment="1">
      <alignment horizontal="center" vertical="center" wrapText="1"/>
    </xf>
    <xf numFmtId="0" fontId="36" fillId="16" borderId="43" xfId="0" applyFont="1" applyFill="1" applyBorder="1" applyAlignment="1">
      <alignment horizontal="center" vertical="center"/>
    </xf>
    <xf numFmtId="0" fontId="36" fillId="16" borderId="43" xfId="0" applyFont="1" applyFill="1" applyBorder="1" applyAlignment="1">
      <alignment vertical="center" wrapText="1"/>
    </xf>
    <xf numFmtId="0" fontId="36" fillId="16" borderId="2" xfId="0" applyFont="1" applyFill="1" applyBorder="1" applyAlignment="1">
      <alignment horizontal="center" vertical="center" wrapText="1"/>
    </xf>
    <xf numFmtId="0" fontId="37" fillId="2" borderId="0" xfId="0" applyFont="1" applyFill="1" applyAlignment="1">
      <alignment horizontal="left" vertical="center"/>
    </xf>
    <xf numFmtId="0" fontId="37" fillId="2" borderId="0" xfId="0" applyFont="1" applyFill="1"/>
    <xf numFmtId="1" fontId="35" fillId="16" borderId="29" xfId="1" applyNumberFormat="1" applyFont="1" applyFill="1" applyBorder="1" applyAlignment="1">
      <alignment horizontal="center" vertical="center" wrapText="1"/>
    </xf>
    <xf numFmtId="173" fontId="35" fillId="16" borderId="29" xfId="1" applyNumberFormat="1" applyFont="1" applyFill="1" applyBorder="1" applyAlignment="1">
      <alignment horizontal="center" vertical="center" wrapText="1"/>
    </xf>
    <xf numFmtId="4" fontId="35" fillId="16" borderId="30" xfId="0" applyNumberFormat="1" applyFont="1" applyFill="1" applyBorder="1" applyAlignment="1">
      <alignment horizontal="center" vertical="center" wrapText="1"/>
    </xf>
    <xf numFmtId="4" fontId="35" fillId="16" borderId="29" xfId="0" applyNumberFormat="1" applyFont="1" applyFill="1" applyBorder="1" applyAlignment="1">
      <alignment horizontal="center" vertical="center" wrapText="1"/>
    </xf>
    <xf numFmtId="167" fontId="35" fillId="16" borderId="29" xfId="0" applyNumberFormat="1" applyFont="1" applyFill="1" applyBorder="1" applyAlignment="1">
      <alignment horizontal="center" vertical="center" wrapText="1"/>
    </xf>
    <xf numFmtId="0" fontId="34" fillId="16" borderId="28" xfId="0" applyFont="1" applyFill="1" applyBorder="1" applyAlignment="1">
      <alignment horizontal="center" vertical="center" wrapText="1"/>
    </xf>
    <xf numFmtId="0" fontId="46" fillId="2" borderId="0" xfId="0" applyFont="1" applyFill="1"/>
    <xf numFmtId="0" fontId="23" fillId="16" borderId="53" xfId="0" applyFont="1" applyFill="1" applyBorder="1" applyAlignment="1">
      <alignment horizontal="center"/>
    </xf>
    <xf numFmtId="4" fontId="23" fillId="16" borderId="53" xfId="0" applyNumberFormat="1" applyFont="1" applyFill="1" applyBorder="1" applyAlignment="1">
      <alignment horizontal="center"/>
    </xf>
    <xf numFmtId="0" fontId="13" fillId="2" borderId="53" xfId="0" applyFont="1" applyFill="1" applyBorder="1" applyAlignment="1">
      <alignment horizontal="left" vertical="center" wrapText="1"/>
    </xf>
    <xf numFmtId="1" fontId="13" fillId="2" borderId="53" xfId="0" applyNumberFormat="1" applyFont="1" applyFill="1" applyBorder="1" applyAlignment="1">
      <alignment horizontal="center" vertical="center"/>
    </xf>
    <xf numFmtId="4" fontId="13" fillId="2" borderId="53" xfId="4" applyNumberFormat="1" applyFont="1" applyFill="1" applyBorder="1" applyAlignment="1">
      <alignment horizontal="center" vertical="center"/>
    </xf>
    <xf numFmtId="1" fontId="24" fillId="2" borderId="53" xfId="4" applyNumberFormat="1" applyFont="1" applyFill="1" applyBorder="1" applyAlignment="1" applyProtection="1">
      <alignment horizontal="center" vertical="top"/>
    </xf>
    <xf numFmtId="0" fontId="24" fillId="2" borderId="53" xfId="4" applyNumberFormat="1" applyFont="1" applyFill="1" applyBorder="1" applyAlignment="1" applyProtection="1">
      <alignment horizontal="center" vertical="top"/>
    </xf>
    <xf numFmtId="4" fontId="24" fillId="2" borderId="53" xfId="4" applyNumberFormat="1" applyFont="1" applyFill="1" applyBorder="1" applyAlignment="1" applyProtection="1">
      <alignment horizontal="center" vertical="top"/>
    </xf>
    <xf numFmtId="0" fontId="8" fillId="2" borderId="53" xfId="0" applyFont="1" applyFill="1" applyBorder="1" applyAlignment="1">
      <alignment horizontal="left" wrapText="1"/>
    </xf>
    <xf numFmtId="4" fontId="8" fillId="2" borderId="53" xfId="0" applyNumberFormat="1" applyFont="1" applyFill="1" applyBorder="1" applyAlignment="1">
      <alignment horizontal="center"/>
    </xf>
    <xf numFmtId="4" fontId="8" fillId="2" borderId="53" xfId="4" applyNumberFormat="1" applyFont="1" applyFill="1" applyBorder="1" applyAlignment="1">
      <alignment horizontal="center"/>
    </xf>
    <xf numFmtId="1" fontId="8" fillId="2" borderId="53" xfId="0" applyNumberFormat="1" applyFont="1" applyFill="1" applyBorder="1" applyAlignment="1">
      <alignment horizontal="left" wrapText="1"/>
    </xf>
    <xf numFmtId="4" fontId="8" fillId="2" borderId="55" xfId="0" applyNumberFormat="1" applyFont="1" applyFill="1" applyBorder="1" applyAlignment="1">
      <alignment horizontal="center"/>
    </xf>
    <xf numFmtId="4" fontId="8" fillId="2" borderId="55" xfId="4" applyNumberFormat="1" applyFont="1" applyFill="1" applyBorder="1" applyAlignment="1">
      <alignment horizontal="center"/>
    </xf>
    <xf numFmtId="0" fontId="23" fillId="16" borderId="54" xfId="0" applyFont="1" applyFill="1" applyBorder="1" applyAlignment="1">
      <alignment horizontal="center"/>
    </xf>
    <xf numFmtId="4" fontId="23" fillId="16" borderId="54" xfId="4" applyNumberFormat="1" applyFont="1" applyFill="1" applyBorder="1" applyAlignment="1" applyProtection="1">
      <alignment horizontal="center" vertical="top"/>
    </xf>
    <xf numFmtId="0" fontId="19" fillId="16" borderId="54" xfId="0" applyFont="1" applyFill="1" applyBorder="1" applyAlignment="1">
      <alignment horizontal="center"/>
    </xf>
    <xf numFmtId="4" fontId="37" fillId="0" borderId="6" xfId="0" applyNumberFormat="1" applyFont="1" applyBorder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" fillId="2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2" borderId="0" xfId="0" applyNumberFormat="1" applyFont="1" applyFill="1" applyBorder="1" applyAlignment="1">
      <alignment horizontal="right" vertical="center"/>
    </xf>
    <xf numFmtId="0" fontId="48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right" vertical="center" wrapText="1"/>
    </xf>
    <xf numFmtId="0" fontId="48" fillId="2" borderId="0" xfId="0" applyFont="1" applyFill="1" applyAlignment="1">
      <alignment horizontal="right" vertical="center"/>
    </xf>
    <xf numFmtId="0" fontId="0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vertical="center"/>
    </xf>
    <xf numFmtId="1" fontId="10" fillId="0" borderId="0" xfId="0" applyNumberFormat="1" applyFont="1" applyFill="1" applyBorder="1" applyAlignment="1">
      <alignment horizontal="right" vertical="center"/>
    </xf>
    <xf numFmtId="0" fontId="36" fillId="2" borderId="0" xfId="0" applyFont="1" applyFill="1" applyAlignment="1">
      <alignment horizontal="right" vertical="center" indent="1"/>
    </xf>
    <xf numFmtId="0" fontId="39" fillId="2" borderId="0" xfId="0" applyFont="1" applyFill="1" applyAlignment="1">
      <alignment vertical="center"/>
    </xf>
    <xf numFmtId="0" fontId="35" fillId="16" borderId="39" xfId="0" applyFont="1" applyFill="1" applyBorder="1" applyAlignment="1">
      <alignment vertical="center"/>
    </xf>
    <xf numFmtId="0" fontId="35" fillId="16" borderId="39" xfId="0" applyFont="1" applyFill="1" applyBorder="1" applyAlignment="1">
      <alignment vertical="center" wrapText="1"/>
    </xf>
    <xf numFmtId="0" fontId="26" fillId="0" borderId="0" xfId="0" applyFont="1" applyBorder="1"/>
    <xf numFmtId="0" fontId="42" fillId="2" borderId="0" xfId="0" applyFont="1" applyFill="1" applyBorder="1" applyAlignment="1">
      <alignment horizontal="center" vertical="center"/>
    </xf>
    <xf numFmtId="0" fontId="18" fillId="16" borderId="3" xfId="6" applyNumberFormat="1" applyFont="1" applyFill="1" applyBorder="1" applyAlignment="1" applyProtection="1">
      <alignment horizontal="center" vertical="center" wrapText="1"/>
    </xf>
    <xf numFmtId="0" fontId="18" fillId="16" borderId="6" xfId="6" applyNumberFormat="1" applyFont="1" applyFill="1" applyBorder="1" applyAlignment="1" applyProtection="1">
      <alignment horizontal="center" vertical="center"/>
    </xf>
    <xf numFmtId="0" fontId="18" fillId="16" borderId="6" xfId="6" applyNumberFormat="1" applyFont="1" applyFill="1" applyBorder="1" applyAlignment="1" applyProtection="1">
      <alignment horizontal="center" vertical="center" wrapText="1"/>
    </xf>
    <xf numFmtId="170" fontId="5" fillId="16" borderId="5" xfId="4" applyFont="1" applyFill="1" applyBorder="1" applyAlignment="1" applyProtection="1">
      <alignment horizontal="center" vertical="top"/>
    </xf>
    <xf numFmtId="170" fontId="5" fillId="16" borderId="1" xfId="4" applyFont="1" applyFill="1" applyBorder="1" applyAlignment="1" applyProtection="1">
      <alignment horizontal="center" vertical="top"/>
    </xf>
    <xf numFmtId="43" fontId="21" fillId="16" borderId="2" xfId="0" applyNumberFormat="1" applyFont="1" applyFill="1" applyBorder="1" applyAlignment="1">
      <alignment horizontal="center" vertical="center"/>
    </xf>
    <xf numFmtId="170" fontId="5" fillId="16" borderId="6" xfId="4" applyFont="1" applyFill="1" applyBorder="1" applyAlignment="1" applyProtection="1">
      <alignment horizontal="center" vertical="top"/>
    </xf>
    <xf numFmtId="43" fontId="21" fillId="16" borderId="14" xfId="0" applyNumberFormat="1" applyFont="1" applyFill="1" applyBorder="1" applyAlignment="1">
      <alignment horizontal="center" vertical="center"/>
    </xf>
    <xf numFmtId="170" fontId="18" fillId="16" borderId="6" xfId="4" applyFont="1" applyFill="1" applyBorder="1" applyAlignment="1" applyProtection="1">
      <alignment horizontal="center" vertical="top"/>
    </xf>
    <xf numFmtId="0" fontId="18" fillId="20" borderId="6" xfId="6" applyNumberFormat="1" applyFont="1" applyFill="1" applyBorder="1" applyAlignment="1" applyProtection="1">
      <alignment horizontal="center" vertical="top"/>
    </xf>
    <xf numFmtId="0" fontId="5" fillId="20" borderId="10" xfId="6" applyFont="1" applyFill="1" applyBorder="1" applyAlignment="1" applyProtection="1">
      <alignment horizontal="center" vertical="top"/>
    </xf>
    <xf numFmtId="0" fontId="5" fillId="20" borderId="6" xfId="6" applyFont="1" applyFill="1" applyBorder="1" applyAlignment="1" applyProtection="1">
      <alignment horizontal="center" vertical="top"/>
    </xf>
    <xf numFmtId="0" fontId="5" fillId="0" borderId="20" xfId="6" applyFont="1" applyFill="1" applyBorder="1" applyAlignment="1" applyProtection="1">
      <alignment horizontal="center" vertical="top"/>
    </xf>
    <xf numFmtId="0" fontId="5" fillId="0" borderId="19" xfId="6" applyNumberFormat="1" applyFont="1" applyFill="1" applyBorder="1" applyAlignment="1" applyProtection="1">
      <alignment horizontal="center" vertical="top"/>
    </xf>
    <xf numFmtId="0" fontId="5" fillId="0" borderId="14" xfId="6" applyNumberFormat="1" applyFont="1" applyFill="1" applyBorder="1" applyAlignment="1" applyProtection="1">
      <alignment horizontal="center" vertical="top"/>
    </xf>
    <xf numFmtId="170" fontId="5" fillId="0" borderId="14" xfId="4" applyNumberFormat="1" applyFont="1" applyFill="1" applyBorder="1" applyAlignment="1" applyProtection="1">
      <alignment horizontal="center" vertical="top"/>
    </xf>
    <xf numFmtId="170" fontId="5" fillId="0" borderId="2" xfId="4" applyNumberFormat="1" applyFont="1" applyFill="1" applyBorder="1" applyAlignment="1" applyProtection="1">
      <alignment horizontal="center" vertical="top"/>
    </xf>
    <xf numFmtId="0" fontId="0" fillId="0" borderId="14" xfId="0" applyFill="1" applyBorder="1"/>
    <xf numFmtId="0" fontId="0" fillId="0" borderId="2" xfId="0" applyFill="1" applyBorder="1"/>
    <xf numFmtId="0" fontId="5" fillId="0" borderId="9" xfId="6" applyFont="1" applyFill="1" applyBorder="1" applyAlignment="1" applyProtection="1">
      <alignment horizontal="center" vertical="top"/>
    </xf>
    <xf numFmtId="0" fontId="5" fillId="0" borderId="18" xfId="6" applyNumberFormat="1" applyFont="1" applyFill="1" applyBorder="1" applyAlignment="1" applyProtection="1">
      <alignment horizontal="center" vertical="top"/>
    </xf>
    <xf numFmtId="170" fontId="5" fillId="0" borderId="15" xfId="4" applyNumberFormat="1" applyFont="1" applyFill="1" applyBorder="1" applyAlignment="1" applyProtection="1">
      <alignment horizontal="center" vertical="top"/>
    </xf>
    <xf numFmtId="0" fontId="0" fillId="0" borderId="15" xfId="0" applyFill="1" applyBorder="1"/>
    <xf numFmtId="0" fontId="5" fillId="0" borderId="21" xfId="6" applyFont="1" applyFill="1" applyBorder="1" applyAlignment="1" applyProtection="1">
      <alignment horizontal="center" vertical="top"/>
    </xf>
    <xf numFmtId="0" fontId="5" fillId="0" borderId="22" xfId="6" applyFont="1" applyFill="1" applyBorder="1" applyAlignment="1" applyProtection="1">
      <alignment horizontal="center" vertical="top"/>
    </xf>
    <xf numFmtId="0" fontId="18" fillId="0" borderId="20" xfId="6" applyNumberFormat="1" applyFont="1" applyFill="1" applyBorder="1" applyAlignment="1" applyProtection="1">
      <alignment horizontal="center" vertical="top"/>
    </xf>
    <xf numFmtId="0" fontId="18" fillId="0" borderId="21" xfId="6" applyNumberFormat="1" applyFont="1" applyFill="1" applyBorder="1" applyAlignment="1" applyProtection="1">
      <alignment horizontal="center" vertical="top"/>
    </xf>
    <xf numFmtId="0" fontId="18" fillId="0" borderId="22" xfId="6" applyNumberFormat="1" applyFont="1" applyFill="1" applyBorder="1" applyAlignment="1" applyProtection="1">
      <alignment horizontal="center" vertical="top"/>
    </xf>
    <xf numFmtId="0" fontId="20" fillId="0" borderId="19" xfId="5" applyFont="1" applyFill="1" applyBorder="1" applyAlignment="1">
      <alignment horizontal="center"/>
    </xf>
    <xf numFmtId="0" fontId="20" fillId="0" borderId="14" xfId="5" applyFont="1" applyFill="1" applyBorder="1" applyAlignment="1">
      <alignment horizontal="center"/>
    </xf>
    <xf numFmtId="0" fontId="20" fillId="0" borderId="14" xfId="5" applyFont="1" applyFill="1" applyBorder="1"/>
    <xf numFmtId="0" fontId="20" fillId="0" borderId="12" xfId="5" applyFont="1" applyFill="1" applyBorder="1"/>
    <xf numFmtId="0" fontId="5" fillId="0" borderId="17" xfId="6" applyNumberFormat="1" applyFont="1" applyFill="1" applyBorder="1" applyAlignment="1" applyProtection="1">
      <alignment horizontal="center" vertical="top"/>
    </xf>
    <xf numFmtId="0" fontId="5" fillId="0" borderId="13" xfId="6" applyNumberFormat="1" applyFont="1" applyFill="1" applyBorder="1" applyAlignment="1" applyProtection="1">
      <alignment horizontal="center" vertical="top"/>
    </xf>
    <xf numFmtId="0" fontId="0" fillId="0" borderId="0" xfId="0" applyFill="1"/>
    <xf numFmtId="0" fontId="5" fillId="0" borderId="23" xfId="6" applyFont="1" applyFill="1" applyBorder="1" applyAlignment="1" applyProtection="1">
      <alignment horizontal="center" vertical="top"/>
    </xf>
    <xf numFmtId="0" fontId="5" fillId="0" borderId="24" xfId="6" applyNumberFormat="1" applyFont="1" applyFill="1" applyBorder="1" applyAlignment="1" applyProtection="1">
      <alignment horizontal="center" vertical="top"/>
    </xf>
    <xf numFmtId="0" fontId="5" fillId="0" borderId="25" xfId="6" applyNumberFormat="1" applyFont="1" applyFill="1" applyBorder="1" applyAlignment="1" applyProtection="1">
      <alignment horizontal="center" vertical="top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14" fillId="10" borderId="0" xfId="0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3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2" borderId="2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0" fontId="14" fillId="25" borderId="0" xfId="0" applyFont="1" applyFill="1" applyBorder="1" applyAlignment="1">
      <alignment horizontal="center"/>
    </xf>
    <xf numFmtId="0" fontId="14" fillId="18" borderId="0" xfId="0" applyFont="1" applyFill="1" applyBorder="1" applyAlignment="1">
      <alignment horizontal="center"/>
    </xf>
    <xf numFmtId="0" fontId="14" fillId="24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8" fillId="0" borderId="0" xfId="0" applyFont="1"/>
    <xf numFmtId="0" fontId="8" fillId="0" borderId="0" xfId="0" applyFont="1" applyAlignment="1">
      <alignment horizontal="center" vertical="center" wrapText="1"/>
    </xf>
    <xf numFmtId="0" fontId="8" fillId="0" borderId="0" xfId="0" applyFont="1"/>
    <xf numFmtId="43" fontId="26" fillId="2" borderId="0" xfId="0" applyNumberFormat="1" applyFont="1" applyFill="1" applyAlignment="1">
      <alignment wrapText="1"/>
    </xf>
    <xf numFmtId="2" fontId="0" fillId="0" borderId="0" xfId="0" applyNumberFormat="1"/>
    <xf numFmtId="10" fontId="0" fillId="0" borderId="0" xfId="0" applyNumberFormat="1"/>
    <xf numFmtId="0" fontId="1" fillId="0" borderId="2" xfId="0" applyFont="1" applyBorder="1" applyAlignment="1">
      <alignment wrapText="1"/>
    </xf>
    <xf numFmtId="0" fontId="1" fillId="0" borderId="2" xfId="0" applyFont="1" applyBorder="1"/>
    <xf numFmtId="0" fontId="6" fillId="0" borderId="13" xfId="0" applyFont="1" applyFill="1" applyBorder="1" applyAlignment="1">
      <alignment vertical="center" wrapText="1"/>
    </xf>
    <xf numFmtId="0" fontId="1" fillId="0" borderId="14" xfId="0" applyFont="1" applyFill="1" applyBorder="1" applyAlignment="1">
      <alignment wrapText="1"/>
    </xf>
    <xf numFmtId="0" fontId="23" fillId="16" borderId="55" xfId="0" applyFont="1" applyFill="1" applyBorder="1" applyAlignment="1">
      <alignment horizontal="center"/>
    </xf>
    <xf numFmtId="0" fontId="23" fillId="16" borderId="57" xfId="0" applyFont="1" applyFill="1" applyBorder="1" applyAlignment="1">
      <alignment horizontal="center"/>
    </xf>
    <xf numFmtId="1" fontId="24" fillId="2" borderId="57" xfId="4" applyNumberFormat="1" applyFont="1" applyFill="1" applyBorder="1" applyAlignment="1" applyProtection="1">
      <alignment horizontal="center" vertical="top"/>
    </xf>
    <xf numFmtId="41" fontId="24" fillId="2" borderId="57" xfId="4" applyNumberFormat="1" applyFont="1" applyFill="1" applyBorder="1" applyAlignment="1" applyProtection="1">
      <alignment horizontal="center" vertical="top"/>
    </xf>
    <xf numFmtId="4" fontId="24" fillId="2" borderId="57" xfId="4" applyNumberFormat="1" applyFont="1" applyFill="1" applyBorder="1" applyAlignment="1" applyProtection="1">
      <alignment horizontal="center" vertical="top"/>
    </xf>
    <xf numFmtId="2" fontId="26" fillId="0" borderId="2" xfId="0" applyNumberFormat="1" applyFont="1" applyBorder="1"/>
    <xf numFmtId="4" fontId="13" fillId="0" borderId="53" xfId="0" applyNumberFormat="1" applyFont="1" applyBorder="1"/>
    <xf numFmtId="0" fontId="8" fillId="0" borderId="53" xfId="0" applyFont="1" applyBorder="1"/>
    <xf numFmtId="4" fontId="8" fillId="2" borderId="56" xfId="4" applyNumberFormat="1" applyFont="1" applyFill="1" applyBorder="1" applyAlignment="1">
      <alignment horizontal="center" vertical="center"/>
    </xf>
    <xf numFmtId="4" fontId="23" fillId="16" borderId="55" xfId="0" applyNumberFormat="1" applyFont="1" applyFill="1" applyBorder="1" applyAlignment="1">
      <alignment horizontal="center" wrapText="1"/>
    </xf>
    <xf numFmtId="4" fontId="6" fillId="16" borderId="50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4" fontId="37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2" fillId="16" borderId="0" xfId="0" applyFont="1" applyFill="1" applyBorder="1" applyAlignment="1">
      <alignment horizontal="center" vertical="center" wrapText="1"/>
    </xf>
    <xf numFmtId="4" fontId="6" fillId="11" borderId="0" xfId="0" applyNumberFormat="1" applyFont="1" applyFill="1" applyBorder="1" applyAlignment="1">
      <alignment horizontal="center" vertical="center"/>
    </xf>
    <xf numFmtId="4" fontId="6" fillId="16" borderId="0" xfId="0" applyNumberFormat="1" applyFont="1" applyFill="1" applyBorder="1" applyAlignment="1">
      <alignment horizontal="center" vertical="center"/>
    </xf>
    <xf numFmtId="4" fontId="6" fillId="16" borderId="0" xfId="0" applyNumberFormat="1" applyFont="1" applyFill="1" applyBorder="1" applyAlignment="1">
      <alignment horizontal="center" vertical="center" wrapText="1"/>
    </xf>
    <xf numFmtId="0" fontId="6" fillId="16" borderId="0" xfId="0" applyFont="1" applyFill="1" applyBorder="1" applyAlignment="1">
      <alignment horizontal="center" vertical="center"/>
    </xf>
    <xf numFmtId="9" fontId="33" fillId="18" borderId="0" xfId="1" applyFont="1" applyFill="1" applyBorder="1" applyAlignment="1">
      <alignment horizontal="center" vertical="center"/>
    </xf>
    <xf numFmtId="168" fontId="26" fillId="0" borderId="14" xfId="0" applyNumberFormat="1" applyFont="1" applyFill="1" applyBorder="1" applyAlignment="1">
      <alignment horizontal="center" vertical="center" wrapText="1"/>
    </xf>
    <xf numFmtId="168" fontId="26" fillId="0" borderId="26" xfId="0" applyNumberFormat="1" applyFont="1" applyFill="1" applyBorder="1" applyAlignment="1">
      <alignment horizontal="center" vertical="center" wrapText="1"/>
    </xf>
    <xf numFmtId="168" fontId="26" fillId="0" borderId="11" xfId="0" applyNumberFormat="1" applyFont="1" applyFill="1" applyBorder="1" applyAlignment="1">
      <alignment horizontal="center" vertical="center" wrapText="1"/>
    </xf>
    <xf numFmtId="168" fontId="6" fillId="16" borderId="16" xfId="0" applyNumberFormat="1" applyFont="1" applyFill="1" applyBorder="1" applyAlignment="1">
      <alignment horizontal="center" vertical="center" wrapText="1"/>
    </xf>
    <xf numFmtId="0" fontId="34" fillId="16" borderId="0" xfId="0" applyFont="1" applyFill="1" applyBorder="1" applyAlignment="1">
      <alignment horizontal="center" vertical="center" wrapText="1"/>
    </xf>
    <xf numFmtId="4" fontId="35" fillId="16" borderId="0" xfId="0" applyNumberFormat="1" applyFont="1" applyFill="1" applyBorder="1" applyAlignment="1">
      <alignment horizontal="center" vertical="center" wrapText="1"/>
    </xf>
    <xf numFmtId="0" fontId="35" fillId="16" borderId="7" xfId="0" applyFont="1" applyFill="1" applyBorder="1" applyAlignment="1">
      <alignment horizontal="center" vertical="center" wrapText="1"/>
    </xf>
    <xf numFmtId="4" fontId="35" fillId="16" borderId="47" xfId="0" applyNumberFormat="1" applyFont="1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5" xfId="0" applyFont="1" applyFill="1" applyBorder="1" applyAlignment="1">
      <alignment horizontal="center" vertical="center" wrapText="1"/>
    </xf>
    <xf numFmtId="0" fontId="30" fillId="12" borderId="0" xfId="0" applyFont="1" applyFill="1" applyAlignment="1">
      <alignment horizontal="center" vertical="center"/>
    </xf>
    <xf numFmtId="0" fontId="29" fillId="16" borderId="50" xfId="0" applyFont="1" applyFill="1" applyBorder="1" applyAlignment="1">
      <alignment horizontal="center" vertical="center" wrapText="1"/>
    </xf>
    <xf numFmtId="168" fontId="31" fillId="17" borderId="50" xfId="0" applyNumberFormat="1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168" fontId="31" fillId="17" borderId="50" xfId="0" applyNumberFormat="1" applyFont="1" applyFill="1" applyBorder="1" applyAlignment="1">
      <alignment vertical="center" wrapText="1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41" fillId="17" borderId="40" xfId="0" applyFont="1" applyFill="1" applyBorder="1" applyAlignment="1">
      <alignment horizontal="center" vertical="center"/>
    </xf>
    <xf numFmtId="0" fontId="38" fillId="17" borderId="40" xfId="0" applyFont="1" applyFill="1" applyBorder="1" applyAlignment="1">
      <alignment horizontal="center" vertical="center" wrapText="1"/>
    </xf>
    <xf numFmtId="4" fontId="37" fillId="10" borderId="3" xfId="0" applyNumberFormat="1" applyFont="1" applyFill="1" applyBorder="1" applyAlignment="1">
      <alignment horizontal="center" vertical="center"/>
    </xf>
    <xf numFmtId="4" fontId="37" fillId="10" borderId="4" xfId="0" applyNumberFormat="1" applyFont="1" applyFill="1" applyBorder="1" applyAlignment="1">
      <alignment horizontal="center" vertical="center"/>
    </xf>
    <xf numFmtId="0" fontId="37" fillId="10" borderId="4" xfId="0" applyFont="1" applyFill="1" applyBorder="1" applyAlignment="1">
      <alignment horizontal="center" vertical="center"/>
    </xf>
    <xf numFmtId="0" fontId="37" fillId="10" borderId="5" xfId="0" applyFont="1" applyFill="1" applyBorder="1" applyAlignment="1">
      <alignment horizontal="center" vertical="center"/>
    </xf>
    <xf numFmtId="4" fontId="28" fillId="17" borderId="14" xfId="0" applyNumberFormat="1" applyFont="1" applyFill="1" applyBorder="1" applyAlignment="1">
      <alignment horizontal="center" vertical="center" wrapText="1"/>
    </xf>
    <xf numFmtId="4" fontId="28" fillId="17" borderId="2" xfId="0" applyNumberFormat="1" applyFont="1" applyFill="1" applyBorder="1" applyAlignment="1">
      <alignment horizontal="center" vertical="center" wrapText="1"/>
    </xf>
    <xf numFmtId="0" fontId="36" fillId="2" borderId="0" xfId="0" applyFont="1" applyFill="1" applyBorder="1" applyAlignment="1">
      <alignment horizontal="left" vertical="center" wrapText="1"/>
    </xf>
    <xf numFmtId="0" fontId="37" fillId="2" borderId="0" xfId="0" applyFont="1" applyFill="1" applyBorder="1" applyAlignment="1">
      <alignment horizontal="left" vertical="center" wrapText="1"/>
    </xf>
    <xf numFmtId="0" fontId="46" fillId="2" borderId="0" xfId="0" applyFont="1" applyFill="1" applyAlignment="1">
      <alignment horizontal="left" vertical="center"/>
    </xf>
    <xf numFmtId="0" fontId="6" fillId="2" borderId="0" xfId="0" applyFont="1" applyFill="1" applyBorder="1" applyAlignment="1">
      <alignment horizontal="center" vertical="center"/>
    </xf>
    <xf numFmtId="0" fontId="42" fillId="16" borderId="15" xfId="0" applyFont="1" applyFill="1" applyBorder="1" applyAlignment="1">
      <alignment horizontal="center" vertical="center" wrapText="1"/>
    </xf>
    <xf numFmtId="0" fontId="42" fillId="16" borderId="14" xfId="0" applyFont="1" applyFill="1" applyBorder="1" applyAlignment="1">
      <alignment horizontal="center" vertical="center" wrapText="1"/>
    </xf>
    <xf numFmtId="0" fontId="42" fillId="16" borderId="50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4" fontId="37" fillId="19" borderId="3" xfId="0" applyNumberFormat="1" applyFont="1" applyFill="1" applyBorder="1" applyAlignment="1">
      <alignment horizontal="center" vertical="center"/>
    </xf>
    <xf numFmtId="0" fontId="37" fillId="19" borderId="5" xfId="0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horizontal="left" vertical="center" wrapText="1"/>
    </xf>
    <xf numFmtId="0" fontId="38" fillId="17" borderId="40" xfId="0" applyNumberFormat="1" applyFont="1" applyFill="1" applyBorder="1" applyAlignment="1">
      <alignment horizontal="center" vertical="center"/>
    </xf>
    <xf numFmtId="0" fontId="38" fillId="17" borderId="41" xfId="0" applyNumberFormat="1" applyFont="1" applyFill="1" applyBorder="1" applyAlignment="1">
      <alignment horizontal="center" vertical="center"/>
    </xf>
    <xf numFmtId="0" fontId="47" fillId="17" borderId="40" xfId="8" applyFont="1" applyFill="1" applyBorder="1" applyAlignment="1">
      <alignment horizontal="center" vertical="center"/>
    </xf>
    <xf numFmtId="0" fontId="47" fillId="17" borderId="41" xfId="8" applyFont="1" applyFill="1" applyBorder="1" applyAlignment="1">
      <alignment horizontal="center" vertical="center"/>
    </xf>
    <xf numFmtId="14" fontId="38" fillId="17" borderId="40" xfId="0" applyNumberFormat="1" applyFont="1" applyFill="1" applyBorder="1" applyAlignment="1">
      <alignment horizontal="center" vertical="center"/>
    </xf>
    <xf numFmtId="14" fontId="38" fillId="17" borderId="41" xfId="0" applyNumberFormat="1" applyFont="1" applyFill="1" applyBorder="1" applyAlignment="1">
      <alignment horizontal="center" vertical="center"/>
    </xf>
    <xf numFmtId="0" fontId="35" fillId="16" borderId="39" xfId="0" applyFont="1" applyFill="1" applyBorder="1" applyAlignment="1">
      <alignment horizontal="center" vertical="center" wrapText="1"/>
    </xf>
    <xf numFmtId="0" fontId="35" fillId="16" borderId="40" xfId="0" applyFont="1" applyFill="1" applyBorder="1" applyAlignment="1">
      <alignment horizontal="center" vertical="center" wrapText="1"/>
    </xf>
    <xf numFmtId="14" fontId="41" fillId="17" borderId="40" xfId="0" applyNumberFormat="1" applyFont="1" applyFill="1" applyBorder="1" applyAlignment="1">
      <alignment horizontal="center" vertical="center"/>
    </xf>
    <xf numFmtId="14" fontId="41" fillId="17" borderId="41" xfId="0" applyNumberFormat="1" applyFont="1" applyFill="1" applyBorder="1" applyAlignment="1">
      <alignment horizontal="center" vertical="center"/>
    </xf>
    <xf numFmtId="4" fontId="29" fillId="16" borderId="29" xfId="0" applyNumberFormat="1" applyFont="1" applyFill="1" applyBorder="1" applyAlignment="1">
      <alignment horizontal="center" vertical="center"/>
    </xf>
    <xf numFmtId="4" fontId="29" fillId="16" borderId="30" xfId="0" applyNumberFormat="1" applyFont="1" applyFill="1" applyBorder="1" applyAlignment="1">
      <alignment horizontal="center" vertical="center"/>
    </xf>
    <xf numFmtId="0" fontId="35" fillId="16" borderId="33" xfId="0" applyFont="1" applyFill="1" applyBorder="1" applyAlignment="1">
      <alignment horizontal="center"/>
    </xf>
    <xf numFmtId="0" fontId="35" fillId="16" borderId="34" xfId="0" applyFont="1" applyFill="1" applyBorder="1" applyAlignment="1">
      <alignment horizontal="center"/>
    </xf>
    <xf numFmtId="4" fontId="35" fillId="16" borderId="2" xfId="0" applyNumberFormat="1" applyFont="1" applyFill="1" applyBorder="1" applyAlignment="1">
      <alignment horizontal="center" vertical="center"/>
    </xf>
    <xf numFmtId="4" fontId="35" fillId="16" borderId="36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35" fillId="16" borderId="50" xfId="0" applyFont="1" applyFill="1" applyBorder="1" applyAlignment="1">
      <alignment horizontal="center" vertical="center" wrapText="1"/>
    </xf>
    <xf numFmtId="41" fontId="44" fillId="17" borderId="50" xfId="0" applyNumberFormat="1" applyFont="1" applyFill="1" applyBorder="1" applyAlignment="1">
      <alignment horizontal="center" vertical="center" wrapText="1"/>
    </xf>
    <xf numFmtId="166" fontId="6" fillId="0" borderId="0" xfId="0" applyNumberFormat="1" applyFont="1" applyBorder="1" applyAlignment="1">
      <alignment horizontal="center" vertical="center"/>
    </xf>
    <xf numFmtId="4" fontId="35" fillId="16" borderId="2" xfId="1" applyNumberFormat="1" applyFont="1" applyFill="1" applyBorder="1" applyAlignment="1">
      <alignment horizontal="center" vertical="center"/>
    </xf>
    <xf numFmtId="4" fontId="35" fillId="16" borderId="36" xfId="1" applyNumberFormat="1" applyFont="1" applyFill="1" applyBorder="1" applyAlignment="1">
      <alignment horizontal="center" vertical="center"/>
    </xf>
    <xf numFmtId="0" fontId="33" fillId="0" borderId="50" xfId="0" applyFont="1" applyBorder="1" applyAlignment="1">
      <alignment horizontal="center" vertical="center"/>
    </xf>
    <xf numFmtId="0" fontId="37" fillId="3" borderId="51" xfId="0" applyFont="1" applyFill="1" applyBorder="1" applyAlignment="1">
      <alignment horizontal="center"/>
    </xf>
    <xf numFmtId="0" fontId="37" fillId="3" borderId="58" xfId="0" applyFont="1" applyFill="1" applyBorder="1" applyAlignment="1">
      <alignment horizontal="center"/>
    </xf>
    <xf numFmtId="0" fontId="37" fillId="3" borderId="52" xfId="0" applyFont="1" applyFill="1" applyBorder="1" applyAlignment="1">
      <alignment horizontal="center"/>
    </xf>
    <xf numFmtId="0" fontId="37" fillId="16" borderId="11" xfId="0" applyFont="1" applyFill="1" applyBorder="1" applyAlignment="1">
      <alignment horizontal="center" vertical="center"/>
    </xf>
    <xf numFmtId="0" fontId="37" fillId="16" borderId="12" xfId="0" applyFont="1" applyFill="1" applyBorder="1" applyAlignment="1">
      <alignment horizontal="center" vertical="center"/>
    </xf>
    <xf numFmtId="0" fontId="37" fillId="16" borderId="8" xfId="0" applyFont="1" applyFill="1" applyBorder="1" applyAlignment="1">
      <alignment horizontal="center" vertical="center"/>
    </xf>
    <xf numFmtId="0" fontId="35" fillId="16" borderId="48" xfId="0" applyFont="1" applyFill="1" applyBorder="1" applyAlignment="1">
      <alignment horizontal="center" vertical="center"/>
    </xf>
    <xf numFmtId="0" fontId="35" fillId="16" borderId="49" xfId="0" applyFont="1" applyFill="1" applyBorder="1" applyAlignment="1">
      <alignment horizontal="center" vertical="center"/>
    </xf>
    <xf numFmtId="0" fontId="35" fillId="16" borderId="48" xfId="0" applyFont="1" applyFill="1" applyBorder="1" applyAlignment="1">
      <alignment horizontal="center" vertical="center" wrapText="1"/>
    </xf>
    <xf numFmtId="0" fontId="35" fillId="16" borderId="49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41" fontId="31" fillId="17" borderId="50" xfId="0" applyNumberFormat="1" applyFont="1" applyFill="1" applyBorder="1" applyAlignment="1">
      <alignment vertical="center" wrapText="1"/>
    </xf>
    <xf numFmtId="0" fontId="39" fillId="2" borderId="0" xfId="0" applyFont="1" applyFill="1" applyAlignment="1">
      <alignment horizontal="center" vertical="center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50" fillId="0" borderId="0" xfId="0" applyFont="1" applyAlignment="1">
      <alignment horizontal="center"/>
    </xf>
    <xf numFmtId="0" fontId="17" fillId="10" borderId="0" xfId="0" applyFont="1" applyFill="1" applyAlignment="1">
      <alignment horizontal="center"/>
    </xf>
    <xf numFmtId="0" fontId="14" fillId="24" borderId="0" xfId="0" applyFont="1" applyFill="1" applyBorder="1" applyAlignment="1">
      <alignment horizontal="center"/>
    </xf>
    <xf numFmtId="0" fontId="14" fillId="18" borderId="0" xfId="0" applyFont="1" applyFill="1" applyBorder="1" applyAlignment="1">
      <alignment horizontal="center"/>
    </xf>
    <xf numFmtId="0" fontId="14" fillId="25" borderId="0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3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left"/>
    </xf>
    <xf numFmtId="0" fontId="22" fillId="0" borderId="0" xfId="0" applyFont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27" fillId="0" borderId="0" xfId="0" applyFont="1" applyAlignment="1">
      <alignment horizontal="center" vertical="center"/>
    </xf>
    <xf numFmtId="0" fontId="8" fillId="0" borderId="0" xfId="0" applyFont="1" applyFill="1" applyBorder="1"/>
    <xf numFmtId="0" fontId="15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49" fillId="0" borderId="0" xfId="8" applyFont="1" applyAlignment="1">
      <alignment horizontal="center" wrapText="1"/>
    </xf>
    <xf numFmtId="0" fontId="22" fillId="0" borderId="0" xfId="0" applyFont="1" applyAlignment="1">
      <alignment horizontal="center" wrapText="1"/>
    </xf>
    <xf numFmtId="4" fontId="8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0" fontId="18" fillId="20" borderId="3" xfId="6" applyNumberFormat="1" applyFont="1" applyFill="1" applyBorder="1" applyAlignment="1" applyProtection="1">
      <alignment horizontal="center" vertical="top"/>
    </xf>
    <xf numFmtId="0" fontId="18" fillId="20" borderId="4" xfId="6" applyNumberFormat="1" applyFont="1" applyFill="1" applyBorder="1" applyAlignment="1" applyProtection="1">
      <alignment horizontal="center" vertical="top"/>
    </xf>
    <xf numFmtId="0" fontId="18" fillId="20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5" fillId="20" borderId="3" xfId="6" applyFont="1" applyFill="1" applyBorder="1" applyAlignment="1" applyProtection="1">
      <alignment horizontal="center" vertical="top"/>
    </xf>
    <xf numFmtId="0" fontId="5" fillId="20" borderId="4" xfId="6" applyFont="1" applyFill="1" applyBorder="1" applyAlignment="1" applyProtection="1">
      <alignment horizontal="center" vertical="top"/>
    </xf>
    <xf numFmtId="0" fontId="5" fillId="20" borderId="5" xfId="6" applyFont="1" applyFill="1" applyBorder="1" applyAlignment="1" applyProtection="1">
      <alignment horizontal="center" vertical="top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6" fmlaRange="HOJA_DE_TRABAJO!$B$29:$B$40" noThreeD="1" sel="2" val="0"/>
</file>

<file path=xl/ctrlProps/ctrlProp2.xml><?xml version="1.0" encoding="utf-8"?>
<formControlPr xmlns="http://schemas.microsoft.com/office/spreadsheetml/2009/9/main" objectType="Drop" dropStyle="combo" dx="16" fmlaLink="$A$27" fmlaRange="HOJA_DE_TRABAJO!$B$45:$B$56" noThreeD="1" sel="1" val="0"/>
</file>

<file path=xl/ctrlProps/ctrlProp3.xml><?xml version="1.0" encoding="utf-8"?>
<formControlPr xmlns="http://schemas.microsoft.com/office/spreadsheetml/2009/9/main" objectType="Drop" dropStyle="combo" dx="16" fmlaLink="$A$48" fmlaRange="HOJA_DE_TRABAJO!$B$61:$B$72" noThreeD="1" sel="1" val="0"/>
</file>

<file path=xl/ctrlProps/ctrlProp4.xml><?xml version="1.0" encoding="utf-8"?>
<formControlPr xmlns="http://schemas.microsoft.com/office/spreadsheetml/2009/9/main" objectType="Drop" dropStyle="combo" dx="16" fmlaLink="$A$69" fmlaRange="HOJA_DE_TRABAJO!$B$77:$B$88" noThreeD="1" sel="1" val="0"/>
</file>

<file path=xl/ctrlProps/ctrlProp5.xml><?xml version="1.0" encoding="utf-8"?>
<formControlPr xmlns="http://schemas.microsoft.com/office/spreadsheetml/2009/9/main" objectType="Drop" dropStyle="combo" dx="16" fmlaLink="$A$90" fmlaRange="HOJA_DE_TRABAJO!$B$93:$B$104" noThreeD="1" sel="1" val="0"/>
</file>

<file path=xl/ctrlProps/ctrlProp6.xml><?xml version="1.0" encoding="utf-8"?>
<formControlPr xmlns="http://schemas.microsoft.com/office/spreadsheetml/2009/9/main" objectType="Drop" dropStyle="combo" dx="16" fmlaLink="$A$111" fmlaRange="HOJA_DE_TRABAJO!$B$109:$B$120" noThreeD="1" sel="1" val="0"/>
</file>

<file path=xl/ctrlProps/ctrlProp7.xml><?xml version="1.0" encoding="utf-8"?>
<formControlPr xmlns="http://schemas.microsoft.com/office/spreadsheetml/2009/9/main" objectType="Drop" dropStyle="combo" dx="16" fmlaLink="$A$132" fmlaRange="HOJA_DE_TRABAJO!$B$125:$B$136" noThreeD="1" sel="1" val="0"/>
</file>

<file path=xl/ctrlProps/ctrlProp8.xml><?xml version="1.0" encoding="utf-8"?>
<formControlPr xmlns="http://schemas.microsoft.com/office/spreadsheetml/2009/9/main" objectType="Drop" dropStyle="combo" dx="16" fmlaLink="$A$153" fmlaRange="HOJA_DE_TRABAJO!$B$141:$B$152" noThreeD="1" sel="1" val="0"/>
</file>

<file path=xl/ctrlProps/ctrlProp9.xml><?xml version="1.0" encoding="utf-8"?>
<formControlPr xmlns="http://schemas.microsoft.com/office/spreadsheetml/2009/9/main" objectType="Drop" dropStyle="combo" dx="16" fmlaLink="$A$174" fmlaRange="HOJA_DE_TRABAJO!$B$157:$B$168" noThreeD="1" sel="3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231322</xdr:colOff>
      <xdr:row>261</xdr:row>
      <xdr:rowOff>136072</xdr:rowOff>
    </xdr:from>
    <xdr:to>
      <xdr:col>3</xdr:col>
      <xdr:colOff>408215</xdr:colOff>
      <xdr:row>261</xdr:row>
      <xdr:rowOff>272143</xdr:rowOff>
    </xdr:to>
    <xdr:sp macro="" textlink="">
      <xdr:nvSpPr>
        <xdr:cNvPr id="2" name="Flecha a la derecha con muesc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261</xdr:row>
      <xdr:rowOff>138794</xdr:rowOff>
    </xdr:from>
    <xdr:to>
      <xdr:col>3</xdr:col>
      <xdr:colOff>887187</xdr:colOff>
      <xdr:row>261</xdr:row>
      <xdr:rowOff>274865</xdr:rowOff>
    </xdr:to>
    <xdr:sp macro="" textlink="">
      <xdr:nvSpPr>
        <xdr:cNvPr id="5" name="Flecha a la derecha con muesc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261</xdr:row>
      <xdr:rowOff>155121</xdr:rowOff>
    </xdr:from>
    <xdr:to>
      <xdr:col>3</xdr:col>
      <xdr:colOff>1352551</xdr:colOff>
      <xdr:row>261</xdr:row>
      <xdr:rowOff>291192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76200</xdr:rowOff>
        </xdr:from>
        <xdr:to>
          <xdr:col>11</xdr:col>
          <xdr:colOff>876300</xdr:colOff>
          <xdr:row>3</xdr:row>
          <xdr:rowOff>0</xdr:rowOff>
        </xdr:to>
        <xdr:sp macro="" textlink="">
          <xdr:nvSpPr>
            <xdr:cNvPr id="3182" name="CommandButton1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</xdr:row>
          <xdr:rowOff>104775</xdr:rowOff>
        </xdr:from>
        <xdr:to>
          <xdr:col>10</xdr:col>
          <xdr:colOff>923925</xdr:colOff>
          <xdr:row>3</xdr:row>
          <xdr:rowOff>9525</xdr:rowOff>
        </xdr:to>
        <xdr:sp macro="" textlink="">
          <xdr:nvSpPr>
            <xdr:cNvPr id="3184" name="CommandButton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0</xdr:rowOff>
        </xdr:from>
        <xdr:to>
          <xdr:col>3</xdr:col>
          <xdr:colOff>171450</xdr:colOff>
          <xdr:row>3</xdr:row>
          <xdr:rowOff>228600</xdr:rowOff>
        </xdr:to>
        <xdr:sp macro="" textlink="">
          <xdr:nvSpPr>
            <xdr:cNvPr id="21506" name="Drop Dow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24</xdr:row>
          <xdr:rowOff>0</xdr:rowOff>
        </xdr:from>
        <xdr:to>
          <xdr:col>3</xdr:col>
          <xdr:colOff>171450</xdr:colOff>
          <xdr:row>24</xdr:row>
          <xdr:rowOff>228600</xdr:rowOff>
        </xdr:to>
        <xdr:sp macro="" textlink="">
          <xdr:nvSpPr>
            <xdr:cNvPr id="21507" name="Drop Dow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45</xdr:row>
          <xdr:rowOff>0</xdr:rowOff>
        </xdr:from>
        <xdr:to>
          <xdr:col>3</xdr:col>
          <xdr:colOff>171450</xdr:colOff>
          <xdr:row>45</xdr:row>
          <xdr:rowOff>228600</xdr:rowOff>
        </xdr:to>
        <xdr:sp macro="" textlink="">
          <xdr:nvSpPr>
            <xdr:cNvPr id="21508" name="Drop Dow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66</xdr:row>
          <xdr:rowOff>0</xdr:rowOff>
        </xdr:from>
        <xdr:to>
          <xdr:col>3</xdr:col>
          <xdr:colOff>171450</xdr:colOff>
          <xdr:row>66</xdr:row>
          <xdr:rowOff>228600</xdr:rowOff>
        </xdr:to>
        <xdr:sp macro="" textlink="">
          <xdr:nvSpPr>
            <xdr:cNvPr id="21509" name="Drop Dow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3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87</xdr:row>
          <xdr:rowOff>0</xdr:rowOff>
        </xdr:from>
        <xdr:to>
          <xdr:col>3</xdr:col>
          <xdr:colOff>171450</xdr:colOff>
          <xdr:row>87</xdr:row>
          <xdr:rowOff>228600</xdr:rowOff>
        </xdr:to>
        <xdr:sp macro="" textlink="">
          <xdr:nvSpPr>
            <xdr:cNvPr id="21510" name="Drop Dow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108</xdr:row>
          <xdr:rowOff>0</xdr:rowOff>
        </xdr:from>
        <xdr:to>
          <xdr:col>3</xdr:col>
          <xdr:colOff>171450</xdr:colOff>
          <xdr:row>108</xdr:row>
          <xdr:rowOff>228600</xdr:rowOff>
        </xdr:to>
        <xdr:sp macro="" textlink="">
          <xdr:nvSpPr>
            <xdr:cNvPr id="21511" name="Drop Dow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129</xdr:row>
          <xdr:rowOff>0</xdr:rowOff>
        </xdr:from>
        <xdr:to>
          <xdr:col>3</xdr:col>
          <xdr:colOff>171450</xdr:colOff>
          <xdr:row>129</xdr:row>
          <xdr:rowOff>228600</xdr:rowOff>
        </xdr:to>
        <xdr:sp macro="" textlink="">
          <xdr:nvSpPr>
            <xdr:cNvPr id="21512" name="Drop Dow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150</xdr:row>
          <xdr:rowOff>0</xdr:rowOff>
        </xdr:from>
        <xdr:to>
          <xdr:col>3</xdr:col>
          <xdr:colOff>171450</xdr:colOff>
          <xdr:row>150</xdr:row>
          <xdr:rowOff>228600</xdr:rowOff>
        </xdr:to>
        <xdr:sp macro="" textlink="">
          <xdr:nvSpPr>
            <xdr:cNvPr id="21513" name="Drop Dow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3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171</xdr:row>
          <xdr:rowOff>0</xdr:rowOff>
        </xdr:from>
        <xdr:to>
          <xdr:col>3</xdr:col>
          <xdr:colOff>171450</xdr:colOff>
          <xdr:row>171</xdr:row>
          <xdr:rowOff>228600</xdr:rowOff>
        </xdr:to>
        <xdr:sp macro="" textlink="">
          <xdr:nvSpPr>
            <xdr:cNvPr id="21514" name="Drop Dow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3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8</xdr:row>
          <xdr:rowOff>142875</xdr:rowOff>
        </xdr:from>
        <xdr:to>
          <xdr:col>4</xdr:col>
          <xdr:colOff>1323975</xdr:colOff>
          <xdr:row>10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</xdr:row>
          <xdr:rowOff>0</xdr:rowOff>
        </xdr:from>
        <xdr:to>
          <xdr:col>6</xdr:col>
          <xdr:colOff>142875</xdr:colOff>
          <xdr:row>10</xdr:row>
          <xdr:rowOff>142875</xdr:rowOff>
        </xdr:to>
        <xdr:sp macro="" textlink="">
          <xdr:nvSpPr>
            <xdr:cNvPr id="23554" name="CommandButton1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152400</xdr:rowOff>
        </xdr:from>
        <xdr:to>
          <xdr:col>4</xdr:col>
          <xdr:colOff>2038350</xdr:colOff>
          <xdr:row>3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3.xml"/><Relationship Id="rId7" Type="http://schemas.openxmlformats.org/officeDocument/2006/relationships/image" Target="../media/image4.emf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gruporegional.com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4.v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gruporegional.com/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6.v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Q284"/>
  <sheetViews>
    <sheetView zoomScale="55" zoomScaleNormal="55" zoomScaleSheetLayoutView="70" zoomScalePageLayoutView="85" workbookViewId="0">
      <pane ySplit="4" topLeftCell="A229" activePane="bottomLeft" state="frozen"/>
      <selection pane="bottomLeft" activeCell="I17" sqref="I17:K17"/>
    </sheetView>
  </sheetViews>
  <sheetFormatPr baseColWidth="10" defaultRowHeight="15.75" x14ac:dyDescent="0.25"/>
  <cols>
    <col min="1" max="1" width="11.42578125" style="54"/>
    <col min="2" max="2" width="66.42578125" style="49" customWidth="1"/>
    <col min="3" max="3" width="29.42578125" style="49" customWidth="1"/>
    <col min="4" max="4" width="24.7109375" style="49" customWidth="1"/>
    <col min="5" max="6" width="24" style="49" customWidth="1"/>
    <col min="7" max="7" width="10.85546875" style="264" bestFit="1" customWidth="1"/>
    <col min="8" max="8" width="31.42578125" style="49" customWidth="1"/>
    <col min="9" max="10" width="25.5703125" style="49" customWidth="1"/>
    <col min="11" max="11" width="17.5703125" style="49" customWidth="1"/>
    <col min="12" max="13" width="22.5703125" style="49" customWidth="1"/>
    <col min="14" max="14" width="22.5703125" style="207" customWidth="1"/>
    <col min="15" max="16" width="22.5703125" style="49" customWidth="1"/>
    <col min="17" max="17" width="26.85546875" style="49" customWidth="1"/>
    <col min="18" max="16384" width="11.42578125" style="49"/>
  </cols>
  <sheetData>
    <row r="1" spans="1:17" ht="24.95" customHeight="1" thickBot="1" x14ac:dyDescent="0.3">
      <c r="A1" s="1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O1" s="208"/>
      <c r="P1" s="208"/>
      <c r="Q1" s="208"/>
    </row>
    <row r="2" spans="1:17" ht="31.5" customHeight="1" thickBot="1" x14ac:dyDescent="0.3">
      <c r="A2" s="106"/>
      <c r="B2" s="450" t="s">
        <v>1532</v>
      </c>
      <c r="C2" s="452">
        <f>C272</f>
        <v>151901.61126900592</v>
      </c>
      <c r="D2" s="453"/>
      <c r="E2" s="437">
        <f>+K272</f>
        <v>14816.670194322873</v>
      </c>
      <c r="F2" s="438"/>
      <c r="G2" s="439"/>
      <c r="H2" s="440"/>
      <c r="I2" s="308">
        <f>E2-C2</f>
        <v>-137084.94107468304</v>
      </c>
      <c r="J2" s="408"/>
      <c r="K2" s="206"/>
      <c r="L2" s="206"/>
      <c r="M2" s="206"/>
      <c r="O2" s="208"/>
      <c r="P2" s="208"/>
      <c r="Q2" s="208"/>
    </row>
    <row r="3" spans="1:17" ht="29.25" customHeight="1" thickBot="1" x14ac:dyDescent="0.3">
      <c r="A3" s="106"/>
      <c r="B3" s="451"/>
      <c r="C3" s="424" t="s">
        <v>1563</v>
      </c>
      <c r="D3" s="425"/>
      <c r="E3" s="432" t="s">
        <v>1562</v>
      </c>
      <c r="F3" s="433"/>
      <c r="G3" s="433"/>
      <c r="H3" s="434"/>
      <c r="I3" s="105" t="s">
        <v>1533</v>
      </c>
      <c r="J3" s="409"/>
      <c r="K3" s="206"/>
      <c r="L3" s="206"/>
      <c r="M3" s="206"/>
      <c r="O3" s="208"/>
      <c r="P3" s="208"/>
      <c r="Q3" s="208"/>
    </row>
    <row r="4" spans="1:17" ht="24.95" customHeight="1" x14ac:dyDescent="0.25">
      <c r="A4" s="106"/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O4" s="208"/>
      <c r="P4" s="208"/>
      <c r="Q4" s="208"/>
    </row>
    <row r="5" spans="1:17" ht="24.95" customHeight="1" x14ac:dyDescent="0.25">
      <c r="A5" s="107"/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</row>
    <row r="6" spans="1:17" ht="26.25" x14ac:dyDescent="0.25">
      <c r="A6" s="107"/>
      <c r="B6" s="490" t="s">
        <v>1595</v>
      </c>
      <c r="C6" s="490"/>
      <c r="D6" s="490"/>
      <c r="E6" s="490"/>
      <c r="F6" s="490"/>
      <c r="G6" s="490"/>
      <c r="H6" s="490"/>
      <c r="I6" s="490"/>
      <c r="J6" s="490"/>
      <c r="K6" s="490"/>
      <c r="L6" s="322"/>
      <c r="M6" s="322"/>
      <c r="N6" s="322"/>
      <c r="O6" s="208"/>
      <c r="P6" s="208"/>
      <c r="Q6" s="208"/>
    </row>
    <row r="7" spans="1:17" ht="26.25" x14ac:dyDescent="0.25">
      <c r="A7" s="107"/>
      <c r="B7" s="490" t="s">
        <v>1390</v>
      </c>
      <c r="C7" s="490"/>
      <c r="D7" s="490"/>
      <c r="E7" s="490"/>
      <c r="F7" s="490"/>
      <c r="G7" s="490"/>
      <c r="H7" s="490"/>
      <c r="I7" s="490"/>
      <c r="J7" s="490"/>
      <c r="K7" s="490"/>
      <c r="L7" s="322"/>
      <c r="M7" s="322"/>
      <c r="N7" s="322"/>
      <c r="O7" s="208"/>
      <c r="P7" s="208"/>
      <c r="Q7" s="208"/>
    </row>
    <row r="8" spans="1:17" ht="28.5" x14ac:dyDescent="0.25">
      <c r="A8" s="107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208"/>
      <c r="P8" s="208"/>
      <c r="Q8" s="208"/>
    </row>
    <row r="9" spans="1:17" s="61" customFormat="1" ht="30" customHeight="1" x14ac:dyDescent="0.25">
      <c r="A9" s="311" t="s">
        <v>1555</v>
      </c>
      <c r="B9" s="265" t="s">
        <v>0</v>
      </c>
      <c r="C9" s="455" t="s">
        <v>1564</v>
      </c>
      <c r="D9" s="456"/>
      <c r="E9" s="313" t="s">
        <v>1556</v>
      </c>
      <c r="F9" s="313"/>
      <c r="G9" s="266"/>
      <c r="H9" s="323" t="s">
        <v>1419</v>
      </c>
      <c r="I9" s="435"/>
      <c r="J9" s="435"/>
      <c r="K9" s="435"/>
      <c r="L9" s="111"/>
      <c r="M9" s="325"/>
      <c r="N9" s="209"/>
      <c r="O9" s="111"/>
      <c r="Q9" s="111"/>
    </row>
    <row r="10" spans="1:17" s="61" customFormat="1" ht="21" x14ac:dyDescent="0.35">
      <c r="A10" s="311"/>
      <c r="B10" s="267"/>
      <c r="C10" s="267"/>
      <c r="D10" s="267"/>
      <c r="E10" s="314"/>
      <c r="F10" s="314"/>
      <c r="G10" s="267"/>
      <c r="H10" s="290"/>
      <c r="I10" s="290"/>
      <c r="J10" s="290"/>
      <c r="K10" s="111"/>
      <c r="L10" s="111"/>
      <c r="M10" s="326"/>
      <c r="N10" s="210"/>
      <c r="O10" s="111"/>
      <c r="Q10" s="111"/>
    </row>
    <row r="11" spans="1:17" s="61" customFormat="1" ht="45" customHeight="1" x14ac:dyDescent="0.25">
      <c r="A11" s="311" t="s">
        <v>1558</v>
      </c>
      <c r="B11" s="268" t="s">
        <v>1496</v>
      </c>
      <c r="C11" s="457"/>
      <c r="D11" s="458"/>
      <c r="E11" s="315" t="s">
        <v>1557</v>
      </c>
      <c r="F11" s="315"/>
      <c r="G11" s="269"/>
      <c r="H11" s="323" t="s">
        <v>1498</v>
      </c>
      <c r="I11" s="436" t="s">
        <v>1565</v>
      </c>
      <c r="J11" s="436"/>
      <c r="K11" s="436"/>
      <c r="L11" s="111"/>
      <c r="M11" s="325"/>
      <c r="N11" s="212"/>
      <c r="O11" s="111"/>
      <c r="Q11" s="111"/>
    </row>
    <row r="12" spans="1:17" s="61" customFormat="1" ht="21" x14ac:dyDescent="0.35">
      <c r="A12" s="311"/>
      <c r="B12" s="267"/>
      <c r="C12" s="267"/>
      <c r="D12" s="267"/>
      <c r="E12" s="316"/>
      <c r="F12" s="316"/>
      <c r="G12" s="267"/>
      <c r="H12" s="290"/>
      <c r="I12" s="290"/>
      <c r="J12" s="290"/>
      <c r="K12" s="111"/>
      <c r="L12" s="111"/>
      <c r="M12" s="326"/>
      <c r="N12" s="210"/>
      <c r="O12" s="111"/>
      <c r="Q12" s="111"/>
    </row>
    <row r="13" spans="1:17" s="61" customFormat="1" ht="37.5" customHeight="1" x14ac:dyDescent="0.25">
      <c r="A13" s="311" t="s">
        <v>1559</v>
      </c>
      <c r="B13" s="268" t="s">
        <v>1499</v>
      </c>
      <c r="C13" s="459">
        <v>43216</v>
      </c>
      <c r="D13" s="460"/>
      <c r="E13" s="311" t="s">
        <v>1560</v>
      </c>
      <c r="F13" s="311"/>
      <c r="G13" s="270"/>
      <c r="H13" s="324" t="s">
        <v>1500</v>
      </c>
      <c r="I13" s="459">
        <v>43216</v>
      </c>
      <c r="J13" s="459"/>
      <c r="K13" s="459"/>
      <c r="L13" s="111"/>
      <c r="M13" s="325"/>
      <c r="N13" s="213"/>
      <c r="O13" s="111"/>
      <c r="Q13" s="111"/>
    </row>
    <row r="14" spans="1:17" s="63" customFormat="1" ht="19.5" customHeight="1" x14ac:dyDescent="0.35">
      <c r="A14" s="311"/>
      <c r="B14" s="271"/>
      <c r="C14" s="272" t="s">
        <v>1362</v>
      </c>
      <c r="D14" s="273"/>
      <c r="E14" s="317"/>
      <c r="F14" s="317"/>
      <c r="G14" s="274"/>
      <c r="H14" s="290"/>
      <c r="I14" s="290"/>
      <c r="J14" s="290"/>
      <c r="K14" s="111"/>
      <c r="L14" s="111"/>
      <c r="M14" s="123"/>
      <c r="N14" s="66"/>
      <c r="O14" s="111"/>
      <c r="Q14" s="111"/>
    </row>
    <row r="15" spans="1:17" s="63" customFormat="1" ht="48" customHeight="1" x14ac:dyDescent="0.35">
      <c r="A15" s="311" t="s">
        <v>1561</v>
      </c>
      <c r="B15" s="268" t="s">
        <v>1575</v>
      </c>
      <c r="C15" s="275">
        <v>120</v>
      </c>
      <c r="D15" s="276"/>
      <c r="E15" s="318" t="s">
        <v>1528</v>
      </c>
      <c r="F15" s="318"/>
      <c r="G15" s="274"/>
      <c r="H15" s="324" t="s">
        <v>1497</v>
      </c>
      <c r="I15" s="463" t="s">
        <v>1529</v>
      </c>
      <c r="J15" s="463"/>
      <c r="K15" s="463"/>
      <c r="L15" s="111"/>
      <c r="N15" s="214"/>
      <c r="O15" s="111"/>
      <c r="P15" s="111"/>
      <c r="Q15" s="111"/>
    </row>
    <row r="16" spans="1:17" s="61" customFormat="1" ht="15.75" customHeight="1" x14ac:dyDescent="0.25">
      <c r="A16" s="311"/>
      <c r="B16" s="211"/>
      <c r="C16" s="129"/>
      <c r="D16" s="129"/>
      <c r="E16" s="319"/>
      <c r="F16" s="319"/>
      <c r="G16" s="129"/>
      <c r="H16" s="111"/>
      <c r="I16" s="111"/>
      <c r="J16" s="111"/>
      <c r="K16" s="215"/>
      <c r="L16" s="111"/>
      <c r="M16" s="111"/>
      <c r="N16" s="64"/>
      <c r="O16" s="111"/>
      <c r="P16" s="111"/>
      <c r="Q16" s="111"/>
    </row>
    <row r="17" spans="1:17" s="61" customFormat="1" ht="37.5" customHeight="1" x14ac:dyDescent="0.25">
      <c r="A17" s="312" t="s">
        <v>1550</v>
      </c>
      <c r="B17" s="309" t="s">
        <v>1551</v>
      </c>
      <c r="C17" s="275" t="s">
        <v>1552</v>
      </c>
      <c r="D17" s="310"/>
      <c r="E17" s="320" t="s">
        <v>1553</v>
      </c>
      <c r="F17" s="320"/>
      <c r="G17" s="461" t="s">
        <v>1554</v>
      </c>
      <c r="H17" s="462"/>
      <c r="I17" s="463" t="s">
        <v>1566</v>
      </c>
      <c r="J17" s="463"/>
      <c r="K17" s="464"/>
      <c r="L17" s="111"/>
      <c r="M17" s="111"/>
      <c r="N17" s="64"/>
      <c r="O17" s="111"/>
      <c r="P17" s="111"/>
      <c r="Q17" s="111"/>
    </row>
    <row r="18" spans="1:17" s="61" customFormat="1" ht="37.5" customHeight="1" x14ac:dyDescent="0.25">
      <c r="A18" s="108"/>
      <c r="B18" s="211"/>
      <c r="C18" s="129"/>
      <c r="D18" s="129"/>
      <c r="E18" s="129"/>
      <c r="F18" s="129"/>
      <c r="G18" s="129"/>
      <c r="H18" s="111"/>
      <c r="I18" s="111"/>
      <c r="J18" s="111"/>
      <c r="K18" s="215"/>
      <c r="L18" s="111"/>
      <c r="M18" s="111"/>
      <c r="N18" s="64"/>
      <c r="O18" s="111"/>
      <c r="P18" s="111"/>
      <c r="Q18" s="111"/>
    </row>
    <row r="19" spans="1:17" s="61" customFormat="1" ht="37.5" customHeight="1" x14ac:dyDescent="0.25">
      <c r="A19" s="321" t="s">
        <v>1501</v>
      </c>
      <c r="B19" s="205" t="s">
        <v>1576</v>
      </c>
      <c r="C19" s="117"/>
      <c r="D19" s="117"/>
      <c r="E19" s="117"/>
      <c r="F19" s="117"/>
      <c r="G19" s="143"/>
      <c r="H19" s="143"/>
      <c r="I19" s="143"/>
      <c r="J19" s="401"/>
      <c r="K19" s="215"/>
      <c r="L19" s="114"/>
      <c r="M19" s="114"/>
      <c r="N19" s="64"/>
      <c r="O19" s="111"/>
      <c r="P19" s="111"/>
      <c r="Q19" s="111"/>
    </row>
    <row r="20" spans="1:17" s="61" customFormat="1" ht="37.5" customHeight="1" x14ac:dyDescent="0.25">
      <c r="A20" s="108"/>
      <c r="B20" s="277" t="s">
        <v>1503</v>
      </c>
      <c r="C20" s="279" t="s">
        <v>1505</v>
      </c>
      <c r="D20" s="280" t="s">
        <v>11</v>
      </c>
      <c r="E20" s="278" t="s">
        <v>1504</v>
      </c>
      <c r="F20" s="278"/>
      <c r="G20" s="280"/>
      <c r="H20" s="281" t="s">
        <v>1506</v>
      </c>
      <c r="I20" s="168" t="s">
        <v>1507</v>
      </c>
      <c r="J20" s="410"/>
      <c r="K20" s="215"/>
      <c r="M20" s="114"/>
      <c r="N20" s="64"/>
      <c r="O20" s="111"/>
      <c r="P20" s="111"/>
      <c r="Q20" s="111"/>
    </row>
    <row r="21" spans="1:17" s="61" customFormat="1" ht="37.5" customHeight="1" x14ac:dyDescent="0.25">
      <c r="A21" s="108"/>
      <c r="B21" s="151" t="s">
        <v>1508</v>
      </c>
      <c r="C21" s="97" t="s">
        <v>33</v>
      </c>
      <c r="D21" s="96">
        <v>1</v>
      </c>
      <c r="E21" s="97">
        <v>1</v>
      </c>
      <c r="F21" s="97"/>
      <c r="G21" s="99"/>
      <c r="H21" s="169">
        <f>IF(C21="HRS",Hoja2!C12,IF(HOJA_DE_TRABAJO!C21="DIAS",Hoja2!D12))</f>
        <v>26</v>
      </c>
      <c r="I21" s="170">
        <f>H21*D21*E21</f>
        <v>26</v>
      </c>
      <c r="J21" s="411"/>
      <c r="K21" s="215"/>
      <c r="M21" s="114"/>
      <c r="N21" s="64"/>
      <c r="O21" s="111"/>
      <c r="P21" s="111"/>
      <c r="Q21" s="111"/>
    </row>
    <row r="22" spans="1:17" s="61" customFormat="1" ht="37.5" customHeight="1" x14ac:dyDescent="0.25">
      <c r="A22" s="108"/>
      <c r="B22" s="151" t="s">
        <v>1509</v>
      </c>
      <c r="C22" s="97" t="s">
        <v>33</v>
      </c>
      <c r="D22" s="96">
        <v>1</v>
      </c>
      <c r="E22" s="97">
        <v>1</v>
      </c>
      <c r="F22" s="97"/>
      <c r="G22" s="99"/>
      <c r="H22" s="169">
        <f>IF(C22="HRS",Hoja2!C12,IF(HOJA_DE_TRABAJO!C22="DIAS",Hoja2!D12))</f>
        <v>26</v>
      </c>
      <c r="I22" s="170">
        <f>+H22*D22*E22</f>
        <v>26</v>
      </c>
      <c r="J22" s="411"/>
      <c r="K22" s="215"/>
      <c r="M22" s="114"/>
      <c r="N22" s="64"/>
      <c r="O22" s="111"/>
      <c r="P22" s="111"/>
      <c r="Q22" s="111"/>
    </row>
    <row r="23" spans="1:17" s="61" customFormat="1" ht="37.5" customHeight="1" x14ac:dyDescent="0.25">
      <c r="A23" s="108"/>
      <c r="B23" s="152" t="s">
        <v>10</v>
      </c>
      <c r="C23" s="153"/>
      <c r="D23" s="171">
        <f>SUM(D21:G22)</f>
        <v>4</v>
      </c>
      <c r="E23" s="153">
        <f>SUM(E21:E22)</f>
        <v>2</v>
      </c>
      <c r="F23" s="153"/>
      <c r="G23" s="154"/>
      <c r="H23" s="150">
        <f>SUM(H21:H22)</f>
        <v>52</v>
      </c>
      <c r="I23" s="150">
        <f>SUM(I21:I22)</f>
        <v>52</v>
      </c>
      <c r="J23" s="412"/>
      <c r="K23" s="215"/>
      <c r="M23" s="114"/>
      <c r="N23" s="64"/>
      <c r="O23" s="111"/>
      <c r="P23" s="111"/>
      <c r="Q23" s="111"/>
    </row>
    <row r="24" spans="1:17" s="61" customFormat="1" ht="37.5" customHeight="1" x14ac:dyDescent="0.25">
      <c r="A24" s="108"/>
      <c r="B24" s="120"/>
      <c r="C24" s="143"/>
      <c r="D24" s="143"/>
      <c r="E24" s="143"/>
      <c r="F24" s="404"/>
      <c r="G24" s="143"/>
      <c r="H24" s="143"/>
      <c r="I24" s="143"/>
      <c r="J24" s="401"/>
      <c r="K24" s="215"/>
      <c r="L24" s="114"/>
      <c r="M24" s="114"/>
      <c r="N24" s="64"/>
      <c r="O24" s="111"/>
      <c r="P24" s="111"/>
      <c r="Q24" s="111"/>
    </row>
    <row r="25" spans="1:17" s="61" customFormat="1" ht="37.5" customHeight="1" x14ac:dyDescent="0.25">
      <c r="A25" s="202">
        <v>3</v>
      </c>
      <c r="B25" s="443" t="s">
        <v>1411</v>
      </c>
      <c r="C25" s="443"/>
      <c r="D25" s="443"/>
      <c r="E25" s="443"/>
      <c r="F25" s="443"/>
      <c r="G25" s="443"/>
      <c r="H25" s="443"/>
      <c r="I25" s="143"/>
      <c r="J25" s="401"/>
      <c r="K25" s="216"/>
      <c r="L25" s="112"/>
      <c r="M25" s="114"/>
      <c r="N25" s="64"/>
      <c r="O25" s="111"/>
      <c r="P25" s="111"/>
      <c r="Q25" s="111"/>
    </row>
    <row r="26" spans="1:17" s="61" customFormat="1" ht="37.5" customHeight="1" x14ac:dyDescent="0.25">
      <c r="A26" s="202" t="s">
        <v>1543</v>
      </c>
      <c r="B26" s="454" t="s">
        <v>1502</v>
      </c>
      <c r="C26" s="454"/>
      <c r="D26" s="454"/>
      <c r="E26" s="454"/>
      <c r="F26" s="454"/>
      <c r="G26" s="454"/>
      <c r="H26" s="454"/>
      <c r="I26" s="143"/>
      <c r="J26" s="401"/>
      <c r="K26" s="215"/>
      <c r="L26" s="114"/>
      <c r="M26" s="114"/>
      <c r="N26" s="64"/>
      <c r="O26" s="111"/>
      <c r="P26" s="111"/>
      <c r="Q26" s="111"/>
    </row>
    <row r="27" spans="1:17" s="61" customFormat="1" ht="38.25" customHeight="1" x14ac:dyDescent="0.25">
      <c r="A27" s="108"/>
      <c r="B27" s="447" t="s">
        <v>1378</v>
      </c>
      <c r="C27" s="172" t="s">
        <v>1534</v>
      </c>
      <c r="D27" s="429" t="s">
        <v>1379</v>
      </c>
      <c r="E27" s="430"/>
      <c r="F27" s="403"/>
      <c r="G27" s="217"/>
      <c r="H27" s="495" t="s">
        <v>1530</v>
      </c>
      <c r="I27" s="492"/>
      <c r="J27" s="413"/>
      <c r="K27" s="119"/>
      <c r="L27" s="119"/>
      <c r="M27" s="119"/>
      <c r="N27" s="218"/>
      <c r="O27" s="111"/>
      <c r="P27" s="111"/>
      <c r="Q27" s="111"/>
    </row>
    <row r="28" spans="1:17" s="61" customFormat="1" ht="53.25" customHeight="1" x14ac:dyDescent="0.25">
      <c r="A28" s="108"/>
      <c r="B28" s="448"/>
      <c r="C28" s="148" t="s">
        <v>1414</v>
      </c>
      <c r="D28" s="148" t="s">
        <v>1397</v>
      </c>
      <c r="E28" s="148" t="s">
        <v>1398</v>
      </c>
      <c r="F28" s="148" t="s">
        <v>1614</v>
      </c>
      <c r="G28" s="219"/>
      <c r="H28" s="164" t="s">
        <v>1535</v>
      </c>
      <c r="I28" s="164" t="s">
        <v>1577</v>
      </c>
      <c r="J28" s="413"/>
      <c r="K28" s="119"/>
      <c r="L28" s="119"/>
      <c r="M28" s="119"/>
      <c r="N28" s="98"/>
      <c r="O28" s="111"/>
      <c r="P28" s="111"/>
      <c r="Q28" s="111"/>
    </row>
    <row r="29" spans="1:17" s="61" customFormat="1" ht="38.25" customHeight="1" x14ac:dyDescent="0.25">
      <c r="A29" s="220">
        <v>1</v>
      </c>
      <c r="B29" s="221" t="s">
        <v>1596</v>
      </c>
      <c r="C29" s="222">
        <v>2</v>
      </c>
      <c r="D29" s="223">
        <v>10</v>
      </c>
      <c r="E29" s="224">
        <v>2500</v>
      </c>
      <c r="F29" s="224"/>
      <c r="G29" s="225">
        <f t="shared" ref="G29:G40" si="0">H29/$E$184</f>
        <v>3.5176586464049524E-2</v>
      </c>
      <c r="H29" s="164">
        <f>E29/0.845</f>
        <v>2958.5798816568049</v>
      </c>
      <c r="I29" s="164">
        <f t="shared" ref="I29:I40" si="1">+(C29*D29)*H29</f>
        <v>59171.597633136102</v>
      </c>
      <c r="J29" s="413" t="str">
        <f>IF(B29="","",$D$27)</f>
        <v xml:space="preserve">COCHABAMBA </v>
      </c>
      <c r="K29" s="383"/>
      <c r="L29" s="383"/>
      <c r="M29" s="119"/>
      <c r="N29" s="98"/>
      <c r="O29" s="111"/>
      <c r="P29" s="111"/>
      <c r="Q29" s="111"/>
    </row>
    <row r="30" spans="1:17" s="61" customFormat="1" ht="38.25" customHeight="1" x14ac:dyDescent="0.25">
      <c r="A30" s="220">
        <v>2</v>
      </c>
      <c r="B30" s="221" t="s">
        <v>1597</v>
      </c>
      <c r="C30" s="222">
        <v>1</v>
      </c>
      <c r="D30" s="223">
        <v>1</v>
      </c>
      <c r="E30" s="224">
        <v>1000</v>
      </c>
      <c r="F30" s="224"/>
      <c r="G30" s="225">
        <f t="shared" si="0"/>
        <v>1.4070634585619808E-2</v>
      </c>
      <c r="H30" s="164">
        <f t="shared" ref="H30:H40" si="2">E30/0.845</f>
        <v>1183.4319526627219</v>
      </c>
      <c r="I30" s="164">
        <f>+(C30*D30)*H30</f>
        <v>1183.4319526627219</v>
      </c>
      <c r="J30" s="413" t="str">
        <f t="shared" ref="J30:J40" si="3">IF(B30="","",$D$27)</f>
        <v xml:space="preserve">COCHABAMBA </v>
      </c>
      <c r="K30" s="119"/>
      <c r="L30" s="119"/>
      <c r="M30" s="119"/>
      <c r="N30" s="98"/>
      <c r="O30" s="111"/>
      <c r="P30" s="111"/>
      <c r="Q30" s="111"/>
    </row>
    <row r="31" spans="1:17" s="61" customFormat="1" ht="38.25" customHeight="1" x14ac:dyDescent="0.25">
      <c r="A31" s="220">
        <v>3</v>
      </c>
      <c r="B31" s="221" t="s">
        <v>1598</v>
      </c>
      <c r="C31" s="222">
        <v>4</v>
      </c>
      <c r="D31" s="223">
        <v>1</v>
      </c>
      <c r="E31" s="224">
        <v>2500</v>
      </c>
      <c r="F31" s="224"/>
      <c r="G31" s="225">
        <f t="shared" si="0"/>
        <v>3.5176586464049524E-2</v>
      </c>
      <c r="H31" s="164">
        <f t="shared" si="2"/>
        <v>2958.5798816568049</v>
      </c>
      <c r="I31" s="164">
        <f t="shared" si="1"/>
        <v>11834.31952662722</v>
      </c>
      <c r="J31" s="413" t="str">
        <f t="shared" si="3"/>
        <v xml:space="preserve">COCHABAMBA </v>
      </c>
      <c r="K31" s="119"/>
      <c r="L31" s="119"/>
      <c r="M31" s="119"/>
      <c r="N31" s="98"/>
      <c r="O31" s="111"/>
      <c r="P31" s="111"/>
      <c r="Q31" s="111"/>
    </row>
    <row r="32" spans="1:17" s="61" customFormat="1" ht="38.25" customHeight="1" x14ac:dyDescent="0.25">
      <c r="A32" s="220">
        <v>4</v>
      </c>
      <c r="B32" s="221"/>
      <c r="C32" s="222"/>
      <c r="D32" s="223"/>
      <c r="E32" s="224"/>
      <c r="F32" s="224"/>
      <c r="G32" s="225">
        <f t="shared" si="0"/>
        <v>0</v>
      </c>
      <c r="H32" s="164">
        <f t="shared" si="2"/>
        <v>0</v>
      </c>
      <c r="I32" s="164">
        <f t="shared" si="1"/>
        <v>0</v>
      </c>
      <c r="J32" s="413" t="str">
        <f t="shared" si="3"/>
        <v/>
      </c>
      <c r="K32" s="119"/>
      <c r="L32" s="119"/>
      <c r="M32" s="119"/>
      <c r="N32" s="98"/>
      <c r="O32" s="111"/>
      <c r="P32" s="111"/>
      <c r="Q32" s="111"/>
    </row>
    <row r="33" spans="1:17" s="61" customFormat="1" ht="38.25" customHeight="1" x14ac:dyDescent="0.25">
      <c r="A33" s="220">
        <v>5</v>
      </c>
      <c r="B33" s="221"/>
      <c r="C33" s="222"/>
      <c r="D33" s="223"/>
      <c r="E33" s="224"/>
      <c r="F33" s="224"/>
      <c r="G33" s="225">
        <f t="shared" si="0"/>
        <v>0</v>
      </c>
      <c r="H33" s="164">
        <f t="shared" si="2"/>
        <v>0</v>
      </c>
      <c r="I33" s="164">
        <f t="shared" si="1"/>
        <v>0</v>
      </c>
      <c r="J33" s="413" t="str">
        <f t="shared" si="3"/>
        <v/>
      </c>
      <c r="K33" s="119"/>
      <c r="L33" s="119"/>
      <c r="M33" s="119"/>
      <c r="N33" s="98"/>
      <c r="O33" s="111"/>
      <c r="P33" s="111"/>
      <c r="Q33" s="111"/>
    </row>
    <row r="34" spans="1:17" s="61" customFormat="1" ht="38.25" customHeight="1" x14ac:dyDescent="0.25">
      <c r="A34" s="220">
        <v>6</v>
      </c>
      <c r="B34" s="221"/>
      <c r="C34" s="222"/>
      <c r="D34" s="223"/>
      <c r="E34" s="224"/>
      <c r="F34" s="224"/>
      <c r="G34" s="225">
        <f t="shared" si="0"/>
        <v>0</v>
      </c>
      <c r="H34" s="164">
        <f t="shared" si="2"/>
        <v>0</v>
      </c>
      <c r="I34" s="164">
        <f t="shared" si="1"/>
        <v>0</v>
      </c>
      <c r="J34" s="413" t="str">
        <f t="shared" si="3"/>
        <v/>
      </c>
      <c r="K34" s="119"/>
      <c r="L34" s="119"/>
      <c r="M34" s="119"/>
      <c r="N34" s="98"/>
      <c r="O34" s="111"/>
      <c r="P34" s="111"/>
      <c r="Q34" s="111"/>
    </row>
    <row r="35" spans="1:17" s="61" customFormat="1" ht="38.25" customHeight="1" x14ac:dyDescent="0.25">
      <c r="A35" s="220">
        <v>7</v>
      </c>
      <c r="B35" s="221"/>
      <c r="C35" s="222"/>
      <c r="D35" s="223"/>
      <c r="E35" s="224"/>
      <c r="F35" s="224"/>
      <c r="G35" s="225">
        <f t="shared" si="0"/>
        <v>0</v>
      </c>
      <c r="H35" s="164">
        <f t="shared" si="2"/>
        <v>0</v>
      </c>
      <c r="I35" s="164">
        <f t="shared" si="1"/>
        <v>0</v>
      </c>
      <c r="J35" s="413" t="str">
        <f t="shared" si="3"/>
        <v/>
      </c>
      <c r="K35" s="119"/>
      <c r="L35" s="119"/>
      <c r="M35" s="119"/>
      <c r="N35" s="98"/>
      <c r="O35" s="111"/>
      <c r="P35" s="111"/>
      <c r="Q35" s="111"/>
    </row>
    <row r="36" spans="1:17" s="61" customFormat="1" ht="38.25" customHeight="1" x14ac:dyDescent="0.25">
      <c r="A36" s="220">
        <v>8</v>
      </c>
      <c r="B36" s="221"/>
      <c r="C36" s="222"/>
      <c r="D36" s="223"/>
      <c r="E36" s="224"/>
      <c r="F36" s="224"/>
      <c r="G36" s="225">
        <f t="shared" si="0"/>
        <v>0</v>
      </c>
      <c r="H36" s="164">
        <f t="shared" si="2"/>
        <v>0</v>
      </c>
      <c r="I36" s="164">
        <f t="shared" si="1"/>
        <v>0</v>
      </c>
      <c r="J36" s="413" t="str">
        <f t="shared" si="3"/>
        <v/>
      </c>
      <c r="K36" s="119"/>
      <c r="L36" s="119"/>
      <c r="M36" s="119"/>
      <c r="N36" s="98"/>
      <c r="O36" s="111"/>
      <c r="P36" s="111"/>
      <c r="Q36" s="111"/>
    </row>
    <row r="37" spans="1:17" s="61" customFormat="1" ht="38.25" customHeight="1" x14ac:dyDescent="0.25">
      <c r="A37" s="220">
        <v>9</v>
      </c>
      <c r="B37" s="221"/>
      <c r="C37" s="222"/>
      <c r="D37" s="223"/>
      <c r="E37" s="224"/>
      <c r="F37" s="224"/>
      <c r="G37" s="225">
        <f t="shared" si="0"/>
        <v>0</v>
      </c>
      <c r="H37" s="164">
        <f t="shared" si="2"/>
        <v>0</v>
      </c>
      <c r="I37" s="164">
        <f t="shared" si="1"/>
        <v>0</v>
      </c>
      <c r="J37" s="413" t="str">
        <f t="shared" si="3"/>
        <v/>
      </c>
      <c r="K37" s="119"/>
      <c r="L37" s="119"/>
      <c r="M37" s="119"/>
      <c r="N37" s="98"/>
      <c r="O37" s="111"/>
      <c r="P37" s="111"/>
      <c r="Q37" s="111"/>
    </row>
    <row r="38" spans="1:17" s="61" customFormat="1" ht="38.25" customHeight="1" x14ac:dyDescent="0.25">
      <c r="A38" s="220">
        <v>10</v>
      </c>
      <c r="B38" s="221"/>
      <c r="C38" s="222"/>
      <c r="D38" s="223"/>
      <c r="E38" s="224"/>
      <c r="F38" s="224"/>
      <c r="G38" s="225">
        <f t="shared" si="0"/>
        <v>0</v>
      </c>
      <c r="H38" s="164">
        <f t="shared" si="2"/>
        <v>0</v>
      </c>
      <c r="I38" s="164">
        <f t="shared" si="1"/>
        <v>0</v>
      </c>
      <c r="J38" s="413" t="str">
        <f t="shared" si="3"/>
        <v/>
      </c>
      <c r="K38" s="119"/>
      <c r="L38" s="119"/>
      <c r="M38" s="119"/>
      <c r="N38" s="98"/>
      <c r="O38" s="111"/>
      <c r="P38" s="111"/>
      <c r="Q38" s="111"/>
    </row>
    <row r="39" spans="1:17" s="61" customFormat="1" ht="38.25" customHeight="1" x14ac:dyDescent="0.25">
      <c r="A39" s="220">
        <v>11</v>
      </c>
      <c r="B39" s="221"/>
      <c r="C39" s="222"/>
      <c r="D39" s="223"/>
      <c r="E39" s="224"/>
      <c r="F39" s="224"/>
      <c r="G39" s="225">
        <f t="shared" si="0"/>
        <v>0</v>
      </c>
      <c r="H39" s="164">
        <f t="shared" si="2"/>
        <v>0</v>
      </c>
      <c r="I39" s="164">
        <f t="shared" si="1"/>
        <v>0</v>
      </c>
      <c r="J39" s="413" t="str">
        <f t="shared" si="3"/>
        <v/>
      </c>
      <c r="K39" s="119"/>
      <c r="L39" s="119"/>
      <c r="M39" s="119"/>
      <c r="N39" s="98"/>
      <c r="O39" s="111"/>
      <c r="P39" s="111"/>
      <c r="Q39" s="111"/>
    </row>
    <row r="40" spans="1:17" s="61" customFormat="1" ht="38.25" customHeight="1" x14ac:dyDescent="0.25">
      <c r="A40" s="220">
        <v>12</v>
      </c>
      <c r="B40" s="221"/>
      <c r="C40" s="222"/>
      <c r="D40" s="223"/>
      <c r="E40" s="224"/>
      <c r="F40" s="224"/>
      <c r="G40" s="225">
        <f t="shared" si="0"/>
        <v>0</v>
      </c>
      <c r="H40" s="164">
        <f t="shared" si="2"/>
        <v>0</v>
      </c>
      <c r="I40" s="164">
        <f t="shared" si="1"/>
        <v>0</v>
      </c>
      <c r="J40" s="413" t="str">
        <f t="shared" si="3"/>
        <v/>
      </c>
      <c r="K40" s="119"/>
      <c r="L40" s="119"/>
      <c r="M40" s="119"/>
      <c r="N40" s="98"/>
      <c r="O40" s="111"/>
      <c r="P40" s="111"/>
      <c r="Q40" s="111"/>
    </row>
    <row r="41" spans="1:17" s="61" customFormat="1" ht="38.25" customHeight="1" x14ac:dyDescent="0.25">
      <c r="A41" s="108"/>
      <c r="B41" s="161" t="s">
        <v>1367</v>
      </c>
      <c r="C41" s="226">
        <f t="shared" ref="C41:I41" si="4">SUM(C29:C40)</f>
        <v>7</v>
      </c>
      <c r="D41" s="227">
        <f t="shared" si="4"/>
        <v>12</v>
      </c>
      <c r="E41" s="228">
        <f t="shared" si="4"/>
        <v>6000</v>
      </c>
      <c r="F41" s="228"/>
      <c r="G41" s="229">
        <f t="shared" si="4"/>
        <v>8.4423807513718863E-2</v>
      </c>
      <c r="H41" s="164">
        <f t="shared" si="4"/>
        <v>7100.5917159763312</v>
      </c>
      <c r="I41" s="164">
        <f t="shared" si="4"/>
        <v>72189.349112426047</v>
      </c>
      <c r="J41" s="413"/>
      <c r="K41" s="119"/>
      <c r="L41" s="119"/>
      <c r="M41" s="119"/>
      <c r="N41" s="98"/>
      <c r="O41" s="111"/>
      <c r="P41" s="111"/>
      <c r="Q41" s="111"/>
    </row>
    <row r="42" spans="1:17" s="111" customFormat="1" ht="15" customHeight="1" x14ac:dyDescent="0.25">
      <c r="A42" s="108"/>
      <c r="B42" s="117"/>
      <c r="C42" s="230"/>
      <c r="D42" s="231"/>
      <c r="E42" s="232"/>
      <c r="F42" s="232"/>
      <c r="G42" s="232"/>
      <c r="H42" s="116"/>
      <c r="I42" s="116"/>
      <c r="J42" s="116"/>
      <c r="K42" s="119"/>
      <c r="L42" s="119"/>
      <c r="M42" s="119"/>
      <c r="N42" s="119"/>
    </row>
    <row r="43" spans="1:17" s="61" customFormat="1" ht="38.25" customHeight="1" x14ac:dyDescent="0.25">
      <c r="A43" s="108"/>
      <c r="B43" s="447" t="s">
        <v>1378</v>
      </c>
      <c r="C43" s="233" t="s">
        <v>1534</v>
      </c>
      <c r="D43" s="429" t="s">
        <v>1488</v>
      </c>
      <c r="E43" s="430"/>
      <c r="F43" s="403"/>
      <c r="G43" s="234"/>
      <c r="H43" s="494" t="s">
        <v>1530</v>
      </c>
      <c r="I43" s="494"/>
      <c r="J43" s="412"/>
      <c r="K43" s="118"/>
      <c r="L43" s="110"/>
      <c r="M43" s="110"/>
      <c r="N43" s="60"/>
      <c r="O43" s="118"/>
      <c r="P43" s="118"/>
      <c r="Q43" s="121"/>
    </row>
    <row r="44" spans="1:17" s="61" customFormat="1" ht="60.75" customHeight="1" x14ac:dyDescent="0.25">
      <c r="A44" s="111"/>
      <c r="B44" s="448"/>
      <c r="C44" s="148" t="s">
        <v>1414</v>
      </c>
      <c r="D44" s="148" t="s">
        <v>1399</v>
      </c>
      <c r="E44" s="148" t="s">
        <v>1398</v>
      </c>
      <c r="F44" s="148"/>
      <c r="G44" s="219"/>
      <c r="H44" s="235" t="s">
        <v>1535</v>
      </c>
      <c r="I44" s="235" t="s">
        <v>1536</v>
      </c>
      <c r="J44" s="413"/>
      <c r="K44" s="118"/>
      <c r="L44" s="110"/>
      <c r="M44" s="110"/>
      <c r="N44" s="60"/>
      <c r="O44" s="118"/>
      <c r="P44" s="118"/>
      <c r="Q44" s="121"/>
    </row>
    <row r="45" spans="1:17" s="61" customFormat="1" ht="46.5" customHeight="1" x14ac:dyDescent="0.25">
      <c r="A45" s="220">
        <v>1</v>
      </c>
      <c r="B45" s="221" t="s">
        <v>1579</v>
      </c>
      <c r="C45" s="222">
        <v>1</v>
      </c>
      <c r="D45" s="223">
        <v>2</v>
      </c>
      <c r="E45" s="224">
        <v>1500</v>
      </c>
      <c r="F45" s="224"/>
      <c r="G45" s="225">
        <f t="shared" ref="G45:G56" si="5">H45/$E$184</f>
        <v>2.1105951878429712E-2</v>
      </c>
      <c r="H45" s="164">
        <f>E45/0.845</f>
        <v>1775.1479289940828</v>
      </c>
      <c r="I45" s="164">
        <f t="shared" ref="I45:I56" si="6">+(C45*D45)*H45</f>
        <v>3550.2958579881656</v>
      </c>
      <c r="J45" s="413" t="str">
        <f>IF(B45="","",$D$43)</f>
        <v>CHAPARE</v>
      </c>
      <c r="K45" s="118"/>
      <c r="L45" s="110"/>
      <c r="M45" s="110"/>
      <c r="N45" s="60"/>
      <c r="O45" s="118"/>
      <c r="P45" s="118"/>
      <c r="Q45" s="121"/>
    </row>
    <row r="46" spans="1:17" s="61" customFormat="1" ht="38.25" customHeight="1" x14ac:dyDescent="0.25">
      <c r="A46" s="220">
        <v>2</v>
      </c>
      <c r="B46" s="221" t="s">
        <v>1580</v>
      </c>
      <c r="C46" s="222">
        <v>2</v>
      </c>
      <c r="D46" s="223">
        <v>2</v>
      </c>
      <c r="E46" s="224">
        <v>1500</v>
      </c>
      <c r="F46" s="224"/>
      <c r="G46" s="225">
        <f t="shared" si="5"/>
        <v>2.1105951878429712E-2</v>
      </c>
      <c r="H46" s="164">
        <f t="shared" ref="H46:H56" si="7">E46/0.845</f>
        <v>1775.1479289940828</v>
      </c>
      <c r="I46" s="164">
        <f t="shared" si="6"/>
        <v>7100.5917159763312</v>
      </c>
      <c r="J46" s="413" t="str">
        <f t="shared" ref="J46:J49" si="8">IF(B46="","",$D$43)</f>
        <v>CHAPARE</v>
      </c>
      <c r="K46" s="118"/>
      <c r="L46" s="110"/>
      <c r="M46" s="110"/>
      <c r="N46" s="60"/>
      <c r="O46" s="118"/>
      <c r="P46" s="118"/>
      <c r="Q46" s="121"/>
    </row>
    <row r="47" spans="1:17" s="61" customFormat="1" ht="38.25" customHeight="1" x14ac:dyDescent="0.25">
      <c r="A47" s="220">
        <v>3</v>
      </c>
      <c r="B47" s="221"/>
      <c r="C47" s="222"/>
      <c r="D47" s="223"/>
      <c r="E47" s="224"/>
      <c r="F47" s="224"/>
      <c r="G47" s="225">
        <f t="shared" si="5"/>
        <v>0</v>
      </c>
      <c r="H47" s="164">
        <f t="shared" si="7"/>
        <v>0</v>
      </c>
      <c r="I47" s="164">
        <f t="shared" si="6"/>
        <v>0</v>
      </c>
      <c r="J47" s="413" t="str">
        <f t="shared" si="8"/>
        <v/>
      </c>
      <c r="K47" s="118"/>
      <c r="L47" s="110"/>
      <c r="M47" s="110"/>
      <c r="N47" s="60"/>
      <c r="O47" s="118"/>
      <c r="P47" s="118"/>
      <c r="Q47" s="121"/>
    </row>
    <row r="48" spans="1:17" s="61" customFormat="1" ht="38.25" customHeight="1" x14ac:dyDescent="0.25">
      <c r="A48" s="220">
        <v>4</v>
      </c>
      <c r="B48" s="221"/>
      <c r="C48" s="222"/>
      <c r="D48" s="223"/>
      <c r="E48" s="224"/>
      <c r="F48" s="224"/>
      <c r="G48" s="225">
        <f t="shared" si="5"/>
        <v>0</v>
      </c>
      <c r="H48" s="164">
        <f t="shared" si="7"/>
        <v>0</v>
      </c>
      <c r="I48" s="164">
        <f t="shared" si="6"/>
        <v>0</v>
      </c>
      <c r="J48" s="413" t="str">
        <f t="shared" si="8"/>
        <v/>
      </c>
      <c r="K48" s="118"/>
      <c r="L48" s="110"/>
      <c r="M48" s="110"/>
      <c r="N48" s="60"/>
      <c r="O48" s="118"/>
      <c r="P48" s="118"/>
      <c r="Q48" s="121"/>
    </row>
    <row r="49" spans="1:17" s="61" customFormat="1" ht="38.25" customHeight="1" x14ac:dyDescent="0.25">
      <c r="A49" s="220">
        <v>5</v>
      </c>
      <c r="B49" s="221"/>
      <c r="C49" s="222"/>
      <c r="D49" s="223"/>
      <c r="E49" s="224"/>
      <c r="F49" s="224"/>
      <c r="G49" s="225">
        <f t="shared" si="5"/>
        <v>0</v>
      </c>
      <c r="H49" s="164">
        <f t="shared" si="7"/>
        <v>0</v>
      </c>
      <c r="I49" s="164">
        <f t="shared" si="6"/>
        <v>0</v>
      </c>
      <c r="J49" s="413" t="str">
        <f t="shared" si="8"/>
        <v/>
      </c>
      <c r="K49" s="118"/>
      <c r="L49" s="110"/>
      <c r="M49" s="110"/>
      <c r="N49" s="60"/>
      <c r="O49" s="118"/>
      <c r="P49" s="118"/>
      <c r="Q49" s="121"/>
    </row>
    <row r="50" spans="1:17" s="61" customFormat="1" ht="38.25" customHeight="1" x14ac:dyDescent="0.25">
      <c r="A50" s="220">
        <v>6</v>
      </c>
      <c r="B50" s="221"/>
      <c r="C50" s="222"/>
      <c r="D50" s="223"/>
      <c r="E50" s="224"/>
      <c r="F50" s="224"/>
      <c r="G50" s="225">
        <f t="shared" si="5"/>
        <v>0</v>
      </c>
      <c r="H50" s="164">
        <f t="shared" si="7"/>
        <v>0</v>
      </c>
      <c r="I50" s="164">
        <f t="shared" si="6"/>
        <v>0</v>
      </c>
      <c r="J50" s="413"/>
      <c r="K50" s="118"/>
      <c r="L50" s="110"/>
      <c r="M50" s="110"/>
      <c r="N50" s="60"/>
      <c r="O50" s="118"/>
      <c r="P50" s="118"/>
      <c r="Q50" s="121"/>
    </row>
    <row r="51" spans="1:17" s="61" customFormat="1" ht="38.25" customHeight="1" x14ac:dyDescent="0.25">
      <c r="A51" s="220">
        <v>7</v>
      </c>
      <c r="B51" s="221"/>
      <c r="C51" s="222"/>
      <c r="D51" s="223"/>
      <c r="E51" s="224"/>
      <c r="F51" s="224"/>
      <c r="G51" s="225">
        <f t="shared" si="5"/>
        <v>0</v>
      </c>
      <c r="H51" s="164">
        <f t="shared" si="7"/>
        <v>0</v>
      </c>
      <c r="I51" s="164">
        <f t="shared" si="6"/>
        <v>0</v>
      </c>
      <c r="J51" s="413"/>
      <c r="K51" s="118"/>
      <c r="L51" s="110"/>
      <c r="M51" s="110"/>
      <c r="N51" s="60"/>
      <c r="O51" s="118"/>
      <c r="P51" s="118"/>
      <c r="Q51" s="121"/>
    </row>
    <row r="52" spans="1:17" s="61" customFormat="1" ht="38.25" customHeight="1" x14ac:dyDescent="0.25">
      <c r="A52" s="220">
        <v>8</v>
      </c>
      <c r="B52" s="221"/>
      <c r="C52" s="222"/>
      <c r="D52" s="223"/>
      <c r="E52" s="224"/>
      <c r="F52" s="224"/>
      <c r="G52" s="225">
        <f t="shared" si="5"/>
        <v>0</v>
      </c>
      <c r="H52" s="164">
        <f t="shared" si="7"/>
        <v>0</v>
      </c>
      <c r="I52" s="164">
        <f t="shared" si="6"/>
        <v>0</v>
      </c>
      <c r="J52" s="413"/>
      <c r="K52" s="118"/>
      <c r="L52" s="110"/>
      <c r="M52" s="110"/>
      <c r="N52" s="60"/>
      <c r="O52" s="118"/>
      <c r="P52" s="118"/>
      <c r="Q52" s="121"/>
    </row>
    <row r="53" spans="1:17" s="61" customFormat="1" ht="38.25" customHeight="1" x14ac:dyDescent="0.25">
      <c r="A53" s="220">
        <v>9</v>
      </c>
      <c r="B53" s="221"/>
      <c r="C53" s="222"/>
      <c r="D53" s="223"/>
      <c r="E53" s="224"/>
      <c r="F53" s="224"/>
      <c r="G53" s="225">
        <f t="shared" si="5"/>
        <v>0</v>
      </c>
      <c r="H53" s="164">
        <f t="shared" si="7"/>
        <v>0</v>
      </c>
      <c r="I53" s="164">
        <f t="shared" si="6"/>
        <v>0</v>
      </c>
      <c r="J53" s="413"/>
      <c r="K53" s="118"/>
      <c r="L53" s="110"/>
      <c r="M53" s="110"/>
      <c r="N53" s="60"/>
      <c r="O53" s="118"/>
      <c r="P53" s="118"/>
      <c r="Q53" s="121"/>
    </row>
    <row r="54" spans="1:17" s="61" customFormat="1" ht="38.25" customHeight="1" x14ac:dyDescent="0.25">
      <c r="A54" s="220">
        <v>10</v>
      </c>
      <c r="B54" s="221"/>
      <c r="C54" s="222"/>
      <c r="D54" s="223"/>
      <c r="E54" s="224"/>
      <c r="F54" s="224"/>
      <c r="G54" s="225">
        <f t="shared" si="5"/>
        <v>0</v>
      </c>
      <c r="H54" s="164">
        <f t="shared" si="7"/>
        <v>0</v>
      </c>
      <c r="I54" s="164">
        <f t="shared" si="6"/>
        <v>0</v>
      </c>
      <c r="J54" s="413"/>
      <c r="K54" s="118"/>
      <c r="L54" s="110"/>
      <c r="M54" s="110"/>
      <c r="N54" s="60"/>
      <c r="O54" s="118"/>
      <c r="P54" s="118"/>
      <c r="Q54" s="121"/>
    </row>
    <row r="55" spans="1:17" s="61" customFormat="1" ht="38.25" customHeight="1" x14ac:dyDescent="0.25">
      <c r="A55" s="220">
        <v>11</v>
      </c>
      <c r="B55" s="221"/>
      <c r="C55" s="222"/>
      <c r="D55" s="223"/>
      <c r="E55" s="224"/>
      <c r="F55" s="224"/>
      <c r="G55" s="225">
        <f t="shared" si="5"/>
        <v>0</v>
      </c>
      <c r="H55" s="164">
        <f t="shared" si="7"/>
        <v>0</v>
      </c>
      <c r="I55" s="164">
        <f t="shared" si="6"/>
        <v>0</v>
      </c>
      <c r="J55" s="413"/>
      <c r="K55" s="118"/>
      <c r="L55" s="110"/>
      <c r="M55" s="110"/>
      <c r="N55" s="60"/>
      <c r="O55" s="118"/>
      <c r="P55" s="118"/>
      <c r="Q55" s="121"/>
    </row>
    <row r="56" spans="1:17" s="61" customFormat="1" ht="38.25" customHeight="1" x14ac:dyDescent="0.25">
      <c r="A56" s="220">
        <v>12</v>
      </c>
      <c r="B56" s="221"/>
      <c r="C56" s="222"/>
      <c r="D56" s="223"/>
      <c r="E56" s="224"/>
      <c r="F56" s="224"/>
      <c r="G56" s="225">
        <f t="shared" si="5"/>
        <v>0</v>
      </c>
      <c r="H56" s="164">
        <f t="shared" si="7"/>
        <v>0</v>
      </c>
      <c r="I56" s="164">
        <f t="shared" si="6"/>
        <v>0</v>
      </c>
      <c r="J56" s="413"/>
      <c r="K56" s="118"/>
      <c r="L56" s="110"/>
      <c r="M56" s="110"/>
      <c r="N56" s="60"/>
      <c r="O56" s="118"/>
      <c r="P56" s="118"/>
      <c r="Q56" s="121"/>
    </row>
    <row r="57" spans="1:17" s="61" customFormat="1" ht="38.25" customHeight="1" x14ac:dyDescent="0.25">
      <c r="A57" s="111"/>
      <c r="B57" s="161" t="s">
        <v>1367</v>
      </c>
      <c r="C57" s="227">
        <f t="shared" ref="C57:I57" si="9">SUM(C45:C56)</f>
        <v>3</v>
      </c>
      <c r="D57" s="227">
        <f t="shared" si="9"/>
        <v>4</v>
      </c>
      <c r="E57" s="228">
        <f t="shared" si="9"/>
        <v>3000</v>
      </c>
      <c r="F57" s="228"/>
      <c r="G57" s="229">
        <f t="shared" si="9"/>
        <v>4.2211903756859424E-2</v>
      </c>
      <c r="H57" s="164">
        <f t="shared" si="9"/>
        <v>3550.2958579881656</v>
      </c>
      <c r="I57" s="164">
        <f t="shared" si="9"/>
        <v>10650.887573964497</v>
      </c>
      <c r="J57" s="413"/>
      <c r="K57" s="118"/>
      <c r="L57" s="110"/>
      <c r="M57" s="110"/>
      <c r="N57" s="60"/>
      <c r="O57" s="118"/>
      <c r="P57" s="118"/>
      <c r="Q57" s="121"/>
    </row>
    <row r="58" spans="1:17" s="111" customFormat="1" ht="15" customHeight="1" x14ac:dyDescent="0.25">
      <c r="A58" s="108"/>
      <c r="B58" s="117"/>
      <c r="C58" s="236"/>
      <c r="D58" s="237"/>
      <c r="E58" s="238"/>
      <c r="F58" s="238"/>
      <c r="G58" s="238"/>
      <c r="H58" s="116"/>
      <c r="I58" s="116"/>
      <c r="J58" s="116"/>
      <c r="K58" s="119"/>
      <c r="L58" s="119"/>
      <c r="M58" s="119"/>
      <c r="N58" s="119"/>
    </row>
    <row r="59" spans="1:17" s="61" customFormat="1" ht="38.25" customHeight="1" x14ac:dyDescent="0.25">
      <c r="A59" s="111"/>
      <c r="B59" s="449" t="s">
        <v>1378</v>
      </c>
      <c r="C59" s="239" t="s">
        <v>1534</v>
      </c>
      <c r="D59" s="488" t="s">
        <v>1380</v>
      </c>
      <c r="E59" s="488"/>
      <c r="F59" s="406"/>
      <c r="G59" s="240"/>
      <c r="H59" s="493" t="s">
        <v>1530</v>
      </c>
      <c r="I59" s="493"/>
      <c r="J59" s="413"/>
      <c r="K59" s="118"/>
      <c r="L59" s="110"/>
      <c r="M59" s="110"/>
      <c r="N59" s="60"/>
      <c r="O59" s="118"/>
      <c r="P59" s="118"/>
      <c r="Q59" s="121"/>
    </row>
    <row r="60" spans="1:17" s="61" customFormat="1" ht="51.75" customHeight="1" x14ac:dyDescent="0.25">
      <c r="A60" s="111"/>
      <c r="B60" s="449"/>
      <c r="C60" s="239" t="s">
        <v>1414</v>
      </c>
      <c r="D60" s="239" t="s">
        <v>1397</v>
      </c>
      <c r="E60" s="239" t="s">
        <v>1398</v>
      </c>
      <c r="F60" s="239"/>
      <c r="G60" s="241"/>
      <c r="H60" s="242" t="s">
        <v>1535</v>
      </c>
      <c r="I60" s="242" t="s">
        <v>1536</v>
      </c>
      <c r="J60" s="413"/>
      <c r="K60" s="118"/>
      <c r="L60" s="110"/>
      <c r="M60" s="110"/>
      <c r="N60" s="60"/>
      <c r="O60" s="118"/>
      <c r="P60" s="118"/>
      <c r="Q60" s="121"/>
    </row>
    <row r="61" spans="1:17" s="61" customFormat="1" ht="38.25" customHeight="1" x14ac:dyDescent="0.25">
      <c r="A61" s="220">
        <v>1</v>
      </c>
      <c r="B61" s="243" t="s">
        <v>1581</v>
      </c>
      <c r="C61" s="244">
        <v>1</v>
      </c>
      <c r="D61" s="245">
        <v>1</v>
      </c>
      <c r="E61" s="224">
        <v>105</v>
      </c>
      <c r="F61" s="416"/>
      <c r="G61" s="246">
        <f t="shared" ref="G61:G72" si="10">+H61/$E$184</f>
        <v>1.4774166314900799E-3</v>
      </c>
      <c r="H61" s="235">
        <f>E61/0.845</f>
        <v>124.2603550295858</v>
      </c>
      <c r="I61" s="235">
        <f t="shared" ref="I61:I72" si="11">+(C61*D61)*H61</f>
        <v>124.2603550295858</v>
      </c>
      <c r="J61" s="413"/>
      <c r="K61" s="118"/>
      <c r="L61" s="110"/>
      <c r="M61" s="110"/>
      <c r="N61" s="60"/>
      <c r="O61" s="118"/>
      <c r="P61" s="118"/>
      <c r="Q61" s="121"/>
    </row>
    <row r="62" spans="1:17" s="61" customFormat="1" ht="38.25" customHeight="1" x14ac:dyDescent="0.25">
      <c r="A62" s="220">
        <v>2</v>
      </c>
      <c r="B62" s="243" t="s">
        <v>1582</v>
      </c>
      <c r="C62" s="244">
        <v>1</v>
      </c>
      <c r="D62" s="245">
        <v>1</v>
      </c>
      <c r="E62" s="224">
        <v>105</v>
      </c>
      <c r="F62" s="224"/>
      <c r="G62" s="225">
        <f t="shared" si="10"/>
        <v>1.4774166314900799E-3</v>
      </c>
      <c r="H62" s="235">
        <f t="shared" ref="H62:H72" si="12">E62/0.845</f>
        <v>124.2603550295858</v>
      </c>
      <c r="I62" s="164">
        <f t="shared" si="11"/>
        <v>124.2603550295858</v>
      </c>
      <c r="J62" s="413"/>
      <c r="K62" s="118"/>
      <c r="L62" s="110"/>
      <c r="M62" s="110"/>
      <c r="N62" s="60"/>
      <c r="O62" s="118"/>
      <c r="P62" s="118"/>
      <c r="Q62" s="121"/>
    </row>
    <row r="63" spans="1:17" s="61" customFormat="1" ht="38.25" customHeight="1" x14ac:dyDescent="0.25">
      <c r="A63" s="220">
        <v>3</v>
      </c>
      <c r="B63" s="243"/>
      <c r="C63" s="244"/>
      <c r="D63" s="245"/>
      <c r="E63" s="224"/>
      <c r="F63" s="224"/>
      <c r="G63" s="225">
        <f t="shared" si="10"/>
        <v>0</v>
      </c>
      <c r="H63" s="235">
        <f t="shared" si="12"/>
        <v>0</v>
      </c>
      <c r="I63" s="164">
        <f t="shared" si="11"/>
        <v>0</v>
      </c>
      <c r="J63" s="413"/>
      <c r="K63" s="118"/>
      <c r="L63" s="110"/>
      <c r="M63" s="110"/>
      <c r="N63" s="60"/>
      <c r="O63" s="118"/>
      <c r="P63" s="118"/>
      <c r="Q63" s="121"/>
    </row>
    <row r="64" spans="1:17" s="61" customFormat="1" ht="38.25" customHeight="1" x14ac:dyDescent="0.25">
      <c r="A64" s="220">
        <v>4</v>
      </c>
      <c r="B64" s="243"/>
      <c r="C64" s="244"/>
      <c r="D64" s="245"/>
      <c r="E64" s="224"/>
      <c r="F64" s="224"/>
      <c r="G64" s="225">
        <f t="shared" si="10"/>
        <v>0</v>
      </c>
      <c r="H64" s="235">
        <f t="shared" si="12"/>
        <v>0</v>
      </c>
      <c r="I64" s="164">
        <f t="shared" si="11"/>
        <v>0</v>
      </c>
      <c r="J64" s="413"/>
      <c r="K64" s="118"/>
      <c r="L64" s="110"/>
      <c r="M64" s="110"/>
      <c r="N64" s="60"/>
      <c r="O64" s="118"/>
      <c r="P64" s="118"/>
      <c r="Q64" s="121"/>
    </row>
    <row r="65" spans="1:17" s="61" customFormat="1" ht="38.25" customHeight="1" x14ac:dyDescent="0.25">
      <c r="A65" s="220">
        <v>5</v>
      </c>
      <c r="B65" s="243"/>
      <c r="C65" s="244"/>
      <c r="D65" s="245"/>
      <c r="E65" s="224"/>
      <c r="F65" s="224"/>
      <c r="G65" s="225">
        <f t="shared" si="10"/>
        <v>0</v>
      </c>
      <c r="H65" s="235">
        <f t="shared" si="12"/>
        <v>0</v>
      </c>
      <c r="I65" s="164">
        <f t="shared" si="11"/>
        <v>0</v>
      </c>
      <c r="J65" s="413"/>
      <c r="K65" s="118"/>
      <c r="L65" s="110"/>
      <c r="M65" s="110"/>
      <c r="N65" s="60"/>
      <c r="O65" s="118"/>
      <c r="P65" s="118"/>
      <c r="Q65" s="121"/>
    </row>
    <row r="66" spans="1:17" s="61" customFormat="1" ht="38.25" customHeight="1" x14ac:dyDescent="0.25">
      <c r="A66" s="220">
        <v>6</v>
      </c>
      <c r="B66" s="243"/>
      <c r="C66" s="244"/>
      <c r="D66" s="245"/>
      <c r="E66" s="224"/>
      <c r="F66" s="224"/>
      <c r="G66" s="225">
        <f t="shared" si="10"/>
        <v>0</v>
      </c>
      <c r="H66" s="235">
        <f t="shared" si="12"/>
        <v>0</v>
      </c>
      <c r="I66" s="164">
        <f t="shared" si="11"/>
        <v>0</v>
      </c>
      <c r="J66" s="413"/>
      <c r="K66" s="118"/>
      <c r="L66" s="110"/>
      <c r="M66" s="110"/>
      <c r="N66" s="60"/>
      <c r="O66" s="118"/>
      <c r="P66" s="118"/>
      <c r="Q66" s="121"/>
    </row>
    <row r="67" spans="1:17" s="61" customFormat="1" ht="38.25" customHeight="1" x14ac:dyDescent="0.25">
      <c r="A67" s="220">
        <v>7</v>
      </c>
      <c r="B67" s="243"/>
      <c r="C67" s="244"/>
      <c r="D67" s="245"/>
      <c r="E67" s="224"/>
      <c r="F67" s="224"/>
      <c r="G67" s="225">
        <f t="shared" si="10"/>
        <v>0</v>
      </c>
      <c r="H67" s="235">
        <f t="shared" si="12"/>
        <v>0</v>
      </c>
      <c r="I67" s="164">
        <f t="shared" si="11"/>
        <v>0</v>
      </c>
      <c r="J67" s="413"/>
      <c r="K67" s="118"/>
      <c r="L67" s="110"/>
      <c r="M67" s="110"/>
      <c r="N67" s="60"/>
      <c r="O67" s="118"/>
      <c r="P67" s="118"/>
      <c r="Q67" s="121"/>
    </row>
    <row r="68" spans="1:17" s="61" customFormat="1" ht="38.25" customHeight="1" x14ac:dyDescent="0.25">
      <c r="A68" s="220">
        <v>8</v>
      </c>
      <c r="B68" s="243"/>
      <c r="C68" s="244"/>
      <c r="D68" s="245"/>
      <c r="E68" s="224"/>
      <c r="F68" s="224"/>
      <c r="G68" s="225">
        <f t="shared" si="10"/>
        <v>0</v>
      </c>
      <c r="H68" s="235">
        <f t="shared" si="12"/>
        <v>0</v>
      </c>
      <c r="I68" s="164">
        <f t="shared" si="11"/>
        <v>0</v>
      </c>
      <c r="J68" s="413"/>
      <c r="K68" s="118"/>
      <c r="L68" s="110"/>
      <c r="M68" s="110"/>
      <c r="N68" s="60"/>
      <c r="O68" s="118"/>
      <c r="P68" s="118"/>
      <c r="Q68" s="121"/>
    </row>
    <row r="69" spans="1:17" s="61" customFormat="1" ht="38.25" customHeight="1" x14ac:dyDescent="0.25">
      <c r="A69" s="220">
        <v>9</v>
      </c>
      <c r="B69" s="243"/>
      <c r="C69" s="244"/>
      <c r="D69" s="245"/>
      <c r="E69" s="224"/>
      <c r="F69" s="224"/>
      <c r="G69" s="225">
        <f t="shared" si="10"/>
        <v>0</v>
      </c>
      <c r="H69" s="235">
        <f t="shared" si="12"/>
        <v>0</v>
      </c>
      <c r="I69" s="164">
        <f t="shared" si="11"/>
        <v>0</v>
      </c>
      <c r="J69" s="413"/>
      <c r="K69" s="118"/>
      <c r="L69" s="110"/>
      <c r="M69" s="110"/>
      <c r="N69" s="60"/>
      <c r="O69" s="118"/>
      <c r="P69" s="118"/>
      <c r="Q69" s="121"/>
    </row>
    <row r="70" spans="1:17" s="61" customFormat="1" ht="38.25" customHeight="1" x14ac:dyDescent="0.25">
      <c r="A70" s="220">
        <v>10</v>
      </c>
      <c r="B70" s="243"/>
      <c r="C70" s="244"/>
      <c r="D70" s="245"/>
      <c r="E70" s="224"/>
      <c r="F70" s="224"/>
      <c r="G70" s="225">
        <f t="shared" si="10"/>
        <v>0</v>
      </c>
      <c r="H70" s="235">
        <f t="shared" si="12"/>
        <v>0</v>
      </c>
      <c r="I70" s="164">
        <f t="shared" si="11"/>
        <v>0</v>
      </c>
      <c r="J70" s="413"/>
      <c r="K70" s="118"/>
      <c r="L70" s="110"/>
      <c r="M70" s="110"/>
      <c r="N70" s="60"/>
      <c r="O70" s="118"/>
      <c r="P70" s="118"/>
      <c r="Q70" s="121"/>
    </row>
    <row r="71" spans="1:17" s="61" customFormat="1" ht="38.25" customHeight="1" x14ac:dyDescent="0.25">
      <c r="A71" s="220">
        <v>11</v>
      </c>
      <c r="B71" s="243"/>
      <c r="C71" s="244"/>
      <c r="D71" s="245"/>
      <c r="E71" s="224"/>
      <c r="F71" s="224"/>
      <c r="G71" s="225">
        <f t="shared" si="10"/>
        <v>0</v>
      </c>
      <c r="H71" s="235">
        <f t="shared" si="12"/>
        <v>0</v>
      </c>
      <c r="I71" s="164">
        <f t="shared" si="11"/>
        <v>0</v>
      </c>
      <c r="J71" s="413"/>
      <c r="K71" s="118"/>
      <c r="L71" s="110"/>
      <c r="M71" s="110"/>
      <c r="N71" s="60"/>
      <c r="O71" s="118"/>
      <c r="P71" s="118"/>
      <c r="Q71" s="121"/>
    </row>
    <row r="72" spans="1:17" s="61" customFormat="1" ht="38.25" customHeight="1" x14ac:dyDescent="0.25">
      <c r="A72" s="220">
        <v>12</v>
      </c>
      <c r="B72" s="243"/>
      <c r="C72" s="244"/>
      <c r="D72" s="245"/>
      <c r="E72" s="224"/>
      <c r="F72" s="224"/>
      <c r="G72" s="225">
        <f t="shared" si="10"/>
        <v>0</v>
      </c>
      <c r="H72" s="235">
        <f t="shared" si="12"/>
        <v>0</v>
      </c>
      <c r="I72" s="164">
        <f t="shared" si="11"/>
        <v>0</v>
      </c>
      <c r="J72" s="413"/>
      <c r="K72" s="118"/>
      <c r="L72" s="110"/>
      <c r="M72" s="110"/>
      <c r="N72" s="60"/>
      <c r="O72" s="118"/>
      <c r="P72" s="118"/>
      <c r="Q72" s="121"/>
    </row>
    <row r="73" spans="1:17" s="61" customFormat="1" ht="38.25" customHeight="1" x14ac:dyDescent="0.25">
      <c r="A73" s="111"/>
      <c r="B73" s="161" t="s">
        <v>1367</v>
      </c>
      <c r="C73" s="227">
        <f t="shared" ref="C73:I73" si="13">SUM(C61:C72)</f>
        <v>2</v>
      </c>
      <c r="D73" s="227">
        <f t="shared" si="13"/>
        <v>2</v>
      </c>
      <c r="E73" s="228">
        <f t="shared" si="13"/>
        <v>210</v>
      </c>
      <c r="F73" s="228"/>
      <c r="G73" s="247">
        <f t="shared" si="13"/>
        <v>2.9548332629801598E-3</v>
      </c>
      <c r="H73" s="164">
        <f t="shared" si="13"/>
        <v>248.52071005917159</v>
      </c>
      <c r="I73" s="164">
        <f t="shared" si="13"/>
        <v>248.52071005917159</v>
      </c>
      <c r="J73" s="413"/>
      <c r="K73" s="118"/>
      <c r="L73" s="110"/>
      <c r="M73" s="110"/>
      <c r="N73" s="60"/>
      <c r="O73" s="118"/>
      <c r="P73" s="118"/>
      <c r="Q73" s="121"/>
    </row>
    <row r="74" spans="1:17" s="111" customFormat="1" ht="15" customHeight="1" x14ac:dyDescent="0.25">
      <c r="A74" s="108"/>
      <c r="B74" s="117"/>
      <c r="C74" s="230"/>
      <c r="D74" s="231"/>
      <c r="E74" s="232"/>
      <c r="F74" s="232"/>
      <c r="G74" s="232"/>
      <c r="H74" s="116"/>
      <c r="I74" s="116"/>
      <c r="J74" s="116"/>
      <c r="K74" s="119"/>
      <c r="L74" s="119"/>
      <c r="M74" s="119"/>
      <c r="N74" s="119"/>
    </row>
    <row r="75" spans="1:17" s="61" customFormat="1" ht="38.25" customHeight="1" x14ac:dyDescent="0.25">
      <c r="A75" s="111"/>
      <c r="B75" s="447" t="s">
        <v>1378</v>
      </c>
      <c r="C75" s="233" t="s">
        <v>1534</v>
      </c>
      <c r="D75" s="429" t="s">
        <v>1382</v>
      </c>
      <c r="E75" s="496"/>
      <c r="F75" s="407"/>
      <c r="G75" s="70"/>
      <c r="H75" s="491" t="s">
        <v>1530</v>
      </c>
      <c r="I75" s="495"/>
      <c r="J75" s="413"/>
      <c r="K75" s="118"/>
      <c r="L75" s="110"/>
      <c r="M75" s="110"/>
      <c r="N75" s="60"/>
      <c r="O75" s="118"/>
      <c r="P75" s="118"/>
      <c r="Q75" s="121"/>
    </row>
    <row r="76" spans="1:17" s="61" customFormat="1" ht="49.5" customHeight="1" x14ac:dyDescent="0.25">
      <c r="A76" s="111"/>
      <c r="B76" s="448"/>
      <c r="C76" s="148" t="s">
        <v>1414</v>
      </c>
      <c r="D76" s="148" t="s">
        <v>1397</v>
      </c>
      <c r="E76" s="148" t="s">
        <v>1398</v>
      </c>
      <c r="F76" s="148"/>
      <c r="G76" s="248"/>
      <c r="H76" s="164" t="s">
        <v>1535</v>
      </c>
      <c r="I76" s="164" t="s">
        <v>1536</v>
      </c>
      <c r="J76" s="413"/>
      <c r="K76" s="118"/>
      <c r="L76" s="110"/>
      <c r="M76" s="110"/>
      <c r="N76" s="60"/>
      <c r="O76" s="118"/>
      <c r="P76" s="118"/>
      <c r="Q76" s="121"/>
    </row>
    <row r="77" spans="1:17" s="61" customFormat="1" ht="38.25" customHeight="1" x14ac:dyDescent="0.25">
      <c r="A77" s="220">
        <v>1</v>
      </c>
      <c r="B77" s="221" t="s">
        <v>1583</v>
      </c>
      <c r="C77" s="222">
        <v>1</v>
      </c>
      <c r="D77" s="223">
        <v>1</v>
      </c>
      <c r="E77" s="224">
        <v>100</v>
      </c>
      <c r="F77" s="224"/>
      <c r="G77" s="225">
        <f t="shared" ref="G77:G88" si="14">+H77/$E$184</f>
        <v>1.407063458561981E-3</v>
      </c>
      <c r="H77" s="164">
        <f>E77/0.845</f>
        <v>118.34319526627219</v>
      </c>
      <c r="I77" s="164">
        <f t="shared" ref="I77:I88" si="15">(C77*D77)*H77</f>
        <v>118.34319526627219</v>
      </c>
      <c r="J77" s="413"/>
      <c r="K77" s="118"/>
      <c r="L77" s="110"/>
      <c r="M77" s="110"/>
      <c r="N77" s="60"/>
      <c r="O77" s="118"/>
      <c r="P77" s="118"/>
      <c r="Q77" s="121"/>
    </row>
    <row r="78" spans="1:17" s="61" customFormat="1" ht="38.25" customHeight="1" x14ac:dyDescent="0.25">
      <c r="A78" s="220">
        <v>2</v>
      </c>
      <c r="B78" s="221" t="s">
        <v>1584</v>
      </c>
      <c r="C78" s="222">
        <v>1</v>
      </c>
      <c r="D78" s="223">
        <v>2</v>
      </c>
      <c r="E78" s="224">
        <v>100</v>
      </c>
      <c r="F78" s="224"/>
      <c r="G78" s="225">
        <f t="shared" si="14"/>
        <v>1.407063458561981E-3</v>
      </c>
      <c r="H78" s="164">
        <f t="shared" ref="H78:H88" si="16">E78/0.845</f>
        <v>118.34319526627219</v>
      </c>
      <c r="I78" s="164">
        <f t="shared" si="15"/>
        <v>236.68639053254438</v>
      </c>
      <c r="J78" s="413"/>
      <c r="K78" s="118"/>
      <c r="L78" s="110"/>
      <c r="M78" s="110"/>
      <c r="N78" s="60"/>
      <c r="O78" s="118"/>
      <c r="P78" s="118"/>
      <c r="Q78" s="121"/>
    </row>
    <row r="79" spans="1:17" s="61" customFormat="1" ht="38.25" customHeight="1" x14ac:dyDescent="0.25">
      <c r="A79" s="220">
        <v>3</v>
      </c>
      <c r="B79" s="221"/>
      <c r="C79" s="222"/>
      <c r="D79" s="223"/>
      <c r="E79" s="224"/>
      <c r="F79" s="224"/>
      <c r="G79" s="225">
        <f t="shared" si="14"/>
        <v>0</v>
      </c>
      <c r="H79" s="164">
        <f t="shared" si="16"/>
        <v>0</v>
      </c>
      <c r="I79" s="164">
        <f t="shared" si="15"/>
        <v>0</v>
      </c>
      <c r="J79" s="413"/>
      <c r="K79" s="119"/>
      <c r="L79" s="110"/>
      <c r="M79" s="110"/>
      <c r="N79" s="60"/>
      <c r="O79" s="118"/>
      <c r="P79" s="118"/>
      <c r="Q79" s="121"/>
    </row>
    <row r="80" spans="1:17" s="61" customFormat="1" ht="38.25" customHeight="1" x14ac:dyDescent="0.25">
      <c r="A80" s="220">
        <v>4</v>
      </c>
      <c r="B80" s="221"/>
      <c r="C80" s="222"/>
      <c r="D80" s="223"/>
      <c r="E80" s="224"/>
      <c r="F80" s="224"/>
      <c r="G80" s="225">
        <f t="shared" si="14"/>
        <v>0</v>
      </c>
      <c r="H80" s="164">
        <f t="shared" si="16"/>
        <v>0</v>
      </c>
      <c r="I80" s="164">
        <f t="shared" si="15"/>
        <v>0</v>
      </c>
      <c r="J80" s="413"/>
      <c r="K80" s="119"/>
      <c r="L80" s="110"/>
      <c r="M80" s="110"/>
      <c r="N80" s="60"/>
      <c r="O80" s="118"/>
      <c r="P80" s="118"/>
      <c r="Q80" s="121"/>
    </row>
    <row r="81" spans="1:17" s="61" customFormat="1" ht="38.25" customHeight="1" x14ac:dyDescent="0.25">
      <c r="A81" s="220">
        <v>5</v>
      </c>
      <c r="B81" s="221"/>
      <c r="C81" s="222"/>
      <c r="D81" s="223"/>
      <c r="E81" s="224"/>
      <c r="F81" s="224"/>
      <c r="G81" s="225">
        <f t="shared" si="14"/>
        <v>0</v>
      </c>
      <c r="H81" s="164">
        <f t="shared" si="16"/>
        <v>0</v>
      </c>
      <c r="I81" s="164">
        <f t="shared" si="15"/>
        <v>0</v>
      </c>
      <c r="J81" s="413"/>
      <c r="K81" s="119"/>
      <c r="L81" s="110"/>
      <c r="M81" s="110"/>
      <c r="N81" s="60"/>
      <c r="O81" s="118"/>
      <c r="P81" s="118"/>
      <c r="Q81" s="121"/>
    </row>
    <row r="82" spans="1:17" s="61" customFormat="1" ht="38.25" customHeight="1" x14ac:dyDescent="0.25">
      <c r="A82" s="220">
        <v>6</v>
      </c>
      <c r="B82" s="221"/>
      <c r="C82" s="222"/>
      <c r="D82" s="223"/>
      <c r="E82" s="224"/>
      <c r="F82" s="224"/>
      <c r="G82" s="225">
        <f t="shared" si="14"/>
        <v>0</v>
      </c>
      <c r="H82" s="164">
        <f t="shared" si="16"/>
        <v>0</v>
      </c>
      <c r="I82" s="164">
        <f t="shared" si="15"/>
        <v>0</v>
      </c>
      <c r="J82" s="413"/>
      <c r="K82" s="119"/>
      <c r="L82" s="110"/>
      <c r="M82" s="110"/>
      <c r="N82" s="60"/>
      <c r="O82" s="118"/>
      <c r="P82" s="118"/>
      <c r="Q82" s="121"/>
    </row>
    <row r="83" spans="1:17" s="61" customFormat="1" ht="38.25" customHeight="1" x14ac:dyDescent="0.25">
      <c r="A83" s="220">
        <v>7</v>
      </c>
      <c r="B83" s="221"/>
      <c r="C83" s="222"/>
      <c r="D83" s="223"/>
      <c r="E83" s="224"/>
      <c r="F83" s="224"/>
      <c r="G83" s="225">
        <f t="shared" si="14"/>
        <v>0</v>
      </c>
      <c r="H83" s="164">
        <f t="shared" si="16"/>
        <v>0</v>
      </c>
      <c r="I83" s="164">
        <f t="shared" si="15"/>
        <v>0</v>
      </c>
      <c r="J83" s="413"/>
      <c r="K83" s="119"/>
      <c r="L83" s="110"/>
      <c r="M83" s="110"/>
      <c r="N83" s="60"/>
      <c r="O83" s="118"/>
      <c r="P83" s="118"/>
      <c r="Q83" s="121"/>
    </row>
    <row r="84" spans="1:17" s="61" customFormat="1" ht="38.25" customHeight="1" x14ac:dyDescent="0.25">
      <c r="A84" s="220">
        <v>8</v>
      </c>
      <c r="B84" s="221"/>
      <c r="C84" s="222"/>
      <c r="D84" s="223"/>
      <c r="E84" s="224"/>
      <c r="F84" s="224"/>
      <c r="G84" s="225">
        <f t="shared" si="14"/>
        <v>0</v>
      </c>
      <c r="H84" s="164">
        <f t="shared" si="16"/>
        <v>0</v>
      </c>
      <c r="I84" s="164">
        <f t="shared" si="15"/>
        <v>0</v>
      </c>
      <c r="J84" s="413"/>
      <c r="K84" s="119"/>
      <c r="L84" s="110"/>
      <c r="M84" s="110"/>
      <c r="N84" s="60"/>
      <c r="O84" s="118"/>
      <c r="P84" s="118"/>
      <c r="Q84" s="121"/>
    </row>
    <row r="85" spans="1:17" s="61" customFormat="1" ht="38.25" customHeight="1" x14ac:dyDescent="0.25">
      <c r="A85" s="220">
        <v>9</v>
      </c>
      <c r="B85" s="221"/>
      <c r="C85" s="222"/>
      <c r="D85" s="223"/>
      <c r="E85" s="224"/>
      <c r="F85" s="224"/>
      <c r="G85" s="225">
        <f t="shared" si="14"/>
        <v>0</v>
      </c>
      <c r="H85" s="164">
        <f t="shared" si="16"/>
        <v>0</v>
      </c>
      <c r="I85" s="164">
        <f t="shared" si="15"/>
        <v>0</v>
      </c>
      <c r="J85" s="413"/>
      <c r="K85" s="119"/>
      <c r="L85" s="110"/>
      <c r="M85" s="119"/>
      <c r="N85" s="98"/>
      <c r="O85" s="118"/>
      <c r="P85" s="118"/>
      <c r="Q85" s="121"/>
    </row>
    <row r="86" spans="1:17" s="61" customFormat="1" ht="38.25" customHeight="1" x14ac:dyDescent="0.25">
      <c r="A86" s="220">
        <v>10</v>
      </c>
      <c r="B86" s="221"/>
      <c r="C86" s="222"/>
      <c r="D86" s="223"/>
      <c r="E86" s="224"/>
      <c r="F86" s="224"/>
      <c r="G86" s="225">
        <f t="shared" si="14"/>
        <v>0</v>
      </c>
      <c r="H86" s="164">
        <f t="shared" si="16"/>
        <v>0</v>
      </c>
      <c r="I86" s="164">
        <f t="shared" si="15"/>
        <v>0</v>
      </c>
      <c r="J86" s="413"/>
      <c r="K86" s="119"/>
      <c r="L86" s="110"/>
      <c r="M86" s="119"/>
      <c r="N86" s="98"/>
      <c r="O86" s="118"/>
      <c r="P86" s="118"/>
      <c r="Q86" s="121"/>
    </row>
    <row r="87" spans="1:17" s="61" customFormat="1" ht="38.25" customHeight="1" x14ac:dyDescent="0.25">
      <c r="A87" s="220">
        <v>11</v>
      </c>
      <c r="B87" s="221"/>
      <c r="C87" s="222"/>
      <c r="D87" s="223"/>
      <c r="E87" s="224"/>
      <c r="F87" s="224"/>
      <c r="G87" s="225">
        <f t="shared" si="14"/>
        <v>0</v>
      </c>
      <c r="H87" s="164">
        <f t="shared" si="16"/>
        <v>0</v>
      </c>
      <c r="I87" s="164">
        <f t="shared" si="15"/>
        <v>0</v>
      </c>
      <c r="J87" s="413"/>
      <c r="K87" s="119"/>
      <c r="L87" s="110"/>
      <c r="M87" s="119"/>
      <c r="N87" s="98"/>
      <c r="O87" s="118"/>
      <c r="P87" s="118"/>
      <c r="Q87" s="121"/>
    </row>
    <row r="88" spans="1:17" s="61" customFormat="1" ht="38.25" customHeight="1" x14ac:dyDescent="0.25">
      <c r="A88" s="220">
        <v>12</v>
      </c>
      <c r="B88" s="221"/>
      <c r="C88" s="222"/>
      <c r="D88" s="223"/>
      <c r="E88" s="224"/>
      <c r="F88" s="224"/>
      <c r="G88" s="225">
        <f t="shared" si="14"/>
        <v>0</v>
      </c>
      <c r="H88" s="164">
        <f t="shared" si="16"/>
        <v>0</v>
      </c>
      <c r="I88" s="164">
        <f t="shared" si="15"/>
        <v>0</v>
      </c>
      <c r="J88" s="413"/>
      <c r="K88" s="119"/>
      <c r="L88" s="110"/>
      <c r="M88" s="119"/>
      <c r="N88" s="98"/>
      <c r="O88" s="118"/>
      <c r="P88" s="118"/>
      <c r="Q88" s="121"/>
    </row>
    <row r="89" spans="1:17" s="61" customFormat="1" ht="38.25" customHeight="1" x14ac:dyDescent="0.25">
      <c r="A89" s="111"/>
      <c r="B89" s="161" t="s">
        <v>1367</v>
      </c>
      <c r="C89" s="227">
        <f t="shared" ref="C89:I89" si="17">SUM(C77:C88)</f>
        <v>2</v>
      </c>
      <c r="D89" s="227">
        <f t="shared" si="17"/>
        <v>3</v>
      </c>
      <c r="E89" s="228">
        <f t="shared" si="17"/>
        <v>200</v>
      </c>
      <c r="F89" s="228"/>
      <c r="G89" s="247">
        <f t="shared" si="17"/>
        <v>2.814126917123962E-3</v>
      </c>
      <c r="H89" s="164">
        <f t="shared" si="17"/>
        <v>236.68639053254438</v>
      </c>
      <c r="I89" s="164">
        <f t="shared" si="17"/>
        <v>355.02958579881658</v>
      </c>
      <c r="J89" s="413"/>
      <c r="K89" s="119"/>
      <c r="L89" s="110"/>
      <c r="M89" s="119"/>
      <c r="N89" s="98"/>
      <c r="O89" s="118"/>
      <c r="P89" s="118"/>
      <c r="Q89" s="121"/>
    </row>
    <row r="90" spans="1:17" s="111" customFormat="1" ht="15" customHeight="1" x14ac:dyDescent="0.25">
      <c r="A90" s="108"/>
      <c r="B90" s="117"/>
      <c r="C90" s="236"/>
      <c r="D90" s="237"/>
      <c r="E90" s="238"/>
      <c r="F90" s="238"/>
      <c r="G90" s="238"/>
      <c r="H90" s="116"/>
      <c r="I90" s="116"/>
      <c r="J90" s="116"/>
      <c r="K90" s="119"/>
      <c r="L90" s="119"/>
      <c r="M90" s="119"/>
      <c r="N90" s="119"/>
    </row>
    <row r="91" spans="1:17" s="61" customFormat="1" ht="38.25" customHeight="1" x14ac:dyDescent="0.25">
      <c r="A91" s="111"/>
      <c r="B91" s="449" t="s">
        <v>1378</v>
      </c>
      <c r="C91" s="239" t="s">
        <v>1534</v>
      </c>
      <c r="D91" s="488" t="s">
        <v>1383</v>
      </c>
      <c r="E91" s="488"/>
      <c r="F91" s="406"/>
      <c r="G91" s="249"/>
      <c r="H91" s="493" t="s">
        <v>1530</v>
      </c>
      <c r="I91" s="493"/>
      <c r="J91" s="413"/>
      <c r="K91" s="119"/>
      <c r="L91" s="110"/>
      <c r="M91" s="119"/>
      <c r="N91" s="98"/>
      <c r="O91" s="118"/>
      <c r="P91" s="118"/>
      <c r="Q91" s="121"/>
    </row>
    <row r="92" spans="1:17" s="61" customFormat="1" ht="53.25" customHeight="1" x14ac:dyDescent="0.25">
      <c r="A92" s="111"/>
      <c r="B92" s="449"/>
      <c r="C92" s="239" t="s">
        <v>1414</v>
      </c>
      <c r="D92" s="239" t="s">
        <v>1397</v>
      </c>
      <c r="E92" s="239" t="s">
        <v>1398</v>
      </c>
      <c r="F92" s="239"/>
      <c r="G92" s="250"/>
      <c r="H92" s="242" t="s">
        <v>1535</v>
      </c>
      <c r="I92" s="242" t="s">
        <v>1536</v>
      </c>
      <c r="J92" s="413"/>
      <c r="K92" s="119"/>
      <c r="L92" s="110"/>
      <c r="M92" s="119"/>
      <c r="N92" s="98"/>
      <c r="O92" s="118"/>
      <c r="P92" s="118"/>
      <c r="Q92" s="121"/>
    </row>
    <row r="93" spans="1:17" s="61" customFormat="1" ht="38.25" customHeight="1" x14ac:dyDescent="0.25">
      <c r="A93" s="220">
        <v>1</v>
      </c>
      <c r="B93" s="243" t="s">
        <v>1585</v>
      </c>
      <c r="C93" s="244">
        <v>1</v>
      </c>
      <c r="D93" s="244">
        <v>1</v>
      </c>
      <c r="E93" s="224">
        <v>50</v>
      </c>
      <c r="F93" s="417"/>
      <c r="G93" s="251">
        <f t="shared" ref="G93:G104" si="18">+H93/$E$184</f>
        <v>7.0353172928099049E-4</v>
      </c>
      <c r="H93" s="252">
        <f>E93/0.845</f>
        <v>59.171597633136095</v>
      </c>
      <c r="I93" s="252">
        <f t="shared" ref="I93:I104" si="19">(C93*D93)*H93</f>
        <v>59.171597633136095</v>
      </c>
      <c r="J93" s="413"/>
      <c r="K93" s="119"/>
      <c r="L93" s="110"/>
      <c r="M93" s="119"/>
      <c r="N93" s="98"/>
      <c r="O93" s="118"/>
      <c r="P93" s="118"/>
      <c r="Q93" s="121"/>
    </row>
    <row r="94" spans="1:17" s="61" customFormat="1" ht="38.25" customHeight="1" x14ac:dyDescent="0.25">
      <c r="A94" s="220">
        <v>2</v>
      </c>
      <c r="B94" s="243" t="s">
        <v>1586</v>
      </c>
      <c r="C94" s="244">
        <v>1</v>
      </c>
      <c r="D94" s="244">
        <v>1</v>
      </c>
      <c r="E94" s="224">
        <v>50</v>
      </c>
      <c r="F94" s="418"/>
      <c r="G94" s="253">
        <f t="shared" si="18"/>
        <v>7.0353172928099049E-4</v>
      </c>
      <c r="H94" s="252">
        <f t="shared" ref="H94:H104" si="20">E94/0.845</f>
        <v>59.171597633136095</v>
      </c>
      <c r="I94" s="254">
        <f t="shared" si="19"/>
        <v>59.171597633136095</v>
      </c>
      <c r="J94" s="413"/>
      <c r="K94" s="119"/>
      <c r="L94" s="110"/>
      <c r="M94" s="119"/>
      <c r="N94" s="98"/>
      <c r="O94" s="118"/>
      <c r="P94" s="118"/>
      <c r="Q94" s="121"/>
    </row>
    <row r="95" spans="1:17" s="61" customFormat="1" ht="38.25" customHeight="1" x14ac:dyDescent="0.25">
      <c r="A95" s="220">
        <v>3</v>
      </c>
      <c r="B95" s="243"/>
      <c r="C95" s="244"/>
      <c r="D95" s="244"/>
      <c r="E95" s="224"/>
      <c r="F95" s="418"/>
      <c r="G95" s="253">
        <f t="shared" si="18"/>
        <v>0</v>
      </c>
      <c r="H95" s="252">
        <f t="shared" si="20"/>
        <v>0</v>
      </c>
      <c r="I95" s="254">
        <f t="shared" si="19"/>
        <v>0</v>
      </c>
      <c r="J95" s="413"/>
      <c r="K95" s="118"/>
      <c r="L95" s="110"/>
      <c r="M95" s="119"/>
      <c r="N95" s="98"/>
      <c r="O95" s="118"/>
      <c r="P95" s="118"/>
      <c r="Q95" s="121"/>
    </row>
    <row r="96" spans="1:17" s="61" customFormat="1" ht="38.25" customHeight="1" x14ac:dyDescent="0.25">
      <c r="A96" s="220">
        <v>4</v>
      </c>
      <c r="B96" s="243"/>
      <c r="C96" s="244"/>
      <c r="D96" s="244"/>
      <c r="E96" s="224"/>
      <c r="F96" s="418"/>
      <c r="G96" s="253">
        <f t="shared" si="18"/>
        <v>0</v>
      </c>
      <c r="H96" s="252">
        <f t="shared" si="20"/>
        <v>0</v>
      </c>
      <c r="I96" s="254">
        <f t="shared" si="19"/>
        <v>0</v>
      </c>
      <c r="J96" s="413"/>
      <c r="K96" s="118"/>
      <c r="L96" s="110"/>
      <c r="M96" s="119"/>
      <c r="N96" s="98"/>
      <c r="O96" s="118"/>
      <c r="P96" s="118"/>
      <c r="Q96" s="121"/>
    </row>
    <row r="97" spans="1:17" s="61" customFormat="1" ht="38.25" customHeight="1" x14ac:dyDescent="0.25">
      <c r="A97" s="220">
        <v>5</v>
      </c>
      <c r="B97" s="243"/>
      <c r="C97" s="244"/>
      <c r="D97" s="244"/>
      <c r="E97" s="224"/>
      <c r="F97" s="418"/>
      <c r="G97" s="253">
        <f t="shared" si="18"/>
        <v>0</v>
      </c>
      <c r="H97" s="252">
        <f t="shared" si="20"/>
        <v>0</v>
      </c>
      <c r="I97" s="254">
        <f t="shared" si="19"/>
        <v>0</v>
      </c>
      <c r="J97" s="413"/>
      <c r="K97" s="118"/>
      <c r="L97" s="110"/>
      <c r="M97" s="119"/>
      <c r="N97" s="98"/>
      <c r="O97" s="118"/>
      <c r="P97" s="118"/>
      <c r="Q97" s="121"/>
    </row>
    <row r="98" spans="1:17" s="61" customFormat="1" ht="38.25" customHeight="1" x14ac:dyDescent="0.25">
      <c r="A98" s="220">
        <v>6</v>
      </c>
      <c r="B98" s="243"/>
      <c r="C98" s="244"/>
      <c r="D98" s="244"/>
      <c r="E98" s="224"/>
      <c r="F98" s="418"/>
      <c r="G98" s="253">
        <f t="shared" si="18"/>
        <v>0</v>
      </c>
      <c r="H98" s="252">
        <f t="shared" si="20"/>
        <v>0</v>
      </c>
      <c r="I98" s="254">
        <f t="shared" si="19"/>
        <v>0</v>
      </c>
      <c r="J98" s="413"/>
      <c r="K98" s="118"/>
      <c r="L98" s="110"/>
      <c r="M98" s="119"/>
      <c r="N98" s="98"/>
      <c r="O98" s="118"/>
      <c r="P98" s="118"/>
      <c r="Q98" s="121"/>
    </row>
    <row r="99" spans="1:17" s="61" customFormat="1" ht="38.25" customHeight="1" x14ac:dyDescent="0.25">
      <c r="A99" s="220">
        <v>7</v>
      </c>
      <c r="B99" s="243"/>
      <c r="C99" s="244"/>
      <c r="D99" s="244"/>
      <c r="E99" s="224"/>
      <c r="F99" s="418"/>
      <c r="G99" s="253">
        <f t="shared" si="18"/>
        <v>0</v>
      </c>
      <c r="H99" s="252">
        <f t="shared" si="20"/>
        <v>0</v>
      </c>
      <c r="I99" s="254">
        <f t="shared" si="19"/>
        <v>0</v>
      </c>
      <c r="J99" s="413"/>
      <c r="K99" s="118"/>
      <c r="L99" s="110"/>
      <c r="M99" s="119"/>
      <c r="N99" s="98"/>
      <c r="O99" s="118"/>
      <c r="P99" s="118"/>
      <c r="Q99" s="121"/>
    </row>
    <row r="100" spans="1:17" s="61" customFormat="1" ht="38.25" customHeight="1" x14ac:dyDescent="0.25">
      <c r="A100" s="220">
        <v>8</v>
      </c>
      <c r="B100" s="243"/>
      <c r="C100" s="244"/>
      <c r="D100" s="244"/>
      <c r="E100" s="224"/>
      <c r="F100" s="418"/>
      <c r="G100" s="253">
        <f t="shared" si="18"/>
        <v>0</v>
      </c>
      <c r="H100" s="252">
        <f t="shared" si="20"/>
        <v>0</v>
      </c>
      <c r="I100" s="254">
        <f t="shared" si="19"/>
        <v>0</v>
      </c>
      <c r="J100" s="413"/>
      <c r="K100" s="118"/>
      <c r="L100" s="110"/>
      <c r="M100" s="119"/>
      <c r="N100" s="98"/>
      <c r="O100" s="118"/>
      <c r="P100" s="118"/>
      <c r="Q100" s="121"/>
    </row>
    <row r="101" spans="1:17" s="61" customFormat="1" ht="38.25" customHeight="1" x14ac:dyDescent="0.25">
      <c r="A101" s="220">
        <v>9</v>
      </c>
      <c r="B101" s="243"/>
      <c r="C101" s="244"/>
      <c r="D101" s="244"/>
      <c r="E101" s="224"/>
      <c r="F101" s="418"/>
      <c r="G101" s="253">
        <f t="shared" si="18"/>
        <v>0</v>
      </c>
      <c r="H101" s="252">
        <f t="shared" si="20"/>
        <v>0</v>
      </c>
      <c r="I101" s="254">
        <f t="shared" si="19"/>
        <v>0</v>
      </c>
      <c r="J101" s="413"/>
      <c r="K101" s="118"/>
      <c r="L101" s="110"/>
      <c r="M101" s="110"/>
      <c r="N101" s="60"/>
      <c r="O101" s="118"/>
      <c r="P101" s="118"/>
      <c r="Q101" s="121"/>
    </row>
    <row r="102" spans="1:17" s="61" customFormat="1" ht="38.25" customHeight="1" x14ac:dyDescent="0.25">
      <c r="A102" s="220">
        <v>10</v>
      </c>
      <c r="B102" s="243"/>
      <c r="C102" s="244"/>
      <c r="D102" s="244"/>
      <c r="E102" s="224"/>
      <c r="F102" s="418"/>
      <c r="G102" s="253">
        <f t="shared" si="18"/>
        <v>0</v>
      </c>
      <c r="H102" s="252">
        <f t="shared" si="20"/>
        <v>0</v>
      </c>
      <c r="I102" s="254">
        <f t="shared" si="19"/>
        <v>0</v>
      </c>
      <c r="J102" s="413"/>
      <c r="K102" s="118"/>
      <c r="L102" s="110"/>
      <c r="M102" s="110"/>
      <c r="N102" s="60"/>
      <c r="O102" s="118"/>
      <c r="P102" s="118"/>
      <c r="Q102" s="121"/>
    </row>
    <row r="103" spans="1:17" s="61" customFormat="1" ht="38.25" customHeight="1" x14ac:dyDescent="0.25">
      <c r="A103" s="220">
        <v>11</v>
      </c>
      <c r="B103" s="243"/>
      <c r="C103" s="244"/>
      <c r="D103" s="244"/>
      <c r="E103" s="224"/>
      <c r="F103" s="418"/>
      <c r="G103" s="253">
        <f t="shared" si="18"/>
        <v>0</v>
      </c>
      <c r="H103" s="252">
        <f t="shared" si="20"/>
        <v>0</v>
      </c>
      <c r="I103" s="254">
        <f t="shared" si="19"/>
        <v>0</v>
      </c>
      <c r="J103" s="413"/>
      <c r="K103" s="118"/>
      <c r="L103" s="110"/>
      <c r="M103" s="110"/>
      <c r="N103" s="60"/>
      <c r="O103" s="118"/>
      <c r="P103" s="118"/>
      <c r="Q103" s="121"/>
    </row>
    <row r="104" spans="1:17" s="61" customFormat="1" ht="38.25" customHeight="1" x14ac:dyDescent="0.25">
      <c r="A104" s="220">
        <v>12</v>
      </c>
      <c r="B104" s="243"/>
      <c r="C104" s="244"/>
      <c r="D104" s="244"/>
      <c r="E104" s="224"/>
      <c r="F104" s="418"/>
      <c r="G104" s="253">
        <f t="shared" si="18"/>
        <v>0</v>
      </c>
      <c r="H104" s="252">
        <f t="shared" si="20"/>
        <v>0</v>
      </c>
      <c r="I104" s="254">
        <f t="shared" si="19"/>
        <v>0</v>
      </c>
      <c r="J104" s="413"/>
      <c r="K104" s="118"/>
      <c r="L104" s="110"/>
      <c r="M104" s="110"/>
      <c r="N104" s="60"/>
      <c r="O104" s="118"/>
      <c r="P104" s="118"/>
      <c r="Q104" s="121"/>
    </row>
    <row r="105" spans="1:17" s="61" customFormat="1" ht="38.25" customHeight="1" x14ac:dyDescent="0.25">
      <c r="A105" s="111"/>
      <c r="B105" s="161" t="s">
        <v>1367</v>
      </c>
      <c r="C105" s="227">
        <f t="shared" ref="C105:I105" si="21">SUM(C93:C104)</f>
        <v>2</v>
      </c>
      <c r="D105" s="227">
        <f t="shared" si="21"/>
        <v>2</v>
      </c>
      <c r="E105" s="228">
        <f t="shared" si="21"/>
        <v>100</v>
      </c>
      <c r="F105" s="228"/>
      <c r="G105" s="228">
        <f t="shared" si="21"/>
        <v>1.407063458561981E-3</v>
      </c>
      <c r="H105" s="164">
        <f t="shared" si="21"/>
        <v>118.34319526627219</v>
      </c>
      <c r="I105" s="164">
        <f t="shared" si="21"/>
        <v>118.34319526627219</v>
      </c>
      <c r="J105" s="413"/>
      <c r="K105" s="118"/>
      <c r="L105" s="110"/>
      <c r="M105" s="110"/>
      <c r="N105" s="60"/>
      <c r="O105" s="118"/>
      <c r="P105" s="118"/>
      <c r="Q105" s="121"/>
    </row>
    <row r="106" spans="1:17" s="111" customFormat="1" ht="15" customHeight="1" x14ac:dyDescent="0.25">
      <c r="A106" s="108"/>
      <c r="B106" s="117"/>
      <c r="C106" s="230"/>
      <c r="D106" s="231"/>
      <c r="E106" s="232"/>
      <c r="F106" s="232"/>
      <c r="G106" s="232"/>
      <c r="H106" s="116"/>
      <c r="I106" s="116"/>
      <c r="J106" s="116"/>
      <c r="K106" s="119"/>
      <c r="L106" s="119"/>
      <c r="M106" s="119"/>
      <c r="N106" s="119"/>
    </row>
    <row r="107" spans="1:17" s="61" customFormat="1" ht="38.25" customHeight="1" x14ac:dyDescent="0.25">
      <c r="A107" s="111"/>
      <c r="B107" s="447" t="s">
        <v>1378</v>
      </c>
      <c r="C107" s="233" t="s">
        <v>1534</v>
      </c>
      <c r="D107" s="429" t="s">
        <v>1384</v>
      </c>
      <c r="E107" s="430"/>
      <c r="F107" s="403"/>
      <c r="G107" s="217"/>
      <c r="H107" s="495" t="s">
        <v>1530</v>
      </c>
      <c r="I107" s="492"/>
      <c r="J107" s="413"/>
      <c r="K107" s="119"/>
      <c r="L107" s="119"/>
      <c r="M107" s="119"/>
      <c r="N107" s="98"/>
      <c r="O107" s="118"/>
      <c r="P107" s="118"/>
      <c r="Q107" s="121"/>
    </row>
    <row r="108" spans="1:17" s="61" customFormat="1" ht="43.5" customHeight="1" x14ac:dyDescent="0.25">
      <c r="A108" s="111"/>
      <c r="B108" s="448"/>
      <c r="C108" s="148" t="s">
        <v>1414</v>
      </c>
      <c r="D108" s="148" t="s">
        <v>1397</v>
      </c>
      <c r="E108" s="148" t="s">
        <v>1398</v>
      </c>
      <c r="F108" s="148"/>
      <c r="G108" s="248"/>
      <c r="H108" s="164" t="s">
        <v>1535</v>
      </c>
      <c r="I108" s="164" t="s">
        <v>1536</v>
      </c>
      <c r="J108" s="413"/>
      <c r="K108" s="119"/>
      <c r="L108" s="119"/>
      <c r="M108" s="119"/>
      <c r="N108" s="98"/>
      <c r="O108" s="118"/>
      <c r="P108" s="118"/>
      <c r="Q108" s="121"/>
    </row>
    <row r="109" spans="1:17" s="61" customFormat="1" ht="38.25" customHeight="1" x14ac:dyDescent="0.25">
      <c r="A109" s="220">
        <v>1</v>
      </c>
      <c r="B109" s="221" t="s">
        <v>1591</v>
      </c>
      <c r="C109" s="222">
        <v>2</v>
      </c>
      <c r="D109" s="222">
        <v>2</v>
      </c>
      <c r="E109" s="224">
        <v>10</v>
      </c>
      <c r="F109" s="224"/>
      <c r="G109" s="225">
        <f t="shared" ref="G109:G120" si="22">+H109/$E$184</f>
        <v>1.4070634585619808E-4</v>
      </c>
      <c r="H109" s="164">
        <f>E109/0.845</f>
        <v>11.834319526627219</v>
      </c>
      <c r="I109" s="164">
        <f t="shared" ref="I109:I120" si="23">+(C109*D109)*H109</f>
        <v>47.337278106508876</v>
      </c>
      <c r="J109" s="413"/>
      <c r="K109" s="119"/>
      <c r="L109" s="119"/>
      <c r="M109" s="119"/>
      <c r="N109" s="98"/>
      <c r="O109" s="118"/>
      <c r="P109" s="118"/>
      <c r="Q109" s="121"/>
    </row>
    <row r="110" spans="1:17" s="61" customFormat="1" ht="38.25" customHeight="1" x14ac:dyDescent="0.25">
      <c r="A110" s="220">
        <v>2</v>
      </c>
      <c r="B110" s="221" t="s">
        <v>1592</v>
      </c>
      <c r="C110" s="222">
        <v>2</v>
      </c>
      <c r="D110" s="222">
        <v>2</v>
      </c>
      <c r="E110" s="224">
        <v>10</v>
      </c>
      <c r="F110" s="224"/>
      <c r="G110" s="225">
        <f t="shared" si="22"/>
        <v>1.4070634585619808E-4</v>
      </c>
      <c r="H110" s="164">
        <f t="shared" ref="H110:H120" si="24">E110/0.845</f>
        <v>11.834319526627219</v>
      </c>
      <c r="I110" s="164">
        <f t="shared" si="23"/>
        <v>47.337278106508876</v>
      </c>
      <c r="J110" s="413"/>
      <c r="K110" s="119"/>
      <c r="L110" s="119"/>
      <c r="M110" s="119"/>
      <c r="N110" s="98"/>
      <c r="O110" s="118"/>
      <c r="P110" s="118"/>
      <c r="Q110" s="121"/>
    </row>
    <row r="111" spans="1:17" s="61" customFormat="1" ht="38.25" customHeight="1" x14ac:dyDescent="0.25">
      <c r="A111" s="220">
        <v>3</v>
      </c>
      <c r="B111" s="221"/>
      <c r="C111" s="222"/>
      <c r="D111" s="222"/>
      <c r="E111" s="224"/>
      <c r="F111" s="224"/>
      <c r="G111" s="225">
        <f t="shared" si="22"/>
        <v>0</v>
      </c>
      <c r="H111" s="164">
        <f t="shared" si="24"/>
        <v>0</v>
      </c>
      <c r="I111" s="164">
        <f t="shared" si="23"/>
        <v>0</v>
      </c>
      <c r="J111" s="413"/>
      <c r="K111" s="119"/>
      <c r="L111" s="119"/>
      <c r="M111" s="119"/>
      <c r="N111" s="98"/>
      <c r="O111" s="118"/>
      <c r="P111" s="118"/>
      <c r="Q111" s="121"/>
    </row>
    <row r="112" spans="1:17" s="61" customFormat="1" ht="38.25" customHeight="1" x14ac:dyDescent="0.25">
      <c r="A112" s="220">
        <v>4</v>
      </c>
      <c r="B112" s="221"/>
      <c r="C112" s="222"/>
      <c r="D112" s="222"/>
      <c r="E112" s="224"/>
      <c r="F112" s="224"/>
      <c r="G112" s="225">
        <f t="shared" si="22"/>
        <v>0</v>
      </c>
      <c r="H112" s="164">
        <f t="shared" si="24"/>
        <v>0</v>
      </c>
      <c r="I112" s="164">
        <f t="shared" si="23"/>
        <v>0</v>
      </c>
      <c r="J112" s="413"/>
      <c r="K112" s="119"/>
      <c r="L112" s="119"/>
      <c r="M112" s="119"/>
      <c r="N112" s="98"/>
      <c r="O112" s="118"/>
      <c r="P112" s="118"/>
      <c r="Q112" s="121"/>
    </row>
    <row r="113" spans="1:17" s="61" customFormat="1" ht="38.25" customHeight="1" x14ac:dyDescent="0.25">
      <c r="A113" s="220">
        <v>5</v>
      </c>
      <c r="B113" s="221"/>
      <c r="C113" s="222"/>
      <c r="D113" s="222"/>
      <c r="E113" s="224"/>
      <c r="F113" s="224"/>
      <c r="G113" s="225">
        <f t="shared" si="22"/>
        <v>0</v>
      </c>
      <c r="H113" s="164">
        <f t="shared" si="24"/>
        <v>0</v>
      </c>
      <c r="I113" s="164">
        <f t="shared" si="23"/>
        <v>0</v>
      </c>
      <c r="J113" s="413"/>
      <c r="K113" s="119"/>
      <c r="L113" s="119"/>
      <c r="M113" s="119"/>
      <c r="N113" s="98"/>
      <c r="O113" s="118"/>
      <c r="P113" s="118"/>
      <c r="Q113" s="121"/>
    </row>
    <row r="114" spans="1:17" s="61" customFormat="1" ht="38.25" customHeight="1" x14ac:dyDescent="0.25">
      <c r="A114" s="220">
        <v>6</v>
      </c>
      <c r="B114" s="221"/>
      <c r="C114" s="222"/>
      <c r="D114" s="222"/>
      <c r="E114" s="224"/>
      <c r="F114" s="224"/>
      <c r="G114" s="225">
        <f t="shared" si="22"/>
        <v>0</v>
      </c>
      <c r="H114" s="164">
        <f t="shared" si="24"/>
        <v>0</v>
      </c>
      <c r="I114" s="164">
        <f t="shared" si="23"/>
        <v>0</v>
      </c>
      <c r="J114" s="413"/>
      <c r="K114" s="119"/>
      <c r="L114" s="119"/>
      <c r="M114" s="119"/>
      <c r="N114" s="98"/>
      <c r="O114" s="118"/>
      <c r="P114" s="118"/>
      <c r="Q114" s="121"/>
    </row>
    <row r="115" spans="1:17" s="61" customFormat="1" ht="38.25" customHeight="1" x14ac:dyDescent="0.25">
      <c r="A115" s="220">
        <v>7</v>
      </c>
      <c r="B115" s="221"/>
      <c r="C115" s="222"/>
      <c r="D115" s="222"/>
      <c r="E115" s="224"/>
      <c r="F115" s="224"/>
      <c r="G115" s="225">
        <f t="shared" si="22"/>
        <v>0</v>
      </c>
      <c r="H115" s="164">
        <f t="shared" si="24"/>
        <v>0</v>
      </c>
      <c r="I115" s="164">
        <f t="shared" si="23"/>
        <v>0</v>
      </c>
      <c r="J115" s="413"/>
      <c r="K115" s="119"/>
      <c r="L115" s="119"/>
      <c r="M115" s="119"/>
      <c r="N115" s="98"/>
      <c r="O115" s="118"/>
      <c r="P115" s="118"/>
      <c r="Q115" s="121"/>
    </row>
    <row r="116" spans="1:17" s="61" customFormat="1" ht="38.25" customHeight="1" x14ac:dyDescent="0.25">
      <c r="A116" s="220">
        <v>8</v>
      </c>
      <c r="B116" s="221"/>
      <c r="C116" s="222"/>
      <c r="D116" s="222"/>
      <c r="E116" s="224"/>
      <c r="F116" s="224"/>
      <c r="G116" s="225">
        <f t="shared" si="22"/>
        <v>0</v>
      </c>
      <c r="H116" s="164">
        <f t="shared" si="24"/>
        <v>0</v>
      </c>
      <c r="I116" s="164">
        <f t="shared" si="23"/>
        <v>0</v>
      </c>
      <c r="J116" s="413"/>
      <c r="K116" s="119"/>
      <c r="L116" s="119"/>
      <c r="M116" s="119"/>
      <c r="N116" s="98"/>
      <c r="O116" s="118"/>
      <c r="P116" s="118"/>
      <c r="Q116" s="121"/>
    </row>
    <row r="117" spans="1:17" s="61" customFormat="1" ht="38.25" customHeight="1" x14ac:dyDescent="0.25">
      <c r="A117" s="220">
        <v>9</v>
      </c>
      <c r="B117" s="221"/>
      <c r="C117" s="222"/>
      <c r="D117" s="222"/>
      <c r="E117" s="224"/>
      <c r="F117" s="224"/>
      <c r="G117" s="225">
        <f t="shared" si="22"/>
        <v>0</v>
      </c>
      <c r="H117" s="164">
        <f t="shared" si="24"/>
        <v>0</v>
      </c>
      <c r="I117" s="164">
        <f t="shared" si="23"/>
        <v>0</v>
      </c>
      <c r="J117" s="413"/>
      <c r="K117" s="119"/>
      <c r="L117" s="119"/>
      <c r="M117" s="119"/>
      <c r="N117" s="98"/>
      <c r="O117" s="118"/>
      <c r="P117" s="118"/>
      <c r="Q117" s="121"/>
    </row>
    <row r="118" spans="1:17" s="61" customFormat="1" ht="38.25" customHeight="1" x14ac:dyDescent="0.25">
      <c r="A118" s="220">
        <v>10</v>
      </c>
      <c r="B118" s="221"/>
      <c r="C118" s="222"/>
      <c r="D118" s="222"/>
      <c r="E118" s="224"/>
      <c r="F118" s="224"/>
      <c r="G118" s="225">
        <f t="shared" si="22"/>
        <v>0</v>
      </c>
      <c r="H118" s="164">
        <f t="shared" si="24"/>
        <v>0</v>
      </c>
      <c r="I118" s="164">
        <f t="shared" si="23"/>
        <v>0</v>
      </c>
      <c r="J118" s="413"/>
      <c r="K118" s="119"/>
      <c r="L118" s="119"/>
      <c r="M118" s="119"/>
      <c r="N118" s="98"/>
      <c r="O118" s="118"/>
      <c r="P118" s="118"/>
      <c r="Q118" s="121"/>
    </row>
    <row r="119" spans="1:17" s="61" customFormat="1" ht="38.25" customHeight="1" x14ac:dyDescent="0.25">
      <c r="A119" s="220">
        <v>11</v>
      </c>
      <c r="B119" s="221"/>
      <c r="C119" s="222"/>
      <c r="D119" s="222"/>
      <c r="E119" s="224"/>
      <c r="F119" s="224"/>
      <c r="G119" s="225">
        <f t="shared" si="22"/>
        <v>0</v>
      </c>
      <c r="H119" s="164">
        <f t="shared" si="24"/>
        <v>0</v>
      </c>
      <c r="I119" s="164">
        <f t="shared" si="23"/>
        <v>0</v>
      </c>
      <c r="J119" s="413"/>
      <c r="K119" s="119"/>
      <c r="L119" s="119"/>
      <c r="M119" s="119"/>
      <c r="N119" s="98"/>
      <c r="O119" s="118"/>
      <c r="P119" s="118"/>
      <c r="Q119" s="121"/>
    </row>
    <row r="120" spans="1:17" s="61" customFormat="1" ht="38.25" customHeight="1" x14ac:dyDescent="0.25">
      <c r="A120" s="220">
        <v>12</v>
      </c>
      <c r="B120" s="221"/>
      <c r="C120" s="222"/>
      <c r="D120" s="222"/>
      <c r="E120" s="224"/>
      <c r="F120" s="224"/>
      <c r="G120" s="225">
        <f t="shared" si="22"/>
        <v>0</v>
      </c>
      <c r="H120" s="164">
        <f t="shared" si="24"/>
        <v>0</v>
      </c>
      <c r="I120" s="164">
        <f t="shared" si="23"/>
        <v>0</v>
      </c>
      <c r="J120" s="413"/>
      <c r="K120" s="119"/>
      <c r="L120" s="119"/>
      <c r="M120" s="119"/>
      <c r="N120" s="98"/>
      <c r="O120" s="118"/>
      <c r="P120" s="118"/>
      <c r="Q120" s="121"/>
    </row>
    <row r="121" spans="1:17" s="61" customFormat="1" ht="38.25" customHeight="1" x14ac:dyDescent="0.25">
      <c r="A121" s="111"/>
      <c r="B121" s="161" t="s">
        <v>1367</v>
      </c>
      <c r="C121" s="227">
        <f t="shared" ref="C121:I121" si="25">SUM(C109:C120)</f>
        <v>4</v>
      </c>
      <c r="D121" s="227">
        <f t="shared" si="25"/>
        <v>4</v>
      </c>
      <c r="E121" s="228">
        <f t="shared" si="25"/>
        <v>20</v>
      </c>
      <c r="F121" s="228"/>
      <c r="G121" s="247">
        <f t="shared" si="25"/>
        <v>2.8141269171239616E-4</v>
      </c>
      <c r="H121" s="164">
        <f t="shared" si="25"/>
        <v>23.668639053254438</v>
      </c>
      <c r="I121" s="164">
        <f t="shared" si="25"/>
        <v>94.674556213017752</v>
      </c>
      <c r="J121" s="413"/>
      <c r="K121" s="119"/>
      <c r="L121" s="119"/>
      <c r="M121" s="119"/>
      <c r="N121" s="98"/>
      <c r="O121" s="118"/>
      <c r="P121" s="118"/>
      <c r="Q121" s="121"/>
    </row>
    <row r="122" spans="1:17" s="111" customFormat="1" ht="15" customHeight="1" x14ac:dyDescent="0.25">
      <c r="A122" s="108"/>
      <c r="B122" s="117"/>
      <c r="C122" s="230"/>
      <c r="D122" s="231"/>
      <c r="E122" s="232"/>
      <c r="F122" s="232"/>
      <c r="G122" s="232"/>
      <c r="H122" s="116"/>
      <c r="I122" s="116"/>
      <c r="J122" s="116"/>
      <c r="K122" s="119"/>
      <c r="L122" s="119"/>
      <c r="M122" s="119"/>
      <c r="N122" s="119"/>
    </row>
    <row r="123" spans="1:17" s="61" customFormat="1" ht="38.25" customHeight="1" x14ac:dyDescent="0.25">
      <c r="A123" s="111"/>
      <c r="B123" s="447" t="s">
        <v>1378</v>
      </c>
      <c r="C123" s="233" t="s">
        <v>1534</v>
      </c>
      <c r="D123" s="429" t="s">
        <v>1381</v>
      </c>
      <c r="E123" s="430"/>
      <c r="F123" s="403"/>
      <c r="G123" s="217"/>
      <c r="H123" s="495" t="s">
        <v>1530</v>
      </c>
      <c r="I123" s="492"/>
      <c r="J123" s="413"/>
      <c r="K123" s="118"/>
      <c r="L123" s="110"/>
      <c r="M123" s="110"/>
      <c r="N123" s="60"/>
      <c r="O123" s="118"/>
      <c r="P123" s="118"/>
      <c r="Q123" s="121"/>
    </row>
    <row r="124" spans="1:17" s="61" customFormat="1" ht="52.5" customHeight="1" x14ac:dyDescent="0.25">
      <c r="A124" s="111"/>
      <c r="B124" s="448"/>
      <c r="C124" s="148" t="s">
        <v>1414</v>
      </c>
      <c r="D124" s="148" t="s">
        <v>1397</v>
      </c>
      <c r="E124" s="148" t="s">
        <v>1398</v>
      </c>
      <c r="F124" s="148"/>
      <c r="G124" s="248"/>
      <c r="H124" s="164" t="s">
        <v>1535</v>
      </c>
      <c r="I124" s="164" t="s">
        <v>1536</v>
      </c>
      <c r="J124" s="413"/>
      <c r="K124" s="118"/>
      <c r="L124" s="110"/>
      <c r="M124" s="110"/>
      <c r="N124" s="60"/>
      <c r="O124" s="118"/>
      <c r="P124" s="118"/>
      <c r="Q124" s="121"/>
    </row>
    <row r="125" spans="1:17" s="61" customFormat="1" ht="38.25" customHeight="1" x14ac:dyDescent="0.25">
      <c r="A125" s="220">
        <v>1</v>
      </c>
      <c r="B125" s="221" t="s">
        <v>1587</v>
      </c>
      <c r="C125" s="222">
        <v>1</v>
      </c>
      <c r="D125" s="222">
        <v>1</v>
      </c>
      <c r="E125" s="224">
        <v>10</v>
      </c>
      <c r="F125" s="224"/>
      <c r="G125" s="225">
        <f t="shared" ref="G125:G136" si="26">+H125/$E$184</f>
        <v>1.4070634585619808E-4</v>
      </c>
      <c r="H125" s="164">
        <f>E125/0.845</f>
        <v>11.834319526627219</v>
      </c>
      <c r="I125" s="164">
        <f t="shared" ref="I125:I136" si="27">(C125*D125)*H125</f>
        <v>11.834319526627219</v>
      </c>
      <c r="J125" s="413"/>
      <c r="K125" s="118"/>
      <c r="L125" s="110"/>
      <c r="M125" s="110"/>
      <c r="N125" s="60"/>
      <c r="O125" s="118"/>
      <c r="P125" s="118"/>
      <c r="Q125" s="121"/>
    </row>
    <row r="126" spans="1:17" s="61" customFormat="1" ht="38.25" customHeight="1" x14ac:dyDescent="0.25">
      <c r="A126" s="220">
        <v>2</v>
      </c>
      <c r="B126" s="221" t="s">
        <v>1588</v>
      </c>
      <c r="C126" s="222">
        <v>1</v>
      </c>
      <c r="D126" s="222">
        <v>1</v>
      </c>
      <c r="E126" s="224">
        <v>10</v>
      </c>
      <c r="F126" s="224"/>
      <c r="G126" s="225">
        <f t="shared" si="26"/>
        <v>1.4070634585619808E-4</v>
      </c>
      <c r="H126" s="164">
        <f t="shared" ref="H126:H136" si="28">E126/0.845</f>
        <v>11.834319526627219</v>
      </c>
      <c r="I126" s="164">
        <f t="shared" si="27"/>
        <v>11.834319526627219</v>
      </c>
      <c r="J126" s="413"/>
      <c r="K126" s="118"/>
      <c r="L126" s="110"/>
      <c r="M126" s="110"/>
      <c r="N126" s="60"/>
      <c r="O126" s="118"/>
      <c r="P126" s="118"/>
      <c r="Q126" s="121"/>
    </row>
    <row r="127" spans="1:17" s="61" customFormat="1" ht="38.25" customHeight="1" x14ac:dyDescent="0.25">
      <c r="A127" s="220">
        <v>3</v>
      </c>
      <c r="B127" s="221"/>
      <c r="C127" s="222"/>
      <c r="D127" s="222"/>
      <c r="E127" s="224"/>
      <c r="F127" s="224"/>
      <c r="G127" s="225">
        <f t="shared" si="26"/>
        <v>0</v>
      </c>
      <c r="H127" s="164">
        <f t="shared" si="28"/>
        <v>0</v>
      </c>
      <c r="I127" s="164">
        <f t="shared" si="27"/>
        <v>0</v>
      </c>
      <c r="J127" s="413"/>
      <c r="K127" s="118"/>
      <c r="L127" s="110"/>
      <c r="M127" s="110"/>
      <c r="N127" s="60"/>
      <c r="O127" s="118"/>
      <c r="P127" s="118"/>
      <c r="Q127" s="121"/>
    </row>
    <row r="128" spans="1:17" s="61" customFormat="1" ht="38.25" customHeight="1" x14ac:dyDescent="0.25">
      <c r="A128" s="220">
        <v>4</v>
      </c>
      <c r="B128" s="221"/>
      <c r="C128" s="222"/>
      <c r="D128" s="222"/>
      <c r="E128" s="224"/>
      <c r="F128" s="224"/>
      <c r="G128" s="225">
        <f t="shared" si="26"/>
        <v>0</v>
      </c>
      <c r="H128" s="164">
        <f t="shared" si="28"/>
        <v>0</v>
      </c>
      <c r="I128" s="164">
        <f t="shared" si="27"/>
        <v>0</v>
      </c>
      <c r="J128" s="413"/>
      <c r="K128" s="118"/>
      <c r="L128" s="110"/>
      <c r="M128" s="110"/>
      <c r="N128" s="60"/>
      <c r="O128" s="118"/>
      <c r="P128" s="118"/>
      <c r="Q128" s="121"/>
    </row>
    <row r="129" spans="1:17" s="61" customFormat="1" ht="38.25" customHeight="1" x14ac:dyDescent="0.25">
      <c r="A129" s="220">
        <v>5</v>
      </c>
      <c r="B129" s="221"/>
      <c r="C129" s="222"/>
      <c r="D129" s="222"/>
      <c r="E129" s="224"/>
      <c r="F129" s="224"/>
      <c r="G129" s="225">
        <f t="shared" si="26"/>
        <v>0</v>
      </c>
      <c r="H129" s="164">
        <f t="shared" si="28"/>
        <v>0</v>
      </c>
      <c r="I129" s="164">
        <f t="shared" si="27"/>
        <v>0</v>
      </c>
      <c r="J129" s="413"/>
      <c r="K129" s="118"/>
      <c r="L129" s="110"/>
      <c r="M129" s="110"/>
      <c r="N129" s="60"/>
      <c r="O129" s="118"/>
      <c r="P129" s="118"/>
      <c r="Q129" s="121"/>
    </row>
    <row r="130" spans="1:17" s="61" customFormat="1" ht="38.25" customHeight="1" x14ac:dyDescent="0.25">
      <c r="A130" s="220">
        <v>6</v>
      </c>
      <c r="B130" s="221"/>
      <c r="C130" s="222"/>
      <c r="D130" s="222"/>
      <c r="E130" s="224"/>
      <c r="F130" s="224"/>
      <c r="G130" s="225">
        <f t="shared" si="26"/>
        <v>0</v>
      </c>
      <c r="H130" s="164">
        <f t="shared" si="28"/>
        <v>0</v>
      </c>
      <c r="I130" s="164">
        <f t="shared" si="27"/>
        <v>0</v>
      </c>
      <c r="J130" s="413"/>
      <c r="K130" s="118"/>
      <c r="L130" s="110"/>
      <c r="M130" s="110"/>
      <c r="N130" s="60"/>
      <c r="O130" s="118"/>
      <c r="P130" s="118"/>
      <c r="Q130" s="121"/>
    </row>
    <row r="131" spans="1:17" s="61" customFormat="1" ht="38.25" customHeight="1" x14ac:dyDescent="0.25">
      <c r="A131" s="220">
        <v>7</v>
      </c>
      <c r="B131" s="221"/>
      <c r="C131" s="222"/>
      <c r="D131" s="222"/>
      <c r="E131" s="224"/>
      <c r="F131" s="224"/>
      <c r="G131" s="225">
        <f t="shared" si="26"/>
        <v>0</v>
      </c>
      <c r="H131" s="164">
        <f t="shared" si="28"/>
        <v>0</v>
      </c>
      <c r="I131" s="164">
        <f t="shared" si="27"/>
        <v>0</v>
      </c>
      <c r="J131" s="413"/>
      <c r="K131" s="118"/>
      <c r="L131" s="110"/>
      <c r="M131" s="110"/>
      <c r="N131" s="60"/>
      <c r="O131" s="118"/>
      <c r="P131" s="118"/>
      <c r="Q131" s="121"/>
    </row>
    <row r="132" spans="1:17" s="61" customFormat="1" ht="38.25" customHeight="1" x14ac:dyDescent="0.25">
      <c r="A132" s="220">
        <v>8</v>
      </c>
      <c r="B132" s="221"/>
      <c r="C132" s="222"/>
      <c r="D132" s="222"/>
      <c r="E132" s="224"/>
      <c r="F132" s="224"/>
      <c r="G132" s="225">
        <f t="shared" si="26"/>
        <v>0</v>
      </c>
      <c r="H132" s="164">
        <f t="shared" si="28"/>
        <v>0</v>
      </c>
      <c r="I132" s="164">
        <f t="shared" si="27"/>
        <v>0</v>
      </c>
      <c r="J132" s="413"/>
      <c r="K132" s="118"/>
      <c r="L132" s="110"/>
      <c r="M132" s="110"/>
      <c r="N132" s="60"/>
      <c r="O132" s="118"/>
      <c r="P132" s="118"/>
      <c r="Q132" s="121"/>
    </row>
    <row r="133" spans="1:17" s="61" customFormat="1" ht="38.25" customHeight="1" x14ac:dyDescent="0.25">
      <c r="A133" s="220">
        <v>9</v>
      </c>
      <c r="B133" s="221"/>
      <c r="C133" s="222"/>
      <c r="D133" s="222"/>
      <c r="E133" s="224"/>
      <c r="F133" s="224"/>
      <c r="G133" s="225">
        <f t="shared" si="26"/>
        <v>0</v>
      </c>
      <c r="H133" s="164">
        <f t="shared" si="28"/>
        <v>0</v>
      </c>
      <c r="I133" s="164">
        <f t="shared" si="27"/>
        <v>0</v>
      </c>
      <c r="J133" s="413"/>
      <c r="K133" s="118"/>
      <c r="L133" s="110"/>
      <c r="M133" s="110"/>
      <c r="N133" s="60"/>
      <c r="O133" s="118"/>
      <c r="P133" s="118"/>
      <c r="Q133" s="121"/>
    </row>
    <row r="134" spans="1:17" s="61" customFormat="1" ht="38.25" customHeight="1" x14ac:dyDescent="0.25">
      <c r="A134" s="220">
        <v>10</v>
      </c>
      <c r="B134" s="221"/>
      <c r="C134" s="222"/>
      <c r="D134" s="222"/>
      <c r="E134" s="224"/>
      <c r="F134" s="224"/>
      <c r="G134" s="225">
        <f t="shared" si="26"/>
        <v>0</v>
      </c>
      <c r="H134" s="164">
        <f t="shared" si="28"/>
        <v>0</v>
      </c>
      <c r="I134" s="164">
        <f t="shared" si="27"/>
        <v>0</v>
      </c>
      <c r="J134" s="413"/>
      <c r="K134" s="118"/>
      <c r="L134" s="110"/>
      <c r="M134" s="110"/>
      <c r="N134" s="60"/>
      <c r="O134" s="118"/>
      <c r="P134" s="118"/>
      <c r="Q134" s="121"/>
    </row>
    <row r="135" spans="1:17" s="61" customFormat="1" ht="38.25" customHeight="1" x14ac:dyDescent="0.25">
      <c r="A135" s="220">
        <v>11</v>
      </c>
      <c r="B135" s="221"/>
      <c r="C135" s="222"/>
      <c r="D135" s="222"/>
      <c r="E135" s="224"/>
      <c r="F135" s="224"/>
      <c r="G135" s="225">
        <f t="shared" si="26"/>
        <v>0</v>
      </c>
      <c r="H135" s="164">
        <f t="shared" si="28"/>
        <v>0</v>
      </c>
      <c r="I135" s="164">
        <f t="shared" si="27"/>
        <v>0</v>
      </c>
      <c r="J135" s="413"/>
      <c r="K135" s="118"/>
      <c r="L135" s="110"/>
      <c r="M135" s="110"/>
      <c r="N135" s="60"/>
      <c r="O135" s="118"/>
      <c r="P135" s="118"/>
      <c r="Q135" s="121"/>
    </row>
    <row r="136" spans="1:17" s="61" customFormat="1" ht="38.25" customHeight="1" x14ac:dyDescent="0.25">
      <c r="A136" s="220">
        <v>12</v>
      </c>
      <c r="B136" s="221"/>
      <c r="C136" s="222"/>
      <c r="D136" s="222"/>
      <c r="E136" s="224"/>
      <c r="F136" s="224"/>
      <c r="G136" s="225">
        <f t="shared" si="26"/>
        <v>0</v>
      </c>
      <c r="H136" s="164">
        <f t="shared" si="28"/>
        <v>0</v>
      </c>
      <c r="I136" s="164">
        <f t="shared" si="27"/>
        <v>0</v>
      </c>
      <c r="J136" s="413"/>
      <c r="K136" s="118"/>
      <c r="L136" s="110"/>
      <c r="M136" s="110"/>
      <c r="N136" s="60"/>
      <c r="O136" s="118"/>
      <c r="P136" s="118"/>
      <c r="Q136" s="121"/>
    </row>
    <row r="137" spans="1:17" s="61" customFormat="1" ht="38.25" customHeight="1" x14ac:dyDescent="0.25">
      <c r="A137" s="111"/>
      <c r="B137" s="161" t="s">
        <v>1367</v>
      </c>
      <c r="C137" s="227">
        <f t="shared" ref="C137:I137" si="29">SUM(C125:C136)</f>
        <v>2</v>
      </c>
      <c r="D137" s="227">
        <f t="shared" si="29"/>
        <v>2</v>
      </c>
      <c r="E137" s="228">
        <f t="shared" si="29"/>
        <v>20</v>
      </c>
      <c r="F137" s="228"/>
      <c r="G137" s="247">
        <f t="shared" si="29"/>
        <v>2.8141269171239616E-4</v>
      </c>
      <c r="H137" s="164">
        <f t="shared" si="29"/>
        <v>23.668639053254438</v>
      </c>
      <c r="I137" s="164">
        <f t="shared" si="29"/>
        <v>23.668639053254438</v>
      </c>
      <c r="J137" s="413"/>
      <c r="K137" s="118"/>
      <c r="L137" s="110"/>
      <c r="M137" s="110"/>
      <c r="N137" s="60"/>
      <c r="O137" s="118"/>
      <c r="P137" s="118"/>
      <c r="Q137" s="121"/>
    </row>
    <row r="138" spans="1:17" s="111" customFormat="1" ht="15" customHeight="1" x14ac:dyDescent="0.25">
      <c r="A138" s="108"/>
      <c r="B138" s="117"/>
      <c r="C138" s="230"/>
      <c r="D138" s="231"/>
      <c r="E138" s="232"/>
      <c r="F138" s="232"/>
      <c r="G138" s="232"/>
      <c r="H138" s="116"/>
      <c r="I138" s="116"/>
      <c r="J138" s="116"/>
      <c r="K138" s="119"/>
      <c r="L138" s="119"/>
      <c r="M138" s="119"/>
      <c r="N138" s="119"/>
    </row>
    <row r="139" spans="1:17" s="61" customFormat="1" ht="38.25" customHeight="1" x14ac:dyDescent="0.25">
      <c r="A139" s="111"/>
      <c r="B139" s="447" t="s">
        <v>1378</v>
      </c>
      <c r="C139" s="233" t="s">
        <v>1534</v>
      </c>
      <c r="D139" s="471" t="s">
        <v>1388</v>
      </c>
      <c r="E139" s="471"/>
      <c r="F139" s="405"/>
      <c r="G139" s="255"/>
      <c r="H139" s="491" t="s">
        <v>1530</v>
      </c>
      <c r="I139" s="492"/>
      <c r="J139" s="413"/>
      <c r="K139" s="119"/>
      <c r="L139" s="119"/>
      <c r="M139" s="119"/>
      <c r="N139" s="98"/>
      <c r="O139" s="118"/>
      <c r="P139" s="118"/>
      <c r="Q139" s="121"/>
    </row>
    <row r="140" spans="1:17" s="61" customFormat="1" ht="53.25" customHeight="1" x14ac:dyDescent="0.25">
      <c r="A140" s="111"/>
      <c r="B140" s="448"/>
      <c r="C140" s="148" t="s">
        <v>1414</v>
      </c>
      <c r="D140" s="148" t="s">
        <v>1397</v>
      </c>
      <c r="E140" s="148" t="s">
        <v>1398</v>
      </c>
      <c r="F140" s="148"/>
      <c r="G140" s="248"/>
      <c r="H140" s="164" t="s">
        <v>1535</v>
      </c>
      <c r="I140" s="164" t="s">
        <v>1536</v>
      </c>
      <c r="J140" s="413"/>
      <c r="K140" s="119"/>
      <c r="L140" s="119"/>
      <c r="M140" s="119"/>
      <c r="N140" s="98"/>
      <c r="O140" s="118"/>
      <c r="P140" s="118"/>
      <c r="Q140" s="121"/>
    </row>
    <row r="141" spans="1:17" s="61" customFormat="1" ht="38.25" customHeight="1" x14ac:dyDescent="0.25">
      <c r="A141" s="220">
        <v>1</v>
      </c>
      <c r="B141" s="221" t="s">
        <v>1593</v>
      </c>
      <c r="C141" s="222">
        <v>2</v>
      </c>
      <c r="D141" s="222">
        <v>2</v>
      </c>
      <c r="E141" s="224">
        <v>20</v>
      </c>
      <c r="F141" s="224"/>
      <c r="G141" s="225">
        <f t="shared" ref="G141:G152" si="30">+H141/$E$184</f>
        <v>2.8141269171239616E-4</v>
      </c>
      <c r="H141" s="164">
        <f>E141/0.845</f>
        <v>23.668639053254438</v>
      </c>
      <c r="I141" s="164">
        <f t="shared" ref="I141:I152" si="31">+(C141*D141)*H141</f>
        <v>94.674556213017752</v>
      </c>
      <c r="J141" s="413"/>
      <c r="K141" s="119"/>
      <c r="L141" s="119"/>
      <c r="M141" s="119"/>
      <c r="N141" s="98"/>
      <c r="O141" s="118"/>
      <c r="P141" s="118"/>
      <c r="Q141" s="121"/>
    </row>
    <row r="142" spans="1:17" s="61" customFormat="1" ht="38.25" customHeight="1" x14ac:dyDescent="0.25">
      <c r="A142" s="220">
        <v>2</v>
      </c>
      <c r="B142" s="221" t="s">
        <v>1594</v>
      </c>
      <c r="C142" s="222">
        <v>2</v>
      </c>
      <c r="D142" s="222">
        <v>2</v>
      </c>
      <c r="E142" s="224">
        <v>20</v>
      </c>
      <c r="F142" s="224"/>
      <c r="G142" s="225">
        <f t="shared" si="30"/>
        <v>2.8141269171239616E-4</v>
      </c>
      <c r="H142" s="164">
        <f t="shared" ref="H142:H152" si="32">E142/0.845</f>
        <v>23.668639053254438</v>
      </c>
      <c r="I142" s="164">
        <f t="shared" si="31"/>
        <v>94.674556213017752</v>
      </c>
      <c r="J142" s="413"/>
      <c r="K142" s="119"/>
      <c r="L142" s="119"/>
      <c r="M142" s="119"/>
      <c r="N142" s="98"/>
      <c r="O142" s="118"/>
      <c r="P142" s="118"/>
      <c r="Q142" s="121"/>
    </row>
    <row r="143" spans="1:17" s="61" customFormat="1" ht="38.25" customHeight="1" x14ac:dyDescent="0.25">
      <c r="A143" s="220">
        <v>3</v>
      </c>
      <c r="B143" s="221"/>
      <c r="C143" s="222"/>
      <c r="D143" s="222"/>
      <c r="E143" s="224"/>
      <c r="F143" s="224"/>
      <c r="G143" s="225">
        <f t="shared" si="30"/>
        <v>0</v>
      </c>
      <c r="H143" s="164">
        <f t="shared" si="32"/>
        <v>0</v>
      </c>
      <c r="I143" s="164">
        <f t="shared" si="31"/>
        <v>0</v>
      </c>
      <c r="J143" s="413"/>
      <c r="K143" s="119"/>
      <c r="L143" s="119"/>
      <c r="M143" s="119"/>
      <c r="N143" s="98"/>
      <c r="O143" s="118"/>
      <c r="P143" s="118"/>
      <c r="Q143" s="121"/>
    </row>
    <row r="144" spans="1:17" s="61" customFormat="1" ht="38.25" customHeight="1" x14ac:dyDescent="0.25">
      <c r="A144" s="220">
        <v>4</v>
      </c>
      <c r="B144" s="221"/>
      <c r="C144" s="222"/>
      <c r="D144" s="222"/>
      <c r="E144" s="224"/>
      <c r="F144" s="224"/>
      <c r="G144" s="225">
        <f t="shared" si="30"/>
        <v>0</v>
      </c>
      <c r="H144" s="164">
        <f t="shared" si="32"/>
        <v>0</v>
      </c>
      <c r="I144" s="164">
        <f t="shared" si="31"/>
        <v>0</v>
      </c>
      <c r="J144" s="413"/>
      <c r="K144" s="119"/>
      <c r="L144" s="119"/>
      <c r="M144" s="119"/>
      <c r="N144" s="98"/>
      <c r="O144" s="118"/>
      <c r="P144" s="118"/>
      <c r="Q144" s="121"/>
    </row>
    <row r="145" spans="1:17" s="61" customFormat="1" ht="38.25" customHeight="1" x14ac:dyDescent="0.25">
      <c r="A145" s="220">
        <v>5</v>
      </c>
      <c r="B145" s="221"/>
      <c r="C145" s="222"/>
      <c r="D145" s="222"/>
      <c r="E145" s="224"/>
      <c r="F145" s="224"/>
      <c r="G145" s="225">
        <f t="shared" si="30"/>
        <v>0</v>
      </c>
      <c r="H145" s="164">
        <f t="shared" si="32"/>
        <v>0</v>
      </c>
      <c r="I145" s="164">
        <f t="shared" si="31"/>
        <v>0</v>
      </c>
      <c r="J145" s="413"/>
      <c r="K145" s="119"/>
      <c r="L145" s="119"/>
      <c r="M145" s="119"/>
      <c r="N145" s="98"/>
      <c r="O145" s="118"/>
      <c r="P145" s="118"/>
      <c r="Q145" s="121"/>
    </row>
    <row r="146" spans="1:17" s="61" customFormat="1" ht="38.25" customHeight="1" x14ac:dyDescent="0.25">
      <c r="A146" s="220">
        <v>6</v>
      </c>
      <c r="B146" s="221"/>
      <c r="C146" s="222"/>
      <c r="D146" s="222"/>
      <c r="E146" s="224"/>
      <c r="F146" s="224"/>
      <c r="G146" s="225">
        <f t="shared" si="30"/>
        <v>0</v>
      </c>
      <c r="H146" s="164">
        <f t="shared" si="32"/>
        <v>0</v>
      </c>
      <c r="I146" s="164">
        <f t="shared" si="31"/>
        <v>0</v>
      </c>
      <c r="J146" s="413"/>
      <c r="K146" s="119"/>
      <c r="L146" s="119"/>
      <c r="M146" s="119"/>
      <c r="N146" s="98"/>
      <c r="O146" s="118"/>
      <c r="P146" s="118"/>
      <c r="Q146" s="121"/>
    </row>
    <row r="147" spans="1:17" s="61" customFormat="1" ht="38.25" customHeight="1" x14ac:dyDescent="0.25">
      <c r="A147" s="220">
        <v>7</v>
      </c>
      <c r="B147" s="221"/>
      <c r="C147" s="222"/>
      <c r="D147" s="222"/>
      <c r="E147" s="224"/>
      <c r="F147" s="224"/>
      <c r="G147" s="225">
        <f t="shared" si="30"/>
        <v>0</v>
      </c>
      <c r="H147" s="164">
        <f t="shared" si="32"/>
        <v>0</v>
      </c>
      <c r="I147" s="164">
        <f t="shared" si="31"/>
        <v>0</v>
      </c>
      <c r="J147" s="413"/>
      <c r="K147" s="119"/>
      <c r="L147" s="119"/>
      <c r="M147" s="119"/>
      <c r="N147" s="98"/>
      <c r="O147" s="118"/>
      <c r="P147" s="118"/>
      <c r="Q147" s="121"/>
    </row>
    <row r="148" spans="1:17" s="61" customFormat="1" ht="38.25" customHeight="1" x14ac:dyDescent="0.25">
      <c r="A148" s="220">
        <v>8</v>
      </c>
      <c r="B148" s="221"/>
      <c r="C148" s="222"/>
      <c r="D148" s="222"/>
      <c r="E148" s="224"/>
      <c r="F148" s="224"/>
      <c r="G148" s="225">
        <f t="shared" si="30"/>
        <v>0</v>
      </c>
      <c r="H148" s="164">
        <f t="shared" si="32"/>
        <v>0</v>
      </c>
      <c r="I148" s="164">
        <f t="shared" si="31"/>
        <v>0</v>
      </c>
      <c r="J148" s="413"/>
      <c r="K148" s="119"/>
      <c r="L148" s="119"/>
      <c r="M148" s="119"/>
      <c r="N148" s="98"/>
      <c r="O148" s="118"/>
      <c r="P148" s="118"/>
      <c r="Q148" s="121"/>
    </row>
    <row r="149" spans="1:17" s="61" customFormat="1" ht="38.25" customHeight="1" x14ac:dyDescent="0.25">
      <c r="A149" s="220">
        <v>9</v>
      </c>
      <c r="B149" s="221"/>
      <c r="C149" s="222"/>
      <c r="D149" s="222"/>
      <c r="E149" s="224"/>
      <c r="F149" s="224"/>
      <c r="G149" s="225">
        <f t="shared" si="30"/>
        <v>0</v>
      </c>
      <c r="H149" s="164">
        <f t="shared" si="32"/>
        <v>0</v>
      </c>
      <c r="I149" s="164">
        <f t="shared" si="31"/>
        <v>0</v>
      </c>
      <c r="J149" s="413"/>
      <c r="K149" s="119"/>
      <c r="L149" s="119"/>
      <c r="M149" s="119"/>
      <c r="N149" s="98"/>
      <c r="O149" s="118"/>
      <c r="P149" s="118"/>
      <c r="Q149" s="121"/>
    </row>
    <row r="150" spans="1:17" s="61" customFormat="1" ht="38.25" customHeight="1" x14ac:dyDescent="0.25">
      <c r="A150" s="220">
        <v>10</v>
      </c>
      <c r="B150" s="221"/>
      <c r="C150" s="222"/>
      <c r="D150" s="222"/>
      <c r="E150" s="224"/>
      <c r="F150" s="224"/>
      <c r="G150" s="225">
        <f t="shared" si="30"/>
        <v>0</v>
      </c>
      <c r="H150" s="164">
        <f t="shared" si="32"/>
        <v>0</v>
      </c>
      <c r="I150" s="164">
        <f t="shared" si="31"/>
        <v>0</v>
      </c>
      <c r="J150" s="413"/>
      <c r="K150" s="119"/>
      <c r="L150" s="119"/>
      <c r="M150" s="119"/>
      <c r="N150" s="98"/>
      <c r="O150" s="118"/>
      <c r="P150" s="118"/>
      <c r="Q150" s="121"/>
    </row>
    <row r="151" spans="1:17" s="61" customFormat="1" ht="38.25" customHeight="1" x14ac:dyDescent="0.25">
      <c r="A151" s="220">
        <v>11</v>
      </c>
      <c r="B151" s="221"/>
      <c r="C151" s="222"/>
      <c r="D151" s="222"/>
      <c r="E151" s="224"/>
      <c r="F151" s="224"/>
      <c r="G151" s="225">
        <f t="shared" si="30"/>
        <v>0</v>
      </c>
      <c r="H151" s="164">
        <f t="shared" si="32"/>
        <v>0</v>
      </c>
      <c r="I151" s="164">
        <f t="shared" si="31"/>
        <v>0</v>
      </c>
      <c r="J151" s="413"/>
      <c r="K151" s="119"/>
      <c r="L151" s="119"/>
      <c r="M151" s="119"/>
      <c r="N151" s="98"/>
      <c r="O151" s="118"/>
      <c r="P151" s="118"/>
      <c r="Q151" s="121"/>
    </row>
    <row r="152" spans="1:17" s="61" customFormat="1" ht="38.25" customHeight="1" x14ac:dyDescent="0.25">
      <c r="A152" s="220">
        <v>12</v>
      </c>
      <c r="B152" s="221"/>
      <c r="C152" s="222"/>
      <c r="D152" s="222"/>
      <c r="E152" s="224"/>
      <c r="F152" s="224"/>
      <c r="G152" s="225">
        <f t="shared" si="30"/>
        <v>0</v>
      </c>
      <c r="H152" s="164">
        <f t="shared" si="32"/>
        <v>0</v>
      </c>
      <c r="I152" s="164">
        <f t="shared" si="31"/>
        <v>0</v>
      </c>
      <c r="J152" s="413"/>
      <c r="K152" s="119"/>
      <c r="L152" s="119"/>
      <c r="M152" s="119"/>
      <c r="N152" s="98"/>
      <c r="O152" s="118"/>
      <c r="P152" s="118"/>
      <c r="Q152" s="121"/>
    </row>
    <row r="153" spans="1:17" s="61" customFormat="1" ht="38.25" customHeight="1" x14ac:dyDescent="0.25">
      <c r="A153" s="111"/>
      <c r="B153" s="161" t="s">
        <v>1367</v>
      </c>
      <c r="C153" s="227">
        <f t="shared" ref="C153:I153" si="33">SUM(C141:C152)</f>
        <v>4</v>
      </c>
      <c r="D153" s="227">
        <f t="shared" si="33"/>
        <v>4</v>
      </c>
      <c r="E153" s="227">
        <f t="shared" si="33"/>
        <v>40</v>
      </c>
      <c r="F153" s="227"/>
      <c r="G153" s="247">
        <f t="shared" si="33"/>
        <v>5.6282538342479233E-4</v>
      </c>
      <c r="H153" s="164">
        <f t="shared" si="33"/>
        <v>47.337278106508876</v>
      </c>
      <c r="I153" s="164">
        <f t="shared" si="33"/>
        <v>189.3491124260355</v>
      </c>
      <c r="J153" s="413"/>
      <c r="K153" s="119"/>
      <c r="L153" s="119"/>
      <c r="M153" s="119"/>
      <c r="N153" s="98"/>
      <c r="O153" s="118"/>
      <c r="P153" s="118"/>
      <c r="Q153" s="121"/>
    </row>
    <row r="154" spans="1:17" s="111" customFormat="1" ht="15" customHeight="1" x14ac:dyDescent="0.25">
      <c r="A154" s="108"/>
      <c r="B154" s="117"/>
      <c r="C154" s="230"/>
      <c r="D154" s="231"/>
      <c r="E154" s="232"/>
      <c r="F154" s="232"/>
      <c r="G154" s="232"/>
      <c r="H154" s="116"/>
      <c r="I154" s="116"/>
      <c r="J154" s="116"/>
      <c r="K154" s="119"/>
      <c r="L154" s="119"/>
      <c r="M154" s="119"/>
      <c r="N154" s="119"/>
    </row>
    <row r="155" spans="1:17" s="61" customFormat="1" ht="38.25" customHeight="1" x14ac:dyDescent="0.25">
      <c r="A155" s="111"/>
      <c r="B155" s="447" t="s">
        <v>1378</v>
      </c>
      <c r="C155" s="233" t="s">
        <v>1534</v>
      </c>
      <c r="D155" s="429" t="s">
        <v>1385</v>
      </c>
      <c r="E155" s="430"/>
      <c r="F155" s="403"/>
      <c r="G155" s="256"/>
      <c r="H155" s="493" t="s">
        <v>1530</v>
      </c>
      <c r="I155" s="493"/>
      <c r="J155" s="413"/>
      <c r="K155" s="118"/>
      <c r="L155" s="110"/>
      <c r="M155" s="110"/>
      <c r="N155" s="60"/>
      <c r="O155" s="118"/>
      <c r="P155" s="118"/>
      <c r="Q155" s="121"/>
    </row>
    <row r="156" spans="1:17" s="61" customFormat="1" ht="53.25" customHeight="1" x14ac:dyDescent="0.25">
      <c r="A156" s="111"/>
      <c r="B156" s="448"/>
      <c r="C156" s="148" t="s">
        <v>1414</v>
      </c>
      <c r="D156" s="148" t="s">
        <v>1397</v>
      </c>
      <c r="E156" s="148" t="s">
        <v>1398</v>
      </c>
      <c r="F156" s="148"/>
      <c r="G156" s="248"/>
      <c r="H156" s="235" t="s">
        <v>1535</v>
      </c>
      <c r="I156" s="235" t="s">
        <v>1536</v>
      </c>
      <c r="J156" s="413"/>
      <c r="K156" s="118"/>
      <c r="L156" s="110"/>
      <c r="M156" s="110"/>
      <c r="N156" s="60"/>
      <c r="O156" s="118"/>
      <c r="P156" s="118"/>
      <c r="Q156" s="121"/>
    </row>
    <row r="157" spans="1:17" s="61" customFormat="1" ht="38.25" customHeight="1" x14ac:dyDescent="0.25">
      <c r="A157" s="220">
        <v>1</v>
      </c>
      <c r="B157" s="221" t="s">
        <v>1589</v>
      </c>
      <c r="C157" s="222">
        <v>2</v>
      </c>
      <c r="D157" s="222">
        <v>2</v>
      </c>
      <c r="E157" s="224">
        <v>25</v>
      </c>
      <c r="F157" s="224"/>
      <c r="G157" s="225">
        <f t="shared" ref="G157:G168" si="34">+H157/$E$184</f>
        <v>3.5176586464049525E-4</v>
      </c>
      <c r="H157" s="164">
        <f>E157/0.845</f>
        <v>29.585798816568047</v>
      </c>
      <c r="I157" s="164">
        <f t="shared" ref="I157:I168" si="35">(C157*D157)*H157</f>
        <v>118.34319526627219</v>
      </c>
      <c r="J157" s="413"/>
      <c r="K157" s="118"/>
      <c r="L157" s="110"/>
      <c r="M157" s="110"/>
      <c r="N157" s="60"/>
      <c r="O157" s="118"/>
      <c r="P157" s="118"/>
      <c r="Q157" s="121"/>
    </row>
    <row r="158" spans="1:17" s="61" customFormat="1" ht="38.25" customHeight="1" x14ac:dyDescent="0.25">
      <c r="A158" s="220">
        <v>2</v>
      </c>
      <c r="B158" s="221" t="s">
        <v>1590</v>
      </c>
      <c r="C158" s="222">
        <v>2</v>
      </c>
      <c r="D158" s="222">
        <v>2</v>
      </c>
      <c r="E158" s="224">
        <v>25</v>
      </c>
      <c r="F158" s="224"/>
      <c r="G158" s="225">
        <f t="shared" si="34"/>
        <v>3.5176586464049525E-4</v>
      </c>
      <c r="H158" s="164">
        <f t="shared" ref="H158:H168" si="36">E158/0.845</f>
        <v>29.585798816568047</v>
      </c>
      <c r="I158" s="164">
        <f t="shared" si="35"/>
        <v>118.34319526627219</v>
      </c>
      <c r="J158" s="413"/>
      <c r="K158" s="118"/>
      <c r="L158" s="110"/>
      <c r="M158" s="110"/>
      <c r="N158" s="60"/>
      <c r="O158" s="118"/>
      <c r="P158" s="118"/>
      <c r="Q158" s="121"/>
    </row>
    <row r="159" spans="1:17" s="61" customFormat="1" ht="38.25" customHeight="1" x14ac:dyDescent="0.25">
      <c r="A159" s="220">
        <v>3</v>
      </c>
      <c r="B159" s="221"/>
      <c r="C159" s="222"/>
      <c r="D159" s="222"/>
      <c r="E159" s="224"/>
      <c r="F159" s="224"/>
      <c r="G159" s="225">
        <f t="shared" si="34"/>
        <v>0</v>
      </c>
      <c r="H159" s="164">
        <f t="shared" si="36"/>
        <v>0</v>
      </c>
      <c r="I159" s="164">
        <f t="shared" si="35"/>
        <v>0</v>
      </c>
      <c r="J159" s="413"/>
      <c r="K159" s="118"/>
      <c r="L159" s="110"/>
      <c r="M159" s="110"/>
      <c r="N159" s="60"/>
      <c r="O159" s="118"/>
      <c r="P159" s="118"/>
      <c r="Q159" s="121"/>
    </row>
    <row r="160" spans="1:17" s="61" customFormat="1" ht="38.25" customHeight="1" x14ac:dyDescent="0.25">
      <c r="A160" s="220">
        <v>4</v>
      </c>
      <c r="B160" s="221"/>
      <c r="C160" s="222"/>
      <c r="D160" s="222"/>
      <c r="E160" s="224"/>
      <c r="F160" s="224"/>
      <c r="G160" s="225">
        <f t="shared" si="34"/>
        <v>0</v>
      </c>
      <c r="H160" s="164">
        <f t="shared" si="36"/>
        <v>0</v>
      </c>
      <c r="I160" s="164">
        <f t="shared" si="35"/>
        <v>0</v>
      </c>
      <c r="J160" s="413"/>
      <c r="K160" s="118"/>
      <c r="L160" s="110"/>
      <c r="M160" s="110"/>
      <c r="N160" s="60"/>
      <c r="O160" s="118"/>
      <c r="P160" s="118"/>
      <c r="Q160" s="121"/>
    </row>
    <row r="161" spans="1:17" s="61" customFormat="1" ht="38.25" customHeight="1" x14ac:dyDescent="0.25">
      <c r="A161" s="220">
        <v>5</v>
      </c>
      <c r="B161" s="221"/>
      <c r="C161" s="222"/>
      <c r="D161" s="222"/>
      <c r="E161" s="224"/>
      <c r="F161" s="224"/>
      <c r="G161" s="225">
        <f t="shared" si="34"/>
        <v>0</v>
      </c>
      <c r="H161" s="164">
        <f t="shared" si="36"/>
        <v>0</v>
      </c>
      <c r="I161" s="164">
        <f t="shared" si="35"/>
        <v>0</v>
      </c>
      <c r="J161" s="413"/>
      <c r="K161" s="118"/>
      <c r="L161" s="110"/>
      <c r="M161" s="110"/>
      <c r="N161" s="60"/>
      <c r="O161" s="118"/>
      <c r="P161" s="118"/>
      <c r="Q161" s="121"/>
    </row>
    <row r="162" spans="1:17" s="61" customFormat="1" ht="38.25" customHeight="1" x14ac:dyDescent="0.25">
      <c r="A162" s="220">
        <v>6</v>
      </c>
      <c r="B162" s="221"/>
      <c r="C162" s="222"/>
      <c r="D162" s="222"/>
      <c r="E162" s="224"/>
      <c r="F162" s="224"/>
      <c r="G162" s="225">
        <f t="shared" si="34"/>
        <v>0</v>
      </c>
      <c r="H162" s="164">
        <f t="shared" si="36"/>
        <v>0</v>
      </c>
      <c r="I162" s="164">
        <f t="shared" si="35"/>
        <v>0</v>
      </c>
      <c r="J162" s="413"/>
      <c r="K162" s="118"/>
      <c r="L162" s="110"/>
      <c r="M162" s="110"/>
      <c r="N162" s="60"/>
      <c r="O162" s="118"/>
      <c r="P162" s="118"/>
      <c r="Q162" s="121"/>
    </row>
    <row r="163" spans="1:17" s="61" customFormat="1" ht="38.25" customHeight="1" x14ac:dyDescent="0.25">
      <c r="A163" s="220">
        <v>7</v>
      </c>
      <c r="B163" s="221"/>
      <c r="C163" s="222"/>
      <c r="D163" s="222"/>
      <c r="E163" s="224"/>
      <c r="F163" s="224"/>
      <c r="G163" s="225">
        <f t="shared" si="34"/>
        <v>0</v>
      </c>
      <c r="H163" s="164">
        <f t="shared" si="36"/>
        <v>0</v>
      </c>
      <c r="I163" s="164">
        <f t="shared" si="35"/>
        <v>0</v>
      </c>
      <c r="J163" s="413"/>
      <c r="K163" s="118"/>
      <c r="L163" s="110"/>
      <c r="M163" s="110"/>
      <c r="N163" s="60"/>
      <c r="O163" s="118"/>
      <c r="P163" s="118"/>
      <c r="Q163" s="121"/>
    </row>
    <row r="164" spans="1:17" s="61" customFormat="1" ht="38.25" customHeight="1" x14ac:dyDescent="0.25">
      <c r="A164" s="220">
        <v>8</v>
      </c>
      <c r="B164" s="221"/>
      <c r="C164" s="222"/>
      <c r="D164" s="222"/>
      <c r="E164" s="224"/>
      <c r="F164" s="224"/>
      <c r="G164" s="225">
        <f t="shared" si="34"/>
        <v>0</v>
      </c>
      <c r="H164" s="164">
        <f t="shared" si="36"/>
        <v>0</v>
      </c>
      <c r="I164" s="164">
        <f t="shared" si="35"/>
        <v>0</v>
      </c>
      <c r="J164" s="413"/>
      <c r="K164" s="118"/>
      <c r="L164" s="110"/>
      <c r="M164" s="110"/>
      <c r="N164" s="60"/>
      <c r="O164" s="118"/>
      <c r="P164" s="118"/>
      <c r="Q164" s="121"/>
    </row>
    <row r="165" spans="1:17" s="61" customFormat="1" ht="45.75" customHeight="1" x14ac:dyDescent="0.25">
      <c r="A165" s="220">
        <v>9</v>
      </c>
      <c r="B165" s="221"/>
      <c r="C165" s="222"/>
      <c r="D165" s="222"/>
      <c r="E165" s="224"/>
      <c r="F165" s="224"/>
      <c r="G165" s="225">
        <f t="shared" si="34"/>
        <v>0</v>
      </c>
      <c r="H165" s="164">
        <f t="shared" si="36"/>
        <v>0</v>
      </c>
      <c r="I165" s="164">
        <f t="shared" si="35"/>
        <v>0</v>
      </c>
      <c r="J165" s="413"/>
      <c r="K165" s="118"/>
      <c r="L165" s="110"/>
      <c r="M165" s="110"/>
      <c r="N165" s="60"/>
      <c r="O165" s="118"/>
      <c r="P165" s="118"/>
      <c r="Q165" s="121"/>
    </row>
    <row r="166" spans="1:17" s="61" customFormat="1" ht="38.25" customHeight="1" x14ac:dyDescent="0.25">
      <c r="A166" s="220">
        <v>10</v>
      </c>
      <c r="B166" s="221"/>
      <c r="C166" s="222"/>
      <c r="D166" s="222"/>
      <c r="E166" s="224"/>
      <c r="F166" s="224"/>
      <c r="G166" s="225">
        <f t="shared" si="34"/>
        <v>0</v>
      </c>
      <c r="H166" s="164">
        <f t="shared" si="36"/>
        <v>0</v>
      </c>
      <c r="I166" s="164">
        <f t="shared" si="35"/>
        <v>0</v>
      </c>
      <c r="J166" s="413"/>
      <c r="K166" s="118"/>
      <c r="L166" s="110"/>
      <c r="M166" s="110"/>
      <c r="N166" s="60"/>
      <c r="O166" s="118"/>
      <c r="P166" s="118"/>
      <c r="Q166" s="121"/>
    </row>
    <row r="167" spans="1:17" s="61" customFormat="1" ht="38.25" customHeight="1" x14ac:dyDescent="0.25">
      <c r="A167" s="220">
        <v>11</v>
      </c>
      <c r="B167" s="221"/>
      <c r="C167" s="222"/>
      <c r="D167" s="222"/>
      <c r="E167" s="224"/>
      <c r="F167" s="224"/>
      <c r="G167" s="225">
        <f t="shared" si="34"/>
        <v>0</v>
      </c>
      <c r="H167" s="164">
        <f t="shared" si="36"/>
        <v>0</v>
      </c>
      <c r="I167" s="164">
        <f t="shared" si="35"/>
        <v>0</v>
      </c>
      <c r="J167" s="413"/>
      <c r="K167" s="118"/>
      <c r="L167" s="110"/>
      <c r="M167" s="110"/>
      <c r="N167" s="60"/>
      <c r="O167" s="118"/>
      <c r="P167" s="118"/>
      <c r="Q167" s="121"/>
    </row>
    <row r="168" spans="1:17" s="61" customFormat="1" ht="38.25" customHeight="1" x14ac:dyDescent="0.25">
      <c r="A168" s="220">
        <v>12</v>
      </c>
      <c r="B168" s="221"/>
      <c r="C168" s="222"/>
      <c r="D168" s="222"/>
      <c r="E168" s="224"/>
      <c r="F168" s="224"/>
      <c r="G168" s="225">
        <f t="shared" si="34"/>
        <v>0</v>
      </c>
      <c r="H168" s="164">
        <f t="shared" si="36"/>
        <v>0</v>
      </c>
      <c r="I168" s="164">
        <f t="shared" si="35"/>
        <v>0</v>
      </c>
      <c r="J168" s="413"/>
      <c r="K168" s="118"/>
      <c r="L168" s="110"/>
      <c r="M168" s="110"/>
      <c r="N168" s="60"/>
      <c r="O168" s="118"/>
      <c r="P168" s="118"/>
      <c r="Q168" s="121"/>
    </row>
    <row r="169" spans="1:17" s="61" customFormat="1" ht="38.25" customHeight="1" x14ac:dyDescent="0.25">
      <c r="A169" s="108"/>
      <c r="B169" s="161" t="s">
        <v>1367</v>
      </c>
      <c r="C169" s="257">
        <f t="shared" ref="C169:I169" si="37">SUM(C157:C168)</f>
        <v>4</v>
      </c>
      <c r="D169" s="257">
        <f t="shared" si="37"/>
        <v>4</v>
      </c>
      <c r="E169" s="258">
        <f t="shared" si="37"/>
        <v>50</v>
      </c>
      <c r="F169" s="419"/>
      <c r="G169" s="259">
        <f t="shared" si="37"/>
        <v>7.0353172928099049E-4</v>
      </c>
      <c r="H169" s="164">
        <f t="shared" si="37"/>
        <v>59.171597633136095</v>
      </c>
      <c r="I169" s="260">
        <f t="shared" si="37"/>
        <v>236.68639053254438</v>
      </c>
      <c r="J169" s="413"/>
      <c r="K169" s="118"/>
      <c r="L169" s="110"/>
      <c r="M169" s="110"/>
      <c r="N169" s="60"/>
      <c r="O169" s="118"/>
      <c r="P169" s="118"/>
      <c r="Q169" s="121"/>
    </row>
    <row r="170" spans="1:17" s="111" customFormat="1" ht="15" customHeight="1" x14ac:dyDescent="0.25">
      <c r="A170" s="108"/>
      <c r="B170" s="117"/>
      <c r="C170" s="236"/>
      <c r="D170" s="237"/>
      <c r="E170" s="238"/>
      <c r="F170" s="238"/>
      <c r="G170" s="238"/>
      <c r="H170" s="110"/>
      <c r="I170" s="119"/>
      <c r="J170" s="119"/>
      <c r="K170" s="119"/>
      <c r="L170" s="119"/>
      <c r="M170" s="119"/>
      <c r="N170" s="119"/>
    </row>
    <row r="171" spans="1:17" s="61" customFormat="1" ht="45.75" customHeight="1" x14ac:dyDescent="0.25">
      <c r="A171" s="108"/>
      <c r="B171" s="261" t="s">
        <v>1416</v>
      </c>
      <c r="C171" s="472" t="s">
        <v>1417</v>
      </c>
      <c r="D171" s="472"/>
      <c r="E171" s="427" t="s">
        <v>1367</v>
      </c>
      <c r="F171" s="427"/>
      <c r="G171" s="427"/>
      <c r="H171" s="427"/>
      <c r="I171" s="119"/>
      <c r="J171" s="119"/>
      <c r="K171" s="118"/>
      <c r="L171" s="110"/>
      <c r="M171" s="110"/>
      <c r="N171" s="60"/>
      <c r="O171" s="118"/>
      <c r="P171" s="118"/>
      <c r="Q171" s="121"/>
    </row>
    <row r="172" spans="1:17" s="61" customFormat="1" ht="38.25" customHeight="1" x14ac:dyDescent="0.25">
      <c r="A172" s="108"/>
      <c r="B172" s="262">
        <f t="shared" ref="B172:B183" si="38">+C157+C141+C125+C109+C93+C77+C61+C45+C29</f>
        <v>13</v>
      </c>
      <c r="C172" s="473">
        <f t="shared" ref="C172:C183" si="39">(C29*D29)+(C45*D45)+(C61*D61)+(C77*D77)+(C93*D93)+(C109*D109)+(C125*D125)+(C141*D141)+(C157*D157)</f>
        <v>38</v>
      </c>
      <c r="D172" s="473"/>
      <c r="E172" s="428">
        <f>+I157+I141+I125+I109+I93+I77+I61+I45+I29</f>
        <v>63295.857988165691</v>
      </c>
      <c r="F172" s="428"/>
      <c r="G172" s="428"/>
      <c r="H172" s="428"/>
      <c r="I172" s="119"/>
      <c r="J172" s="119"/>
      <c r="K172" s="118"/>
      <c r="L172" s="110"/>
      <c r="M172" s="110"/>
      <c r="N172" s="60"/>
      <c r="O172" s="118"/>
      <c r="P172" s="118"/>
      <c r="Q172" s="121"/>
    </row>
    <row r="173" spans="1:17" s="61" customFormat="1" ht="38.25" customHeight="1" x14ac:dyDescent="0.25">
      <c r="A173" s="108"/>
      <c r="B173" s="262">
        <f t="shared" si="38"/>
        <v>13</v>
      </c>
      <c r="C173" s="473">
        <f t="shared" si="39"/>
        <v>22</v>
      </c>
      <c r="D173" s="473"/>
      <c r="E173" s="428">
        <f>+I158+I142+I126+I110+I94+I78+I62+I46+I30</f>
        <v>8976.3313609467459</v>
      </c>
      <c r="F173" s="428"/>
      <c r="G173" s="428"/>
      <c r="H173" s="428"/>
      <c r="I173" s="119"/>
      <c r="J173" s="119"/>
      <c r="K173" s="118"/>
      <c r="L173" s="110"/>
      <c r="M173" s="110"/>
      <c r="N173" s="60"/>
      <c r="O173" s="118"/>
      <c r="P173" s="118"/>
      <c r="Q173" s="121"/>
    </row>
    <row r="174" spans="1:17" s="61" customFormat="1" ht="38.25" customHeight="1" x14ac:dyDescent="0.25">
      <c r="A174" s="108"/>
      <c r="B174" s="262">
        <f t="shared" si="38"/>
        <v>4</v>
      </c>
      <c r="C174" s="473">
        <f t="shared" si="39"/>
        <v>4</v>
      </c>
      <c r="D174" s="473"/>
      <c r="E174" s="428">
        <f>+I159+I143+I127+I111+I95+I79+I63+I47+I31</f>
        <v>11834.31952662722</v>
      </c>
      <c r="F174" s="428"/>
      <c r="G174" s="428"/>
      <c r="H174" s="428"/>
      <c r="I174" s="119"/>
      <c r="J174" s="119"/>
      <c r="K174" s="118"/>
      <c r="L174" s="110"/>
      <c r="M174" s="110"/>
      <c r="N174" s="60"/>
      <c r="O174" s="118"/>
      <c r="P174" s="118"/>
      <c r="Q174" s="121"/>
    </row>
    <row r="175" spans="1:17" s="61" customFormat="1" ht="38.25" customHeight="1" x14ac:dyDescent="0.25">
      <c r="A175" s="108"/>
      <c r="B175" s="262">
        <f t="shared" si="38"/>
        <v>0</v>
      </c>
      <c r="C175" s="473">
        <f t="shared" si="39"/>
        <v>0</v>
      </c>
      <c r="D175" s="473"/>
      <c r="E175" s="428">
        <f t="shared" ref="E175:E183" si="40">+I160+I144+I128+I112+I96+I80+I64+I48+I32</f>
        <v>0</v>
      </c>
      <c r="F175" s="428"/>
      <c r="G175" s="428"/>
      <c r="H175" s="428"/>
      <c r="I175" s="119"/>
      <c r="J175" s="119"/>
      <c r="K175" s="118"/>
      <c r="L175" s="110"/>
      <c r="M175" s="110"/>
      <c r="N175" s="60"/>
      <c r="O175" s="118"/>
      <c r="P175" s="118"/>
      <c r="Q175" s="121"/>
    </row>
    <row r="176" spans="1:17" s="61" customFormat="1" ht="38.25" customHeight="1" x14ac:dyDescent="0.25">
      <c r="A176" s="108"/>
      <c r="B176" s="262">
        <f t="shared" si="38"/>
        <v>0</v>
      </c>
      <c r="C176" s="473">
        <f t="shared" si="39"/>
        <v>0</v>
      </c>
      <c r="D176" s="473"/>
      <c r="E176" s="428">
        <f t="shared" si="40"/>
        <v>0</v>
      </c>
      <c r="F176" s="428"/>
      <c r="G176" s="428"/>
      <c r="H176" s="428"/>
      <c r="I176" s="119"/>
      <c r="J176" s="119"/>
      <c r="K176" s="118"/>
      <c r="L176" s="110"/>
      <c r="M176" s="110"/>
      <c r="N176" s="60"/>
      <c r="O176" s="118"/>
      <c r="P176" s="118"/>
      <c r="Q176" s="121"/>
    </row>
    <row r="177" spans="1:17" s="61" customFormat="1" ht="38.25" customHeight="1" x14ac:dyDescent="0.25">
      <c r="A177" s="108"/>
      <c r="B177" s="262">
        <f t="shared" si="38"/>
        <v>0</v>
      </c>
      <c r="C177" s="473">
        <f t="shared" si="39"/>
        <v>0</v>
      </c>
      <c r="D177" s="473"/>
      <c r="E177" s="428">
        <f t="shared" si="40"/>
        <v>0</v>
      </c>
      <c r="F177" s="428"/>
      <c r="G177" s="428"/>
      <c r="H177" s="428"/>
      <c r="I177" s="119"/>
      <c r="J177" s="119"/>
      <c r="K177" s="118"/>
      <c r="L177" s="110"/>
      <c r="M177" s="110"/>
      <c r="N177" s="60"/>
      <c r="O177" s="118"/>
      <c r="P177" s="118"/>
      <c r="Q177" s="121"/>
    </row>
    <row r="178" spans="1:17" s="61" customFormat="1" ht="38.25" customHeight="1" x14ac:dyDescent="0.25">
      <c r="A178" s="108"/>
      <c r="B178" s="262">
        <f t="shared" si="38"/>
        <v>0</v>
      </c>
      <c r="C178" s="473">
        <f t="shared" si="39"/>
        <v>0</v>
      </c>
      <c r="D178" s="473"/>
      <c r="E178" s="428">
        <f t="shared" si="40"/>
        <v>0</v>
      </c>
      <c r="F178" s="428"/>
      <c r="G178" s="428"/>
      <c r="H178" s="428"/>
      <c r="I178" s="119"/>
      <c r="J178" s="119"/>
      <c r="K178" s="118"/>
      <c r="L178" s="110"/>
      <c r="M178" s="110"/>
      <c r="N178" s="60"/>
      <c r="O178" s="118"/>
      <c r="P178" s="118"/>
      <c r="Q178" s="121"/>
    </row>
    <row r="179" spans="1:17" s="61" customFormat="1" ht="38.25" customHeight="1" x14ac:dyDescent="0.25">
      <c r="A179" s="108"/>
      <c r="B179" s="262">
        <f t="shared" si="38"/>
        <v>0</v>
      </c>
      <c r="C179" s="473">
        <f t="shared" si="39"/>
        <v>0</v>
      </c>
      <c r="D179" s="473"/>
      <c r="E179" s="428">
        <f t="shared" si="40"/>
        <v>0</v>
      </c>
      <c r="F179" s="428"/>
      <c r="G179" s="428"/>
      <c r="H179" s="428"/>
      <c r="I179" s="119"/>
      <c r="J179" s="119"/>
      <c r="K179" s="118"/>
      <c r="L179" s="110"/>
      <c r="M179" s="110"/>
      <c r="N179" s="60"/>
      <c r="O179" s="118"/>
      <c r="P179" s="118"/>
      <c r="Q179" s="121"/>
    </row>
    <row r="180" spans="1:17" s="61" customFormat="1" ht="21.75" customHeight="1" x14ac:dyDescent="0.25">
      <c r="A180" s="108"/>
      <c r="B180" s="262">
        <f t="shared" si="38"/>
        <v>0</v>
      </c>
      <c r="C180" s="473">
        <f t="shared" si="39"/>
        <v>0</v>
      </c>
      <c r="D180" s="473"/>
      <c r="E180" s="428">
        <f t="shared" si="40"/>
        <v>0</v>
      </c>
      <c r="F180" s="428"/>
      <c r="G180" s="428"/>
      <c r="H180" s="428"/>
      <c r="I180" s="119"/>
      <c r="J180" s="119"/>
      <c r="K180" s="118"/>
      <c r="L180" s="110"/>
      <c r="M180" s="110"/>
      <c r="N180" s="60"/>
      <c r="O180" s="118"/>
      <c r="P180" s="118"/>
      <c r="Q180" s="121"/>
    </row>
    <row r="181" spans="1:17" s="61" customFormat="1" ht="34.5" customHeight="1" x14ac:dyDescent="0.25">
      <c r="A181" s="108"/>
      <c r="B181" s="262">
        <f t="shared" si="38"/>
        <v>0</v>
      </c>
      <c r="C181" s="473">
        <f t="shared" si="39"/>
        <v>0</v>
      </c>
      <c r="D181" s="473"/>
      <c r="E181" s="428">
        <f t="shared" si="40"/>
        <v>0</v>
      </c>
      <c r="F181" s="428"/>
      <c r="G181" s="428"/>
      <c r="H181" s="428"/>
      <c r="I181" s="119"/>
      <c r="J181" s="119"/>
      <c r="K181" s="118"/>
      <c r="L181" s="110"/>
      <c r="M181" s="110"/>
      <c r="N181" s="60"/>
      <c r="O181" s="118"/>
      <c r="P181" s="118"/>
      <c r="Q181" s="121"/>
    </row>
    <row r="182" spans="1:17" s="61" customFormat="1" ht="30" customHeight="1" x14ac:dyDescent="0.25">
      <c r="A182" s="108"/>
      <c r="B182" s="262">
        <f t="shared" si="38"/>
        <v>0</v>
      </c>
      <c r="C182" s="473">
        <f t="shared" si="39"/>
        <v>0</v>
      </c>
      <c r="D182" s="473"/>
      <c r="E182" s="428">
        <f t="shared" si="40"/>
        <v>0</v>
      </c>
      <c r="F182" s="428"/>
      <c r="G182" s="428"/>
      <c r="H182" s="428"/>
      <c r="I182" s="119"/>
      <c r="J182" s="119"/>
      <c r="K182" s="118"/>
      <c r="L182" s="110"/>
      <c r="M182" s="110"/>
      <c r="N182" s="60"/>
      <c r="O182" s="118"/>
      <c r="P182" s="118"/>
      <c r="Q182" s="121"/>
    </row>
    <row r="183" spans="1:17" s="61" customFormat="1" ht="45.75" customHeight="1" x14ac:dyDescent="0.25">
      <c r="A183" s="108"/>
      <c r="B183" s="262">
        <f t="shared" si="38"/>
        <v>0</v>
      </c>
      <c r="C183" s="473">
        <f t="shared" si="39"/>
        <v>0</v>
      </c>
      <c r="D183" s="473"/>
      <c r="E183" s="428">
        <f t="shared" si="40"/>
        <v>0</v>
      </c>
      <c r="F183" s="428"/>
      <c r="G183" s="428"/>
      <c r="H183" s="428"/>
      <c r="I183" s="119"/>
      <c r="J183" s="119"/>
      <c r="K183" s="118"/>
      <c r="L183" s="110"/>
      <c r="M183" s="110"/>
      <c r="N183" s="60"/>
      <c r="O183" s="118"/>
      <c r="P183" s="118"/>
      <c r="Q183" s="121"/>
    </row>
    <row r="184" spans="1:17" s="61" customFormat="1" ht="38.25" customHeight="1" x14ac:dyDescent="0.25">
      <c r="A184" s="108"/>
      <c r="B184" s="263">
        <f>SUM(B172:B183)</f>
        <v>30</v>
      </c>
      <c r="C184" s="489">
        <f>SUM(C172:D183)</f>
        <v>64</v>
      </c>
      <c r="D184" s="489"/>
      <c r="E184" s="431">
        <f>SUM(E172:E183)</f>
        <v>84106.508875739659</v>
      </c>
      <c r="F184" s="431"/>
      <c r="G184" s="431"/>
      <c r="H184" s="431"/>
      <c r="I184" s="119"/>
      <c r="J184" s="119"/>
      <c r="K184" s="118"/>
      <c r="L184" s="110"/>
      <c r="M184" s="110"/>
      <c r="N184" s="60"/>
      <c r="O184" s="118"/>
      <c r="P184" s="118"/>
      <c r="Q184" s="121"/>
    </row>
    <row r="185" spans="1:17" s="61" customFormat="1" ht="38.25" customHeight="1" x14ac:dyDescent="0.25">
      <c r="A185" s="108"/>
      <c r="B185" s="111"/>
      <c r="C185" s="111"/>
      <c r="D185" s="111"/>
      <c r="E185" s="111"/>
      <c r="F185" s="111"/>
      <c r="G185" s="111"/>
      <c r="H185" s="111"/>
      <c r="I185" s="111"/>
      <c r="J185" s="111"/>
      <c r="K185" s="118"/>
      <c r="L185" s="110"/>
      <c r="M185" s="110"/>
      <c r="N185" s="60"/>
      <c r="O185" s="118"/>
      <c r="P185" s="118"/>
      <c r="Q185" s="121"/>
    </row>
    <row r="186" spans="1:17" s="63" customFormat="1" ht="38.25" customHeight="1" x14ac:dyDescent="0.25">
      <c r="A186" s="203">
        <v>4</v>
      </c>
      <c r="B186" s="444" t="s">
        <v>1412</v>
      </c>
      <c r="C186" s="445"/>
      <c r="D186" s="445"/>
      <c r="E186" s="445"/>
      <c r="F186" s="445"/>
      <c r="G186" s="445"/>
      <c r="H186" s="445"/>
      <c r="I186" s="445"/>
      <c r="J186" s="445"/>
      <c r="K186" s="445"/>
      <c r="L186" s="110"/>
      <c r="M186" s="110"/>
      <c r="N186" s="118"/>
      <c r="O186" s="110"/>
      <c r="P186" s="110"/>
      <c r="Q186" s="121"/>
    </row>
    <row r="187" spans="1:17" s="61" customFormat="1" ht="3" customHeight="1" x14ac:dyDescent="0.25">
      <c r="A187" s="108"/>
      <c r="B187" s="120"/>
      <c r="C187" s="143"/>
      <c r="D187" s="143"/>
      <c r="E187" s="114"/>
      <c r="F187" s="114"/>
      <c r="G187" s="114"/>
      <c r="H187" s="114"/>
      <c r="I187" s="114"/>
      <c r="J187" s="114"/>
      <c r="K187" s="114"/>
      <c r="L187" s="114"/>
      <c r="M187" s="114"/>
      <c r="N187" s="114"/>
      <c r="O187" s="111"/>
      <c r="P187" s="111"/>
      <c r="Q187" s="111"/>
    </row>
    <row r="188" spans="1:17" s="61" customFormat="1" ht="28.5" customHeight="1" x14ac:dyDescent="0.25">
      <c r="A188" s="108" t="s">
        <v>1513</v>
      </c>
      <c r="B188" s="481" t="s">
        <v>1</v>
      </c>
      <c r="C188" s="482"/>
      <c r="D188" s="481" t="s">
        <v>1359</v>
      </c>
      <c r="E188" s="483"/>
      <c r="F188" s="483"/>
      <c r="G188" s="483"/>
      <c r="H188" s="483"/>
      <c r="I188" s="483"/>
      <c r="J188" s="483"/>
      <c r="K188" s="482"/>
      <c r="L188" s="446"/>
      <c r="M188" s="446"/>
      <c r="N188" s="446"/>
      <c r="O188" s="111"/>
      <c r="P188" s="111"/>
      <c r="Q188" s="111"/>
    </row>
    <row r="189" spans="1:17" s="71" customFormat="1" ht="65.25" customHeight="1" x14ac:dyDescent="0.25">
      <c r="A189" s="132"/>
      <c r="B189" s="172" t="s">
        <v>1358</v>
      </c>
      <c r="C189" s="172" t="s">
        <v>1510</v>
      </c>
      <c r="D189" s="148" t="s">
        <v>6</v>
      </c>
      <c r="E189" s="148" t="s">
        <v>12</v>
      </c>
      <c r="F189" s="148"/>
      <c r="G189" s="148"/>
      <c r="H189" s="148" t="s">
        <v>7</v>
      </c>
      <c r="I189" s="148" t="s">
        <v>1368</v>
      </c>
      <c r="J189" s="148"/>
      <c r="K189" s="148" t="s">
        <v>1548</v>
      </c>
      <c r="L189" s="120"/>
      <c r="N189" s="126"/>
      <c r="O189" s="113"/>
      <c r="P189" s="113"/>
      <c r="Q189" s="122"/>
    </row>
    <row r="190" spans="1:17" s="61" customFormat="1" ht="35.25" customHeight="1" x14ac:dyDescent="0.25">
      <c r="A190" s="108"/>
      <c r="B190" s="100" t="s">
        <v>1567</v>
      </c>
      <c r="C190" s="101"/>
      <c r="D190" s="73" t="s">
        <v>1568</v>
      </c>
      <c r="E190" s="73">
        <v>7200</v>
      </c>
      <c r="F190" s="73"/>
      <c r="G190" s="74"/>
      <c r="H190" s="75">
        <v>0.4</v>
      </c>
      <c r="I190" s="73" t="s">
        <v>14</v>
      </c>
      <c r="J190" s="73"/>
      <c r="K190" s="157">
        <f>IF(I190="FACTURA",(H190*E190),IF(I190="RECIBO",(H190*E190)/0.92,IF(I190="ALMACEN",(H190*E190),"")))</f>
        <v>2880</v>
      </c>
      <c r="L190" s="145"/>
      <c r="N190" s="127"/>
      <c r="O190" s="123"/>
      <c r="P190" s="123"/>
      <c r="Q190" s="111"/>
    </row>
    <row r="191" spans="1:17" s="61" customFormat="1" ht="35.25" customHeight="1" x14ac:dyDescent="0.25">
      <c r="A191" s="108"/>
      <c r="B191" s="100" t="s">
        <v>1569</v>
      </c>
      <c r="C191" s="101"/>
      <c r="D191" s="73" t="s">
        <v>1568</v>
      </c>
      <c r="E191" s="73">
        <v>1</v>
      </c>
      <c r="F191" s="73"/>
      <c r="G191" s="74"/>
      <c r="H191" s="75">
        <v>1080</v>
      </c>
      <c r="I191" s="73" t="s">
        <v>1353</v>
      </c>
      <c r="J191" s="73"/>
      <c r="K191" s="157">
        <f t="shared" ref="K191:K203" si="41">IF(I191="FACTURA",(H191*E191),IF(I191="RECIBO",(H191*E191)/0.92,IF(I191="ALMACEN",(H191*E191),"")))</f>
        <v>1173.9130434782608</v>
      </c>
      <c r="L191" s="145"/>
      <c r="N191" s="127"/>
      <c r="O191" s="123"/>
      <c r="P191" s="123"/>
      <c r="Q191" s="111"/>
    </row>
    <row r="192" spans="1:17" s="61" customFormat="1" ht="35.25" customHeight="1" x14ac:dyDescent="0.25">
      <c r="A192" s="108"/>
      <c r="B192" s="100"/>
      <c r="C192" s="101"/>
      <c r="D192" s="73"/>
      <c r="E192" s="73"/>
      <c r="F192" s="73"/>
      <c r="G192" s="74"/>
      <c r="H192" s="75"/>
      <c r="I192" s="73" t="s">
        <v>1353</v>
      </c>
      <c r="J192" s="73"/>
      <c r="K192" s="157">
        <f t="shared" si="41"/>
        <v>0</v>
      </c>
      <c r="L192" s="145"/>
      <c r="N192" s="127"/>
      <c r="O192" s="123"/>
      <c r="P192" s="123"/>
      <c r="Q192" s="111"/>
    </row>
    <row r="193" spans="1:17" s="61" customFormat="1" ht="35.25" customHeight="1" x14ac:dyDescent="0.25">
      <c r="A193" s="108"/>
      <c r="B193" s="100"/>
      <c r="C193" s="101"/>
      <c r="D193" s="73"/>
      <c r="E193" s="73"/>
      <c r="F193" s="73"/>
      <c r="G193" s="74"/>
      <c r="H193" s="75"/>
      <c r="I193" s="73" t="s">
        <v>14</v>
      </c>
      <c r="J193" s="73"/>
      <c r="K193" s="157">
        <f t="shared" si="41"/>
        <v>0</v>
      </c>
      <c r="L193" s="145"/>
      <c r="N193" s="128"/>
      <c r="O193" s="123"/>
      <c r="P193" s="123"/>
      <c r="Q193" s="111"/>
    </row>
    <row r="194" spans="1:17" s="61" customFormat="1" ht="35.25" customHeight="1" x14ac:dyDescent="0.25">
      <c r="A194" s="108"/>
      <c r="B194" s="100"/>
      <c r="C194" s="101"/>
      <c r="D194" s="73"/>
      <c r="E194" s="73"/>
      <c r="F194" s="73"/>
      <c r="G194" s="74"/>
      <c r="H194" s="75"/>
      <c r="I194" s="73" t="s">
        <v>28</v>
      </c>
      <c r="J194" s="73"/>
      <c r="K194" s="157" t="str">
        <f t="shared" si="41"/>
        <v/>
      </c>
      <c r="L194" s="145"/>
      <c r="N194" s="128"/>
      <c r="O194" s="123"/>
      <c r="P194" s="123"/>
      <c r="Q194" s="111"/>
    </row>
    <row r="195" spans="1:17" s="61" customFormat="1" ht="35.25" customHeight="1" x14ac:dyDescent="0.25">
      <c r="A195" s="108"/>
      <c r="B195" s="100"/>
      <c r="C195" s="101"/>
      <c r="D195" s="73"/>
      <c r="E195" s="73"/>
      <c r="F195" s="73"/>
      <c r="G195" s="74"/>
      <c r="H195" s="75"/>
      <c r="I195" s="73" t="s">
        <v>18</v>
      </c>
      <c r="J195" s="73"/>
      <c r="K195" s="157">
        <f t="shared" si="41"/>
        <v>0</v>
      </c>
      <c r="L195" s="145"/>
      <c r="N195" s="128"/>
      <c r="O195" s="123"/>
      <c r="P195" s="123"/>
      <c r="Q195" s="111"/>
    </row>
    <row r="196" spans="1:17" s="61" customFormat="1" ht="37.5" customHeight="1" x14ac:dyDescent="0.25">
      <c r="A196" s="108"/>
      <c r="B196" s="100"/>
      <c r="C196" s="101"/>
      <c r="D196" s="73"/>
      <c r="E196" s="73"/>
      <c r="F196" s="73"/>
      <c r="G196" s="74"/>
      <c r="H196" s="75"/>
      <c r="I196" s="73" t="s">
        <v>14</v>
      </c>
      <c r="J196" s="73"/>
      <c r="K196" s="157">
        <f t="shared" si="41"/>
        <v>0</v>
      </c>
      <c r="L196" s="145"/>
      <c r="N196" s="128"/>
      <c r="O196" s="123"/>
      <c r="P196" s="123"/>
      <c r="Q196" s="111"/>
    </row>
    <row r="197" spans="1:17" s="61" customFormat="1" ht="39" customHeight="1" x14ac:dyDescent="0.25">
      <c r="A197" s="108"/>
      <c r="B197" s="100"/>
      <c r="C197" s="101"/>
      <c r="D197" s="73"/>
      <c r="E197" s="73"/>
      <c r="F197" s="73"/>
      <c r="G197" s="74"/>
      <c r="H197" s="75"/>
      <c r="I197" s="73" t="s">
        <v>28</v>
      </c>
      <c r="J197" s="73"/>
      <c r="K197" s="157" t="str">
        <f t="shared" si="41"/>
        <v/>
      </c>
      <c r="L197" s="145"/>
      <c r="N197" s="128"/>
      <c r="O197" s="123"/>
      <c r="P197" s="123"/>
      <c r="Q197" s="111"/>
    </row>
    <row r="198" spans="1:17" s="61" customFormat="1" ht="39" customHeight="1" x14ac:dyDescent="0.25">
      <c r="A198" s="108"/>
      <c r="B198" s="100"/>
      <c r="C198" s="101"/>
      <c r="D198" s="73"/>
      <c r="E198" s="73"/>
      <c r="F198" s="73"/>
      <c r="G198" s="74"/>
      <c r="H198" s="75"/>
      <c r="I198" s="73" t="s">
        <v>18</v>
      </c>
      <c r="J198" s="73"/>
      <c r="K198" s="157">
        <f t="shared" si="41"/>
        <v>0</v>
      </c>
      <c r="L198" s="145"/>
      <c r="N198" s="128"/>
      <c r="O198" s="123"/>
      <c r="P198" s="123"/>
      <c r="Q198" s="111"/>
    </row>
    <row r="199" spans="1:17" s="61" customFormat="1" ht="39" customHeight="1" x14ac:dyDescent="0.25">
      <c r="A199" s="108"/>
      <c r="B199" s="100"/>
      <c r="C199" s="101"/>
      <c r="D199" s="73"/>
      <c r="E199" s="73"/>
      <c r="F199" s="73"/>
      <c r="G199" s="74"/>
      <c r="H199" s="75"/>
      <c r="I199" s="73" t="s">
        <v>14</v>
      </c>
      <c r="J199" s="73"/>
      <c r="K199" s="157">
        <f t="shared" si="41"/>
        <v>0</v>
      </c>
      <c r="L199" s="145"/>
      <c r="N199" s="128"/>
      <c r="O199" s="123"/>
      <c r="P199" s="123"/>
      <c r="Q199" s="111"/>
    </row>
    <row r="200" spans="1:17" s="61" customFormat="1" ht="39" customHeight="1" x14ac:dyDescent="0.25">
      <c r="A200" s="108"/>
      <c r="B200" s="100"/>
      <c r="C200" s="101"/>
      <c r="D200" s="73"/>
      <c r="E200" s="73"/>
      <c r="F200" s="73"/>
      <c r="G200" s="74"/>
      <c r="H200" s="75"/>
      <c r="I200" s="73" t="s">
        <v>28</v>
      </c>
      <c r="J200" s="73"/>
      <c r="K200" s="157" t="str">
        <f t="shared" si="41"/>
        <v/>
      </c>
      <c r="L200" s="145"/>
      <c r="N200" s="128"/>
      <c r="O200" s="123"/>
      <c r="P200" s="123"/>
      <c r="Q200" s="111"/>
    </row>
    <row r="201" spans="1:17" s="61" customFormat="1" ht="39" customHeight="1" x14ac:dyDescent="0.25">
      <c r="A201" s="108"/>
      <c r="B201" s="100"/>
      <c r="C201" s="101"/>
      <c r="D201" s="73"/>
      <c r="E201" s="73"/>
      <c r="F201" s="73"/>
      <c r="G201" s="74"/>
      <c r="H201" s="75"/>
      <c r="I201" s="73" t="s">
        <v>18</v>
      </c>
      <c r="J201" s="73"/>
      <c r="K201" s="157">
        <f t="shared" si="41"/>
        <v>0</v>
      </c>
      <c r="L201" s="145"/>
      <c r="N201" s="128"/>
      <c r="O201" s="123"/>
      <c r="P201" s="123"/>
      <c r="Q201" s="111"/>
    </row>
    <row r="202" spans="1:17" s="61" customFormat="1" ht="39" customHeight="1" x14ac:dyDescent="0.25">
      <c r="A202" s="108"/>
      <c r="B202" s="100"/>
      <c r="C202" s="101"/>
      <c r="D202" s="73"/>
      <c r="E202" s="73"/>
      <c r="F202" s="73"/>
      <c r="G202" s="74"/>
      <c r="H202" s="75"/>
      <c r="I202" s="73" t="s">
        <v>14</v>
      </c>
      <c r="J202" s="73"/>
      <c r="K202" s="157">
        <f t="shared" si="41"/>
        <v>0</v>
      </c>
      <c r="L202" s="145"/>
      <c r="N202" s="128"/>
      <c r="O202" s="123"/>
      <c r="P202" s="123"/>
      <c r="Q202" s="111"/>
    </row>
    <row r="203" spans="1:17" s="61" customFormat="1" ht="39" customHeight="1" x14ac:dyDescent="0.25">
      <c r="A203" s="108"/>
      <c r="B203" s="101"/>
      <c r="C203" s="101"/>
      <c r="D203" s="199"/>
      <c r="E203" s="73"/>
      <c r="F203" s="199"/>
      <c r="G203" s="200"/>
      <c r="H203" s="75"/>
      <c r="I203" s="199" t="s">
        <v>28</v>
      </c>
      <c r="J203" s="199"/>
      <c r="K203" s="157" t="str">
        <f t="shared" si="41"/>
        <v/>
      </c>
      <c r="L203" s="145"/>
      <c r="N203" s="128"/>
      <c r="O203" s="123"/>
      <c r="P203" s="123"/>
      <c r="Q203" s="111"/>
    </row>
    <row r="204" spans="1:17" s="61" customFormat="1" ht="36" customHeight="1" x14ac:dyDescent="0.25">
      <c r="A204" s="108"/>
      <c r="B204" s="185" t="s">
        <v>1542</v>
      </c>
      <c r="C204" s="201"/>
      <c r="D204" s="201"/>
      <c r="E204" s="201"/>
      <c r="F204" s="201"/>
      <c r="G204" s="201"/>
      <c r="H204" s="201"/>
      <c r="I204" s="185"/>
      <c r="J204" s="414"/>
      <c r="K204" s="198">
        <f>SUM(K190:K203)</f>
        <v>4053.913043478261</v>
      </c>
      <c r="L204" s="114"/>
      <c r="N204" s="81"/>
      <c r="O204" s="123"/>
      <c r="P204" s="123"/>
      <c r="Q204" s="111"/>
    </row>
    <row r="205" spans="1:17" s="61" customFormat="1" x14ac:dyDescent="0.25">
      <c r="A205" s="108"/>
      <c r="B205" s="143"/>
      <c r="C205" s="114"/>
      <c r="D205" s="114"/>
      <c r="E205" s="114"/>
      <c r="F205" s="114"/>
      <c r="G205" s="114"/>
      <c r="H205" s="143"/>
      <c r="I205" s="143"/>
      <c r="J205" s="401"/>
      <c r="K205" s="143"/>
      <c r="L205" s="143"/>
      <c r="N205" s="143"/>
      <c r="O205" s="123"/>
      <c r="P205" s="123"/>
      <c r="Q205" s="111"/>
    </row>
    <row r="206" spans="1:17" s="61" customFormat="1" x14ac:dyDescent="0.25">
      <c r="A206" s="108"/>
      <c r="B206" s="143"/>
      <c r="C206" s="114"/>
      <c r="D206" s="114"/>
      <c r="E206" s="114"/>
      <c r="F206" s="114"/>
      <c r="G206" s="114"/>
      <c r="H206" s="143"/>
      <c r="I206" s="143"/>
      <c r="J206" s="401"/>
      <c r="K206" s="143"/>
      <c r="L206" s="143"/>
      <c r="N206" s="143"/>
      <c r="O206" s="123"/>
      <c r="P206" s="123"/>
      <c r="Q206" s="111"/>
    </row>
    <row r="207" spans="1:17" s="61" customFormat="1" x14ac:dyDescent="0.25">
      <c r="A207" s="108"/>
      <c r="B207" s="143"/>
      <c r="C207" s="114"/>
      <c r="D207" s="114"/>
      <c r="E207" s="114"/>
      <c r="F207" s="114"/>
      <c r="G207" s="114"/>
      <c r="H207" s="143"/>
      <c r="I207" s="143"/>
      <c r="J207" s="401"/>
      <c r="K207" s="143"/>
      <c r="L207" s="143"/>
      <c r="N207" s="143"/>
      <c r="O207" s="123"/>
      <c r="P207" s="123"/>
      <c r="Q207" s="111"/>
    </row>
    <row r="208" spans="1:17" s="61" customFormat="1" x14ac:dyDescent="0.25">
      <c r="A208" s="108"/>
      <c r="B208" s="143"/>
      <c r="C208" s="114"/>
      <c r="D208" s="114"/>
      <c r="E208" s="114"/>
      <c r="F208" s="114"/>
      <c r="G208" s="114"/>
      <c r="H208" s="143"/>
      <c r="I208" s="143"/>
      <c r="J208" s="401"/>
      <c r="K208" s="143"/>
      <c r="L208" s="145"/>
      <c r="N208" s="145"/>
      <c r="O208" s="123"/>
      <c r="P208" s="123"/>
      <c r="Q208" s="111"/>
    </row>
    <row r="209" spans="1:17" s="61" customFormat="1" x14ac:dyDescent="0.25">
      <c r="A209" s="108"/>
      <c r="B209" s="143"/>
      <c r="C209" s="114"/>
      <c r="D209" s="114"/>
      <c r="E209" s="114"/>
      <c r="F209" s="114"/>
      <c r="G209" s="114"/>
      <c r="H209" s="143"/>
      <c r="I209" s="143"/>
      <c r="J209" s="401"/>
      <c r="K209" s="143"/>
      <c r="L209" s="143"/>
      <c r="N209" s="143"/>
      <c r="O209" s="123"/>
      <c r="P209" s="123"/>
      <c r="Q209" s="111"/>
    </row>
    <row r="210" spans="1:17" s="61" customFormat="1" ht="26.25" customHeight="1" x14ac:dyDescent="0.25">
      <c r="A210" s="108" t="s">
        <v>1544</v>
      </c>
      <c r="B210" s="481" t="s">
        <v>1360</v>
      </c>
      <c r="C210" s="482"/>
      <c r="D210" s="481" t="s">
        <v>1361</v>
      </c>
      <c r="E210" s="483"/>
      <c r="F210" s="483"/>
      <c r="G210" s="483"/>
      <c r="H210" s="483"/>
      <c r="I210" s="483"/>
      <c r="J210" s="483"/>
      <c r="K210" s="482"/>
      <c r="L210" s="129"/>
      <c r="N210" s="129"/>
      <c r="O210" s="123"/>
      <c r="P210" s="123"/>
      <c r="Q210" s="111"/>
    </row>
    <row r="211" spans="1:17" s="61" customFormat="1" ht="66" customHeight="1" x14ac:dyDescent="0.25">
      <c r="A211" s="108"/>
      <c r="B211" s="155" t="s">
        <v>9</v>
      </c>
      <c r="C211" s="156" t="s">
        <v>1510</v>
      </c>
      <c r="D211" s="148" t="s">
        <v>1401</v>
      </c>
      <c r="E211" s="149" t="s">
        <v>2</v>
      </c>
      <c r="F211" s="149"/>
      <c r="G211" s="149"/>
      <c r="H211" s="149" t="s">
        <v>7</v>
      </c>
      <c r="I211" s="149" t="s">
        <v>1355</v>
      </c>
      <c r="J211" s="149"/>
      <c r="K211" s="148" t="s">
        <v>1549</v>
      </c>
      <c r="L211" s="143"/>
      <c r="N211" s="130" t="s">
        <v>5</v>
      </c>
      <c r="O211" s="123"/>
      <c r="P211" s="123"/>
      <c r="Q211" s="111"/>
    </row>
    <row r="212" spans="1:17" s="61" customFormat="1" ht="44.25" customHeight="1" x14ac:dyDescent="0.25">
      <c r="A212" s="108"/>
      <c r="B212" s="100"/>
      <c r="C212" s="101"/>
      <c r="D212" s="96"/>
      <c r="E212" s="79"/>
      <c r="F212" s="79"/>
      <c r="G212" s="80"/>
      <c r="H212" s="81"/>
      <c r="I212" s="70" t="s">
        <v>14</v>
      </c>
      <c r="J212" s="402"/>
      <c r="K212" s="158">
        <f>IF(I212="FACTURA",(H212*E212),IF(I212="RECIBO",(H212*E212)/0.845,IF(I212="SIN IMPUESTO",(H212*E212),IF(I212="ALQUILER SIN RECIBO",(H212*E212)/0.84,IF(I212="VIATICOS",(H212*E212)/0.87)))))</f>
        <v>0</v>
      </c>
      <c r="L212" s="131"/>
      <c r="N212" s="127">
        <f t="shared" ref="N212:N226" si="42">+H212*E212</f>
        <v>0</v>
      </c>
      <c r="O212" s="123"/>
      <c r="P212" s="123"/>
      <c r="Q212" s="111"/>
    </row>
    <row r="213" spans="1:17" s="61" customFormat="1" ht="44.25" customHeight="1" x14ac:dyDescent="0.25">
      <c r="A213" s="108"/>
      <c r="B213" s="100"/>
      <c r="C213" s="101"/>
      <c r="D213" s="96"/>
      <c r="E213" s="79"/>
      <c r="F213" s="79"/>
      <c r="G213" s="80"/>
      <c r="H213" s="81"/>
      <c r="I213" s="70" t="s">
        <v>1353</v>
      </c>
      <c r="J213" s="402"/>
      <c r="K213" s="158">
        <f t="shared" ref="K213:K226" si="43">IF(I213="FACTURA",(H213*E213),IF(I213="RECIBO",(H213*E213)/0.845,IF(I213="SIN IMPUESTO",(H213*E213),IF(I213="ALQUILER SIN RECIBO",(H213*E213)/0.84,IF(I213="VIATICOS",(H213*E213)/0.87)))))</f>
        <v>0</v>
      </c>
      <c r="L213" s="131"/>
      <c r="N213" s="127">
        <f t="shared" si="42"/>
        <v>0</v>
      </c>
      <c r="O213" s="123"/>
      <c r="P213" s="123"/>
      <c r="Q213" s="111"/>
    </row>
    <row r="214" spans="1:17" s="61" customFormat="1" ht="44.25" customHeight="1" x14ac:dyDescent="0.25">
      <c r="A214" s="108"/>
      <c r="B214" s="100"/>
      <c r="C214" s="101"/>
      <c r="D214" s="96"/>
      <c r="E214" s="79"/>
      <c r="F214" s="79"/>
      <c r="G214" s="80"/>
      <c r="H214" s="81"/>
      <c r="I214" s="70" t="s">
        <v>1354</v>
      </c>
      <c r="J214" s="402"/>
      <c r="K214" s="158">
        <f t="shared" si="43"/>
        <v>0</v>
      </c>
      <c r="L214" s="131"/>
      <c r="N214" s="127">
        <f t="shared" si="42"/>
        <v>0</v>
      </c>
      <c r="O214" s="123"/>
      <c r="P214" s="123"/>
      <c r="Q214" s="111"/>
    </row>
    <row r="215" spans="1:17" s="61" customFormat="1" ht="44.25" customHeight="1" x14ac:dyDescent="0.25">
      <c r="A215" s="108"/>
      <c r="B215" s="100"/>
      <c r="C215" s="101"/>
      <c r="D215" s="96"/>
      <c r="E215" s="79"/>
      <c r="F215" s="79"/>
      <c r="G215" s="80"/>
      <c r="H215" s="81"/>
      <c r="I215" s="70" t="s">
        <v>1357</v>
      </c>
      <c r="J215" s="402"/>
      <c r="K215" s="158">
        <f t="shared" si="43"/>
        <v>0</v>
      </c>
      <c r="L215" s="131"/>
      <c r="N215" s="127">
        <f t="shared" si="42"/>
        <v>0</v>
      </c>
      <c r="O215" s="123"/>
      <c r="P215" s="123"/>
      <c r="Q215" s="111"/>
    </row>
    <row r="216" spans="1:17" s="61" customFormat="1" ht="44.25" customHeight="1" x14ac:dyDescent="0.25">
      <c r="A216" s="108"/>
      <c r="B216" s="100"/>
      <c r="C216" s="101"/>
      <c r="D216" s="96"/>
      <c r="E216" s="79"/>
      <c r="F216" s="79"/>
      <c r="G216" s="80"/>
      <c r="H216" s="81"/>
      <c r="I216" s="70" t="s">
        <v>1356</v>
      </c>
      <c r="J216" s="402"/>
      <c r="K216" s="158">
        <f t="shared" si="43"/>
        <v>0</v>
      </c>
      <c r="L216" s="131"/>
      <c r="N216" s="127">
        <f t="shared" si="42"/>
        <v>0</v>
      </c>
      <c r="O216" s="123"/>
      <c r="P216" s="123"/>
      <c r="Q216" s="111"/>
    </row>
    <row r="217" spans="1:17" s="61" customFormat="1" ht="44.25" customHeight="1" x14ac:dyDescent="0.25">
      <c r="A217" s="108"/>
      <c r="B217" s="100"/>
      <c r="C217" s="101"/>
      <c r="D217" s="96"/>
      <c r="E217" s="79"/>
      <c r="F217" s="79"/>
      <c r="G217" s="80"/>
      <c r="H217" s="81"/>
      <c r="I217" s="70" t="s">
        <v>14</v>
      </c>
      <c r="J217" s="402"/>
      <c r="K217" s="158">
        <f t="shared" si="43"/>
        <v>0</v>
      </c>
      <c r="L217" s="131"/>
      <c r="N217" s="127">
        <f t="shared" si="42"/>
        <v>0</v>
      </c>
      <c r="O217" s="123"/>
      <c r="P217" s="123"/>
      <c r="Q217" s="111"/>
    </row>
    <row r="218" spans="1:17" s="61" customFormat="1" ht="44.25" customHeight="1" x14ac:dyDescent="0.25">
      <c r="A218" s="108"/>
      <c r="B218" s="100"/>
      <c r="C218" s="101"/>
      <c r="D218" s="96"/>
      <c r="E218" s="79"/>
      <c r="F218" s="79"/>
      <c r="G218" s="80"/>
      <c r="H218" s="81"/>
      <c r="I218" s="70" t="s">
        <v>1353</v>
      </c>
      <c r="J218" s="402"/>
      <c r="K218" s="158">
        <f t="shared" si="43"/>
        <v>0</v>
      </c>
      <c r="L218" s="131"/>
      <c r="N218" s="127">
        <f t="shared" si="42"/>
        <v>0</v>
      </c>
      <c r="O218" s="123"/>
      <c r="P218" s="123"/>
      <c r="Q218" s="111"/>
    </row>
    <row r="219" spans="1:17" s="61" customFormat="1" ht="44.25" customHeight="1" x14ac:dyDescent="0.25">
      <c r="A219" s="108"/>
      <c r="B219" s="100"/>
      <c r="C219" s="101"/>
      <c r="D219" s="96"/>
      <c r="E219" s="79"/>
      <c r="F219" s="79"/>
      <c r="G219" s="80"/>
      <c r="H219" s="81"/>
      <c r="I219" s="70" t="s">
        <v>1354</v>
      </c>
      <c r="J219" s="402"/>
      <c r="K219" s="158">
        <f t="shared" si="43"/>
        <v>0</v>
      </c>
      <c r="L219" s="131"/>
      <c r="N219" s="127">
        <f t="shared" si="42"/>
        <v>0</v>
      </c>
      <c r="O219" s="123"/>
      <c r="P219" s="123"/>
      <c r="Q219" s="111"/>
    </row>
    <row r="220" spans="1:17" s="61" customFormat="1" ht="44.25" customHeight="1" x14ac:dyDescent="0.25">
      <c r="A220" s="108"/>
      <c r="B220" s="100"/>
      <c r="C220" s="101"/>
      <c r="D220" s="96"/>
      <c r="E220" s="79"/>
      <c r="F220" s="79"/>
      <c r="G220" s="83"/>
      <c r="H220" s="81"/>
      <c r="I220" s="70" t="s">
        <v>1357</v>
      </c>
      <c r="J220" s="402"/>
      <c r="K220" s="158">
        <f t="shared" si="43"/>
        <v>0</v>
      </c>
      <c r="L220" s="131"/>
      <c r="N220" s="127">
        <f t="shared" si="42"/>
        <v>0</v>
      </c>
      <c r="O220" s="123"/>
      <c r="P220" s="123"/>
      <c r="Q220" s="111"/>
    </row>
    <row r="221" spans="1:17" s="61" customFormat="1" ht="44.25" customHeight="1" x14ac:dyDescent="0.25">
      <c r="A221" s="108"/>
      <c r="B221" s="100"/>
      <c r="C221" s="101"/>
      <c r="D221" s="96"/>
      <c r="E221" s="79"/>
      <c r="F221" s="79"/>
      <c r="G221" s="83"/>
      <c r="H221" s="81"/>
      <c r="I221" s="70" t="s">
        <v>1356</v>
      </c>
      <c r="J221" s="402"/>
      <c r="K221" s="158">
        <f t="shared" si="43"/>
        <v>0</v>
      </c>
      <c r="L221" s="131"/>
      <c r="N221" s="127">
        <f t="shared" si="42"/>
        <v>0</v>
      </c>
      <c r="O221" s="123"/>
      <c r="P221" s="123"/>
      <c r="Q221" s="111"/>
    </row>
    <row r="222" spans="1:17" s="61" customFormat="1" ht="44.25" customHeight="1" x14ac:dyDescent="0.25">
      <c r="A222" s="108"/>
      <c r="B222" s="100"/>
      <c r="C222" s="101"/>
      <c r="D222" s="96"/>
      <c r="E222" s="79"/>
      <c r="F222" s="79"/>
      <c r="G222" s="83"/>
      <c r="H222" s="81"/>
      <c r="I222" s="70" t="s">
        <v>14</v>
      </c>
      <c r="J222" s="402"/>
      <c r="K222" s="158">
        <f t="shared" si="43"/>
        <v>0</v>
      </c>
      <c r="L222" s="131"/>
      <c r="N222" s="127">
        <f t="shared" si="42"/>
        <v>0</v>
      </c>
      <c r="O222" s="123"/>
      <c r="P222" s="123"/>
      <c r="Q222" s="111"/>
    </row>
    <row r="223" spans="1:17" s="61" customFormat="1" ht="44.25" customHeight="1" x14ac:dyDescent="0.25">
      <c r="A223" s="108"/>
      <c r="B223" s="100"/>
      <c r="C223" s="101"/>
      <c r="D223" s="96"/>
      <c r="E223" s="79"/>
      <c r="F223" s="79"/>
      <c r="G223" s="83"/>
      <c r="H223" s="81"/>
      <c r="I223" s="70" t="s">
        <v>1353</v>
      </c>
      <c r="J223" s="402"/>
      <c r="K223" s="158">
        <f t="shared" si="43"/>
        <v>0</v>
      </c>
      <c r="L223" s="131"/>
      <c r="N223" s="127">
        <f t="shared" si="42"/>
        <v>0</v>
      </c>
      <c r="O223" s="123"/>
      <c r="P223" s="123"/>
      <c r="Q223" s="111"/>
    </row>
    <row r="224" spans="1:17" s="61" customFormat="1" ht="44.25" customHeight="1" x14ac:dyDescent="0.25">
      <c r="A224" s="108"/>
      <c r="B224" s="100"/>
      <c r="C224" s="101"/>
      <c r="D224" s="96"/>
      <c r="E224" s="79"/>
      <c r="F224" s="79"/>
      <c r="G224" s="83"/>
      <c r="H224" s="81"/>
      <c r="I224" s="70" t="s">
        <v>1354</v>
      </c>
      <c r="J224" s="402"/>
      <c r="K224" s="158">
        <f t="shared" si="43"/>
        <v>0</v>
      </c>
      <c r="L224" s="131"/>
      <c r="N224" s="127">
        <f t="shared" si="42"/>
        <v>0</v>
      </c>
      <c r="O224" s="123"/>
      <c r="P224" s="123"/>
      <c r="Q224" s="111"/>
    </row>
    <row r="225" spans="1:17" s="61" customFormat="1" ht="44.25" customHeight="1" x14ac:dyDescent="0.25">
      <c r="A225" s="108"/>
      <c r="B225" s="100"/>
      <c r="C225" s="101"/>
      <c r="D225" s="96"/>
      <c r="E225" s="79"/>
      <c r="F225" s="79"/>
      <c r="G225" s="83"/>
      <c r="H225" s="81"/>
      <c r="I225" s="70" t="s">
        <v>1357</v>
      </c>
      <c r="J225" s="402"/>
      <c r="K225" s="158">
        <f t="shared" si="43"/>
        <v>0</v>
      </c>
      <c r="L225" s="131"/>
      <c r="N225" s="127">
        <f t="shared" si="42"/>
        <v>0</v>
      </c>
      <c r="O225" s="123"/>
      <c r="P225" s="123"/>
      <c r="Q225" s="111"/>
    </row>
    <row r="226" spans="1:17" s="61" customFormat="1" ht="44.25" customHeight="1" x14ac:dyDescent="0.25">
      <c r="A226" s="108"/>
      <c r="B226" s="100"/>
      <c r="C226" s="101"/>
      <c r="D226" s="96"/>
      <c r="E226" s="79"/>
      <c r="F226" s="79"/>
      <c r="G226" s="83"/>
      <c r="H226" s="81"/>
      <c r="I226" s="70" t="s">
        <v>1356</v>
      </c>
      <c r="J226" s="402"/>
      <c r="K226" s="158">
        <f t="shared" si="43"/>
        <v>0</v>
      </c>
      <c r="L226" s="131"/>
      <c r="N226" s="127">
        <f t="shared" si="42"/>
        <v>0</v>
      </c>
      <c r="O226" s="123"/>
      <c r="P226" s="123"/>
      <c r="Q226" s="111"/>
    </row>
    <row r="227" spans="1:17" s="61" customFormat="1" ht="51" customHeight="1" x14ac:dyDescent="0.25">
      <c r="A227" s="108"/>
      <c r="B227" s="172" t="s">
        <v>1541</v>
      </c>
      <c r="C227" s="197"/>
      <c r="D227" s="149"/>
      <c r="E227" s="149"/>
      <c r="F227" s="149"/>
      <c r="G227" s="149"/>
      <c r="H227" s="149"/>
      <c r="I227" s="159"/>
      <c r="J227" s="159"/>
      <c r="K227" s="157">
        <f>SUM(K212:K226)</f>
        <v>0</v>
      </c>
      <c r="L227" s="114"/>
      <c r="N227" s="127">
        <f>SUM(N212:N226)</f>
        <v>0</v>
      </c>
      <c r="O227" s="123"/>
      <c r="P227" s="123"/>
      <c r="Q227" s="111"/>
    </row>
    <row r="228" spans="1:17" s="111" customFormat="1" ht="15" customHeight="1" x14ac:dyDescent="0.25">
      <c r="A228" s="108"/>
      <c r="B228" s="117"/>
      <c r="C228" s="236"/>
      <c r="D228" s="237"/>
      <c r="E228" s="238"/>
      <c r="F228" s="238"/>
      <c r="G228" s="238"/>
      <c r="H228" s="110"/>
      <c r="I228" s="119"/>
      <c r="J228" s="119"/>
      <c r="K228" s="119"/>
      <c r="L228" s="119"/>
      <c r="N228" s="119"/>
    </row>
    <row r="229" spans="1:17" s="61" customFormat="1" ht="51" customHeight="1" x14ac:dyDescent="0.25">
      <c r="A229" s="108"/>
      <c r="B229" s="149" t="s">
        <v>1367</v>
      </c>
      <c r="C229" s="149"/>
      <c r="D229" s="149"/>
      <c r="E229" s="149"/>
      <c r="F229" s="149"/>
      <c r="G229" s="149"/>
      <c r="H229" s="149"/>
      <c r="I229" s="184"/>
      <c r="J229" s="184"/>
      <c r="K229" s="157">
        <f>+K227+K204</f>
        <v>4053.913043478261</v>
      </c>
      <c r="L229" s="114"/>
      <c r="N229" s="143"/>
      <c r="O229" s="123"/>
      <c r="P229" s="123"/>
      <c r="Q229" s="111"/>
    </row>
    <row r="230" spans="1:17" s="61" customFormat="1" ht="57" customHeight="1" x14ac:dyDescent="0.25">
      <c r="A230" s="108"/>
      <c r="B230" s="115"/>
      <c r="C230" s="115"/>
      <c r="D230" s="446"/>
      <c r="E230" s="446"/>
      <c r="F230" s="446"/>
      <c r="G230" s="446"/>
      <c r="H230" s="446"/>
      <c r="I230" s="446"/>
      <c r="J230" s="446"/>
      <c r="K230" s="446"/>
      <c r="L230" s="446"/>
      <c r="M230" s="474"/>
      <c r="N230" s="474"/>
      <c r="O230" s="123"/>
      <c r="P230" s="123"/>
      <c r="Q230" s="111"/>
    </row>
    <row r="231" spans="1:17" s="61" customFormat="1" ht="57" customHeight="1" x14ac:dyDescent="0.25">
      <c r="A231" s="108"/>
      <c r="B231" s="426" t="s">
        <v>1511</v>
      </c>
      <c r="C231" s="426"/>
      <c r="D231" s="426"/>
      <c r="E231" s="426"/>
      <c r="F231" s="426"/>
      <c r="G231" s="426"/>
      <c r="H231" s="426"/>
      <c r="I231" s="426"/>
      <c r="J231" s="426"/>
      <c r="K231" s="426"/>
      <c r="L231" s="143"/>
      <c r="M231" s="133"/>
      <c r="N231" s="144"/>
      <c r="O231" s="123"/>
      <c r="P231" s="123"/>
      <c r="Q231" s="111"/>
    </row>
    <row r="232" spans="1:17" s="61" customFormat="1" ht="57" customHeight="1" x14ac:dyDescent="0.25">
      <c r="A232" s="203">
        <v>5</v>
      </c>
      <c r="B232" s="282" t="s">
        <v>1512</v>
      </c>
      <c r="C232" s="111"/>
      <c r="D232" s="111"/>
      <c r="E232" s="111"/>
      <c r="F232" s="111"/>
      <c r="G232" s="111"/>
      <c r="H232" s="129"/>
      <c r="I232" s="133"/>
      <c r="J232" s="133"/>
      <c r="K232" s="143"/>
      <c r="L232" s="143"/>
      <c r="M232" s="133"/>
      <c r="N232" s="144"/>
      <c r="O232" s="123"/>
      <c r="P232" s="123"/>
      <c r="Q232" s="111"/>
    </row>
    <row r="233" spans="1:17" s="61" customFormat="1" ht="15" customHeight="1" x14ac:dyDescent="0.25">
      <c r="A233" s="108"/>
      <c r="B233" s="111"/>
      <c r="C233" s="111"/>
      <c r="D233" s="111"/>
      <c r="E233" s="111"/>
      <c r="F233" s="111"/>
      <c r="G233" s="129"/>
      <c r="H233" s="129"/>
      <c r="I233" s="133"/>
      <c r="J233" s="133"/>
      <c r="K233" s="143"/>
      <c r="L233" s="143"/>
      <c r="M233" s="133"/>
      <c r="N233" s="144"/>
      <c r="O233" s="123"/>
      <c r="P233" s="123"/>
      <c r="Q233" s="111"/>
    </row>
    <row r="234" spans="1:17" s="61" customFormat="1" ht="57" customHeight="1" x14ac:dyDescent="0.25">
      <c r="A234" s="108" t="s">
        <v>1519</v>
      </c>
      <c r="B234" s="149" t="s">
        <v>1514</v>
      </c>
      <c r="C234" s="149" t="s">
        <v>1537</v>
      </c>
      <c r="D234" s="149" t="s">
        <v>1515</v>
      </c>
      <c r="E234" s="149" t="s">
        <v>1531</v>
      </c>
      <c r="F234" s="149"/>
      <c r="G234" s="149"/>
      <c r="H234" s="149" t="s">
        <v>4</v>
      </c>
      <c r="I234" s="148" t="s">
        <v>7</v>
      </c>
      <c r="J234" s="148"/>
      <c r="K234" s="148" t="s">
        <v>1402</v>
      </c>
      <c r="L234" s="143"/>
      <c r="M234" s="133"/>
      <c r="N234" s="144"/>
      <c r="O234" s="123"/>
      <c r="P234" s="123"/>
      <c r="Q234" s="111"/>
    </row>
    <row r="235" spans="1:17" s="61" customFormat="1" ht="57" customHeight="1" x14ac:dyDescent="0.25">
      <c r="A235" s="108"/>
      <c r="B235" s="102"/>
      <c r="C235" s="173" t="s">
        <v>1516</v>
      </c>
      <c r="D235" s="164" t="s">
        <v>1517</v>
      </c>
      <c r="E235" s="103"/>
      <c r="F235" s="103"/>
      <c r="G235" s="85"/>
      <c r="H235" s="79"/>
      <c r="I235" s="86"/>
      <c r="J235" s="86"/>
      <c r="K235" s="162">
        <f>+I235*H235</f>
        <v>0</v>
      </c>
      <c r="L235" s="143"/>
      <c r="M235" s="133"/>
      <c r="N235" s="144"/>
      <c r="O235" s="123"/>
      <c r="P235" s="123"/>
      <c r="Q235" s="111"/>
    </row>
    <row r="236" spans="1:17" s="61" customFormat="1" ht="57" customHeight="1" x14ac:dyDescent="0.25">
      <c r="A236" s="108"/>
      <c r="B236" s="102"/>
      <c r="C236" s="173" t="s">
        <v>1516</v>
      </c>
      <c r="D236" s="164" t="s">
        <v>1517</v>
      </c>
      <c r="E236" s="103"/>
      <c r="F236" s="103"/>
      <c r="G236" s="85"/>
      <c r="H236" s="79"/>
      <c r="I236" s="86"/>
      <c r="J236" s="86"/>
      <c r="K236" s="162">
        <f>+I236*H236</f>
        <v>0</v>
      </c>
      <c r="L236" s="143"/>
      <c r="M236" s="133"/>
      <c r="N236" s="144"/>
      <c r="O236" s="123"/>
      <c r="P236" s="123"/>
      <c r="Q236" s="111"/>
    </row>
    <row r="237" spans="1:17" s="61" customFormat="1" ht="57" customHeight="1" x14ac:dyDescent="0.25">
      <c r="A237" s="108"/>
      <c r="B237" s="174" t="s">
        <v>5</v>
      </c>
      <c r="C237" s="163"/>
      <c r="D237" s="163"/>
      <c r="E237" s="163"/>
      <c r="F237" s="163"/>
      <c r="G237" s="163">
        <f>SUM(G235:G236)</f>
        <v>0</v>
      </c>
      <c r="H237" s="163">
        <f>SUM(H235:H236)</f>
        <v>0</v>
      </c>
      <c r="I237" s="150">
        <f>SUM(I235:I236)</f>
        <v>0</v>
      </c>
      <c r="J237" s="150"/>
      <c r="K237" s="150">
        <f>SUM(K235:K236)</f>
        <v>0</v>
      </c>
      <c r="L237" s="143"/>
      <c r="M237" s="133"/>
      <c r="N237" s="144"/>
      <c r="O237" s="123"/>
      <c r="P237" s="123"/>
      <c r="Q237" s="111"/>
    </row>
    <row r="238" spans="1:17" s="61" customFormat="1" ht="57" customHeight="1" x14ac:dyDescent="0.25">
      <c r="A238" s="108"/>
      <c r="B238" s="137"/>
      <c r="C238" s="446"/>
      <c r="D238" s="446"/>
      <c r="E238" s="446"/>
      <c r="F238" s="446"/>
      <c r="G238" s="446"/>
      <c r="H238" s="446"/>
      <c r="I238" s="145"/>
      <c r="J238" s="145"/>
      <c r="K238" s="143"/>
      <c r="L238" s="143"/>
      <c r="M238" s="133"/>
      <c r="N238" s="144"/>
      <c r="O238" s="123"/>
      <c r="P238" s="123"/>
      <c r="Q238" s="111"/>
    </row>
    <row r="239" spans="1:17" s="61" customFormat="1" ht="39.75" customHeight="1" x14ac:dyDescent="0.25">
      <c r="A239" s="203">
        <v>6</v>
      </c>
      <c r="B239" s="282" t="s">
        <v>1518</v>
      </c>
      <c r="C239" s="123"/>
      <c r="D239" s="123"/>
      <c r="E239" s="123"/>
      <c r="F239" s="123"/>
      <c r="G239" s="123"/>
      <c r="H239" s="129"/>
      <c r="I239" s="133"/>
      <c r="J239" s="133"/>
      <c r="K239" s="143"/>
      <c r="L239" s="143"/>
      <c r="M239" s="133"/>
      <c r="N239" s="144"/>
      <c r="O239" s="123"/>
      <c r="P239" s="123"/>
      <c r="Q239" s="111"/>
    </row>
    <row r="240" spans="1:17" s="61" customFormat="1" ht="5.25" customHeight="1" x14ac:dyDescent="0.25">
      <c r="A240" s="108"/>
      <c r="B240" s="111"/>
      <c r="C240" s="111"/>
      <c r="D240" s="111"/>
      <c r="E240" s="111"/>
      <c r="F240" s="111"/>
      <c r="G240" s="129"/>
      <c r="H240" s="129"/>
      <c r="I240" s="133"/>
      <c r="J240" s="133"/>
      <c r="K240" s="143"/>
      <c r="L240" s="143"/>
      <c r="M240" s="133"/>
      <c r="N240" s="144"/>
      <c r="O240" s="123"/>
      <c r="P240" s="123"/>
      <c r="Q240" s="111"/>
    </row>
    <row r="241" spans="1:17" s="61" customFormat="1" ht="57" customHeight="1" x14ac:dyDescent="0.25">
      <c r="A241" s="108" t="s">
        <v>1523</v>
      </c>
      <c r="B241" s="147" t="s">
        <v>1525</v>
      </c>
      <c r="C241" s="149" t="s">
        <v>1538</v>
      </c>
      <c r="D241" s="147" t="s">
        <v>1515</v>
      </c>
      <c r="E241" s="147" t="s">
        <v>1401</v>
      </c>
      <c r="F241" s="147"/>
      <c r="G241" s="147"/>
      <c r="H241" s="147" t="s">
        <v>4</v>
      </c>
      <c r="I241" s="148" t="s">
        <v>7</v>
      </c>
      <c r="J241" s="148"/>
      <c r="K241" s="148" t="s">
        <v>1402</v>
      </c>
      <c r="L241" s="143"/>
      <c r="M241" s="133"/>
      <c r="N241" s="144"/>
      <c r="O241" s="123"/>
      <c r="P241" s="123"/>
      <c r="Q241" s="111"/>
    </row>
    <row r="242" spans="1:17" s="61" customFormat="1" ht="57" customHeight="1" x14ac:dyDescent="0.25">
      <c r="A242" s="108"/>
      <c r="B242" s="102"/>
      <c r="C242" s="160" t="s">
        <v>1516</v>
      </c>
      <c r="D242" s="161" t="s">
        <v>1526</v>
      </c>
      <c r="E242" s="103"/>
      <c r="F242" s="103"/>
      <c r="G242" s="85"/>
      <c r="H242" s="79"/>
      <c r="I242" s="86"/>
      <c r="J242" s="86"/>
      <c r="K242" s="162">
        <f>+I242*H242</f>
        <v>0</v>
      </c>
      <c r="L242" s="143"/>
      <c r="M242" s="133"/>
      <c r="N242" s="144"/>
      <c r="O242" s="123"/>
      <c r="P242" s="123"/>
      <c r="Q242" s="111"/>
    </row>
    <row r="243" spans="1:17" s="61" customFormat="1" ht="57" customHeight="1" x14ac:dyDescent="0.25">
      <c r="A243" s="108"/>
      <c r="B243" s="102"/>
      <c r="C243" s="175" t="s">
        <v>1516</v>
      </c>
      <c r="D243" s="176" t="s">
        <v>1526</v>
      </c>
      <c r="E243" s="177"/>
      <c r="F243" s="177"/>
      <c r="G243" s="178"/>
      <c r="H243" s="179"/>
      <c r="I243" s="180"/>
      <c r="J243" s="180"/>
      <c r="K243" s="181">
        <f>+I243*H243</f>
        <v>0</v>
      </c>
      <c r="L243" s="143"/>
      <c r="M243" s="133"/>
      <c r="N243" s="144"/>
      <c r="O243" s="123"/>
      <c r="P243" s="123"/>
      <c r="Q243" s="111"/>
    </row>
    <row r="244" spans="1:17" s="61" customFormat="1" ht="57" customHeight="1" x14ac:dyDescent="0.25">
      <c r="A244" s="108"/>
      <c r="B244" s="182" t="s">
        <v>5</v>
      </c>
      <c r="C244" s="182"/>
      <c r="D244" s="182"/>
      <c r="E244" s="182"/>
      <c r="F244" s="182"/>
      <c r="G244" s="182">
        <f>SUM(G242:G243)</f>
        <v>0</v>
      </c>
      <c r="H244" s="182">
        <f>SUM(H242:H243)</f>
        <v>0</v>
      </c>
      <c r="I244" s="183">
        <f>SUM(I242:I243)</f>
        <v>0</v>
      </c>
      <c r="J244" s="400"/>
      <c r="K244" s="183">
        <f>SUM(K242:K243)</f>
        <v>0</v>
      </c>
      <c r="L244" s="143"/>
      <c r="M244" s="133"/>
      <c r="N244" s="144"/>
      <c r="O244" s="123"/>
      <c r="P244" s="123"/>
      <c r="Q244" s="111"/>
    </row>
    <row r="245" spans="1:17" s="61" customFormat="1" ht="57" customHeight="1" x14ac:dyDescent="0.25">
      <c r="A245" s="108"/>
      <c r="B245" s="137"/>
      <c r="C245" s="129"/>
      <c r="D245" s="129"/>
      <c r="E245" s="129"/>
      <c r="F245" s="129"/>
      <c r="G245" s="129"/>
      <c r="H245" s="129"/>
      <c r="I245" s="138"/>
      <c r="J245" s="138"/>
      <c r="K245" s="143"/>
      <c r="L245" s="143"/>
      <c r="M245" s="133"/>
      <c r="N245" s="144"/>
      <c r="O245" s="123"/>
      <c r="P245" s="123"/>
      <c r="Q245" s="111"/>
    </row>
    <row r="246" spans="1:17" s="61" customFormat="1" ht="57" customHeight="1" x14ac:dyDescent="0.25">
      <c r="A246" s="203">
        <v>7</v>
      </c>
      <c r="B246" s="282" t="s">
        <v>1522</v>
      </c>
      <c r="C246" s="123"/>
      <c r="D246" s="123"/>
      <c r="E246" s="123"/>
      <c r="F246" s="123"/>
      <c r="G246" s="123"/>
      <c r="H246" s="129"/>
      <c r="I246" s="133"/>
      <c r="J246" s="133"/>
      <c r="K246" s="143"/>
      <c r="L246" s="143"/>
      <c r="M246" s="133"/>
      <c r="N246" s="144"/>
      <c r="O246" s="123"/>
      <c r="P246" s="123"/>
      <c r="Q246" s="111"/>
    </row>
    <row r="247" spans="1:17" s="61" customFormat="1" ht="6.75" customHeight="1" x14ac:dyDescent="0.25">
      <c r="A247" s="108"/>
      <c r="B247" s="111"/>
      <c r="C247" s="111"/>
      <c r="D247" s="111"/>
      <c r="E247" s="111"/>
      <c r="F247" s="111"/>
      <c r="G247" s="129"/>
      <c r="H247" s="129"/>
      <c r="I247" s="133"/>
      <c r="J247" s="133"/>
      <c r="K247" s="143"/>
      <c r="L247" s="143"/>
      <c r="M247" s="133"/>
      <c r="N247" s="144"/>
      <c r="O247" s="123"/>
      <c r="P247" s="123"/>
      <c r="Q247" s="111"/>
    </row>
    <row r="248" spans="1:17" s="61" customFormat="1" ht="57" customHeight="1" x14ac:dyDescent="0.25">
      <c r="A248" s="108" t="s">
        <v>1545</v>
      </c>
      <c r="B248" s="149" t="s">
        <v>1520</v>
      </c>
      <c r="C248" s="149" t="s">
        <v>1537</v>
      </c>
      <c r="D248" s="149" t="s">
        <v>1521</v>
      </c>
      <c r="E248" s="149" t="s">
        <v>1401</v>
      </c>
      <c r="F248" s="149"/>
      <c r="G248" s="149"/>
      <c r="H248" s="149" t="s">
        <v>2</v>
      </c>
      <c r="I248" s="148" t="s">
        <v>7</v>
      </c>
      <c r="J248" s="148"/>
      <c r="K248" s="148" t="s">
        <v>1402</v>
      </c>
      <c r="L248" s="143"/>
      <c r="M248" s="133"/>
      <c r="N248" s="144"/>
      <c r="O248" s="123"/>
      <c r="P248" s="123"/>
      <c r="Q248" s="111"/>
    </row>
    <row r="249" spans="1:17" s="61" customFormat="1" ht="57" customHeight="1" x14ac:dyDescent="0.25">
      <c r="A249" s="108"/>
      <c r="B249" s="99"/>
      <c r="C249" s="173" t="s">
        <v>1516</v>
      </c>
      <c r="D249" s="150" t="s">
        <v>1524</v>
      </c>
      <c r="E249" s="85"/>
      <c r="F249" s="85"/>
      <c r="G249" s="85"/>
      <c r="H249" s="87"/>
      <c r="I249" s="88"/>
      <c r="J249" s="88"/>
      <c r="K249" s="162">
        <f>+H249*I249</f>
        <v>0</v>
      </c>
      <c r="L249" s="143"/>
      <c r="M249" s="133"/>
      <c r="N249" s="144"/>
      <c r="O249" s="123"/>
      <c r="P249" s="123"/>
      <c r="Q249" s="111"/>
    </row>
    <row r="250" spans="1:17" s="61" customFormat="1" ht="57" customHeight="1" x14ac:dyDescent="0.25">
      <c r="A250" s="108"/>
      <c r="B250" s="99"/>
      <c r="C250" s="173" t="s">
        <v>1516</v>
      </c>
      <c r="D250" s="150" t="s">
        <v>1524</v>
      </c>
      <c r="E250" s="85"/>
      <c r="F250" s="85"/>
      <c r="G250" s="85"/>
      <c r="H250" s="87"/>
      <c r="I250" s="88"/>
      <c r="J250" s="88"/>
      <c r="K250" s="162">
        <f>+H250*I250</f>
        <v>0</v>
      </c>
      <c r="L250" s="143"/>
      <c r="M250" s="133"/>
      <c r="N250" s="144"/>
      <c r="O250" s="123"/>
      <c r="P250" s="123"/>
      <c r="Q250" s="111"/>
    </row>
    <row r="251" spans="1:17" s="61" customFormat="1" ht="57" customHeight="1" x14ac:dyDescent="0.25">
      <c r="A251" s="108"/>
      <c r="B251" s="163" t="s">
        <v>5</v>
      </c>
      <c r="C251" s="163"/>
      <c r="D251" s="163"/>
      <c r="E251" s="163"/>
      <c r="F251" s="163"/>
      <c r="G251" s="164"/>
      <c r="H251" s="165">
        <f>SUM(H249:H250)</f>
        <v>0</v>
      </c>
      <c r="I251" s="166">
        <f>SUM(I249:I250)</f>
        <v>0</v>
      </c>
      <c r="J251" s="166"/>
      <c r="K251" s="150">
        <f>SUM(K249:K250)</f>
        <v>0</v>
      </c>
      <c r="L251" s="143"/>
      <c r="M251" s="133"/>
      <c r="N251" s="144"/>
      <c r="O251" s="123"/>
      <c r="P251" s="123"/>
      <c r="Q251" s="111"/>
    </row>
    <row r="252" spans="1:17" s="61" customFormat="1" ht="57" customHeight="1" x14ac:dyDescent="0.25">
      <c r="A252" s="108"/>
      <c r="B252" s="115"/>
      <c r="C252" s="115"/>
      <c r="D252" s="115"/>
      <c r="E252" s="115"/>
      <c r="F252" s="115"/>
      <c r="G252" s="115"/>
      <c r="H252" s="115"/>
      <c r="I252" s="115"/>
      <c r="J252" s="115"/>
      <c r="K252" s="143"/>
      <c r="L252" s="143"/>
      <c r="M252" s="143"/>
      <c r="N252" s="68"/>
      <c r="O252" s="123"/>
      <c r="P252" s="123"/>
      <c r="Q252" s="111"/>
    </row>
    <row r="253" spans="1:17" s="84" customFormat="1" ht="57" customHeight="1" x14ac:dyDescent="0.25">
      <c r="A253" s="203">
        <v>8</v>
      </c>
      <c r="B253" s="204" t="s">
        <v>1413</v>
      </c>
      <c r="C253" s="139"/>
      <c r="D253" s="139"/>
      <c r="E253" s="139"/>
      <c r="F253" s="139"/>
      <c r="G253" s="139"/>
      <c r="H253" s="139"/>
      <c r="I253" s="143"/>
      <c r="J253" s="401"/>
      <c r="K253" s="143"/>
      <c r="L253" s="143"/>
      <c r="M253" s="116"/>
      <c r="N253" s="82"/>
      <c r="O253" s="124"/>
      <c r="P253" s="124"/>
      <c r="Q253" s="125"/>
    </row>
    <row r="254" spans="1:17" s="61" customFormat="1" ht="11.25" customHeight="1" thickBot="1" x14ac:dyDescent="0.3">
      <c r="A254" s="108"/>
      <c r="B254" s="116"/>
      <c r="C254" s="140"/>
      <c r="D254" s="140"/>
      <c r="E254" s="116"/>
      <c r="F254" s="116"/>
      <c r="G254" s="116"/>
      <c r="H254" s="116"/>
      <c r="I254" s="114"/>
      <c r="J254" s="114"/>
      <c r="K254" s="143"/>
      <c r="L254" s="143"/>
      <c r="M254" s="115"/>
      <c r="N254" s="77"/>
      <c r="O254" s="123"/>
      <c r="P254" s="123"/>
      <c r="Q254" s="111"/>
    </row>
    <row r="255" spans="1:17" s="61" customFormat="1" ht="75" x14ac:dyDescent="0.25">
      <c r="A255" s="108" t="s">
        <v>1546</v>
      </c>
      <c r="B255" s="484" t="s">
        <v>1413</v>
      </c>
      <c r="C255" s="195" t="s">
        <v>1391</v>
      </c>
      <c r="D255" s="195" t="s">
        <v>1392</v>
      </c>
      <c r="E255" s="289" t="s">
        <v>1393</v>
      </c>
      <c r="F255" s="420"/>
      <c r="G255" s="65"/>
      <c r="H255" s="115"/>
      <c r="I255" s="123"/>
      <c r="J255" s="123"/>
      <c r="K255" s="143"/>
      <c r="L255" s="143"/>
      <c r="M255" s="143"/>
      <c r="N255" s="62" t="s">
        <v>1527</v>
      </c>
      <c r="O255" s="123"/>
      <c r="P255" s="123"/>
      <c r="Q255" s="111"/>
    </row>
    <row r="256" spans="1:17" s="61" customFormat="1" ht="44.25" customHeight="1" thickBot="1" x14ac:dyDescent="0.3">
      <c r="A256" s="108"/>
      <c r="B256" s="485"/>
      <c r="C256" s="287">
        <f>E184+I23+K251+K229</f>
        <v>88212.421919217915</v>
      </c>
      <c r="D256" s="288">
        <f>IF(I17="SANTA CRUZ",0.21,IF(I17="COCHABAMBA",IF(N256&gt;50000,0.13,IF(N256&lt;50000,0.17))))</f>
        <v>0.13</v>
      </c>
      <c r="E256" s="286">
        <f>+(D256*C256)+('GASTO AUX '!G199)</f>
        <v>15702.339997427323</v>
      </c>
      <c r="F256" s="421"/>
      <c r="G256" s="65"/>
      <c r="H256" s="115"/>
      <c r="I256" s="116"/>
      <c r="J256" s="116"/>
      <c r="K256" s="111"/>
      <c r="L256" s="143"/>
      <c r="M256" s="143"/>
      <c r="N256" s="76">
        <f>+'GASTO AUX '!G195+HOJA_DE_TRABAJO!K251+HOJA_DE_TRABAJO!K244+HOJA_DE_TRABAJO!K237+HOJA_DE_TRABAJO!K229+HOJA_DE_TRABAJO!I23+HOJA_DE_TRABAJO!E184</f>
        <v>91959.966297916151</v>
      </c>
      <c r="O256" s="123"/>
      <c r="P256" s="123"/>
      <c r="Q256" s="111"/>
    </row>
    <row r="257" spans="1:17" s="61" customFormat="1" ht="16.5" thickBot="1" x14ac:dyDescent="0.3">
      <c r="A257" s="108"/>
      <c r="B257" s="115"/>
      <c r="C257" s="115"/>
      <c r="D257" s="115"/>
      <c r="E257" s="115"/>
      <c r="F257" s="115"/>
      <c r="G257" s="69"/>
      <c r="H257" s="115"/>
      <c r="I257" s="115"/>
      <c r="J257" s="115"/>
      <c r="K257" s="114"/>
      <c r="L257" s="114"/>
      <c r="M257" s="114"/>
      <c r="N257" s="64"/>
      <c r="O257" s="111"/>
      <c r="P257" s="111"/>
      <c r="Q257" s="111"/>
    </row>
    <row r="258" spans="1:17" s="61" customFormat="1" ht="77.25" customHeight="1" x14ac:dyDescent="0.25">
      <c r="A258" s="108" t="s">
        <v>1547</v>
      </c>
      <c r="B258" s="486" t="s">
        <v>19</v>
      </c>
      <c r="C258" s="195" t="s">
        <v>11</v>
      </c>
      <c r="D258" s="195" t="s">
        <v>31</v>
      </c>
      <c r="E258" s="196" t="s">
        <v>25</v>
      </c>
      <c r="F258" s="422"/>
      <c r="G258" s="78"/>
      <c r="H258" s="115"/>
      <c r="I258" s="120"/>
      <c r="J258" s="120"/>
      <c r="K258" s="120"/>
      <c r="L258" s="120"/>
      <c r="M258" s="120"/>
      <c r="N258" s="72"/>
      <c r="O258" s="111"/>
      <c r="P258" s="111"/>
      <c r="Q258" s="111"/>
    </row>
    <row r="259" spans="1:17" s="61" customFormat="1" ht="42" customHeight="1" thickBot="1" x14ac:dyDescent="0.3">
      <c r="A259" s="108"/>
      <c r="B259" s="487"/>
      <c r="C259" s="284">
        <f>+C15</f>
        <v>120</v>
      </c>
      <c r="D259" s="285">
        <f>+Hoja2!F27</f>
        <v>5.4487179487179495E-4</v>
      </c>
      <c r="E259" s="286">
        <f>+D259*C259*(C256+'GASTO AUX '!$G$195+E256)</f>
        <v>7039.458488541688</v>
      </c>
      <c r="F259" s="423"/>
      <c r="G259" s="104"/>
      <c r="H259" s="115"/>
      <c r="I259" s="116"/>
      <c r="J259" s="116"/>
      <c r="K259" s="137"/>
      <c r="L259" s="134"/>
      <c r="M259" s="145"/>
      <c r="N259" s="89"/>
      <c r="O259" s="111"/>
      <c r="P259" s="111"/>
      <c r="Q259" s="111"/>
    </row>
    <row r="260" spans="1:17" s="61" customFormat="1" x14ac:dyDescent="0.25">
      <c r="A260" s="108"/>
      <c r="B260" s="111"/>
      <c r="C260" s="111"/>
      <c r="D260" s="111"/>
      <c r="E260" s="111"/>
      <c r="F260" s="111"/>
      <c r="G260" s="67"/>
      <c r="H260" s="111"/>
      <c r="I260" s="111"/>
      <c r="J260" s="111"/>
      <c r="K260" s="123"/>
      <c r="L260" s="123"/>
      <c r="M260" s="123"/>
      <c r="N260" s="66"/>
      <c r="O260" s="111"/>
      <c r="P260" s="111"/>
      <c r="Q260" s="111"/>
    </row>
    <row r="261" spans="1:17" s="61" customFormat="1" x14ac:dyDescent="0.25">
      <c r="A261" s="108"/>
      <c r="B261" s="111"/>
      <c r="C261" s="111"/>
      <c r="D261" s="111"/>
      <c r="E261" s="111"/>
      <c r="F261" s="111"/>
      <c r="G261" s="67"/>
      <c r="H261" s="111"/>
      <c r="I261" s="111"/>
      <c r="J261" s="111"/>
      <c r="K261" s="123"/>
      <c r="L261" s="123"/>
      <c r="M261" s="123"/>
      <c r="N261" s="66"/>
      <c r="O261" s="111"/>
      <c r="P261" s="111"/>
      <c r="Q261" s="111"/>
    </row>
    <row r="262" spans="1:17" s="61" customFormat="1" ht="30" customHeight="1" x14ac:dyDescent="0.25">
      <c r="A262" s="108"/>
      <c r="B262" s="186" t="s">
        <v>1539</v>
      </c>
      <c r="C262" s="187">
        <f>+IF(C269&lt;50000,0.16,IF(C269&gt;50000,0.15,))</f>
        <v>0.15</v>
      </c>
      <c r="D262" s="189"/>
      <c r="E262" s="477" t="s">
        <v>1540</v>
      </c>
      <c r="F262" s="477"/>
      <c r="G262" s="477"/>
      <c r="H262" s="477"/>
      <c r="I262" s="188">
        <v>0.15</v>
      </c>
      <c r="J262" s="415"/>
      <c r="K262" s="123"/>
      <c r="L262" s="123"/>
      <c r="M262" s="123"/>
      <c r="N262" s="66"/>
      <c r="O262" s="111"/>
      <c r="P262" s="111"/>
      <c r="Q262" s="111"/>
    </row>
    <row r="263" spans="1:17" s="61" customFormat="1" x14ac:dyDescent="0.25">
      <c r="A263" s="108"/>
      <c r="B263" s="111"/>
      <c r="C263" s="111"/>
      <c r="D263" s="111"/>
      <c r="E263" s="111"/>
      <c r="F263" s="111"/>
      <c r="G263" s="67"/>
      <c r="H263" s="111"/>
      <c r="I263" s="111"/>
      <c r="J263" s="111"/>
      <c r="K263" s="123"/>
      <c r="L263" s="123"/>
      <c r="M263" s="123"/>
      <c r="N263" s="66"/>
      <c r="O263" s="111"/>
      <c r="P263" s="111"/>
      <c r="Q263" s="111"/>
    </row>
    <row r="264" spans="1:17" s="61" customFormat="1" x14ac:dyDescent="0.25">
      <c r="A264" s="108"/>
      <c r="B264" s="111"/>
      <c r="C264" s="111"/>
      <c r="D264" s="111"/>
      <c r="E264" s="111"/>
      <c r="F264" s="111"/>
      <c r="G264" s="67"/>
      <c r="H264" s="111"/>
      <c r="I264" s="111"/>
      <c r="J264" s="111"/>
      <c r="K264" s="123"/>
      <c r="L264" s="123"/>
      <c r="M264" s="123"/>
      <c r="N264" s="66"/>
      <c r="O264" s="111"/>
      <c r="P264" s="111"/>
      <c r="Q264" s="111"/>
    </row>
    <row r="265" spans="1:17" s="61" customFormat="1" x14ac:dyDescent="0.25">
      <c r="A265" s="108"/>
      <c r="B265" s="111"/>
      <c r="C265" s="111"/>
      <c r="D265" s="111"/>
      <c r="E265" s="111"/>
      <c r="F265" s="111"/>
      <c r="G265" s="67"/>
      <c r="H265" s="111"/>
      <c r="I265" s="111"/>
      <c r="J265" s="111"/>
      <c r="K265" s="123"/>
      <c r="L265" s="123"/>
      <c r="M265" s="123"/>
      <c r="N265" s="66"/>
      <c r="O265" s="111"/>
      <c r="P265" s="111"/>
      <c r="Q265" s="111"/>
    </row>
    <row r="266" spans="1:17" s="61" customFormat="1" x14ac:dyDescent="0.25">
      <c r="A266" s="108"/>
      <c r="B266" s="111"/>
      <c r="C266" s="111"/>
      <c r="D266" s="111"/>
      <c r="E266" s="111"/>
      <c r="F266" s="111"/>
      <c r="G266" s="67"/>
      <c r="H266" s="111"/>
      <c r="I266" s="111"/>
      <c r="J266" s="111"/>
      <c r="K266" s="123"/>
      <c r="L266" s="123"/>
      <c r="M266" s="123"/>
      <c r="N266" s="66"/>
      <c r="O266" s="111"/>
      <c r="P266" s="111"/>
      <c r="Q266" s="111"/>
    </row>
    <row r="267" spans="1:17" s="61" customFormat="1" ht="16.5" thickBot="1" x14ac:dyDescent="0.3">
      <c r="A267" s="111"/>
      <c r="B267" s="111"/>
      <c r="C267" s="111"/>
      <c r="D267" s="111"/>
      <c r="E267" s="111"/>
      <c r="F267" s="111"/>
      <c r="G267" s="67"/>
      <c r="H267" s="111"/>
      <c r="I267" s="111"/>
      <c r="J267" s="111"/>
      <c r="K267" s="123"/>
      <c r="L267" s="123"/>
      <c r="M267" s="123"/>
      <c r="N267" s="66"/>
      <c r="O267" s="111"/>
      <c r="P267" s="111"/>
      <c r="Q267" s="111"/>
    </row>
    <row r="268" spans="1:17" s="61" customFormat="1" ht="21" x14ac:dyDescent="0.35">
      <c r="A268" s="283">
        <v>9</v>
      </c>
      <c r="B268" s="191" t="s">
        <v>8</v>
      </c>
      <c r="C268" s="467" t="s">
        <v>8</v>
      </c>
      <c r="D268" s="468"/>
      <c r="E268" s="136"/>
      <c r="F268" s="136"/>
      <c r="G268" s="136"/>
      <c r="H268" s="111"/>
      <c r="I268" s="478" t="s">
        <v>1489</v>
      </c>
      <c r="J268" s="479"/>
      <c r="K268" s="480"/>
      <c r="L268" s="190"/>
      <c r="M268" s="123"/>
      <c r="N268" s="66"/>
      <c r="O268" s="111"/>
      <c r="P268" s="111"/>
      <c r="Q268" s="111"/>
    </row>
    <row r="269" spans="1:17" s="61" customFormat="1" ht="27" customHeight="1" x14ac:dyDescent="0.25">
      <c r="A269" s="108"/>
      <c r="B269" s="192" t="s">
        <v>15</v>
      </c>
      <c r="C269" s="469">
        <f>+E259+E256+K251+K244+K237+K229+I23+E184</f>
        <v>110954.22040518693</v>
      </c>
      <c r="D269" s="470"/>
      <c r="E269" s="111"/>
      <c r="F269" s="111"/>
      <c r="G269" s="111"/>
      <c r="H269" s="111"/>
      <c r="I269" s="194" t="s">
        <v>1490</v>
      </c>
      <c r="J269" s="194"/>
      <c r="K269" s="194">
        <f>+'Carta PDF'!F40</f>
        <v>9266.6701943228727</v>
      </c>
      <c r="L269" s="123"/>
      <c r="M269" s="111"/>
      <c r="N269" s="90"/>
      <c r="O269" s="111"/>
      <c r="P269" s="111"/>
      <c r="Q269" s="111"/>
    </row>
    <row r="270" spans="1:17" s="61" customFormat="1" ht="27" customHeight="1" x14ac:dyDescent="0.25">
      <c r="A270" s="108"/>
      <c r="B270" s="193" t="s">
        <v>1389</v>
      </c>
      <c r="C270" s="475">
        <f>IF(I15="EXTERNO",IF(OR($I$262="",$I$262=0),$C$269*$C$262,$I$262*$C$269),IF(I15="INTERNO",C269,))</f>
        <v>16643.13306077804</v>
      </c>
      <c r="D270" s="476"/>
      <c r="E270" s="111"/>
      <c r="F270" s="111"/>
      <c r="G270" s="111"/>
      <c r="H270" s="111"/>
      <c r="I270" s="194" t="s">
        <v>1491</v>
      </c>
      <c r="J270" s="194"/>
      <c r="K270" s="194">
        <f>+'Carta PDF'!E84</f>
        <v>5550</v>
      </c>
      <c r="L270" s="111"/>
      <c r="M270" s="111"/>
      <c r="N270" s="90"/>
      <c r="O270" s="111"/>
      <c r="P270" s="111"/>
      <c r="Q270" s="111"/>
    </row>
    <row r="271" spans="1:17" s="61" customFormat="1" ht="27" customHeight="1" x14ac:dyDescent="0.25">
      <c r="A271" s="108"/>
      <c r="B271" s="193" t="s">
        <v>17</v>
      </c>
      <c r="C271" s="469">
        <f>IF(I15="EXTERNO",C270+C269,IF(I15="INTERNO",C269,))</f>
        <v>127597.35346596497</v>
      </c>
      <c r="D271" s="470"/>
      <c r="E271" s="111"/>
      <c r="F271" s="111"/>
      <c r="G271" s="111"/>
      <c r="H271" s="123"/>
      <c r="I271" s="194"/>
      <c r="J271" s="194"/>
      <c r="K271" s="194"/>
      <c r="L271" s="111"/>
      <c r="M271" s="111"/>
      <c r="N271" s="90"/>
      <c r="O271" s="111"/>
      <c r="P271" s="111"/>
      <c r="Q271" s="111"/>
    </row>
    <row r="272" spans="1:17" s="61" customFormat="1" ht="27" customHeight="1" thickBot="1" x14ac:dyDescent="0.4">
      <c r="A272" s="108"/>
      <c r="B272" s="167" t="s">
        <v>16</v>
      </c>
      <c r="C272" s="465">
        <f>IF(I15="EXTERNO",C271/0.84,IF(I15="INTERNO",C269))</f>
        <v>151901.61126900592</v>
      </c>
      <c r="D272" s="466"/>
      <c r="E272" s="138"/>
      <c r="F272" s="138"/>
      <c r="G272" s="138"/>
      <c r="H272" s="111"/>
      <c r="I272" s="194" t="s">
        <v>5</v>
      </c>
      <c r="J272" s="194"/>
      <c r="K272" s="194">
        <f>+K269+K270</f>
        <v>14816.670194322873</v>
      </c>
      <c r="L272" s="123"/>
      <c r="M272" s="111"/>
      <c r="N272" s="90"/>
      <c r="O272" s="111"/>
      <c r="P272" s="111"/>
      <c r="Q272" s="111"/>
    </row>
    <row r="273" spans="1:17" s="61" customFormat="1" ht="27.75" customHeight="1" x14ac:dyDescent="0.25">
      <c r="A273" s="108"/>
      <c r="B273" s="111"/>
      <c r="C273" s="441" t="str">
        <f>+IF(I262=0,"",IF(I262=0,"",IF(I262&gt;=0.15,"",IF(I262&lt;0.15,"PARA COBRAR ESTE  F.E.E. NESESITA AUTORIZACION "))))</f>
        <v/>
      </c>
      <c r="D273" s="441"/>
      <c r="E273" s="141"/>
      <c r="F273" s="141"/>
      <c r="G273" s="129"/>
      <c r="H273" s="129"/>
      <c r="I273" s="129"/>
      <c r="J273" s="129"/>
      <c r="K273" s="129"/>
      <c r="L273" s="129"/>
      <c r="M273" s="129"/>
      <c r="N273" s="91"/>
      <c r="O273" s="111"/>
      <c r="P273" s="111"/>
      <c r="Q273" s="111"/>
    </row>
    <row r="274" spans="1:17" s="61" customFormat="1" ht="27.75" customHeight="1" x14ac:dyDescent="0.25">
      <c r="A274" s="111"/>
      <c r="B274" s="111"/>
      <c r="C274" s="442"/>
      <c r="D274" s="442"/>
      <c r="E274" s="141"/>
      <c r="F274" s="141"/>
      <c r="G274" s="135"/>
      <c r="H274" s="135"/>
      <c r="I274" s="135"/>
      <c r="J274" s="135"/>
      <c r="K274" s="135"/>
      <c r="L274" s="135"/>
      <c r="M274" s="135"/>
      <c r="N274" s="92"/>
      <c r="O274" s="111"/>
      <c r="P274" s="111"/>
      <c r="Q274" s="111"/>
    </row>
    <row r="275" spans="1:17" s="61" customFormat="1" ht="27.75" customHeight="1" x14ac:dyDescent="0.25">
      <c r="A275" s="108"/>
      <c r="B275" s="111"/>
      <c r="C275" s="141"/>
      <c r="D275" s="141"/>
      <c r="E275" s="141"/>
      <c r="F275" s="141"/>
      <c r="G275" s="129"/>
      <c r="H275" s="129"/>
      <c r="I275" s="138"/>
      <c r="J275" s="138"/>
      <c r="K275" s="138"/>
      <c r="L275" s="129"/>
      <c r="M275" s="129"/>
      <c r="N275" s="91"/>
      <c r="O275" s="111"/>
      <c r="P275" s="111"/>
      <c r="Q275" s="111"/>
    </row>
    <row r="276" spans="1:17" s="61" customFormat="1" ht="27.75" customHeight="1" x14ac:dyDescent="0.25">
      <c r="A276" s="108"/>
      <c r="B276" s="111"/>
      <c r="C276" s="111"/>
      <c r="D276" s="111"/>
      <c r="E276" s="111"/>
      <c r="F276" s="111"/>
      <c r="G276" s="142"/>
      <c r="H276" s="136"/>
      <c r="I276" s="136"/>
      <c r="J276" s="136"/>
      <c r="K276" s="136"/>
      <c r="L276" s="136"/>
      <c r="M276" s="129"/>
      <c r="N276" s="91"/>
      <c r="O276" s="111"/>
      <c r="P276" s="111"/>
      <c r="Q276" s="111"/>
    </row>
    <row r="277" spans="1:17" x14ac:dyDescent="0.25">
      <c r="A277" s="107"/>
      <c r="B277" s="208"/>
      <c r="C277" s="208"/>
      <c r="D277" s="208"/>
      <c r="E277" s="208"/>
      <c r="F277" s="208"/>
      <c r="G277" s="208"/>
      <c r="H277" s="208"/>
      <c r="I277" s="208"/>
      <c r="J277" s="208"/>
      <c r="K277" s="208"/>
      <c r="L277" s="208"/>
      <c r="M277" s="208"/>
      <c r="O277" s="208"/>
      <c r="P277" s="208"/>
      <c r="Q277" s="208"/>
    </row>
    <row r="278" spans="1:17" x14ac:dyDescent="0.25">
      <c r="A278" s="107"/>
      <c r="B278" s="208"/>
      <c r="C278" s="208"/>
      <c r="D278" s="208"/>
      <c r="E278" s="208"/>
      <c r="F278" s="208"/>
      <c r="G278" s="208"/>
      <c r="H278" s="208"/>
      <c r="I278" s="208"/>
      <c r="J278" s="208"/>
      <c r="K278" s="208"/>
      <c r="L278" s="208"/>
      <c r="M278" s="208"/>
      <c r="O278" s="208"/>
      <c r="P278" s="208"/>
      <c r="Q278" s="208"/>
    </row>
    <row r="279" spans="1:17" hidden="1" x14ac:dyDescent="0.25">
      <c r="A279" s="107"/>
      <c r="B279" s="208"/>
      <c r="C279" s="208"/>
      <c r="D279" s="208"/>
      <c r="E279" s="208"/>
      <c r="F279" s="208"/>
      <c r="G279" s="208"/>
      <c r="H279" s="208"/>
      <c r="I279" s="208"/>
      <c r="J279" s="208"/>
      <c r="K279" s="208"/>
      <c r="L279" s="208"/>
      <c r="M279" s="208"/>
      <c r="O279" s="208"/>
      <c r="P279" s="208"/>
      <c r="Q279" s="208"/>
    </row>
    <row r="280" spans="1:17" x14ac:dyDescent="0.25">
      <c r="A280" s="107"/>
      <c r="B280" s="208"/>
      <c r="C280" s="208"/>
      <c r="D280" s="208"/>
      <c r="E280" s="208"/>
      <c r="F280" s="208"/>
      <c r="G280" s="208"/>
      <c r="H280" s="208"/>
      <c r="I280" s="208"/>
      <c r="J280" s="208"/>
      <c r="K280" s="208"/>
      <c r="L280" s="208"/>
      <c r="M280" s="208"/>
      <c r="O280" s="208"/>
      <c r="P280" s="208"/>
      <c r="Q280" s="208"/>
    </row>
    <row r="281" spans="1:17" x14ac:dyDescent="0.25">
      <c r="A281" s="107"/>
      <c r="B281" s="208"/>
      <c r="C281" s="208"/>
      <c r="D281" s="208"/>
      <c r="E281" s="208"/>
      <c r="F281" s="208"/>
      <c r="G281" s="208"/>
      <c r="H281" s="208"/>
      <c r="I281" s="208"/>
      <c r="J281" s="208"/>
      <c r="K281" s="208"/>
      <c r="L281" s="208"/>
      <c r="M281" s="208"/>
      <c r="O281" s="208"/>
      <c r="P281" s="208"/>
      <c r="Q281" s="208"/>
    </row>
    <row r="282" spans="1:17" x14ac:dyDescent="0.25">
      <c r="A282" s="55"/>
    </row>
    <row r="283" spans="1:17" x14ac:dyDescent="0.25">
      <c r="A283" s="55"/>
    </row>
    <row r="284" spans="1:17" x14ac:dyDescent="0.25">
      <c r="A284" s="55"/>
    </row>
  </sheetData>
  <protectedRanges>
    <protectedRange sqref="C253:H253" name="Rango3_1"/>
    <protectedRange sqref="C9 I11:J11 C13 C15 I9:J9 I13:J13 D192:J203 D212:J226 C262 L190:L203 L212:L226 I15:J15 D43 D155:H155 C192:C204 N27 B212:C227 D27:J27 D123:J123 D107:J107 D91:J91 D75:J75 D59:J59 D139:J139 B192:B203 D29:F40 B45:B56 D45:F56 B61:B72 D61:F72 B77:B88 D77:F88 B93:B104 E93:F104 B109:B120 E109:F120 B125:B136 E125:F136 B141:B152 E141:F152 B157:B168 E157:F168 B29:B40 G190:J191" name="Rango3"/>
    <protectedRange sqref="C29:C40 C45:C56 C61:C72 C77:C88 C93:D104 C109:D120 C125:D136 C141:D152 C157:D168" name="Rango4"/>
    <protectedRange sqref="C21:C22" name="Rango4_1"/>
    <protectedRange sqref="C21:C22" name="Rango3_1_1"/>
    <protectedRange sqref="H235:H236 I249:J250 C235:D237 H242:H243 C242:D244 B249:D251 B235:B238 B242:B245" name="Rango3_2"/>
    <protectedRange sqref="C17" name="Rango3_2_1"/>
    <protectedRange sqref="I17:J17" name="Rango3_6"/>
    <protectedRange sqref="B190:F191" name="Rango3_3"/>
  </protectedRanges>
  <mergeCells count="93">
    <mergeCell ref="C184:D184"/>
    <mergeCell ref="B6:K6"/>
    <mergeCell ref="B7:K7"/>
    <mergeCell ref="H139:I139"/>
    <mergeCell ref="H155:I155"/>
    <mergeCell ref="H43:I43"/>
    <mergeCell ref="H91:I91"/>
    <mergeCell ref="H27:I27"/>
    <mergeCell ref="H59:I59"/>
    <mergeCell ref="H75:I75"/>
    <mergeCell ref="H107:I107"/>
    <mergeCell ref="H123:I123"/>
    <mergeCell ref="D27:E27"/>
    <mergeCell ref="D59:E59"/>
    <mergeCell ref="D75:E75"/>
    <mergeCell ref="C183:D183"/>
    <mergeCell ref="C179:D179"/>
    <mergeCell ref="C180:D180"/>
    <mergeCell ref="C181:D181"/>
    <mergeCell ref="C182:D182"/>
    <mergeCell ref="D91:E91"/>
    <mergeCell ref="D107:E107"/>
    <mergeCell ref="C174:D174"/>
    <mergeCell ref="C175:D175"/>
    <mergeCell ref="C176:D176"/>
    <mergeCell ref="C177:D177"/>
    <mergeCell ref="C178:D178"/>
    <mergeCell ref="L188:N188"/>
    <mergeCell ref="D230:L230"/>
    <mergeCell ref="M230:N230"/>
    <mergeCell ref="C269:D269"/>
    <mergeCell ref="C270:D270"/>
    <mergeCell ref="E262:H262"/>
    <mergeCell ref="I268:K268"/>
    <mergeCell ref="B210:C210"/>
    <mergeCell ref="D210:K210"/>
    <mergeCell ref="B188:C188"/>
    <mergeCell ref="D188:K188"/>
    <mergeCell ref="B255:B256"/>
    <mergeCell ref="B258:B259"/>
    <mergeCell ref="I17:K17"/>
    <mergeCell ref="I13:K13"/>
    <mergeCell ref="I15:K15"/>
    <mergeCell ref="C272:D272"/>
    <mergeCell ref="C268:D268"/>
    <mergeCell ref="C271:D271"/>
    <mergeCell ref="E179:H179"/>
    <mergeCell ref="E180:H180"/>
    <mergeCell ref="E181:H181"/>
    <mergeCell ref="E182:H182"/>
    <mergeCell ref="D123:E123"/>
    <mergeCell ref="D139:E139"/>
    <mergeCell ref="D155:E155"/>
    <mergeCell ref="C171:D171"/>
    <mergeCell ref="C172:D172"/>
    <mergeCell ref="C173:D173"/>
    <mergeCell ref="B26:H26"/>
    <mergeCell ref="C9:D9"/>
    <mergeCell ref="C11:D11"/>
    <mergeCell ref="C13:D13"/>
    <mergeCell ref="G17:H17"/>
    <mergeCell ref="E2:H2"/>
    <mergeCell ref="C273:D274"/>
    <mergeCell ref="B25:H25"/>
    <mergeCell ref="B186:K186"/>
    <mergeCell ref="C238:H238"/>
    <mergeCell ref="B27:B28"/>
    <mergeCell ref="B43:B44"/>
    <mergeCell ref="B59:B60"/>
    <mergeCell ref="B75:B76"/>
    <mergeCell ref="B91:B92"/>
    <mergeCell ref="B107:B108"/>
    <mergeCell ref="B123:B124"/>
    <mergeCell ref="B139:B140"/>
    <mergeCell ref="B155:B156"/>
    <mergeCell ref="B2:B3"/>
    <mergeCell ref="C2:D2"/>
    <mergeCell ref="C3:D3"/>
    <mergeCell ref="B231:K231"/>
    <mergeCell ref="E171:H171"/>
    <mergeCell ref="E172:H172"/>
    <mergeCell ref="E173:H173"/>
    <mergeCell ref="E174:H174"/>
    <mergeCell ref="E175:H175"/>
    <mergeCell ref="E176:H176"/>
    <mergeCell ref="E177:H177"/>
    <mergeCell ref="E178:H178"/>
    <mergeCell ref="E183:H183"/>
    <mergeCell ref="D43:E43"/>
    <mergeCell ref="E184:H184"/>
    <mergeCell ref="E3:H3"/>
    <mergeCell ref="I9:K9"/>
    <mergeCell ref="I11:K11"/>
  </mergeCells>
  <conditionalFormatting sqref="I238:J238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5:J245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C21:C22">
      <formula1>"DIAS,HRS"</formula1>
    </dataValidation>
    <dataValidation type="list" allowBlank="1" showInputMessage="1" showErrorMessage="1" sqref="N15 I15:J15">
      <formula1>"INTERNO,EXTERNO"</formula1>
    </dataValidation>
    <dataValidation type="list" allowBlank="1" showInputMessage="1" showErrorMessage="1" sqref="C17">
      <formula1>"ALVARO VEGA,XIMENA CASSAB,OTROS "</formula1>
    </dataValidation>
    <dataValidation type="list" allowBlank="1" showInputMessage="1" showErrorMessage="1" sqref="I17:K17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scale="3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82" r:id="rId4" name="CommandButton1">
          <controlPr defaultSize="0" autoLine="0" r:id="rId5">
            <anchor moveWithCells="1">
              <from>
                <xdr:col>11</xdr:col>
                <xdr:colOff>0</xdr:colOff>
                <xdr:row>1</xdr:row>
                <xdr:rowOff>76200</xdr:rowOff>
              </from>
              <to>
                <xdr:col>11</xdr:col>
                <xdr:colOff>876300</xdr:colOff>
                <xdr:row>3</xdr:row>
                <xdr:rowOff>0</xdr:rowOff>
              </to>
            </anchor>
          </controlPr>
        </control>
      </mc:Choice>
      <mc:Fallback>
        <control shapeId="3182" r:id="rId4" name="CommandButton1"/>
      </mc:Fallback>
    </mc:AlternateContent>
    <mc:AlternateContent xmlns:mc="http://schemas.openxmlformats.org/markup-compatibility/2006">
      <mc:Choice Requires="x14">
        <control shapeId="3184" r:id="rId6" name="CommandButton2">
          <controlPr defaultSize="0" autoLine="0" r:id="rId7">
            <anchor moveWithCells="1">
              <from>
                <xdr:col>10</xdr:col>
                <xdr:colOff>219075</xdr:colOff>
                <xdr:row>1</xdr:row>
                <xdr:rowOff>104775</xdr:rowOff>
              </from>
              <to>
                <xdr:col>10</xdr:col>
                <xdr:colOff>923925</xdr:colOff>
                <xdr:row>3</xdr:row>
                <xdr:rowOff>9525</xdr:rowOff>
              </to>
            </anchor>
          </controlPr>
        </control>
      </mc:Choice>
      <mc:Fallback>
        <control shapeId="3184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Hoja2!$H$7:$H$11</xm:f>
          </x14:formula1>
          <xm:sqref>I212:J226</xm:sqref>
        </x14:dataValidation>
        <x14:dataValidation type="list" allowBlank="1" showInputMessage="1" showErrorMessage="1">
          <x14:formula1>
            <xm:f>Hoja2!$H$2:$H$5</xm:f>
          </x14:formula1>
          <xm:sqref>I190:J203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2:R189"/>
  <sheetViews>
    <sheetView tabSelected="1" topLeftCell="A55" zoomScaleNormal="100" workbookViewId="0">
      <selection activeCell="K16" sqref="K16"/>
    </sheetView>
  </sheetViews>
  <sheetFormatPr baseColWidth="10" defaultRowHeight="14.25" x14ac:dyDescent="0.2"/>
  <cols>
    <col min="1" max="7" width="12.7109375" style="22" customWidth="1"/>
    <col min="8" max="8" width="3.140625" style="27" customWidth="1"/>
    <col min="9" max="15" width="12.7109375" style="22" customWidth="1"/>
    <col min="16" max="16" width="11.42578125" style="22"/>
    <col min="17" max="17" width="13.7109375" style="22" bestFit="1" customWidth="1"/>
    <col min="18" max="16384" width="11.42578125" style="22"/>
  </cols>
  <sheetData>
    <row r="2" spans="1:18" ht="27" x14ac:dyDescent="0.35">
      <c r="E2" s="511" t="str">
        <f>+HOJA_DE_TRABAJO!D27</f>
        <v xml:space="preserve">COCHABAMBA </v>
      </c>
      <c r="F2" s="511"/>
      <c r="G2" s="511"/>
      <c r="H2" s="511"/>
      <c r="I2" s="511"/>
      <c r="J2" s="511"/>
      <c r="K2" s="511"/>
    </row>
    <row r="3" spans="1:18" ht="27" x14ac:dyDescent="0.35">
      <c r="A3" s="499" t="s">
        <v>1578</v>
      </c>
      <c r="B3" s="499"/>
      <c r="C3" s="499"/>
      <c r="E3" s="367"/>
      <c r="F3" s="367"/>
      <c r="G3" s="367"/>
      <c r="H3" s="367"/>
      <c r="I3" s="367"/>
      <c r="J3" s="367"/>
      <c r="K3" s="367"/>
    </row>
    <row r="4" spans="1:18" ht="21.75" customHeight="1" x14ac:dyDescent="0.2"/>
    <row r="5" spans="1:18" ht="15" x14ac:dyDescent="0.25">
      <c r="A5" s="500" t="s">
        <v>1415</v>
      </c>
      <c r="B5" s="500"/>
      <c r="C5" s="500"/>
      <c r="D5" s="500"/>
      <c r="E5" s="500"/>
      <c r="F5" s="500"/>
      <c r="G5" s="500"/>
      <c r="H5" s="50"/>
      <c r="I5" s="500" t="s">
        <v>1415</v>
      </c>
      <c r="J5" s="500"/>
      <c r="K5" s="500"/>
      <c r="L5" s="500"/>
      <c r="M5" s="500"/>
      <c r="N5" s="500"/>
      <c r="O5" s="500"/>
    </row>
    <row r="6" spans="1:18" ht="15" x14ac:dyDescent="0.25">
      <c r="A6" s="52">
        <v>2</v>
      </c>
      <c r="B6" s="52" t="s">
        <v>1376</v>
      </c>
      <c r="C6" s="500" t="str">
        <f>LOOKUP(A6,HOJA_DE_TRABAJO!A29:A40,HOJA_DE_TRABAJO!B29:B40)</f>
        <v>b</v>
      </c>
      <c r="D6" s="500"/>
      <c r="E6" s="500"/>
      <c r="F6" s="51" t="s">
        <v>2</v>
      </c>
      <c r="G6" s="51">
        <f>LOOKUP(A6,HOJA_DE_TRABAJO!A29:A40,HOJA_DE_TRABAJO!D29:D40)</f>
        <v>1</v>
      </c>
      <c r="H6" s="50"/>
      <c r="I6" s="52">
        <f>A6+1</f>
        <v>3</v>
      </c>
      <c r="J6" s="52" t="s">
        <v>1376</v>
      </c>
      <c r="K6" s="500" t="str">
        <f>LOOKUP(I6,HOJA_DE_TRABAJO!A29:A40,HOJA_DE_TRABAJO!B29:B40)</f>
        <v>c</v>
      </c>
      <c r="L6" s="500"/>
      <c r="M6" s="500"/>
      <c r="N6" s="51" t="s">
        <v>2</v>
      </c>
      <c r="O6" s="51">
        <f>LOOKUP(I6,HOJA_DE_TRABAJO!A29:A40,HOJA_DE_TRABAJO!D29:D40)</f>
        <v>1</v>
      </c>
    </row>
    <row r="7" spans="1:18" x14ac:dyDescent="0.2">
      <c r="A7" s="497" t="s">
        <v>1377</v>
      </c>
      <c r="B7" s="497"/>
      <c r="C7" s="497"/>
      <c r="D7" s="497"/>
      <c r="E7" s="497"/>
      <c r="F7" s="497"/>
      <c r="G7" s="497"/>
      <c r="H7" s="23"/>
      <c r="I7" s="497" t="s">
        <v>1377</v>
      </c>
      <c r="J7" s="497"/>
      <c r="K7" s="497"/>
      <c r="L7" s="497"/>
      <c r="M7" s="497"/>
      <c r="N7" s="497"/>
      <c r="O7" s="497"/>
    </row>
    <row r="8" spans="1:18" x14ac:dyDescent="0.2">
      <c r="A8" s="28"/>
      <c r="B8" s="28"/>
      <c r="C8" s="28"/>
      <c r="D8" s="28"/>
      <c r="E8" s="28"/>
      <c r="F8" s="28"/>
      <c r="G8" s="28"/>
      <c r="H8" s="24"/>
      <c r="I8" s="28"/>
      <c r="J8" s="28"/>
      <c r="K8" s="28"/>
      <c r="L8" s="28"/>
      <c r="M8" s="28"/>
      <c r="N8" s="28"/>
      <c r="O8" s="28"/>
    </row>
    <row r="9" spans="1:18" x14ac:dyDescent="0.2">
      <c r="A9" s="498" t="str">
        <f>+"Costo líquido por " &amp; C6 &amp;  "(líquido pagable Bs.)"</f>
        <v>Costo líquido por b(líquido pagable Bs.)</v>
      </c>
      <c r="B9" s="498"/>
      <c r="C9" s="498"/>
      <c r="D9" s="498"/>
      <c r="E9" s="498"/>
      <c r="F9" s="498"/>
      <c r="G9" s="29">
        <f>LOOKUP(A6,HOJA_DE_TRABAJO!A29:E40,HOJA_DE_TRABAJO!E29:E40)</f>
        <v>1000</v>
      </c>
      <c r="H9" s="25"/>
      <c r="I9" s="498" t="str">
        <f>+"Costo líquido por " &amp; K6 &amp;  "(líquido pagable Bs.)"</f>
        <v>Costo líquido por c(líquido pagable Bs.)</v>
      </c>
      <c r="J9" s="498"/>
      <c r="K9" s="498"/>
      <c r="L9" s="498"/>
      <c r="M9" s="498"/>
      <c r="N9" s="498"/>
      <c r="O9" s="29">
        <f>LOOKUP(I6,HOJA_DE_TRABAJO!A29:E40,HOJA_DE_TRABAJO!E29:E40)</f>
        <v>2500</v>
      </c>
      <c r="Q9" s="19"/>
    </row>
    <row r="10" spans="1:18" x14ac:dyDescent="0.2">
      <c r="A10" s="30" t="s">
        <v>1403</v>
      </c>
      <c r="B10" s="28"/>
      <c r="C10" s="28"/>
      <c r="D10" s="28"/>
      <c r="E10" s="28"/>
      <c r="F10" s="28"/>
      <c r="G10" s="29"/>
      <c r="H10" s="25"/>
      <c r="I10" s="30" t="s">
        <v>1375</v>
      </c>
      <c r="J10" s="28"/>
      <c r="K10" s="28"/>
      <c r="L10" s="28"/>
      <c r="M10" s="28"/>
      <c r="N10" s="28"/>
      <c r="O10" s="29"/>
      <c r="P10" s="19"/>
      <c r="Q10" s="20"/>
    </row>
    <row r="11" spans="1:18" ht="15" x14ac:dyDescent="0.25">
      <c r="A11" s="31" t="s">
        <v>1394</v>
      </c>
      <c r="B11" s="28"/>
      <c r="C11" s="28"/>
      <c r="D11" s="28"/>
      <c r="E11" s="28"/>
      <c r="F11" s="32">
        <f>+SUM(E12:E13)</f>
        <v>0.155</v>
      </c>
      <c r="G11" s="29">
        <f>LOOKUP(A6,HOJA_DE_TRABAJO!A29:E40,HOJA_DE_TRABAJO!H29:H40)</f>
        <v>1183.4319526627219</v>
      </c>
      <c r="H11" s="25"/>
      <c r="I11" s="31" t="s">
        <v>1394</v>
      </c>
      <c r="J11" s="28"/>
      <c r="K11" s="28"/>
      <c r="L11" s="28"/>
      <c r="M11" s="28"/>
      <c r="N11" s="32">
        <f>+SUM(M12:M13)</f>
        <v>0.155</v>
      </c>
      <c r="O11" s="29">
        <f>LOOKUP(I6,HOJA_DE_TRABAJO!A29:E40,HOJA_DE_TRABAJO!H29:H40)</f>
        <v>2958.5798816568049</v>
      </c>
      <c r="Q11" s="20"/>
    </row>
    <row r="12" spans="1:18" x14ac:dyDescent="0.2">
      <c r="A12" s="33" t="s">
        <v>1395</v>
      </c>
      <c r="B12" s="28"/>
      <c r="C12" s="28"/>
      <c r="D12" s="28"/>
      <c r="E12" s="34">
        <v>0.125</v>
      </c>
      <c r="F12" s="28"/>
      <c r="G12" s="29"/>
      <c r="H12" s="25"/>
      <c r="I12" s="33" t="s">
        <v>1395</v>
      </c>
      <c r="J12" s="28"/>
      <c r="K12" s="28"/>
      <c r="L12" s="28"/>
      <c r="M12" s="34">
        <v>0.125</v>
      </c>
      <c r="N12" s="28"/>
      <c r="O12" s="29"/>
      <c r="Q12" s="20"/>
    </row>
    <row r="13" spans="1:18" x14ac:dyDescent="0.2">
      <c r="A13" s="33" t="s">
        <v>1396</v>
      </c>
      <c r="B13" s="28"/>
      <c r="C13" s="28"/>
      <c r="D13" s="28"/>
      <c r="E13" s="34">
        <v>0.03</v>
      </c>
      <c r="F13" s="28"/>
      <c r="G13" s="29"/>
      <c r="H13" s="25"/>
      <c r="I13" s="33" t="s">
        <v>1396</v>
      </c>
      <c r="J13" s="28"/>
      <c r="K13" s="28"/>
      <c r="L13" s="28"/>
      <c r="M13" s="34">
        <v>0.03</v>
      </c>
      <c r="N13" s="28"/>
      <c r="O13" s="29"/>
      <c r="Q13" s="20"/>
    </row>
    <row r="14" spans="1:18" x14ac:dyDescent="0.2">
      <c r="A14" s="35" t="s">
        <v>1404</v>
      </c>
      <c r="B14" s="28"/>
      <c r="C14" s="28"/>
      <c r="D14" s="28"/>
      <c r="E14" s="34"/>
      <c r="F14" s="28"/>
      <c r="G14" s="29">
        <f>((HOJA_DE_TRABAJO!$I$23+HOJA_DE_TRABAJO!$E$256)*(LOOKUP(A6,HOJA_DE_TRABAJO!A29:A40,HOJA_DE_TRABAJO!G29:G40)))</f>
        <v>221.67356124141438</v>
      </c>
      <c r="H14" s="25"/>
      <c r="I14" s="35" t="s">
        <v>1374</v>
      </c>
      <c r="J14" s="28"/>
      <c r="K14" s="28"/>
      <c r="L14" s="28"/>
      <c r="M14" s="34"/>
      <c r="N14" s="28"/>
      <c r="O14" s="29">
        <f>((HOJA_DE_TRABAJO!$I$23+HOJA_DE_TRABAJO!$E$256)*(LOOKUP(I6,HOJA_DE_TRABAJO!A29:A40,HOJA_DE_TRABAJO!G29:G40)))</f>
        <v>554.18390310353595</v>
      </c>
      <c r="Q14" s="19"/>
    </row>
    <row r="15" spans="1:18" x14ac:dyDescent="0.2">
      <c r="A15" s="35" t="s">
        <v>1387</v>
      </c>
      <c r="B15" s="28"/>
      <c r="C15" s="28"/>
      <c r="D15" s="28"/>
      <c r="E15" s="94">
        <f>(HOJA_DE_TRABAJO!D259)</f>
        <v>5.4487179487179495E-4</v>
      </c>
      <c r="F15" s="28"/>
      <c r="G15" s="29">
        <f>+HOJA_DE_TRABAJO!$E$259*(LOOKUP(A6,HOJA_DE_TRABAJO!A29:E40,HOJA_DE_TRABAJO!G29:G40))</f>
        <v>99.049648072909619</v>
      </c>
      <c r="H15" s="25"/>
      <c r="I15" s="35" t="s">
        <v>1386</v>
      </c>
      <c r="J15" s="28"/>
      <c r="K15" s="28"/>
      <c r="L15" s="28"/>
      <c r="M15" s="94">
        <f>(HOJA_DE_TRABAJO!D259)</f>
        <v>5.4487179487179495E-4</v>
      </c>
      <c r="N15" s="28"/>
      <c r="O15" s="29">
        <f>+HOJA_DE_TRABAJO!$E$259*(LOOKUP(I6,HOJA_DE_TRABAJO!A29:E40,HOJA_DE_TRABAJO!G29:G40))</f>
        <v>247.62412018227405</v>
      </c>
      <c r="Q15" s="19"/>
    </row>
    <row r="16" spans="1:18" x14ac:dyDescent="0.2">
      <c r="A16" s="36" t="s">
        <v>1405</v>
      </c>
      <c r="B16" s="37"/>
      <c r="C16" s="37"/>
      <c r="D16" s="37"/>
      <c r="E16" s="38">
        <f>IF(OR(HOJA_DE_TRABAJO!I262="",HOJA_DE_TRABAJO!I262=0),HOJA_DE_TRABAJO!C262,HOJA_DE_TRABAJO!I262)</f>
        <v>0.15</v>
      </c>
      <c r="F16" s="37"/>
      <c r="G16" s="39">
        <f>+(G11+G14+G15)*E16</f>
        <v>225.62327429655684</v>
      </c>
      <c r="H16" s="25"/>
      <c r="I16" s="36" t="s">
        <v>1373</v>
      </c>
      <c r="J16" s="37"/>
      <c r="K16" s="37"/>
      <c r="L16" s="37"/>
      <c r="M16" s="38">
        <f>IF(OR(HOJA_DE_TRABAJO!I262="",HOJA_DE_TRABAJO!I262=0),HOJA_DE_TRABAJO!C262,HOJA_DE_TRABAJO!I262)</f>
        <v>0.15</v>
      </c>
      <c r="N16" s="37"/>
      <c r="O16" s="39">
        <f>+M16*(SUM(O11:O15))</f>
        <v>564.05818574139221</v>
      </c>
      <c r="Q16" s="19"/>
      <c r="R16" s="19"/>
    </row>
    <row r="17" spans="1:17" ht="15" x14ac:dyDescent="0.25">
      <c r="A17" s="40" t="s">
        <v>1406</v>
      </c>
      <c r="B17" s="41"/>
      <c r="C17" s="41"/>
      <c r="D17" s="41"/>
      <c r="E17" s="41"/>
      <c r="F17" s="41"/>
      <c r="G17" s="42">
        <f>+SUM(G11:G16)</f>
        <v>1729.7784362736027</v>
      </c>
      <c r="H17" s="26"/>
      <c r="I17" s="40" t="s">
        <v>1372</v>
      </c>
      <c r="J17" s="41"/>
      <c r="K17" s="41"/>
      <c r="L17" s="41"/>
      <c r="M17" s="41"/>
      <c r="N17" s="41"/>
      <c r="O17" s="42">
        <f>+SUM(O11:O16)</f>
        <v>4324.4460906840068</v>
      </c>
    </row>
    <row r="18" spans="1:17" x14ac:dyDescent="0.2">
      <c r="A18" s="35" t="s">
        <v>1371</v>
      </c>
      <c r="B18" s="28"/>
      <c r="C18" s="28"/>
      <c r="D18" s="28"/>
      <c r="E18" s="32">
        <f>+B19+B20</f>
        <v>0.16</v>
      </c>
      <c r="F18" s="28"/>
      <c r="G18" s="29">
        <f>+G21-G17</f>
        <v>329.48160690925783</v>
      </c>
      <c r="H18" s="25"/>
      <c r="I18" s="35" t="s">
        <v>1371</v>
      </c>
      <c r="J18" s="28"/>
      <c r="K18" s="28"/>
      <c r="L18" s="28"/>
      <c r="M18" s="32">
        <f>+J19+J20</f>
        <v>0.16</v>
      </c>
      <c r="N18" s="28"/>
      <c r="O18" s="29">
        <f>+O21-O17</f>
        <v>823.70401727314402</v>
      </c>
    </row>
    <row r="19" spans="1:17" x14ac:dyDescent="0.2">
      <c r="A19" s="43" t="s">
        <v>1370</v>
      </c>
      <c r="B19" s="44">
        <v>0.13</v>
      </c>
      <c r="C19" s="28"/>
      <c r="D19" s="28"/>
      <c r="E19" s="34"/>
      <c r="F19" s="28"/>
      <c r="G19" s="29"/>
      <c r="H19" s="25"/>
      <c r="I19" s="43" t="s">
        <v>1370</v>
      </c>
      <c r="J19" s="44">
        <v>0.13</v>
      </c>
      <c r="K19" s="28"/>
      <c r="L19" s="28"/>
      <c r="M19" s="34"/>
      <c r="N19" s="28"/>
      <c r="O19" s="29"/>
    </row>
    <row r="20" spans="1:17" x14ac:dyDescent="0.2">
      <c r="A20" s="45" t="s">
        <v>1369</v>
      </c>
      <c r="B20" s="46">
        <v>0.03</v>
      </c>
      <c r="C20" s="37"/>
      <c r="D20" s="37"/>
      <c r="E20" s="47"/>
      <c r="F20" s="37"/>
      <c r="G20" s="39"/>
      <c r="H20" s="25"/>
      <c r="I20" s="45" t="s">
        <v>1369</v>
      </c>
      <c r="J20" s="46">
        <v>0.03</v>
      </c>
      <c r="K20" s="37"/>
      <c r="L20" s="37"/>
      <c r="M20" s="47"/>
      <c r="N20" s="37"/>
      <c r="O20" s="39"/>
    </row>
    <row r="21" spans="1:17" ht="15" x14ac:dyDescent="0.25">
      <c r="A21" s="40" t="s">
        <v>1407</v>
      </c>
      <c r="B21" s="41"/>
      <c r="C21" s="41"/>
      <c r="D21" s="41"/>
      <c r="E21" s="41"/>
      <c r="F21" s="41"/>
      <c r="G21" s="42">
        <f>IFERROR((G17/0.84),0)</f>
        <v>2059.2600431828605</v>
      </c>
      <c r="H21" s="26"/>
      <c r="I21" s="40" t="s">
        <v>1407</v>
      </c>
      <c r="J21" s="41"/>
      <c r="K21" s="41"/>
      <c r="L21" s="41"/>
      <c r="M21" s="41"/>
      <c r="N21" s="41"/>
      <c r="O21" s="42">
        <f>IFERROR((O17/0.84),0)</f>
        <v>5148.1501079571508</v>
      </c>
    </row>
    <row r="23" spans="1:17" ht="27" x14ac:dyDescent="0.35">
      <c r="E23" s="510" t="str">
        <f>HOJA_DE_TRABAJO!D43</f>
        <v>CHAPARE</v>
      </c>
      <c r="F23" s="510"/>
      <c r="G23" s="510"/>
      <c r="H23" s="510"/>
      <c r="I23" s="510"/>
      <c r="J23" s="510"/>
      <c r="K23" s="510"/>
    </row>
    <row r="24" spans="1:17" ht="27" x14ac:dyDescent="0.35">
      <c r="A24" s="499" t="s">
        <v>1578</v>
      </c>
      <c r="B24" s="499"/>
      <c r="C24" s="499"/>
      <c r="E24" s="369"/>
      <c r="F24" s="369"/>
      <c r="G24" s="369"/>
      <c r="H24" s="369"/>
      <c r="I24" s="369"/>
      <c r="J24" s="369"/>
      <c r="K24" s="369"/>
    </row>
    <row r="25" spans="1:17" ht="21.75" customHeight="1" x14ac:dyDescent="0.2"/>
    <row r="26" spans="1:17" ht="15" x14ac:dyDescent="0.25">
      <c r="A26" s="500" t="s">
        <v>1415</v>
      </c>
      <c r="B26" s="500"/>
      <c r="C26" s="500"/>
      <c r="D26" s="500"/>
      <c r="E26" s="500"/>
      <c r="F26" s="500"/>
      <c r="G26" s="500"/>
      <c r="H26" s="50"/>
      <c r="I26" s="500" t="s">
        <v>1415</v>
      </c>
      <c r="J26" s="500"/>
      <c r="K26" s="500"/>
      <c r="L26" s="500"/>
      <c r="M26" s="500"/>
      <c r="N26" s="500"/>
      <c r="O26" s="500"/>
    </row>
    <row r="27" spans="1:17" ht="15" x14ac:dyDescent="0.25">
      <c r="A27" s="368">
        <v>1</v>
      </c>
      <c r="B27" s="368" t="s">
        <v>1376</v>
      </c>
      <c r="C27" s="500" t="str">
        <f>LOOKUP(A27,HOJA_DE_TRABAJO!A45:A56,HOJA_DE_TRABAJO!B45:B56)</f>
        <v>ch1</v>
      </c>
      <c r="D27" s="500"/>
      <c r="E27" s="500"/>
      <c r="F27" s="51" t="s">
        <v>2</v>
      </c>
      <c r="G27" s="51">
        <f>LOOKUP(A27,HOJA_DE_TRABAJO!A45:A56,HOJA_DE_TRABAJO!D45:D56)</f>
        <v>2</v>
      </c>
      <c r="H27" s="50"/>
      <c r="I27" s="368">
        <f>A27+1</f>
        <v>2</v>
      </c>
      <c r="J27" s="368" t="s">
        <v>1376</v>
      </c>
      <c r="K27" s="500" t="str">
        <f>LOOKUP(I27,HOJA_DE_TRABAJO!A45:A56,HOJA_DE_TRABAJO!B45:B56)</f>
        <v>ch2</v>
      </c>
      <c r="L27" s="500"/>
      <c r="M27" s="500"/>
      <c r="N27" s="51" t="s">
        <v>2</v>
      </c>
      <c r="O27" s="51">
        <f>LOOKUP(I27,HOJA_DE_TRABAJO!A45:A56,HOJA_DE_TRABAJO!D45:D56)</f>
        <v>2</v>
      </c>
    </row>
    <row r="28" spans="1:17" x14ac:dyDescent="0.2">
      <c r="A28" s="497" t="s">
        <v>1377</v>
      </c>
      <c r="B28" s="497"/>
      <c r="C28" s="497"/>
      <c r="D28" s="497"/>
      <c r="E28" s="497"/>
      <c r="F28" s="497"/>
      <c r="G28" s="497"/>
      <c r="H28" s="23"/>
      <c r="I28" s="497" t="s">
        <v>1377</v>
      </c>
      <c r="J28" s="497"/>
      <c r="K28" s="497"/>
      <c r="L28" s="497"/>
      <c r="M28" s="497"/>
      <c r="N28" s="497"/>
      <c r="O28" s="497"/>
    </row>
    <row r="29" spans="1:17" x14ac:dyDescent="0.2">
      <c r="A29" s="28"/>
      <c r="B29" s="28"/>
      <c r="C29" s="28"/>
      <c r="D29" s="28"/>
      <c r="E29" s="28"/>
      <c r="F29" s="28"/>
      <c r="G29" s="28"/>
      <c r="H29" s="24"/>
      <c r="I29" s="28"/>
      <c r="J29" s="28"/>
      <c r="K29" s="28"/>
      <c r="L29" s="28"/>
      <c r="M29" s="28"/>
      <c r="N29" s="28"/>
      <c r="O29" s="28"/>
    </row>
    <row r="30" spans="1:17" x14ac:dyDescent="0.2">
      <c r="A30" s="498" t="str">
        <f>+"Costo líquido por " &amp; C27 &amp;  "(líquido pagable Bs.)"</f>
        <v>Costo líquido por ch1(líquido pagable Bs.)</v>
      </c>
      <c r="B30" s="498"/>
      <c r="C30" s="498"/>
      <c r="D30" s="498"/>
      <c r="E30" s="498"/>
      <c r="F30" s="498"/>
      <c r="G30" s="29">
        <f>LOOKUP(A27,HOJA_DE_TRABAJO!A45:E56,HOJA_DE_TRABAJO!E45:E56)</f>
        <v>1500</v>
      </c>
      <c r="H30" s="25"/>
      <c r="I30" s="498" t="str">
        <f>+"Costo líquido por " &amp; K27 &amp;  "(líquido pagable Bs.)"</f>
        <v>Costo líquido por ch2(líquido pagable Bs.)</v>
      </c>
      <c r="J30" s="498"/>
      <c r="K30" s="498"/>
      <c r="L30" s="498"/>
      <c r="M30" s="498"/>
      <c r="N30" s="498"/>
      <c r="O30" s="29">
        <f>LOOKUP(I27,HOJA_DE_TRABAJO!A45:A56,HOJA_DE_TRABAJO!E45:E56)</f>
        <v>1500</v>
      </c>
      <c r="Q30" s="19"/>
    </row>
    <row r="31" spans="1:17" x14ac:dyDescent="0.2">
      <c r="A31" s="30" t="s">
        <v>1403</v>
      </c>
      <c r="B31" s="28"/>
      <c r="C31" s="28"/>
      <c r="D31" s="28"/>
      <c r="E31" s="28"/>
      <c r="F31" s="28"/>
      <c r="G31" s="29"/>
      <c r="H31" s="25"/>
      <c r="I31" s="30" t="s">
        <v>1403</v>
      </c>
      <c r="J31" s="28"/>
      <c r="K31" s="28"/>
      <c r="L31" s="28"/>
      <c r="M31" s="28"/>
      <c r="N31" s="28"/>
      <c r="O31" s="29"/>
      <c r="P31" s="19"/>
      <c r="Q31" s="20"/>
    </row>
    <row r="32" spans="1:17" ht="15" x14ac:dyDescent="0.25">
      <c r="A32" s="31" t="s">
        <v>1394</v>
      </c>
      <c r="B32" s="28"/>
      <c r="C32" s="28"/>
      <c r="D32" s="28"/>
      <c r="E32" s="28"/>
      <c r="F32" s="32">
        <f>+SUM(E33:E34)</f>
        <v>0.155</v>
      </c>
      <c r="G32" s="29">
        <f>LOOKUP(A27,HOJA_DE_TRABAJO!A45:A56,HOJA_DE_TRABAJO!H45:H56)</f>
        <v>1775.1479289940828</v>
      </c>
      <c r="H32" s="25"/>
      <c r="I32" s="31" t="s">
        <v>1394</v>
      </c>
      <c r="J32" s="28"/>
      <c r="K32" s="28"/>
      <c r="L32" s="28"/>
      <c r="M32" s="28"/>
      <c r="N32" s="32">
        <f>+SUM(M33:M34)</f>
        <v>0.155</v>
      </c>
      <c r="O32" s="29">
        <f>LOOKUP(I27,HOJA_DE_TRABAJO!A45:A56,HOJA_DE_TRABAJO!H45:H56)</f>
        <v>1775.1479289940828</v>
      </c>
      <c r="Q32" s="20"/>
    </row>
    <row r="33" spans="1:18" x14ac:dyDescent="0.2">
      <c r="A33" s="33" t="s">
        <v>1395</v>
      </c>
      <c r="B33" s="28"/>
      <c r="C33" s="28"/>
      <c r="D33" s="28"/>
      <c r="E33" s="34">
        <v>0.125</v>
      </c>
      <c r="F33" s="28"/>
      <c r="G33" s="29"/>
      <c r="H33" s="25"/>
      <c r="I33" s="33" t="s">
        <v>1395</v>
      </c>
      <c r="J33" s="28"/>
      <c r="K33" s="28"/>
      <c r="L33" s="28"/>
      <c r="M33" s="34">
        <v>0.125</v>
      </c>
      <c r="N33" s="28"/>
      <c r="O33" s="29"/>
      <c r="Q33" s="20"/>
    </row>
    <row r="34" spans="1:18" x14ac:dyDescent="0.2">
      <c r="A34" s="33" t="s">
        <v>1396</v>
      </c>
      <c r="B34" s="28"/>
      <c r="C34" s="28"/>
      <c r="D34" s="28"/>
      <c r="E34" s="34">
        <v>0.03</v>
      </c>
      <c r="F34" s="28"/>
      <c r="G34" s="29"/>
      <c r="H34" s="25"/>
      <c r="I34" s="33" t="s">
        <v>1396</v>
      </c>
      <c r="J34" s="28"/>
      <c r="K34" s="28"/>
      <c r="L34" s="28"/>
      <c r="M34" s="34">
        <v>0.03</v>
      </c>
      <c r="N34" s="28"/>
      <c r="O34" s="29"/>
      <c r="Q34" s="20"/>
    </row>
    <row r="35" spans="1:18" x14ac:dyDescent="0.2">
      <c r="A35" s="35" t="s">
        <v>1404</v>
      </c>
      <c r="B35" s="28"/>
      <c r="C35" s="28"/>
      <c r="D35" s="28"/>
      <c r="E35" s="34"/>
      <c r="F35" s="28"/>
      <c r="G35" s="29">
        <f>((HOJA_DE_TRABAJO!$I$23+HOJA_DE_TRABAJO!$E$256)*(LOOKUP(A27,HOJA_DE_TRABAJO!A45:E56,HOJA_DE_TRABAJO!G45:G56)))</f>
        <v>332.51034186212155</v>
      </c>
      <c r="H35" s="25"/>
      <c r="I35" s="35" t="s">
        <v>1404</v>
      </c>
      <c r="J35" s="28"/>
      <c r="K35" s="28"/>
      <c r="L35" s="28"/>
      <c r="M35" s="34"/>
      <c r="N35" s="28"/>
      <c r="O35" s="29">
        <f>((HOJA_DE_TRABAJO!$I$23+HOJA_DE_TRABAJO!$E$256)*(LOOKUP(I27,HOJA_DE_TRABAJO!A45:E56,HOJA_DE_TRABAJO!G45:G56)))</f>
        <v>332.51034186212155</v>
      </c>
      <c r="Q35" s="19"/>
    </row>
    <row r="36" spans="1:18" x14ac:dyDescent="0.2">
      <c r="A36" s="35" t="s">
        <v>1387</v>
      </c>
      <c r="B36" s="28"/>
      <c r="C36" s="28"/>
      <c r="D36" s="28"/>
      <c r="E36" s="94">
        <f>(HOJA_DE_TRABAJO!D259)</f>
        <v>5.4487179487179495E-4</v>
      </c>
      <c r="F36" s="28"/>
      <c r="G36" s="29">
        <f>+HOJA_DE_TRABAJO!$E$259*(LOOKUP(A27,HOJA_DE_TRABAJO!A45:E56,HOJA_DE_TRABAJO!G45:G56))</f>
        <v>148.57447210936442</v>
      </c>
      <c r="H36" s="25"/>
      <c r="I36" s="35" t="s">
        <v>1387</v>
      </c>
      <c r="J36" s="28"/>
      <c r="K36" s="28"/>
      <c r="L36" s="28"/>
      <c r="M36" s="94">
        <f>(HOJA_DE_TRABAJO!D259)</f>
        <v>5.4487179487179495E-4</v>
      </c>
      <c r="N36" s="28"/>
      <c r="O36" s="29">
        <f>+HOJA_DE_TRABAJO!$E$259*(LOOKUP(I27,HOJA_DE_TRABAJO!A45:E56,HOJA_DE_TRABAJO!G45:G56))</f>
        <v>148.57447210936442</v>
      </c>
      <c r="Q36" s="19"/>
    </row>
    <row r="37" spans="1:18" x14ac:dyDescent="0.2">
      <c r="A37" s="36" t="s">
        <v>1405</v>
      </c>
      <c r="B37" s="37"/>
      <c r="C37" s="37"/>
      <c r="D37" s="37"/>
      <c r="E37" s="38">
        <f>IF(OR(HOJA_DE_TRABAJO!I262="",HOJA_DE_TRABAJO!I262=0),HOJA_DE_TRABAJO!C262,HOJA_DE_TRABAJO!I262)</f>
        <v>0.15</v>
      </c>
      <c r="F37" s="37"/>
      <c r="G37" s="39">
        <f>+(G32+G35+G36)*E37</f>
        <v>338.43491144483534</v>
      </c>
      <c r="H37" s="25"/>
      <c r="I37" s="36" t="s">
        <v>1405</v>
      </c>
      <c r="J37" s="37"/>
      <c r="K37" s="37"/>
      <c r="L37" s="37"/>
      <c r="M37" s="38">
        <f>IF(OR(HOJA_DE_TRABAJO!I262="",HOJA_DE_TRABAJO!I262=0),HOJA_DE_TRABAJO!C262,HOJA_DE_TRABAJO!I262)</f>
        <v>0.15</v>
      </c>
      <c r="N37" s="37"/>
      <c r="O37" s="39">
        <f>+(O32+O35+O36)*M37</f>
        <v>338.43491144483534</v>
      </c>
      <c r="Q37" s="19"/>
      <c r="R37" s="19"/>
    </row>
    <row r="38" spans="1:18" ht="15" x14ac:dyDescent="0.25">
      <c r="A38" s="40" t="s">
        <v>1406</v>
      </c>
      <c r="B38" s="41"/>
      <c r="C38" s="41"/>
      <c r="D38" s="41"/>
      <c r="E38" s="41"/>
      <c r="F38" s="41"/>
      <c r="G38" s="42">
        <f>+SUM(G32:G37)</f>
        <v>2594.6676544104043</v>
      </c>
      <c r="H38" s="26"/>
      <c r="I38" s="40" t="s">
        <v>1372</v>
      </c>
      <c r="J38" s="41"/>
      <c r="K38" s="41"/>
      <c r="L38" s="41"/>
      <c r="M38" s="41"/>
      <c r="N38" s="41"/>
      <c r="O38" s="42">
        <f>+SUM(O32:O37)</f>
        <v>2594.6676544104043</v>
      </c>
    </row>
    <row r="39" spans="1:18" x14ac:dyDescent="0.2">
      <c r="A39" s="35" t="s">
        <v>1371</v>
      </c>
      <c r="B39" s="28"/>
      <c r="C39" s="28"/>
      <c r="D39" s="28"/>
      <c r="E39" s="32">
        <f>+B40+B41</f>
        <v>0.16</v>
      </c>
      <c r="F39" s="28"/>
      <c r="G39" s="29">
        <f>+G42-G38</f>
        <v>494.22241036388687</v>
      </c>
      <c r="H39" s="25"/>
      <c r="I39" s="35" t="s">
        <v>1371</v>
      </c>
      <c r="J39" s="28"/>
      <c r="K39" s="28"/>
      <c r="L39" s="28"/>
      <c r="M39" s="32">
        <f>+J40+J41</f>
        <v>0.16</v>
      </c>
      <c r="N39" s="28"/>
      <c r="O39" s="29">
        <f>+O42-O38</f>
        <v>494.22241036388687</v>
      </c>
    </row>
    <row r="40" spans="1:18" x14ac:dyDescent="0.2">
      <c r="A40" s="43" t="s">
        <v>1370</v>
      </c>
      <c r="B40" s="44">
        <v>0.13</v>
      </c>
      <c r="C40" s="28"/>
      <c r="D40" s="28"/>
      <c r="E40" s="34"/>
      <c r="F40" s="28"/>
      <c r="G40" s="29"/>
      <c r="H40" s="25"/>
      <c r="I40" s="43" t="s">
        <v>1370</v>
      </c>
      <c r="J40" s="44">
        <v>0.13</v>
      </c>
      <c r="K40" s="28"/>
      <c r="L40" s="28"/>
      <c r="M40" s="34"/>
      <c r="N40" s="28"/>
      <c r="O40" s="29"/>
    </row>
    <row r="41" spans="1:18" x14ac:dyDescent="0.2">
      <c r="A41" s="45" t="s">
        <v>1369</v>
      </c>
      <c r="B41" s="46">
        <v>0.03</v>
      </c>
      <c r="C41" s="37"/>
      <c r="D41" s="37"/>
      <c r="E41" s="47"/>
      <c r="F41" s="37"/>
      <c r="G41" s="39"/>
      <c r="H41" s="25"/>
      <c r="I41" s="45" t="s">
        <v>1369</v>
      </c>
      <c r="J41" s="46">
        <v>0.03</v>
      </c>
      <c r="K41" s="37"/>
      <c r="L41" s="37"/>
      <c r="M41" s="47"/>
      <c r="N41" s="37"/>
      <c r="O41" s="39"/>
    </row>
    <row r="42" spans="1:18" ht="15" x14ac:dyDescent="0.25">
      <c r="A42" s="40" t="s">
        <v>1407</v>
      </c>
      <c r="B42" s="41"/>
      <c r="C42" s="41"/>
      <c r="D42" s="41"/>
      <c r="E42" s="41"/>
      <c r="F42" s="41"/>
      <c r="G42" s="42">
        <f>IFERROR((G38/0.84),0)</f>
        <v>3088.8900647742912</v>
      </c>
      <c r="H42" s="26"/>
      <c r="I42" s="40" t="s">
        <v>1407</v>
      </c>
      <c r="J42" s="41"/>
      <c r="K42" s="41"/>
      <c r="L42" s="41"/>
      <c r="M42" s="41"/>
      <c r="N42" s="41"/>
      <c r="O42" s="42">
        <f>IFERROR((O38/0.84),0)</f>
        <v>3088.8900647742912</v>
      </c>
    </row>
    <row r="44" spans="1:18" ht="27" x14ac:dyDescent="0.35">
      <c r="E44" s="509" t="str">
        <f>HOJA_DE_TRABAJO!D59</f>
        <v>LA PAZ</v>
      </c>
      <c r="F44" s="509"/>
      <c r="G44" s="509"/>
      <c r="H44" s="509"/>
      <c r="I44" s="509"/>
      <c r="J44" s="509"/>
      <c r="K44" s="509"/>
    </row>
    <row r="45" spans="1:18" ht="27" x14ac:dyDescent="0.35">
      <c r="A45" s="499" t="s">
        <v>1578</v>
      </c>
      <c r="B45" s="499"/>
      <c r="C45" s="499"/>
      <c r="E45" s="371"/>
      <c r="F45" s="371"/>
      <c r="G45" s="371"/>
      <c r="H45" s="371"/>
      <c r="I45" s="371"/>
      <c r="J45" s="371"/>
      <c r="K45" s="371"/>
    </row>
    <row r="46" spans="1:18" ht="21.75" customHeight="1" x14ac:dyDescent="0.2"/>
    <row r="47" spans="1:18" ht="15" x14ac:dyDescent="0.25">
      <c r="A47" s="500" t="s">
        <v>1415</v>
      </c>
      <c r="B47" s="500"/>
      <c r="C47" s="500"/>
      <c r="D47" s="500"/>
      <c r="E47" s="500"/>
      <c r="F47" s="500"/>
      <c r="G47" s="500"/>
      <c r="H47" s="50"/>
      <c r="I47" s="500" t="s">
        <v>1415</v>
      </c>
      <c r="J47" s="500"/>
      <c r="K47" s="500"/>
      <c r="L47" s="500"/>
      <c r="M47" s="500"/>
      <c r="N47" s="500"/>
      <c r="O47" s="500"/>
    </row>
    <row r="48" spans="1:18" ht="15" x14ac:dyDescent="0.25">
      <c r="A48" s="368">
        <v>1</v>
      </c>
      <c r="B48" s="368" t="s">
        <v>1376</v>
      </c>
      <c r="C48" s="500" t="str">
        <f>LOOKUP(A48,HOJA_DE_TRABAJO!A61:A72,HOJA_DE_TRABAJO!B61:B72)</f>
        <v>lp1</v>
      </c>
      <c r="D48" s="500"/>
      <c r="E48" s="500"/>
      <c r="F48" s="51" t="s">
        <v>2</v>
      </c>
      <c r="G48" s="51">
        <f>LOOKUP(A48,HOJA_DE_TRABAJO!A61:A72,HOJA_DE_TRABAJO!D61:D72)</f>
        <v>1</v>
      </c>
      <c r="H48" s="50"/>
      <c r="I48" s="368">
        <f>A48+1</f>
        <v>2</v>
      </c>
      <c r="J48" s="368" t="s">
        <v>1376</v>
      </c>
      <c r="K48" s="500" t="str">
        <f>LOOKUP(I48,HOJA_DE_TRABAJO!A61:A72,HOJA_DE_TRABAJO!B61:B72)</f>
        <v>lp2</v>
      </c>
      <c r="L48" s="500"/>
      <c r="M48" s="500"/>
      <c r="N48" s="51" t="s">
        <v>2</v>
      </c>
      <c r="O48" s="51">
        <f>LOOKUP(I48,HOJA_DE_TRABAJO!A61:A72,HOJA_DE_TRABAJO!D61:D72)</f>
        <v>1</v>
      </c>
    </row>
    <row r="49" spans="1:18" x14ac:dyDescent="0.2">
      <c r="A49" s="497" t="s">
        <v>1377</v>
      </c>
      <c r="B49" s="497"/>
      <c r="C49" s="497"/>
      <c r="D49" s="497"/>
      <c r="E49" s="497"/>
      <c r="F49" s="497"/>
      <c r="G49" s="497"/>
      <c r="H49" s="23"/>
      <c r="I49" s="497" t="s">
        <v>1377</v>
      </c>
      <c r="J49" s="497"/>
      <c r="K49" s="497"/>
      <c r="L49" s="497"/>
      <c r="M49" s="497"/>
      <c r="N49" s="497"/>
      <c r="O49" s="497"/>
    </row>
    <row r="50" spans="1:18" x14ac:dyDescent="0.2">
      <c r="A50" s="28"/>
      <c r="B50" s="28"/>
      <c r="C50" s="28"/>
      <c r="D50" s="28"/>
      <c r="E50" s="28"/>
      <c r="F50" s="28"/>
      <c r="G50" s="28"/>
      <c r="H50" s="24"/>
      <c r="I50" s="28"/>
      <c r="J50" s="28"/>
      <c r="K50" s="28"/>
      <c r="L50" s="28"/>
      <c r="M50" s="28"/>
      <c r="N50" s="28"/>
      <c r="O50" s="28"/>
    </row>
    <row r="51" spans="1:18" x14ac:dyDescent="0.2">
      <c r="A51" s="498" t="str">
        <f>+"Costo líquido por " &amp; C48 &amp;  "(líquido pagable Bs.)"</f>
        <v>Costo líquido por lp1(líquido pagable Bs.)</v>
      </c>
      <c r="B51" s="498"/>
      <c r="C51" s="498"/>
      <c r="D51" s="498"/>
      <c r="E51" s="498"/>
      <c r="F51" s="498"/>
      <c r="G51" s="29">
        <f>LOOKUP(A48,HOJA_DE_TRABAJO!A61:A72,HOJA_DE_TRABAJO!E61:E72)</f>
        <v>105</v>
      </c>
      <c r="H51" s="25"/>
      <c r="I51" s="498" t="str">
        <f>+"Costo líquido por " &amp; K48 &amp;  "(líquido pagable Bs.)"</f>
        <v>Costo líquido por lp2(líquido pagable Bs.)</v>
      </c>
      <c r="J51" s="498"/>
      <c r="K51" s="498"/>
      <c r="L51" s="498"/>
      <c r="M51" s="498"/>
      <c r="N51" s="498"/>
      <c r="O51" s="29">
        <f>LOOKUP(I48,HOJA_DE_TRABAJO!A61:A72,HOJA_DE_TRABAJO!E61:E72)</f>
        <v>105</v>
      </c>
      <c r="Q51" s="19"/>
    </row>
    <row r="52" spans="1:18" x14ac:dyDescent="0.2">
      <c r="A52" s="30" t="s">
        <v>1403</v>
      </c>
      <c r="B52" s="28"/>
      <c r="C52" s="28"/>
      <c r="D52" s="28"/>
      <c r="E52" s="28"/>
      <c r="F52" s="28"/>
      <c r="G52" s="29"/>
      <c r="H52" s="25"/>
      <c r="I52" s="30" t="s">
        <v>1403</v>
      </c>
      <c r="J52" s="28"/>
      <c r="K52" s="28"/>
      <c r="L52" s="28"/>
      <c r="M52" s="28"/>
      <c r="N52" s="28"/>
      <c r="O52" s="29"/>
      <c r="P52" s="19"/>
      <c r="Q52" s="20"/>
    </row>
    <row r="53" spans="1:18" ht="15" x14ac:dyDescent="0.25">
      <c r="A53" s="31" t="s">
        <v>1394</v>
      </c>
      <c r="B53" s="28"/>
      <c r="C53" s="28"/>
      <c r="D53" s="28"/>
      <c r="E53" s="28"/>
      <c r="F53" s="32">
        <f>+SUM(E54:E55)</f>
        <v>0.155</v>
      </c>
      <c r="G53" s="29">
        <f>LOOKUP(A48,HOJA_DE_TRABAJO!A61:A72,HOJA_DE_TRABAJO!H61:H72)</f>
        <v>124.2603550295858</v>
      </c>
      <c r="H53" s="25"/>
      <c r="I53" s="31" t="s">
        <v>1394</v>
      </c>
      <c r="J53" s="28"/>
      <c r="K53" s="28"/>
      <c r="L53" s="28"/>
      <c r="M53" s="28"/>
      <c r="N53" s="32">
        <f>+SUM(M54:M55)</f>
        <v>0.155</v>
      </c>
      <c r="O53" s="29">
        <f>LOOKUP(I48,HOJA_DE_TRABAJO!A61:A72,HOJA_DE_TRABAJO!H61:H72)</f>
        <v>124.2603550295858</v>
      </c>
      <c r="Q53" s="20"/>
    </row>
    <row r="54" spans="1:18" x14ac:dyDescent="0.2">
      <c r="A54" s="33" t="s">
        <v>1395</v>
      </c>
      <c r="B54" s="28"/>
      <c r="C54" s="28"/>
      <c r="D54" s="28"/>
      <c r="E54" s="34">
        <v>0.125</v>
      </c>
      <c r="F54" s="28"/>
      <c r="G54" s="29"/>
      <c r="H54" s="25"/>
      <c r="I54" s="33" t="s">
        <v>1395</v>
      </c>
      <c r="J54" s="28"/>
      <c r="K54" s="28"/>
      <c r="L54" s="28"/>
      <c r="M54" s="34">
        <v>0.125</v>
      </c>
      <c r="N54" s="28"/>
      <c r="O54" s="29"/>
      <c r="Q54" s="20"/>
    </row>
    <row r="55" spans="1:18" x14ac:dyDescent="0.2">
      <c r="A55" s="33" t="s">
        <v>1396</v>
      </c>
      <c r="B55" s="28"/>
      <c r="C55" s="28"/>
      <c r="D55" s="28"/>
      <c r="E55" s="34">
        <v>0.03</v>
      </c>
      <c r="F55" s="28"/>
      <c r="G55" s="29"/>
      <c r="H55" s="25"/>
      <c r="I55" s="33" t="s">
        <v>1396</v>
      </c>
      <c r="J55" s="28"/>
      <c r="K55" s="28"/>
      <c r="L55" s="28"/>
      <c r="M55" s="34">
        <v>0.03</v>
      </c>
      <c r="N55" s="28"/>
      <c r="O55" s="29"/>
      <c r="Q55" s="20"/>
    </row>
    <row r="56" spans="1:18" x14ac:dyDescent="0.2">
      <c r="A56" s="35" t="s">
        <v>1404</v>
      </c>
      <c r="B56" s="28"/>
      <c r="C56" s="28"/>
      <c r="D56" s="28"/>
      <c r="E56" s="34"/>
      <c r="F56" s="28"/>
      <c r="G56" s="29">
        <f>((HOJA_DE_TRABAJO!$I$23+HOJA_DE_TRABAJO!$E$256)*(LOOKUP(A48,HOJA_DE_TRABAJO!A61:A72,HOJA_DE_TRABAJO!G61:G72)))</f>
        <v>23.275723930348509</v>
      </c>
      <c r="H56" s="25"/>
      <c r="I56" s="35" t="s">
        <v>1404</v>
      </c>
      <c r="J56" s="28"/>
      <c r="K56" s="28"/>
      <c r="L56" s="28"/>
      <c r="M56" s="34"/>
      <c r="N56" s="28"/>
      <c r="O56" s="29">
        <f>((HOJA_DE_TRABAJO!$I$23+HOJA_DE_TRABAJO!$E$256)*(LOOKUP(I48,HOJA_DE_TRABAJO!A61:A72,HOJA_DE_TRABAJO!G61:G72)))</f>
        <v>23.275723930348509</v>
      </c>
      <c r="Q56" s="19"/>
    </row>
    <row r="57" spans="1:18" x14ac:dyDescent="0.2">
      <c r="A57" s="35" t="s">
        <v>1387</v>
      </c>
      <c r="B57" s="28"/>
      <c r="C57" s="28"/>
      <c r="D57" s="28"/>
      <c r="E57" s="94">
        <f>(HOJA_DE_TRABAJO!D259)</f>
        <v>5.4487179487179495E-4</v>
      </c>
      <c r="F57" s="28"/>
      <c r="G57" s="29">
        <f>+HOJA_DE_TRABAJO!$E$259*(LOOKUP(A48,HOJA_DE_TRABAJO!A61:A72,HOJA_DE_TRABAJO!G61:G72))</f>
        <v>10.400213047655511</v>
      </c>
      <c r="H57" s="25"/>
      <c r="I57" s="35" t="s">
        <v>1387</v>
      </c>
      <c r="J57" s="28"/>
      <c r="K57" s="28"/>
      <c r="L57" s="28"/>
      <c r="M57" s="94">
        <f>(HOJA_DE_TRABAJO!D259)</f>
        <v>5.4487179487179495E-4</v>
      </c>
      <c r="N57" s="28"/>
      <c r="O57" s="29">
        <f>+HOJA_DE_TRABAJO!$E$259*(LOOKUP(I48,HOJA_DE_TRABAJO!A61:A72,HOJA_DE_TRABAJO!G61:G72))</f>
        <v>10.400213047655511</v>
      </c>
      <c r="Q57" s="19"/>
    </row>
    <row r="58" spans="1:18" x14ac:dyDescent="0.2">
      <c r="A58" s="36" t="s">
        <v>1405</v>
      </c>
      <c r="B58" s="37"/>
      <c r="C58" s="37"/>
      <c r="D58" s="37"/>
      <c r="E58" s="38">
        <f>IF(OR(HOJA_DE_TRABAJO!I262="",HOJA_DE_TRABAJO!I262=0),HOJA_DE_TRABAJO!C262,HOJA_DE_TRABAJO!I262)</f>
        <v>0.15</v>
      </c>
      <c r="F58" s="37"/>
      <c r="G58" s="39">
        <f>+(G53+G56+G57)*E58</f>
        <v>23.690443801138475</v>
      </c>
      <c r="H58" s="25"/>
      <c r="I58" s="36" t="s">
        <v>1405</v>
      </c>
      <c r="J58" s="37"/>
      <c r="K58" s="37"/>
      <c r="L58" s="37"/>
      <c r="M58" s="38">
        <f>IF(OR(HOJA_DE_TRABAJO!I262="",HOJA_DE_TRABAJO!I262=0),HOJA_DE_TRABAJO!C262,HOJA_DE_TRABAJO!I262)</f>
        <v>0.15</v>
      </c>
      <c r="N58" s="37"/>
      <c r="O58" s="39">
        <f>+(O53+O56+O57)*M58</f>
        <v>23.690443801138475</v>
      </c>
      <c r="Q58" s="19"/>
      <c r="R58" s="19"/>
    </row>
    <row r="59" spans="1:18" ht="15" x14ac:dyDescent="0.25">
      <c r="A59" s="40" t="s">
        <v>1406</v>
      </c>
      <c r="B59" s="41"/>
      <c r="C59" s="41"/>
      <c r="D59" s="41"/>
      <c r="E59" s="41"/>
      <c r="F59" s="41"/>
      <c r="G59" s="42">
        <f>+SUM(G53:G58)</f>
        <v>181.62673580872831</v>
      </c>
      <c r="H59" s="26"/>
      <c r="I59" s="40" t="s">
        <v>1372</v>
      </c>
      <c r="J59" s="41"/>
      <c r="K59" s="41"/>
      <c r="L59" s="41"/>
      <c r="M59" s="41"/>
      <c r="N59" s="41"/>
      <c r="O59" s="42">
        <f>+SUM(O53:O58)</f>
        <v>181.62673580872831</v>
      </c>
    </row>
    <row r="60" spans="1:18" x14ac:dyDescent="0.2">
      <c r="A60" s="35" t="s">
        <v>1371</v>
      </c>
      <c r="B60" s="28"/>
      <c r="C60" s="28"/>
      <c r="D60" s="28"/>
      <c r="E60" s="32">
        <f>+B61+B62</f>
        <v>0.16</v>
      </c>
      <c r="F60" s="28"/>
      <c r="G60" s="29">
        <f>+G63-G59</f>
        <v>34.595568725472077</v>
      </c>
      <c r="H60" s="25"/>
      <c r="I60" s="35" t="s">
        <v>1371</v>
      </c>
      <c r="J60" s="28"/>
      <c r="K60" s="28"/>
      <c r="L60" s="28"/>
      <c r="M60" s="32">
        <f>+J61+J62</f>
        <v>0.16</v>
      </c>
      <c r="N60" s="28"/>
      <c r="O60" s="29">
        <f>+O63-O59</f>
        <v>34.595568725472077</v>
      </c>
    </row>
    <row r="61" spans="1:18" x14ac:dyDescent="0.2">
      <c r="A61" s="43" t="s">
        <v>1370</v>
      </c>
      <c r="B61" s="44">
        <v>0.13</v>
      </c>
      <c r="C61" s="28"/>
      <c r="D61" s="28"/>
      <c r="E61" s="34"/>
      <c r="F61" s="28"/>
      <c r="G61" s="29"/>
      <c r="H61" s="25"/>
      <c r="I61" s="43" t="s">
        <v>1370</v>
      </c>
      <c r="J61" s="44">
        <v>0.13</v>
      </c>
      <c r="K61" s="28"/>
      <c r="L61" s="28"/>
      <c r="M61" s="34"/>
      <c r="N61" s="28"/>
      <c r="O61" s="29"/>
    </row>
    <row r="62" spans="1:18" x14ac:dyDescent="0.2">
      <c r="A62" s="45" t="s">
        <v>1369</v>
      </c>
      <c r="B62" s="46">
        <v>0.03</v>
      </c>
      <c r="C62" s="37"/>
      <c r="D62" s="37"/>
      <c r="E62" s="47"/>
      <c r="F62" s="37"/>
      <c r="G62" s="39"/>
      <c r="H62" s="25"/>
      <c r="I62" s="45" t="s">
        <v>1369</v>
      </c>
      <c r="J62" s="46">
        <v>0.03</v>
      </c>
      <c r="K62" s="37"/>
      <c r="L62" s="37"/>
      <c r="M62" s="47"/>
      <c r="N62" s="37"/>
      <c r="O62" s="39"/>
    </row>
    <row r="63" spans="1:18" ht="15" x14ac:dyDescent="0.25">
      <c r="A63" s="40" t="s">
        <v>1407</v>
      </c>
      <c r="B63" s="41"/>
      <c r="C63" s="41"/>
      <c r="D63" s="41"/>
      <c r="E63" s="41"/>
      <c r="F63" s="41"/>
      <c r="G63" s="42">
        <f>IFERROR((G59/0.84),0)</f>
        <v>216.22230453420039</v>
      </c>
      <c r="H63" s="26"/>
      <c r="I63" s="40" t="s">
        <v>1407</v>
      </c>
      <c r="J63" s="41"/>
      <c r="K63" s="41"/>
      <c r="L63" s="41"/>
      <c r="M63" s="41"/>
      <c r="N63" s="41"/>
      <c r="O63" s="42">
        <f>IFERROR((O59/0.84),0)</f>
        <v>216.22230453420039</v>
      </c>
    </row>
    <row r="65" spans="1:18" ht="27" x14ac:dyDescent="0.35">
      <c r="E65" s="508" t="str">
        <f>HOJA_DE_TRABAJO!D75</f>
        <v>TARIJA</v>
      </c>
      <c r="F65" s="508"/>
      <c r="G65" s="508"/>
      <c r="H65" s="508"/>
      <c r="I65" s="508"/>
      <c r="J65" s="508"/>
      <c r="K65" s="508"/>
    </row>
    <row r="66" spans="1:18" ht="27" x14ac:dyDescent="0.35">
      <c r="A66" s="499" t="s">
        <v>1578</v>
      </c>
      <c r="B66" s="499"/>
      <c r="C66" s="499"/>
      <c r="E66" s="370"/>
      <c r="F66" s="370"/>
      <c r="G66" s="370"/>
      <c r="H66" s="370"/>
      <c r="I66" s="370"/>
      <c r="J66" s="370"/>
      <c r="K66" s="370"/>
    </row>
    <row r="67" spans="1:18" ht="21.75" customHeight="1" x14ac:dyDescent="0.2"/>
    <row r="68" spans="1:18" ht="15" x14ac:dyDescent="0.25">
      <c r="A68" s="500" t="s">
        <v>1415</v>
      </c>
      <c r="B68" s="500"/>
      <c r="C68" s="500"/>
      <c r="D68" s="500"/>
      <c r="E68" s="500"/>
      <c r="F68" s="500"/>
      <c r="G68" s="500"/>
      <c r="H68" s="50"/>
      <c r="I68" s="500" t="s">
        <v>1415</v>
      </c>
      <c r="J68" s="500"/>
      <c r="K68" s="500"/>
      <c r="L68" s="500"/>
      <c r="M68" s="500"/>
      <c r="N68" s="500"/>
      <c r="O68" s="500"/>
    </row>
    <row r="69" spans="1:18" ht="15" x14ac:dyDescent="0.25">
      <c r="A69" s="368">
        <v>1</v>
      </c>
      <c r="B69" s="368" t="s">
        <v>1376</v>
      </c>
      <c r="C69" s="500" t="str">
        <f>LOOKUP(A69,HOJA_DE_TRABAJO!A77:A88,HOJA_DE_TRABAJO!B77:B88)</f>
        <v>tr1</v>
      </c>
      <c r="D69" s="500"/>
      <c r="E69" s="500"/>
      <c r="F69" s="51" t="s">
        <v>2</v>
      </c>
      <c r="G69" s="51">
        <f>LOOKUP(A69,HOJA_DE_TRABAJO!A77:A88,HOJA_DE_TRABAJO!D77:D88)</f>
        <v>1</v>
      </c>
      <c r="H69" s="50"/>
      <c r="I69" s="368">
        <f>A69+1</f>
        <v>2</v>
      </c>
      <c r="J69" s="368" t="s">
        <v>1376</v>
      </c>
      <c r="K69" s="500" t="str">
        <f>LOOKUP(I69,HOJA_DE_TRABAJO!A77:A88,HOJA_DE_TRABAJO!B77:B88)</f>
        <v>tr2</v>
      </c>
      <c r="L69" s="500"/>
      <c r="M69" s="500"/>
      <c r="N69" s="51" t="s">
        <v>2</v>
      </c>
      <c r="O69" s="51">
        <f>LOOKUP(I69,HOJA_DE_TRABAJO!A77:A88,HOJA_DE_TRABAJO!D77:D88)</f>
        <v>2</v>
      </c>
    </row>
    <row r="70" spans="1:18" x14ac:dyDescent="0.2">
      <c r="A70" s="497" t="s">
        <v>1377</v>
      </c>
      <c r="B70" s="497"/>
      <c r="C70" s="497"/>
      <c r="D70" s="497"/>
      <c r="E70" s="497"/>
      <c r="F70" s="497"/>
      <c r="G70" s="497"/>
      <c r="H70" s="23"/>
      <c r="I70" s="497" t="s">
        <v>1377</v>
      </c>
      <c r="J70" s="497"/>
      <c r="K70" s="497"/>
      <c r="L70" s="497"/>
      <c r="M70" s="497"/>
      <c r="N70" s="497"/>
      <c r="O70" s="497"/>
    </row>
    <row r="71" spans="1:18" x14ac:dyDescent="0.2">
      <c r="A71" s="28"/>
      <c r="B71" s="28"/>
      <c r="C71" s="28"/>
      <c r="D71" s="28"/>
      <c r="E71" s="28"/>
      <c r="F71" s="28"/>
      <c r="G71" s="28"/>
      <c r="H71" s="24"/>
      <c r="I71" s="28"/>
      <c r="J71" s="28"/>
      <c r="K71" s="28"/>
      <c r="L71" s="28"/>
      <c r="M71" s="28"/>
      <c r="N71" s="28"/>
      <c r="O71" s="28"/>
    </row>
    <row r="72" spans="1:18" x14ac:dyDescent="0.2">
      <c r="A72" s="498" t="str">
        <f>+"Costo líquido por " &amp; C69 &amp;  "(líquido pagable Bs.)"</f>
        <v>Costo líquido por tr1(líquido pagable Bs.)</v>
      </c>
      <c r="B72" s="498"/>
      <c r="C72" s="498"/>
      <c r="D72" s="498"/>
      <c r="E72" s="498"/>
      <c r="F72" s="498"/>
      <c r="G72" s="29">
        <f>LOOKUP(A69,HOJA_DE_TRABAJO!A77:A88,HOJA_DE_TRABAJO!E77:E88)</f>
        <v>100</v>
      </c>
      <c r="H72" s="25"/>
      <c r="I72" s="498" t="str">
        <f>+"Costo líquido por " &amp; K69 &amp;  "(líquido pagable Bs.)"</f>
        <v>Costo líquido por tr2(líquido pagable Bs.)</v>
      </c>
      <c r="J72" s="498"/>
      <c r="K72" s="498"/>
      <c r="L72" s="498"/>
      <c r="M72" s="498"/>
      <c r="N72" s="498"/>
      <c r="O72" s="29">
        <f>LOOKUP(I69,HOJA_DE_TRABAJO!A77:A88,HOJA_DE_TRABAJO!E77:E88)</f>
        <v>100</v>
      </c>
      <c r="Q72" s="19"/>
    </row>
    <row r="73" spans="1:18" x14ac:dyDescent="0.2">
      <c r="A73" s="30" t="s">
        <v>1403</v>
      </c>
      <c r="B73" s="28"/>
      <c r="C73" s="28"/>
      <c r="D73" s="28"/>
      <c r="E73" s="28"/>
      <c r="F73" s="28"/>
      <c r="G73" s="29"/>
      <c r="H73" s="25"/>
      <c r="I73" s="30" t="s">
        <v>1403</v>
      </c>
      <c r="J73" s="28"/>
      <c r="K73" s="28"/>
      <c r="L73" s="28"/>
      <c r="M73" s="28"/>
      <c r="N73" s="28"/>
      <c r="O73" s="29"/>
      <c r="P73" s="19"/>
      <c r="Q73" s="20"/>
    </row>
    <row r="74" spans="1:18" ht="15" x14ac:dyDescent="0.25">
      <c r="A74" s="31" t="s">
        <v>1394</v>
      </c>
      <c r="B74" s="28"/>
      <c r="C74" s="28"/>
      <c r="D74" s="28"/>
      <c r="E74" s="28"/>
      <c r="F74" s="32">
        <f>+SUM(E75:E76)</f>
        <v>0.155</v>
      </c>
      <c r="G74" s="29">
        <f>LOOKUP(A69,HOJA_DE_TRABAJO!A77:A88,HOJA_DE_TRABAJO!H77:H88)</f>
        <v>118.34319526627219</v>
      </c>
      <c r="H74" s="25"/>
      <c r="I74" s="31" t="s">
        <v>1394</v>
      </c>
      <c r="J74" s="28"/>
      <c r="K74" s="28"/>
      <c r="L74" s="28"/>
      <c r="M74" s="28"/>
      <c r="N74" s="32">
        <f>+SUM(M75:M76)</f>
        <v>0.155</v>
      </c>
      <c r="O74" s="29">
        <f>LOOKUP(I69,HOJA_DE_TRABAJO!A77:A88,HOJA_DE_TRABAJO!H77:H88)</f>
        <v>118.34319526627219</v>
      </c>
      <c r="Q74" s="20"/>
    </row>
    <row r="75" spans="1:18" x14ac:dyDescent="0.2">
      <c r="A75" s="33" t="s">
        <v>1395</v>
      </c>
      <c r="B75" s="28"/>
      <c r="C75" s="28"/>
      <c r="D75" s="28"/>
      <c r="E75" s="34">
        <v>0.125</v>
      </c>
      <c r="F75" s="28"/>
      <c r="G75" s="29"/>
      <c r="H75" s="25"/>
      <c r="I75" s="33" t="s">
        <v>1395</v>
      </c>
      <c r="J75" s="28"/>
      <c r="K75" s="28"/>
      <c r="L75" s="28"/>
      <c r="M75" s="34">
        <v>0.125</v>
      </c>
      <c r="N75" s="28"/>
      <c r="O75" s="29"/>
      <c r="Q75" s="20"/>
    </row>
    <row r="76" spans="1:18" x14ac:dyDescent="0.2">
      <c r="A76" s="33" t="s">
        <v>1396</v>
      </c>
      <c r="B76" s="28"/>
      <c r="C76" s="28"/>
      <c r="D76" s="28"/>
      <c r="E76" s="34">
        <v>0.03</v>
      </c>
      <c r="F76" s="28"/>
      <c r="G76" s="29"/>
      <c r="H76" s="25"/>
      <c r="I76" s="33" t="s">
        <v>1396</v>
      </c>
      <c r="J76" s="28"/>
      <c r="K76" s="28"/>
      <c r="L76" s="28"/>
      <c r="M76" s="34">
        <v>0.03</v>
      </c>
      <c r="N76" s="28"/>
      <c r="O76" s="29"/>
      <c r="Q76" s="20"/>
    </row>
    <row r="77" spans="1:18" x14ac:dyDescent="0.2">
      <c r="A77" s="35" t="s">
        <v>1404</v>
      </c>
      <c r="B77" s="28"/>
      <c r="C77" s="28"/>
      <c r="D77" s="28"/>
      <c r="E77" s="34"/>
      <c r="F77" s="28"/>
      <c r="G77" s="29">
        <f>((HOJA_DE_TRABAJO!$I$23+HOJA_DE_TRABAJO!$E$256)*(LOOKUP(A69,HOJA_DE_TRABAJO!A77:A88,HOJA_DE_TRABAJO!G77:G88)))</f>
        <v>22.167356124141442</v>
      </c>
      <c r="H77" s="25"/>
      <c r="I77" s="35" t="s">
        <v>1404</v>
      </c>
      <c r="J77" s="28"/>
      <c r="K77" s="28"/>
      <c r="L77" s="28"/>
      <c r="M77" s="34"/>
      <c r="N77" s="28"/>
      <c r="O77" s="29">
        <f>((HOJA_DE_TRABAJO!$I$23+HOJA_DE_TRABAJO!$E$256)*(LOOKUP(I69,HOJA_DE_TRABAJO!A77:A88,HOJA_DE_TRABAJO!G77:G88)))</f>
        <v>22.167356124141442</v>
      </c>
      <c r="Q77" s="19"/>
    </row>
    <row r="78" spans="1:18" x14ac:dyDescent="0.2">
      <c r="A78" s="35" t="s">
        <v>1387</v>
      </c>
      <c r="B78" s="28"/>
      <c r="C78" s="28"/>
      <c r="D78" s="28"/>
      <c r="E78" s="94">
        <f>(HOJA_DE_TRABAJO!D259)</f>
        <v>5.4487179487179495E-4</v>
      </c>
      <c r="F78" s="28"/>
      <c r="G78" s="29">
        <f>+HOJA_DE_TRABAJO!$E$259*(LOOKUP(A69,HOJA_DE_TRABAJO!A77:E88,HOJA_DE_TRABAJO!G77:G88))</f>
        <v>9.9049648072909626</v>
      </c>
      <c r="H78" s="25"/>
      <c r="I78" s="35" t="s">
        <v>1387</v>
      </c>
      <c r="J78" s="28"/>
      <c r="K78" s="28"/>
      <c r="L78" s="28"/>
      <c r="M78" s="94">
        <f>(HOJA_DE_TRABAJO!D259)</f>
        <v>5.4487179487179495E-4</v>
      </c>
      <c r="N78" s="28"/>
      <c r="O78" s="29">
        <f>+HOJA_DE_TRABAJO!$E$259*(LOOKUP(I69,HOJA_DE_TRABAJO!A77:E88,HOJA_DE_TRABAJO!G77:G88))</f>
        <v>9.9049648072909626</v>
      </c>
      <c r="Q78" s="19"/>
    </row>
    <row r="79" spans="1:18" x14ac:dyDescent="0.2">
      <c r="A79" s="36" t="s">
        <v>1405</v>
      </c>
      <c r="B79" s="37"/>
      <c r="C79" s="37"/>
      <c r="D79" s="37"/>
      <c r="E79" s="38">
        <f>IF(OR(HOJA_DE_TRABAJO!I262="",HOJA_DE_TRABAJO!I262=0),HOJA_DE_TRABAJO!C262,HOJA_DE_TRABAJO!I262)</f>
        <v>0.15</v>
      </c>
      <c r="F79" s="37"/>
      <c r="G79" s="39">
        <f>+(G74+G77+G78)*E79</f>
        <v>22.562327429655689</v>
      </c>
      <c r="H79" s="25"/>
      <c r="I79" s="36" t="s">
        <v>1405</v>
      </c>
      <c r="J79" s="37"/>
      <c r="K79" s="37"/>
      <c r="L79" s="37"/>
      <c r="M79" s="38">
        <f>IF(OR(HOJA_DE_TRABAJO!I262="",HOJA_DE_TRABAJO!I262=0),HOJA_DE_TRABAJO!C262,HOJA_DE_TRABAJO!I262)</f>
        <v>0.15</v>
      </c>
      <c r="N79" s="37"/>
      <c r="O79" s="39">
        <f>+(O74+O77+O78)*M79</f>
        <v>22.562327429655689</v>
      </c>
      <c r="Q79" s="19"/>
      <c r="R79" s="19"/>
    </row>
    <row r="80" spans="1:18" ht="15" x14ac:dyDescent="0.25">
      <c r="A80" s="40" t="s">
        <v>1406</v>
      </c>
      <c r="B80" s="41"/>
      <c r="C80" s="41"/>
      <c r="D80" s="41"/>
      <c r="E80" s="41"/>
      <c r="F80" s="41"/>
      <c r="G80" s="42">
        <f>+SUM(G74:G79)</f>
        <v>172.97784362736027</v>
      </c>
      <c r="H80" s="26"/>
      <c r="I80" s="40" t="s">
        <v>1372</v>
      </c>
      <c r="J80" s="41"/>
      <c r="K80" s="41"/>
      <c r="L80" s="41"/>
      <c r="M80" s="41"/>
      <c r="N80" s="41"/>
      <c r="O80" s="42">
        <f>+SUM(O74:O79)</f>
        <v>172.97784362736027</v>
      </c>
    </row>
    <row r="81" spans="1:17" x14ac:dyDescent="0.2">
      <c r="A81" s="35" t="s">
        <v>1371</v>
      </c>
      <c r="B81" s="28"/>
      <c r="C81" s="28"/>
      <c r="D81" s="28"/>
      <c r="E81" s="32">
        <f>+B82+B83</f>
        <v>0.16</v>
      </c>
      <c r="F81" s="28"/>
      <c r="G81" s="29">
        <f>+G84-G80</f>
        <v>32.948160690925761</v>
      </c>
      <c r="H81" s="25"/>
      <c r="I81" s="35" t="s">
        <v>1371</v>
      </c>
      <c r="J81" s="28"/>
      <c r="K81" s="28"/>
      <c r="L81" s="28"/>
      <c r="M81" s="32">
        <f>+J82+J83</f>
        <v>0.16</v>
      </c>
      <c r="N81" s="28"/>
      <c r="O81" s="29">
        <f>+O84-O80</f>
        <v>32.948160690925761</v>
      </c>
    </row>
    <row r="82" spans="1:17" x14ac:dyDescent="0.2">
      <c r="A82" s="43" t="s">
        <v>1370</v>
      </c>
      <c r="B82" s="44">
        <v>0.13</v>
      </c>
      <c r="C82" s="28"/>
      <c r="D82" s="28"/>
      <c r="E82" s="34"/>
      <c r="F82" s="28"/>
      <c r="G82" s="29"/>
      <c r="H82" s="25"/>
      <c r="I82" s="43" t="s">
        <v>1370</v>
      </c>
      <c r="J82" s="44">
        <v>0.13</v>
      </c>
      <c r="K82" s="28"/>
      <c r="L82" s="28"/>
      <c r="M82" s="34"/>
      <c r="N82" s="28"/>
      <c r="O82" s="29"/>
    </row>
    <row r="83" spans="1:17" x14ac:dyDescent="0.2">
      <c r="A83" s="45" t="s">
        <v>1369</v>
      </c>
      <c r="B83" s="46">
        <v>0.03</v>
      </c>
      <c r="C83" s="37"/>
      <c r="D83" s="37"/>
      <c r="E83" s="47"/>
      <c r="F83" s="37"/>
      <c r="G83" s="39"/>
      <c r="H83" s="25"/>
      <c r="I83" s="45" t="s">
        <v>1369</v>
      </c>
      <c r="J83" s="46">
        <v>0.03</v>
      </c>
      <c r="K83" s="37"/>
      <c r="L83" s="37"/>
      <c r="M83" s="47"/>
      <c r="N83" s="37"/>
      <c r="O83" s="39"/>
    </row>
    <row r="84" spans="1:17" ht="15" x14ac:dyDescent="0.25">
      <c r="A84" s="40" t="s">
        <v>1407</v>
      </c>
      <c r="B84" s="41"/>
      <c r="C84" s="41"/>
      <c r="D84" s="41"/>
      <c r="E84" s="41"/>
      <c r="F84" s="41"/>
      <c r="G84" s="42">
        <f>IFERROR((G80/0.84),0)</f>
        <v>205.92600431828603</v>
      </c>
      <c r="H84" s="26"/>
      <c r="I84" s="40" t="s">
        <v>1407</v>
      </c>
      <c r="J84" s="41"/>
      <c r="K84" s="41"/>
      <c r="L84" s="41"/>
      <c r="M84" s="41"/>
      <c r="N84" s="41"/>
      <c r="O84" s="42">
        <f>IFERROR((O80/0.84),0)</f>
        <v>205.92600431828603</v>
      </c>
    </row>
    <row r="86" spans="1:17" ht="27" x14ac:dyDescent="0.35">
      <c r="E86" s="507" t="str">
        <f>HOJA_DE_TRABAJO!D91</f>
        <v>POTOSI</v>
      </c>
      <c r="F86" s="507"/>
      <c r="G86" s="507"/>
      <c r="H86" s="507"/>
      <c r="I86" s="507"/>
      <c r="J86" s="507"/>
      <c r="K86" s="507"/>
    </row>
    <row r="87" spans="1:17" ht="27" x14ac:dyDescent="0.35">
      <c r="A87" s="499" t="s">
        <v>1578</v>
      </c>
      <c r="B87" s="499"/>
      <c r="C87" s="499"/>
      <c r="E87" s="372"/>
      <c r="F87" s="372"/>
      <c r="G87" s="372"/>
      <c r="H87" s="372"/>
      <c r="I87" s="372"/>
      <c r="J87" s="372"/>
      <c r="K87" s="372"/>
    </row>
    <row r="88" spans="1:17" ht="21.75" customHeight="1" x14ac:dyDescent="0.2"/>
    <row r="89" spans="1:17" ht="15" x14ac:dyDescent="0.25">
      <c r="A89" s="500" t="s">
        <v>1415</v>
      </c>
      <c r="B89" s="500"/>
      <c r="C89" s="500"/>
      <c r="D89" s="500"/>
      <c r="E89" s="500"/>
      <c r="F89" s="500"/>
      <c r="G89" s="500"/>
      <c r="H89" s="50"/>
      <c r="I89" s="500" t="s">
        <v>1415</v>
      </c>
      <c r="J89" s="500"/>
      <c r="K89" s="500"/>
      <c r="L89" s="500"/>
      <c r="M89" s="500"/>
      <c r="N89" s="500"/>
      <c r="O89" s="500"/>
    </row>
    <row r="90" spans="1:17" ht="15" x14ac:dyDescent="0.25">
      <c r="A90" s="368">
        <v>1</v>
      </c>
      <c r="B90" s="368" t="s">
        <v>1376</v>
      </c>
      <c r="C90" s="500" t="str">
        <f>LOOKUP(A90,HOJA_DE_TRABAJO!A93:A104,HOJA_DE_TRABAJO!B93:B104)</f>
        <v>pt1</v>
      </c>
      <c r="D90" s="500"/>
      <c r="E90" s="500"/>
      <c r="F90" s="51" t="s">
        <v>2</v>
      </c>
      <c r="G90" s="51">
        <f>LOOKUP(A90,HOJA_DE_TRABAJO!A93:A104,HOJA_DE_TRABAJO!D93:D104)</f>
        <v>1</v>
      </c>
      <c r="H90" s="50"/>
      <c r="I90" s="368">
        <f>A90+1</f>
        <v>2</v>
      </c>
      <c r="J90" s="368" t="s">
        <v>1376</v>
      </c>
      <c r="K90" s="500" t="str">
        <f>LOOKUP(I90,HOJA_DE_TRABAJO!A93:A104,HOJA_DE_TRABAJO!B93:B104)</f>
        <v>pt2</v>
      </c>
      <c r="L90" s="500"/>
      <c r="M90" s="500"/>
      <c r="N90" s="51" t="s">
        <v>2</v>
      </c>
      <c r="O90" s="51">
        <f>LOOKUP(I90,HOJA_DE_TRABAJO!A93:A104,HOJA_DE_TRABAJO!D93:D104)</f>
        <v>1</v>
      </c>
    </row>
    <row r="91" spans="1:17" x14ac:dyDescent="0.2">
      <c r="A91" s="497" t="s">
        <v>1377</v>
      </c>
      <c r="B91" s="497"/>
      <c r="C91" s="497"/>
      <c r="D91" s="497"/>
      <c r="E91" s="497"/>
      <c r="F91" s="497"/>
      <c r="G91" s="497"/>
      <c r="H91" s="23"/>
      <c r="I91" s="497" t="s">
        <v>1377</v>
      </c>
      <c r="J91" s="497"/>
      <c r="K91" s="497"/>
      <c r="L91" s="497"/>
      <c r="M91" s="497"/>
      <c r="N91" s="497"/>
      <c r="O91" s="497"/>
    </row>
    <row r="92" spans="1:17" x14ac:dyDescent="0.2">
      <c r="A92" s="28"/>
      <c r="B92" s="28"/>
      <c r="C92" s="28"/>
      <c r="D92" s="28"/>
      <c r="E92" s="28"/>
      <c r="F92" s="28"/>
      <c r="G92" s="28"/>
      <c r="H92" s="24"/>
      <c r="I92" s="28"/>
      <c r="J92" s="28"/>
      <c r="K92" s="28"/>
      <c r="L92" s="28"/>
      <c r="M92" s="28"/>
      <c r="N92" s="28"/>
      <c r="O92" s="28"/>
    </row>
    <row r="93" spans="1:17" x14ac:dyDescent="0.2">
      <c r="A93" s="498" t="str">
        <f>+"Costo líquido por " &amp; C90 &amp;  "(líquido pagable Bs.)"</f>
        <v>Costo líquido por pt1(líquido pagable Bs.)</v>
      </c>
      <c r="B93" s="498"/>
      <c r="C93" s="498"/>
      <c r="D93" s="498"/>
      <c r="E93" s="498"/>
      <c r="F93" s="498"/>
      <c r="G93" s="29">
        <f>LOOKUP(A90,HOJA_DE_TRABAJO!A93:A104,HOJA_DE_TRABAJO!E93:E104)</f>
        <v>50</v>
      </c>
      <c r="H93" s="25"/>
      <c r="I93" s="498" t="str">
        <f>+"Costo líquido por " &amp; K90 &amp;  "(líquido pagable Bs.)"</f>
        <v>Costo líquido por pt2(líquido pagable Bs.)</v>
      </c>
      <c r="J93" s="498"/>
      <c r="K93" s="498"/>
      <c r="L93" s="498"/>
      <c r="M93" s="498"/>
      <c r="N93" s="498"/>
      <c r="O93" s="29">
        <f>LOOKUP(I90,HOJA_DE_TRABAJO!A93:A104,HOJA_DE_TRABAJO!E93:E104)</f>
        <v>50</v>
      </c>
      <c r="Q93" s="19"/>
    </row>
    <row r="94" spans="1:17" x14ac:dyDescent="0.2">
      <c r="A94" s="30" t="s">
        <v>1403</v>
      </c>
      <c r="B94" s="28"/>
      <c r="C94" s="28"/>
      <c r="D94" s="28"/>
      <c r="E94" s="28"/>
      <c r="F94" s="28"/>
      <c r="G94" s="29"/>
      <c r="H94" s="25"/>
      <c r="I94" s="30" t="s">
        <v>1403</v>
      </c>
      <c r="J94" s="28"/>
      <c r="K94" s="28"/>
      <c r="L94" s="28"/>
      <c r="M94" s="28"/>
      <c r="N94" s="28"/>
      <c r="O94" s="29"/>
      <c r="P94" s="19"/>
      <c r="Q94" s="20"/>
    </row>
    <row r="95" spans="1:17" ht="15" x14ac:dyDescent="0.25">
      <c r="A95" s="31" t="s">
        <v>1394</v>
      </c>
      <c r="B95" s="28"/>
      <c r="C95" s="28"/>
      <c r="D95" s="28"/>
      <c r="E95" s="28"/>
      <c r="F95" s="32">
        <f>+SUM(E96:E97)</f>
        <v>0.155</v>
      </c>
      <c r="G95" s="29">
        <f>LOOKUP(A90,HOJA_DE_TRABAJO!A93:A104,HOJA_DE_TRABAJO!H93:H104)</f>
        <v>59.171597633136095</v>
      </c>
      <c r="H95" s="25"/>
      <c r="I95" s="31" t="s">
        <v>1394</v>
      </c>
      <c r="J95" s="28"/>
      <c r="K95" s="28"/>
      <c r="L95" s="28"/>
      <c r="M95" s="28"/>
      <c r="N95" s="32">
        <f>+SUM(M96:M97)</f>
        <v>0.155</v>
      </c>
      <c r="O95" s="29">
        <f>LOOKUP(I90,HOJA_DE_TRABAJO!A93:A104,HOJA_DE_TRABAJO!H93:H104)</f>
        <v>59.171597633136095</v>
      </c>
      <c r="Q95" s="20"/>
    </row>
    <row r="96" spans="1:17" x14ac:dyDescent="0.2">
      <c r="A96" s="33" t="s">
        <v>1395</v>
      </c>
      <c r="B96" s="28"/>
      <c r="C96" s="28"/>
      <c r="D96" s="28"/>
      <c r="E96" s="34">
        <v>0.125</v>
      </c>
      <c r="F96" s="28"/>
      <c r="G96" s="29"/>
      <c r="H96" s="25"/>
      <c r="I96" s="33" t="s">
        <v>1395</v>
      </c>
      <c r="J96" s="28"/>
      <c r="K96" s="28"/>
      <c r="L96" s="28"/>
      <c r="M96" s="34">
        <v>0.125</v>
      </c>
      <c r="N96" s="28"/>
      <c r="O96" s="29"/>
      <c r="Q96" s="20"/>
    </row>
    <row r="97" spans="1:18" x14ac:dyDescent="0.2">
      <c r="A97" s="33" t="s">
        <v>1396</v>
      </c>
      <c r="B97" s="28"/>
      <c r="C97" s="28"/>
      <c r="D97" s="28"/>
      <c r="E97" s="34">
        <v>0.03</v>
      </c>
      <c r="F97" s="28"/>
      <c r="G97" s="29"/>
      <c r="H97" s="25"/>
      <c r="I97" s="33" t="s">
        <v>1396</v>
      </c>
      <c r="J97" s="28"/>
      <c r="K97" s="28"/>
      <c r="L97" s="28"/>
      <c r="M97" s="34">
        <v>0.03</v>
      </c>
      <c r="N97" s="28"/>
      <c r="O97" s="29"/>
      <c r="Q97" s="20"/>
    </row>
    <row r="98" spans="1:18" x14ac:dyDescent="0.2">
      <c r="A98" s="35" t="s">
        <v>1404</v>
      </c>
      <c r="B98" s="28"/>
      <c r="C98" s="28"/>
      <c r="D98" s="28"/>
      <c r="E98" s="34"/>
      <c r="F98" s="28"/>
      <c r="G98" s="29">
        <f>((HOJA_DE_TRABAJO!$I$23+HOJA_DE_TRABAJO!$E$256)*(LOOKUP(A90,HOJA_DE_TRABAJO!A93:A104,HOJA_DE_TRABAJO!G93:G104)))</f>
        <v>11.083678062070721</v>
      </c>
      <c r="H98" s="25"/>
      <c r="I98" s="35" t="s">
        <v>1404</v>
      </c>
      <c r="J98" s="28"/>
      <c r="K98" s="28"/>
      <c r="L98" s="28"/>
      <c r="M98" s="34"/>
      <c r="N98" s="28"/>
      <c r="O98" s="29">
        <f>((HOJA_DE_TRABAJO!$I$23+HOJA_DE_TRABAJO!$E$256)*(LOOKUP(I90,HOJA_DE_TRABAJO!A93:A104,HOJA_DE_TRABAJO!G93:G104)))</f>
        <v>11.083678062070721</v>
      </c>
      <c r="Q98" s="19"/>
    </row>
    <row r="99" spans="1:18" x14ac:dyDescent="0.2">
      <c r="A99" s="35" t="s">
        <v>1387</v>
      </c>
      <c r="B99" s="28"/>
      <c r="C99" s="28"/>
      <c r="D99" s="28"/>
      <c r="E99" s="94">
        <f>(HOJA_DE_TRABAJO!D259)</f>
        <v>5.4487179487179495E-4</v>
      </c>
      <c r="F99" s="28"/>
      <c r="G99" s="29">
        <f>+HOJA_DE_TRABAJO!$E$259*(LOOKUP(A90,HOJA_DE_TRABAJO!A93:A104,HOJA_DE_TRABAJO!G93:G104))</f>
        <v>4.9524824036454813</v>
      </c>
      <c r="H99" s="25"/>
      <c r="I99" s="35" t="s">
        <v>1387</v>
      </c>
      <c r="J99" s="28"/>
      <c r="K99" s="28"/>
      <c r="L99" s="28"/>
      <c r="M99" s="94">
        <f>(HOJA_DE_TRABAJO!D259)</f>
        <v>5.4487179487179495E-4</v>
      </c>
      <c r="N99" s="28"/>
      <c r="O99" s="29">
        <f>+HOJA_DE_TRABAJO!$E$259*(LOOKUP(I90,HOJA_DE_TRABAJO!A93:A104,HOJA_DE_TRABAJO!G93:G104))</f>
        <v>4.9524824036454813</v>
      </c>
      <c r="Q99" s="19"/>
    </row>
    <row r="100" spans="1:18" x14ac:dyDescent="0.2">
      <c r="A100" s="36" t="s">
        <v>1405</v>
      </c>
      <c r="B100" s="37"/>
      <c r="C100" s="37"/>
      <c r="D100" s="37"/>
      <c r="E100" s="38">
        <f>IF(OR(HOJA_DE_TRABAJO!I262="",HOJA_DE_TRABAJO!I262=0),HOJA_DE_TRABAJO!C262,HOJA_DE_TRABAJO!I262)</f>
        <v>0.15</v>
      </c>
      <c r="F100" s="37"/>
      <c r="G100" s="39">
        <f>+(G95+G98+G99)*E100</f>
        <v>11.281163714827844</v>
      </c>
      <c r="H100" s="25"/>
      <c r="I100" s="36" t="s">
        <v>1405</v>
      </c>
      <c r="J100" s="37"/>
      <c r="K100" s="37"/>
      <c r="L100" s="37"/>
      <c r="M100" s="38">
        <f>IF(OR(HOJA_DE_TRABAJO!I262="",HOJA_DE_TRABAJO!I262=0),HOJA_DE_TRABAJO!C262,HOJA_DE_TRABAJO!I262)</f>
        <v>0.15</v>
      </c>
      <c r="N100" s="37"/>
      <c r="O100" s="39">
        <f>+(O95+O98+O99)*M100</f>
        <v>11.281163714827844</v>
      </c>
      <c r="Q100" s="19"/>
      <c r="R100" s="19"/>
    </row>
    <row r="101" spans="1:18" ht="15" x14ac:dyDescent="0.25">
      <c r="A101" s="40" t="s">
        <v>1406</v>
      </c>
      <c r="B101" s="41"/>
      <c r="C101" s="41"/>
      <c r="D101" s="41"/>
      <c r="E101" s="41"/>
      <c r="F101" s="41"/>
      <c r="G101" s="42">
        <f>+SUM(G95:G100)</f>
        <v>86.488921813680136</v>
      </c>
      <c r="H101" s="26"/>
      <c r="I101" s="40" t="s">
        <v>1372</v>
      </c>
      <c r="J101" s="41"/>
      <c r="K101" s="41"/>
      <c r="L101" s="41"/>
      <c r="M101" s="41"/>
      <c r="N101" s="41"/>
      <c r="O101" s="42">
        <f>+SUM(O95:O100)</f>
        <v>86.488921813680136</v>
      </c>
    </row>
    <row r="102" spans="1:18" x14ac:dyDescent="0.2">
      <c r="A102" s="35" t="s">
        <v>1371</v>
      </c>
      <c r="B102" s="28"/>
      <c r="C102" s="28"/>
      <c r="D102" s="28"/>
      <c r="E102" s="32">
        <f>+B103+B104</f>
        <v>0.16</v>
      </c>
      <c r="F102" s="28"/>
      <c r="G102" s="29">
        <f>+G105-G101</f>
        <v>16.47408034546288</v>
      </c>
      <c r="H102" s="25"/>
      <c r="I102" s="35" t="s">
        <v>1371</v>
      </c>
      <c r="J102" s="28"/>
      <c r="K102" s="28"/>
      <c r="L102" s="28"/>
      <c r="M102" s="32">
        <f>+J103+J104</f>
        <v>0.16</v>
      </c>
      <c r="N102" s="28"/>
      <c r="O102" s="29">
        <f>+O105-O101</f>
        <v>16.47408034546288</v>
      </c>
    </row>
    <row r="103" spans="1:18" x14ac:dyDescent="0.2">
      <c r="A103" s="43" t="s">
        <v>1370</v>
      </c>
      <c r="B103" s="44">
        <v>0.13</v>
      </c>
      <c r="C103" s="28"/>
      <c r="D103" s="28"/>
      <c r="E103" s="34"/>
      <c r="F103" s="28"/>
      <c r="G103" s="29"/>
      <c r="H103" s="25"/>
      <c r="I103" s="43" t="s">
        <v>1370</v>
      </c>
      <c r="J103" s="44">
        <v>0.13</v>
      </c>
      <c r="K103" s="28"/>
      <c r="L103" s="28"/>
      <c r="M103" s="34"/>
      <c r="N103" s="28"/>
      <c r="O103" s="29"/>
    </row>
    <row r="104" spans="1:18" x14ac:dyDescent="0.2">
      <c r="A104" s="45" t="s">
        <v>1369</v>
      </c>
      <c r="B104" s="46">
        <v>0.03</v>
      </c>
      <c r="C104" s="37"/>
      <c r="D104" s="37"/>
      <c r="E104" s="47"/>
      <c r="F104" s="37"/>
      <c r="G104" s="39"/>
      <c r="H104" s="25"/>
      <c r="I104" s="45" t="s">
        <v>1369</v>
      </c>
      <c r="J104" s="46">
        <v>0.03</v>
      </c>
      <c r="K104" s="37"/>
      <c r="L104" s="37"/>
      <c r="M104" s="47"/>
      <c r="N104" s="37"/>
      <c r="O104" s="39"/>
    </row>
    <row r="105" spans="1:18" ht="15" x14ac:dyDescent="0.25">
      <c r="A105" s="40" t="s">
        <v>1407</v>
      </c>
      <c r="B105" s="41"/>
      <c r="C105" s="41"/>
      <c r="D105" s="41"/>
      <c r="E105" s="41"/>
      <c r="F105" s="41"/>
      <c r="G105" s="42">
        <f>IFERROR((G101/0.84),0)</f>
        <v>102.96300215914302</v>
      </c>
      <c r="H105" s="26"/>
      <c r="I105" s="40" t="s">
        <v>1407</v>
      </c>
      <c r="J105" s="41"/>
      <c r="K105" s="41"/>
      <c r="L105" s="41"/>
      <c r="M105" s="41"/>
      <c r="N105" s="41"/>
      <c r="O105" s="42">
        <f>IFERROR((O101/0.84),0)</f>
        <v>102.96300215914302</v>
      </c>
    </row>
    <row r="107" spans="1:18" ht="27" x14ac:dyDescent="0.35">
      <c r="E107" s="504" t="str">
        <f>HOJA_DE_TRABAJO!D107</f>
        <v>SUCRE</v>
      </c>
      <c r="F107" s="505"/>
      <c r="G107" s="505"/>
      <c r="H107" s="505"/>
      <c r="I107" s="505"/>
      <c r="J107" s="505"/>
      <c r="K107" s="506"/>
    </row>
    <row r="108" spans="1:18" ht="27" x14ac:dyDescent="0.35">
      <c r="A108" s="499" t="s">
        <v>1578</v>
      </c>
      <c r="B108" s="499"/>
      <c r="C108" s="499"/>
      <c r="E108" s="373"/>
      <c r="F108" s="374"/>
      <c r="G108" s="374"/>
      <c r="H108" s="374"/>
      <c r="I108" s="374"/>
      <c r="J108" s="374"/>
      <c r="K108" s="375"/>
    </row>
    <row r="109" spans="1:18" ht="21.75" customHeight="1" x14ac:dyDescent="0.2"/>
    <row r="110" spans="1:18" ht="15" x14ac:dyDescent="0.25">
      <c r="A110" s="500" t="s">
        <v>1415</v>
      </c>
      <c r="B110" s="500"/>
      <c r="C110" s="500"/>
      <c r="D110" s="500"/>
      <c r="E110" s="500"/>
      <c r="F110" s="500"/>
      <c r="G110" s="500"/>
      <c r="H110" s="50"/>
      <c r="I110" s="500" t="s">
        <v>1415</v>
      </c>
      <c r="J110" s="500"/>
      <c r="K110" s="500"/>
      <c r="L110" s="500"/>
      <c r="M110" s="500"/>
      <c r="N110" s="500"/>
      <c r="O110" s="500"/>
    </row>
    <row r="111" spans="1:18" ht="15" x14ac:dyDescent="0.25">
      <c r="A111" s="368">
        <v>1</v>
      </c>
      <c r="B111" s="368" t="s">
        <v>1376</v>
      </c>
      <c r="C111" s="500" t="str">
        <f>LOOKUP(A111,HOJA_DE_TRABAJO!A109:A120,HOJA_DE_TRABAJO!B109:B120)</f>
        <v>sc1</v>
      </c>
      <c r="D111" s="500"/>
      <c r="E111" s="500"/>
      <c r="F111" s="51" t="s">
        <v>2</v>
      </c>
      <c r="G111" s="51">
        <f>LOOKUP(A111,HOJA_DE_TRABAJO!A109:A120,HOJA_DE_TRABAJO!D109:D120)</f>
        <v>2</v>
      </c>
      <c r="H111" s="50"/>
      <c r="I111" s="368">
        <f>A111+1</f>
        <v>2</v>
      </c>
      <c r="J111" s="368" t="s">
        <v>1376</v>
      </c>
      <c r="K111" s="500" t="str">
        <f>LOOKUP(I111,HOJA_DE_TRABAJO!A109:A120,HOJA_DE_TRABAJO!B109:B120)</f>
        <v>sc2</v>
      </c>
      <c r="L111" s="500"/>
      <c r="M111" s="500"/>
      <c r="N111" s="51" t="s">
        <v>2</v>
      </c>
      <c r="O111" s="51">
        <f>LOOKUP(I111,HOJA_DE_TRABAJO!A109:A120,HOJA_DE_TRABAJO!D109:D120)</f>
        <v>2</v>
      </c>
    </row>
    <row r="112" spans="1:18" x14ac:dyDescent="0.2">
      <c r="A112" s="497" t="s">
        <v>1377</v>
      </c>
      <c r="B112" s="497"/>
      <c r="C112" s="497"/>
      <c r="D112" s="497"/>
      <c r="E112" s="497"/>
      <c r="F112" s="497"/>
      <c r="G112" s="497"/>
      <c r="H112" s="23"/>
      <c r="I112" s="497" t="s">
        <v>1377</v>
      </c>
      <c r="J112" s="497"/>
      <c r="K112" s="497"/>
      <c r="L112" s="497"/>
      <c r="M112" s="497"/>
      <c r="N112" s="497"/>
      <c r="O112" s="497"/>
    </row>
    <row r="113" spans="1:18" x14ac:dyDescent="0.2">
      <c r="A113" s="28"/>
      <c r="B113" s="28"/>
      <c r="C113" s="28"/>
      <c r="D113" s="28"/>
      <c r="E113" s="28"/>
      <c r="F113" s="28"/>
      <c r="G113" s="28"/>
      <c r="H113" s="24"/>
      <c r="I113" s="28"/>
      <c r="J113" s="28"/>
      <c r="K113" s="28"/>
      <c r="L113" s="28"/>
      <c r="M113" s="28"/>
      <c r="N113" s="28"/>
      <c r="O113" s="28"/>
    </row>
    <row r="114" spans="1:18" x14ac:dyDescent="0.2">
      <c r="A114" s="498" t="str">
        <f>+"Costo líquido por " &amp; C111 &amp;  "(líquido pagable Bs.)"</f>
        <v>Costo líquido por sc1(líquido pagable Bs.)</v>
      </c>
      <c r="B114" s="498"/>
      <c r="C114" s="498"/>
      <c r="D114" s="498"/>
      <c r="E114" s="498"/>
      <c r="F114" s="498"/>
      <c r="G114" s="29">
        <f>LOOKUP(A111,HOJA_DE_TRABAJO!A109:A120,HOJA_DE_TRABAJO!E109:E120)</f>
        <v>10</v>
      </c>
      <c r="H114" s="25"/>
      <c r="I114" s="498" t="str">
        <f>+"Costo líquido por " &amp; K111 &amp;  "(líquido pagable Bs.)"</f>
        <v>Costo líquido por sc2(líquido pagable Bs.)</v>
      </c>
      <c r="J114" s="498"/>
      <c r="K114" s="498"/>
      <c r="L114" s="498"/>
      <c r="M114" s="498"/>
      <c r="N114" s="498"/>
      <c r="O114" s="29">
        <f>LOOKUP(I111,HOJA_DE_TRABAJO!A109:A120,HOJA_DE_TRABAJO!E109:E120)</f>
        <v>10</v>
      </c>
      <c r="Q114" s="19"/>
    </row>
    <row r="115" spans="1:18" x14ac:dyDescent="0.2">
      <c r="A115" s="30" t="s">
        <v>1403</v>
      </c>
      <c r="B115" s="28"/>
      <c r="C115" s="28"/>
      <c r="D115" s="28"/>
      <c r="E115" s="28"/>
      <c r="F115" s="28"/>
      <c r="G115" s="29"/>
      <c r="H115" s="25"/>
      <c r="I115" s="30" t="s">
        <v>1403</v>
      </c>
      <c r="J115" s="28"/>
      <c r="K115" s="28"/>
      <c r="L115" s="28"/>
      <c r="M115" s="28"/>
      <c r="N115" s="28"/>
      <c r="O115" s="29"/>
      <c r="P115" s="19"/>
      <c r="Q115" s="20"/>
    </row>
    <row r="116" spans="1:18" ht="15" x14ac:dyDescent="0.25">
      <c r="A116" s="31" t="s">
        <v>1394</v>
      </c>
      <c r="B116" s="28"/>
      <c r="C116" s="28"/>
      <c r="D116" s="28"/>
      <c r="E116" s="28"/>
      <c r="F116" s="32">
        <f>+SUM(E117:E118)</f>
        <v>0.155</v>
      </c>
      <c r="G116" s="29">
        <f>LOOKUP(A111,HOJA_DE_TRABAJO!A109:A120,HOJA_DE_TRABAJO!H109:H120)</f>
        <v>11.834319526627219</v>
      </c>
      <c r="H116" s="25"/>
      <c r="I116" s="31" t="s">
        <v>1394</v>
      </c>
      <c r="J116" s="28"/>
      <c r="K116" s="28"/>
      <c r="L116" s="28"/>
      <c r="M116" s="28"/>
      <c r="N116" s="32">
        <f>+SUM(M117:M118)</f>
        <v>0.155</v>
      </c>
      <c r="O116" s="29">
        <f>LOOKUP(I111,HOJA_DE_TRABAJO!A109:A120,HOJA_DE_TRABAJO!H109:H120)</f>
        <v>11.834319526627219</v>
      </c>
      <c r="Q116" s="20"/>
    </row>
    <row r="117" spans="1:18" x14ac:dyDescent="0.2">
      <c r="A117" s="33" t="s">
        <v>1395</v>
      </c>
      <c r="B117" s="28"/>
      <c r="C117" s="28"/>
      <c r="D117" s="28"/>
      <c r="E117" s="34">
        <v>0.125</v>
      </c>
      <c r="F117" s="28"/>
      <c r="G117" s="29"/>
      <c r="H117" s="25"/>
      <c r="I117" s="33" t="s">
        <v>1395</v>
      </c>
      <c r="J117" s="28"/>
      <c r="K117" s="28"/>
      <c r="L117" s="28"/>
      <c r="M117" s="34">
        <v>0.125</v>
      </c>
      <c r="N117" s="28"/>
      <c r="O117" s="29"/>
      <c r="Q117" s="20"/>
    </row>
    <row r="118" spans="1:18" x14ac:dyDescent="0.2">
      <c r="A118" s="33" t="s">
        <v>1396</v>
      </c>
      <c r="B118" s="28"/>
      <c r="C118" s="28"/>
      <c r="D118" s="28"/>
      <c r="E118" s="34">
        <v>0.03</v>
      </c>
      <c r="F118" s="28"/>
      <c r="G118" s="29"/>
      <c r="H118" s="25"/>
      <c r="I118" s="33" t="s">
        <v>1396</v>
      </c>
      <c r="J118" s="28"/>
      <c r="K118" s="28"/>
      <c r="L118" s="28"/>
      <c r="M118" s="34">
        <v>0.03</v>
      </c>
      <c r="N118" s="28"/>
      <c r="O118" s="29"/>
      <c r="Q118" s="20"/>
    </row>
    <row r="119" spans="1:18" x14ac:dyDescent="0.2">
      <c r="A119" s="35" t="s">
        <v>1404</v>
      </c>
      <c r="B119" s="28"/>
      <c r="C119" s="28"/>
      <c r="D119" s="28"/>
      <c r="E119" s="34"/>
      <c r="F119" s="28"/>
      <c r="G119" s="29">
        <f>((HOJA_DE_TRABAJO!$I$23+HOJA_DE_TRABAJO!$E$256)*(LOOKUP(A111,HOJA_DE_TRABAJO!A109:A120,HOJA_DE_TRABAJO!G109:G120)))</f>
        <v>2.2167356124141437</v>
      </c>
      <c r="H119" s="25"/>
      <c r="I119" s="35" t="s">
        <v>1404</v>
      </c>
      <c r="J119" s="28"/>
      <c r="K119" s="28"/>
      <c r="L119" s="28"/>
      <c r="M119" s="34"/>
      <c r="N119" s="28"/>
      <c r="O119" s="29">
        <f>((HOJA_DE_TRABAJO!$I$23+HOJA_DE_TRABAJO!$E$256)*(LOOKUP(I111,HOJA_DE_TRABAJO!A109:A120,HOJA_DE_TRABAJO!G109:G120)))</f>
        <v>2.2167356124141437</v>
      </c>
      <c r="Q119" s="19"/>
    </row>
    <row r="120" spans="1:18" x14ac:dyDescent="0.2">
      <c r="A120" s="35" t="s">
        <v>1387</v>
      </c>
      <c r="B120" s="28"/>
      <c r="C120" s="28"/>
      <c r="D120" s="28"/>
      <c r="E120" s="94">
        <f>(HOJA_DE_TRABAJO!D259)</f>
        <v>5.4487179487179495E-4</v>
      </c>
      <c r="F120" s="28"/>
      <c r="G120" s="29">
        <f>+HOJA_DE_TRABAJO!$E$259*(LOOKUP(A111,HOJA_DE_TRABAJO!A109:A120,HOJA_DE_TRABAJO!G109:G120))</f>
        <v>0.99049648072909613</v>
      </c>
      <c r="H120" s="25"/>
      <c r="I120" s="35" t="s">
        <v>1387</v>
      </c>
      <c r="J120" s="28"/>
      <c r="K120" s="28"/>
      <c r="L120" s="28"/>
      <c r="M120" s="94">
        <f>(HOJA_DE_TRABAJO!D259)</f>
        <v>5.4487179487179495E-4</v>
      </c>
      <c r="N120" s="28"/>
      <c r="O120" s="29">
        <f>+HOJA_DE_TRABAJO!$E$259*(LOOKUP(I111,HOJA_DE_TRABAJO!A109:A120,HOJA_DE_TRABAJO!G109:G120))</f>
        <v>0.99049648072909613</v>
      </c>
      <c r="Q120" s="19"/>
    </row>
    <row r="121" spans="1:18" x14ac:dyDescent="0.2">
      <c r="A121" s="36" t="s">
        <v>1405</v>
      </c>
      <c r="B121" s="37"/>
      <c r="C121" s="37"/>
      <c r="D121" s="37"/>
      <c r="E121" s="38">
        <f>IF(OR(HOJA_DE_TRABAJO!I262="",HOJA_DE_TRABAJO!I262=0),HOJA_DE_TRABAJO!C262,HOJA_DE_TRABAJO!I262)</f>
        <v>0.15</v>
      </c>
      <c r="F121" s="37"/>
      <c r="G121" s="39">
        <f>+(G116+G119+G120)*E121</f>
        <v>2.2562327429655689</v>
      </c>
      <c r="H121" s="25"/>
      <c r="I121" s="36" t="s">
        <v>1405</v>
      </c>
      <c r="J121" s="37"/>
      <c r="K121" s="37"/>
      <c r="L121" s="37"/>
      <c r="M121" s="38">
        <f>IF(OR(HOJA_DE_TRABAJO!I262="",HOJA_DE_TRABAJO!I262=0),HOJA_DE_TRABAJO!C262,HOJA_DE_TRABAJO!I262)</f>
        <v>0.15</v>
      </c>
      <c r="N121" s="37"/>
      <c r="O121" s="39">
        <f>+(O116+O119+O120)*M121</f>
        <v>2.2562327429655689</v>
      </c>
      <c r="Q121" s="19"/>
      <c r="R121" s="19"/>
    </row>
    <row r="122" spans="1:18" ht="15" x14ac:dyDescent="0.25">
      <c r="A122" s="40" t="s">
        <v>1406</v>
      </c>
      <c r="B122" s="41"/>
      <c r="C122" s="41"/>
      <c r="D122" s="41"/>
      <c r="E122" s="41"/>
      <c r="F122" s="41"/>
      <c r="G122" s="42">
        <f>+SUM(G116:G121)</f>
        <v>17.297784362736028</v>
      </c>
      <c r="H122" s="26"/>
      <c r="I122" s="40" t="s">
        <v>1372</v>
      </c>
      <c r="J122" s="41"/>
      <c r="K122" s="41"/>
      <c r="L122" s="41"/>
      <c r="M122" s="41"/>
      <c r="N122" s="41"/>
      <c r="O122" s="42">
        <f>+SUM(O116:O121)</f>
        <v>17.297784362736028</v>
      </c>
    </row>
    <row r="123" spans="1:18" x14ac:dyDescent="0.2">
      <c r="A123" s="35" t="s">
        <v>1371</v>
      </c>
      <c r="B123" s="28"/>
      <c r="C123" s="28"/>
      <c r="D123" s="28"/>
      <c r="E123" s="32">
        <f>+B124+B125</f>
        <v>0.16</v>
      </c>
      <c r="F123" s="28"/>
      <c r="G123" s="29">
        <f>+G126-G122</f>
        <v>3.2948160690925761</v>
      </c>
      <c r="H123" s="25"/>
      <c r="I123" s="35" t="s">
        <v>1371</v>
      </c>
      <c r="J123" s="28"/>
      <c r="K123" s="28"/>
      <c r="L123" s="28"/>
      <c r="M123" s="32">
        <f>+J124+J125</f>
        <v>0.16</v>
      </c>
      <c r="N123" s="28"/>
      <c r="O123" s="29">
        <f>+O126-O122</f>
        <v>3.2948160690925761</v>
      </c>
    </row>
    <row r="124" spans="1:18" x14ac:dyDescent="0.2">
      <c r="A124" s="43" t="s">
        <v>1370</v>
      </c>
      <c r="B124" s="44">
        <v>0.13</v>
      </c>
      <c r="C124" s="28"/>
      <c r="D124" s="28"/>
      <c r="E124" s="34"/>
      <c r="F124" s="28"/>
      <c r="G124" s="29"/>
      <c r="H124" s="25"/>
      <c r="I124" s="43" t="s">
        <v>1370</v>
      </c>
      <c r="J124" s="44">
        <v>0.13</v>
      </c>
      <c r="K124" s="28"/>
      <c r="L124" s="28"/>
      <c r="M124" s="34"/>
      <c r="N124" s="28"/>
      <c r="O124" s="29"/>
    </row>
    <row r="125" spans="1:18" x14ac:dyDescent="0.2">
      <c r="A125" s="45" t="s">
        <v>1369</v>
      </c>
      <c r="B125" s="46">
        <v>0.03</v>
      </c>
      <c r="C125" s="37"/>
      <c r="D125" s="37"/>
      <c r="E125" s="47"/>
      <c r="F125" s="37"/>
      <c r="G125" s="39"/>
      <c r="H125" s="25"/>
      <c r="I125" s="45" t="s">
        <v>1369</v>
      </c>
      <c r="J125" s="46">
        <v>0.03</v>
      </c>
      <c r="K125" s="37"/>
      <c r="L125" s="37"/>
      <c r="M125" s="47"/>
      <c r="N125" s="37"/>
      <c r="O125" s="39"/>
    </row>
    <row r="126" spans="1:18" ht="15" x14ac:dyDescent="0.25">
      <c r="A126" s="40" t="s">
        <v>1407</v>
      </c>
      <c r="B126" s="41"/>
      <c r="C126" s="41"/>
      <c r="D126" s="41"/>
      <c r="E126" s="41"/>
      <c r="F126" s="41"/>
      <c r="G126" s="42">
        <f>IFERROR((G122/0.84),0)</f>
        <v>20.592600431828604</v>
      </c>
      <c r="H126" s="26"/>
      <c r="I126" s="40" t="s">
        <v>1407</v>
      </c>
      <c r="J126" s="41"/>
      <c r="K126" s="41"/>
      <c r="L126" s="41"/>
      <c r="M126" s="41"/>
      <c r="N126" s="41"/>
      <c r="O126" s="42">
        <f>IFERROR((O122/0.84),0)</f>
        <v>20.592600431828604</v>
      </c>
    </row>
    <row r="128" spans="1:18" ht="27" x14ac:dyDescent="0.35">
      <c r="E128" s="503" t="str">
        <f>HOJA_DE_TRABAJO!D123</f>
        <v>ORURO</v>
      </c>
      <c r="F128" s="503"/>
      <c r="G128" s="503"/>
      <c r="H128" s="503"/>
      <c r="I128" s="503"/>
      <c r="J128" s="503"/>
      <c r="K128" s="503"/>
    </row>
    <row r="129" spans="1:18" ht="27" x14ac:dyDescent="0.35">
      <c r="A129" s="499" t="s">
        <v>1578</v>
      </c>
      <c r="B129" s="499"/>
      <c r="C129" s="499"/>
      <c r="E129" s="376"/>
      <c r="F129" s="376"/>
      <c r="G129" s="376"/>
      <c r="H129" s="376"/>
      <c r="I129" s="376"/>
      <c r="J129" s="376"/>
      <c r="K129" s="376"/>
    </row>
    <row r="130" spans="1:18" ht="21.75" customHeight="1" x14ac:dyDescent="0.2"/>
    <row r="131" spans="1:18" ht="15" x14ac:dyDescent="0.25">
      <c r="A131" s="500" t="s">
        <v>1415</v>
      </c>
      <c r="B131" s="500"/>
      <c r="C131" s="500"/>
      <c r="D131" s="500"/>
      <c r="E131" s="500"/>
      <c r="F131" s="500"/>
      <c r="G131" s="500"/>
      <c r="H131" s="50"/>
      <c r="I131" s="500" t="s">
        <v>1415</v>
      </c>
      <c r="J131" s="500"/>
      <c r="K131" s="500"/>
      <c r="L131" s="500"/>
      <c r="M131" s="500"/>
      <c r="N131" s="500"/>
      <c r="O131" s="500"/>
    </row>
    <row r="132" spans="1:18" ht="15" x14ac:dyDescent="0.25">
      <c r="A132" s="368">
        <v>1</v>
      </c>
      <c r="B132" s="368" t="s">
        <v>1376</v>
      </c>
      <c r="C132" s="500" t="str">
        <f>LOOKUP(A132,HOJA_DE_TRABAJO!A125:A136,HOJA_DE_TRABAJO!B125:B136)</f>
        <v>or1</v>
      </c>
      <c r="D132" s="500"/>
      <c r="E132" s="500"/>
      <c r="F132" s="51" t="s">
        <v>2</v>
      </c>
      <c r="G132" s="51">
        <f>LOOKUP(A132,HOJA_DE_TRABAJO!A125:A136,HOJA_DE_TRABAJO!D125:D136)</f>
        <v>1</v>
      </c>
      <c r="H132" s="50"/>
      <c r="I132" s="368">
        <f>A132+1</f>
        <v>2</v>
      </c>
      <c r="J132" s="368" t="s">
        <v>1376</v>
      </c>
      <c r="K132" s="500" t="str">
        <f>LOOKUP(I132,HOJA_DE_TRABAJO!A125:A136,HOJA_DE_TRABAJO!B125:B136)</f>
        <v>or2</v>
      </c>
      <c r="L132" s="500"/>
      <c r="M132" s="500"/>
      <c r="N132" s="51" t="s">
        <v>2</v>
      </c>
      <c r="O132" s="51">
        <f>LOOKUP(I132,HOJA_DE_TRABAJO!A125:A136,HOJA_DE_TRABAJO!D125:D136)</f>
        <v>1</v>
      </c>
    </row>
    <row r="133" spans="1:18" x14ac:dyDescent="0.2">
      <c r="A133" s="497" t="s">
        <v>1377</v>
      </c>
      <c r="B133" s="497"/>
      <c r="C133" s="497"/>
      <c r="D133" s="497"/>
      <c r="E133" s="497"/>
      <c r="F133" s="497"/>
      <c r="G133" s="497"/>
      <c r="H133" s="23"/>
      <c r="I133" s="497" t="s">
        <v>1377</v>
      </c>
      <c r="J133" s="497"/>
      <c r="K133" s="497"/>
      <c r="L133" s="497"/>
      <c r="M133" s="497"/>
      <c r="N133" s="497"/>
      <c r="O133" s="497"/>
    </row>
    <row r="134" spans="1:18" x14ac:dyDescent="0.2">
      <c r="A134" s="28"/>
      <c r="B134" s="28"/>
      <c r="C134" s="28"/>
      <c r="D134" s="28"/>
      <c r="E134" s="28"/>
      <c r="F134" s="28"/>
      <c r="G134" s="28"/>
      <c r="H134" s="24"/>
      <c r="I134" s="28"/>
      <c r="J134" s="28"/>
      <c r="K134" s="28"/>
      <c r="L134" s="28"/>
      <c r="M134" s="28"/>
      <c r="N134" s="28"/>
      <c r="O134" s="28"/>
    </row>
    <row r="135" spans="1:18" x14ac:dyDescent="0.2">
      <c r="A135" s="498" t="str">
        <f>+"Costo líquido por " &amp; C132 &amp;  "(líquido pagable Bs.)"</f>
        <v>Costo líquido por or1(líquido pagable Bs.)</v>
      </c>
      <c r="B135" s="498"/>
      <c r="C135" s="498"/>
      <c r="D135" s="498"/>
      <c r="E135" s="498"/>
      <c r="F135" s="498"/>
      <c r="G135" s="29">
        <f>LOOKUP(A132,HOJA_DE_TRABAJO!A125:A136,HOJA_DE_TRABAJO!E125:E136)</f>
        <v>10</v>
      </c>
      <c r="H135" s="25"/>
      <c r="I135" s="498" t="str">
        <f>+"Costo líquido por " &amp; K132 &amp;  "(líquido pagable Bs.)"</f>
        <v>Costo líquido por or2(líquido pagable Bs.)</v>
      </c>
      <c r="J135" s="498"/>
      <c r="K135" s="498"/>
      <c r="L135" s="498"/>
      <c r="M135" s="498"/>
      <c r="N135" s="498"/>
      <c r="O135" s="29">
        <f>LOOKUP(I132,HOJA_DE_TRABAJO!A125:A136,HOJA_DE_TRABAJO!E125:E136)</f>
        <v>10</v>
      </c>
      <c r="Q135" s="19"/>
    </row>
    <row r="136" spans="1:18" x14ac:dyDescent="0.2">
      <c r="A136" s="30" t="s">
        <v>1403</v>
      </c>
      <c r="B136" s="28"/>
      <c r="C136" s="28"/>
      <c r="D136" s="28"/>
      <c r="E136" s="28"/>
      <c r="F136" s="28"/>
      <c r="G136" s="29"/>
      <c r="H136" s="25"/>
      <c r="I136" s="30" t="s">
        <v>1403</v>
      </c>
      <c r="J136" s="28"/>
      <c r="K136" s="28"/>
      <c r="L136" s="28"/>
      <c r="M136" s="28"/>
      <c r="N136" s="28"/>
      <c r="O136" s="29"/>
      <c r="P136" s="19"/>
      <c r="Q136" s="20"/>
    </row>
    <row r="137" spans="1:18" ht="15" x14ac:dyDescent="0.25">
      <c r="A137" s="31" t="s">
        <v>1394</v>
      </c>
      <c r="B137" s="28"/>
      <c r="C137" s="28"/>
      <c r="D137" s="28"/>
      <c r="E137" s="28"/>
      <c r="F137" s="32">
        <f>+SUM(E138:E139)</f>
        <v>0.155</v>
      </c>
      <c r="G137" s="29">
        <f>LOOKUP(A132,HOJA_DE_TRABAJO!A125:A136,HOJA_DE_TRABAJO!H125:H136)</f>
        <v>11.834319526627219</v>
      </c>
      <c r="H137" s="25"/>
      <c r="I137" s="31" t="s">
        <v>1394</v>
      </c>
      <c r="J137" s="28"/>
      <c r="K137" s="28"/>
      <c r="L137" s="28"/>
      <c r="M137" s="28"/>
      <c r="N137" s="32">
        <f>+SUM(M138:M139)</f>
        <v>0.155</v>
      </c>
      <c r="O137" s="29">
        <f>LOOKUP(A132,HOJA_DE_TRABAJO!A125:A136,HOJA_DE_TRABAJO!H125:H136)</f>
        <v>11.834319526627219</v>
      </c>
      <c r="Q137" s="20"/>
    </row>
    <row r="138" spans="1:18" x14ac:dyDescent="0.2">
      <c r="A138" s="33" t="s">
        <v>1395</v>
      </c>
      <c r="B138" s="28"/>
      <c r="C138" s="28"/>
      <c r="D138" s="28"/>
      <c r="E138" s="34">
        <v>0.125</v>
      </c>
      <c r="F138" s="28"/>
      <c r="G138" s="29"/>
      <c r="H138" s="25"/>
      <c r="I138" s="33" t="s">
        <v>1395</v>
      </c>
      <c r="J138" s="28"/>
      <c r="K138" s="28"/>
      <c r="L138" s="28"/>
      <c r="M138" s="34">
        <v>0.125</v>
      </c>
      <c r="N138" s="28"/>
      <c r="O138" s="29"/>
      <c r="Q138" s="20"/>
    </row>
    <row r="139" spans="1:18" x14ac:dyDescent="0.2">
      <c r="A139" s="33" t="s">
        <v>1396</v>
      </c>
      <c r="B139" s="28"/>
      <c r="C139" s="28"/>
      <c r="D139" s="28"/>
      <c r="E139" s="34">
        <v>0.03</v>
      </c>
      <c r="F139" s="28"/>
      <c r="G139" s="29"/>
      <c r="H139" s="25"/>
      <c r="I139" s="33" t="s">
        <v>1396</v>
      </c>
      <c r="J139" s="28"/>
      <c r="K139" s="28"/>
      <c r="L139" s="28"/>
      <c r="M139" s="34">
        <v>0.03</v>
      </c>
      <c r="N139" s="28"/>
      <c r="O139" s="29"/>
      <c r="Q139" s="20"/>
    </row>
    <row r="140" spans="1:18" x14ac:dyDescent="0.2">
      <c r="A140" s="35" t="s">
        <v>1404</v>
      </c>
      <c r="B140" s="28"/>
      <c r="C140" s="28"/>
      <c r="D140" s="28"/>
      <c r="E140" s="34"/>
      <c r="F140" s="28"/>
      <c r="G140" s="29">
        <f>((HOJA_DE_TRABAJO!$I$23+HOJA_DE_TRABAJO!$E$256)*(LOOKUP(A132,HOJA_DE_TRABAJO!A125:A136,HOJA_DE_TRABAJO!G125:G136)))</f>
        <v>2.2167356124141437</v>
      </c>
      <c r="H140" s="25"/>
      <c r="I140" s="35" t="s">
        <v>1404</v>
      </c>
      <c r="J140" s="28"/>
      <c r="K140" s="28"/>
      <c r="L140" s="28"/>
      <c r="M140" s="34"/>
      <c r="N140" s="28"/>
      <c r="O140" s="29">
        <f>((HOJA_DE_TRABAJO!$I$23+HOJA_DE_TRABAJO!$E$256)*(LOOKUP(I132,HOJA_DE_TRABAJO!A125:A136,HOJA_DE_TRABAJO!G125:G136)))</f>
        <v>2.2167356124141437</v>
      </c>
      <c r="Q140" s="19"/>
    </row>
    <row r="141" spans="1:18" x14ac:dyDescent="0.2">
      <c r="A141" s="35" t="s">
        <v>1387</v>
      </c>
      <c r="B141" s="28"/>
      <c r="C141" s="28"/>
      <c r="D141" s="28"/>
      <c r="E141" s="94">
        <f>(HOJA_DE_TRABAJO!D259)</f>
        <v>5.4487179487179495E-4</v>
      </c>
      <c r="F141" s="28"/>
      <c r="G141" s="29">
        <f>+HOJA_DE_TRABAJO!$E$259*(LOOKUP(A132,HOJA_DE_TRABAJO!A125:A136,HOJA_DE_TRABAJO!G125:G136))</f>
        <v>0.99049648072909613</v>
      </c>
      <c r="H141" s="25"/>
      <c r="I141" s="35" t="s">
        <v>1387</v>
      </c>
      <c r="J141" s="28"/>
      <c r="K141" s="28"/>
      <c r="L141" s="28"/>
      <c r="M141" s="94">
        <f>(HOJA_DE_TRABAJO!D259)</f>
        <v>5.4487179487179495E-4</v>
      </c>
      <c r="N141" s="28"/>
      <c r="O141" s="29">
        <f>+HOJA_DE_TRABAJO!$E$259*(LOOKUP(I132,HOJA_DE_TRABAJO!A125:A136,HOJA_DE_TRABAJO!G125:G136))</f>
        <v>0.99049648072909613</v>
      </c>
      <c r="Q141" s="19"/>
    </row>
    <row r="142" spans="1:18" x14ac:dyDescent="0.2">
      <c r="A142" s="36" t="s">
        <v>1405</v>
      </c>
      <c r="B142" s="37"/>
      <c r="C142" s="37"/>
      <c r="D142" s="37"/>
      <c r="E142" s="38">
        <f>IF(OR(HOJA_DE_TRABAJO!I262="",HOJA_DE_TRABAJO!I262=0),HOJA_DE_TRABAJO!C262,HOJA_DE_TRABAJO!I262)</f>
        <v>0.15</v>
      </c>
      <c r="F142" s="37"/>
      <c r="G142" s="39">
        <f>+(G137+G140+G141)*E142</f>
        <v>2.2562327429655689</v>
      </c>
      <c r="H142" s="25"/>
      <c r="I142" s="36" t="s">
        <v>1405</v>
      </c>
      <c r="J142" s="37"/>
      <c r="K142" s="37"/>
      <c r="L142" s="37"/>
      <c r="M142" s="38">
        <f>IF(OR(HOJA_DE_TRABAJO!I262="",HOJA_DE_TRABAJO!I262=0),HOJA_DE_TRABAJO!C262,HOJA_DE_TRABAJO!I262)</f>
        <v>0.15</v>
      </c>
      <c r="N142" s="37"/>
      <c r="O142" s="39">
        <f>+(O137+O140+O141)*M142</f>
        <v>2.2562327429655689</v>
      </c>
      <c r="Q142" s="19"/>
      <c r="R142" s="19"/>
    </row>
    <row r="143" spans="1:18" ht="15" x14ac:dyDescent="0.25">
      <c r="A143" s="40" t="s">
        <v>1406</v>
      </c>
      <c r="B143" s="41"/>
      <c r="C143" s="41"/>
      <c r="D143" s="41"/>
      <c r="E143" s="41"/>
      <c r="F143" s="41"/>
      <c r="G143" s="42">
        <f>+SUM(G137:G142)</f>
        <v>17.297784362736028</v>
      </c>
      <c r="H143" s="26"/>
      <c r="I143" s="40" t="s">
        <v>1372</v>
      </c>
      <c r="J143" s="41"/>
      <c r="K143" s="41"/>
      <c r="L143" s="41"/>
      <c r="M143" s="41"/>
      <c r="N143" s="41"/>
      <c r="O143" s="42">
        <f>+SUM(O137:O142)</f>
        <v>17.297784362736028</v>
      </c>
    </row>
    <row r="144" spans="1:18" x14ac:dyDescent="0.2">
      <c r="A144" s="35" t="s">
        <v>1371</v>
      </c>
      <c r="B144" s="28"/>
      <c r="C144" s="28"/>
      <c r="D144" s="28"/>
      <c r="E144" s="32">
        <f>+B145+B146</f>
        <v>0.16</v>
      </c>
      <c r="F144" s="28"/>
      <c r="G144" s="29">
        <f>+G147-G143</f>
        <v>3.2948160690925761</v>
      </c>
      <c r="H144" s="25"/>
      <c r="I144" s="35" t="s">
        <v>1371</v>
      </c>
      <c r="J144" s="28"/>
      <c r="K144" s="28"/>
      <c r="L144" s="28"/>
      <c r="M144" s="32">
        <f>+J145+J146</f>
        <v>0.16</v>
      </c>
      <c r="N144" s="28"/>
      <c r="O144" s="29">
        <f>+O147-O143</f>
        <v>3.2948160690925761</v>
      </c>
    </row>
    <row r="145" spans="1:17" x14ac:dyDescent="0.2">
      <c r="A145" s="43" t="s">
        <v>1370</v>
      </c>
      <c r="B145" s="44">
        <v>0.13</v>
      </c>
      <c r="C145" s="28"/>
      <c r="D145" s="28"/>
      <c r="E145" s="34"/>
      <c r="F145" s="28"/>
      <c r="G145" s="29"/>
      <c r="H145" s="25"/>
      <c r="I145" s="43" t="s">
        <v>1370</v>
      </c>
      <c r="J145" s="44">
        <v>0.13</v>
      </c>
      <c r="K145" s="28"/>
      <c r="L145" s="28"/>
      <c r="M145" s="34"/>
      <c r="N145" s="28"/>
      <c r="O145" s="29"/>
    </row>
    <row r="146" spans="1:17" x14ac:dyDescent="0.2">
      <c r="A146" s="45" t="s">
        <v>1369</v>
      </c>
      <c r="B146" s="46">
        <v>0.03</v>
      </c>
      <c r="C146" s="37"/>
      <c r="D146" s="37"/>
      <c r="E146" s="47"/>
      <c r="F146" s="37"/>
      <c r="G146" s="39"/>
      <c r="H146" s="25"/>
      <c r="I146" s="45" t="s">
        <v>1369</v>
      </c>
      <c r="J146" s="46">
        <v>0.03</v>
      </c>
      <c r="K146" s="37"/>
      <c r="L146" s="37"/>
      <c r="M146" s="47"/>
      <c r="N146" s="37"/>
      <c r="O146" s="39"/>
    </row>
    <row r="147" spans="1:17" ht="15" x14ac:dyDescent="0.25">
      <c r="A147" s="40" t="s">
        <v>1407</v>
      </c>
      <c r="B147" s="41"/>
      <c r="C147" s="41"/>
      <c r="D147" s="41"/>
      <c r="E147" s="41"/>
      <c r="F147" s="41"/>
      <c r="G147" s="42">
        <f>IFERROR((G143/0.84),0)</f>
        <v>20.592600431828604</v>
      </c>
      <c r="H147" s="26"/>
      <c r="I147" s="40" t="s">
        <v>1407</v>
      </c>
      <c r="J147" s="41"/>
      <c r="K147" s="41"/>
      <c r="L147" s="41"/>
      <c r="M147" s="41"/>
      <c r="N147" s="41"/>
      <c r="O147" s="42">
        <f>IFERROR((O143/0.84),0)</f>
        <v>20.592600431828604</v>
      </c>
    </row>
    <row r="149" spans="1:17" ht="27" x14ac:dyDescent="0.35">
      <c r="E149" s="502" t="str">
        <f>HOJA_DE_TRABAJO!D139</f>
        <v>EL ALTO</v>
      </c>
      <c r="F149" s="502"/>
      <c r="G149" s="502"/>
      <c r="H149" s="502"/>
      <c r="I149" s="502"/>
      <c r="J149" s="502"/>
      <c r="K149" s="502"/>
    </row>
    <row r="150" spans="1:17" ht="27" x14ac:dyDescent="0.35">
      <c r="A150" s="499" t="s">
        <v>1578</v>
      </c>
      <c r="B150" s="499"/>
      <c r="C150" s="499"/>
      <c r="E150" s="377"/>
      <c r="F150" s="377"/>
      <c r="G150" s="377"/>
      <c r="H150" s="377"/>
      <c r="I150" s="377"/>
      <c r="J150" s="377"/>
      <c r="K150" s="377"/>
    </row>
    <row r="151" spans="1:17" ht="21.75" customHeight="1" x14ac:dyDescent="0.2"/>
    <row r="152" spans="1:17" ht="15" x14ac:dyDescent="0.25">
      <c r="A152" s="500" t="s">
        <v>1415</v>
      </c>
      <c r="B152" s="500"/>
      <c r="C152" s="500"/>
      <c r="D152" s="500"/>
      <c r="E152" s="500"/>
      <c r="F152" s="500"/>
      <c r="G152" s="500"/>
      <c r="H152" s="50"/>
      <c r="I152" s="500" t="s">
        <v>1415</v>
      </c>
      <c r="J152" s="500"/>
      <c r="K152" s="500"/>
      <c r="L152" s="500"/>
      <c r="M152" s="500"/>
      <c r="N152" s="500"/>
      <c r="O152" s="500"/>
    </row>
    <row r="153" spans="1:17" ht="15" x14ac:dyDescent="0.25">
      <c r="A153" s="368">
        <v>1</v>
      </c>
      <c r="B153" s="368" t="s">
        <v>1376</v>
      </c>
      <c r="C153" s="500" t="str">
        <f>LOOKUP(A153,HOJA_DE_TRABAJO!A141:A152,HOJA_DE_TRABAJO!B141:B152)</f>
        <v>alt1</v>
      </c>
      <c r="D153" s="500"/>
      <c r="E153" s="500"/>
      <c r="F153" s="51" t="s">
        <v>2</v>
      </c>
      <c r="G153" s="51">
        <f>LOOKUP(A153,HOJA_DE_TRABAJO!A141:A152,HOJA_DE_TRABAJO!D141:D152)</f>
        <v>2</v>
      </c>
      <c r="H153" s="50"/>
      <c r="I153" s="368">
        <f>A153+1</f>
        <v>2</v>
      </c>
      <c r="J153" s="368" t="s">
        <v>1376</v>
      </c>
      <c r="K153" s="500" t="str">
        <f>LOOKUP(I153,HOJA_DE_TRABAJO!A141:A152,HOJA_DE_TRABAJO!B141:B152)</f>
        <v>alt2</v>
      </c>
      <c r="L153" s="500"/>
      <c r="M153" s="500"/>
      <c r="N153" s="51" t="s">
        <v>2</v>
      </c>
      <c r="O153" s="51">
        <f>LOOKUP(I153,HOJA_DE_TRABAJO!A141:A152,HOJA_DE_TRABAJO!D141:D152)</f>
        <v>2</v>
      </c>
    </row>
    <row r="154" spans="1:17" x14ac:dyDescent="0.2">
      <c r="A154" s="497" t="s">
        <v>1377</v>
      </c>
      <c r="B154" s="497"/>
      <c r="C154" s="497"/>
      <c r="D154" s="497"/>
      <c r="E154" s="497"/>
      <c r="F154" s="497"/>
      <c r="G154" s="497"/>
      <c r="H154" s="23"/>
      <c r="I154" s="497" t="s">
        <v>1377</v>
      </c>
      <c r="J154" s="497"/>
      <c r="K154" s="497"/>
      <c r="L154" s="497"/>
      <c r="M154" s="497"/>
      <c r="N154" s="497"/>
      <c r="O154" s="497"/>
    </row>
    <row r="155" spans="1:17" x14ac:dyDescent="0.2">
      <c r="A155" s="28"/>
      <c r="B155" s="28"/>
      <c r="C155" s="28"/>
      <c r="D155" s="28"/>
      <c r="E155" s="28"/>
      <c r="F155" s="28"/>
      <c r="G155" s="28"/>
      <c r="H155" s="24"/>
      <c r="I155" s="28"/>
      <c r="J155" s="28"/>
      <c r="K155" s="28"/>
      <c r="L155" s="28"/>
      <c r="M155" s="28"/>
      <c r="N155" s="28"/>
      <c r="O155" s="28"/>
    </row>
    <row r="156" spans="1:17" x14ac:dyDescent="0.2">
      <c r="A156" s="498" t="str">
        <f>+"Costo líquido por " &amp; C153 &amp;  "(líquido pagable Bs.)"</f>
        <v>Costo líquido por alt1(líquido pagable Bs.)</v>
      </c>
      <c r="B156" s="498"/>
      <c r="C156" s="498"/>
      <c r="D156" s="498"/>
      <c r="E156" s="498"/>
      <c r="F156" s="498"/>
      <c r="G156" s="29">
        <f>LOOKUP(A153,HOJA_DE_TRABAJO!A141:A152,HOJA_DE_TRABAJO!E141:E152)</f>
        <v>20</v>
      </c>
      <c r="H156" s="25"/>
      <c r="I156" s="498" t="str">
        <f>+"Costo líquido por " &amp; K153 &amp;  "(líquido pagable Bs.)"</f>
        <v>Costo líquido por alt2(líquido pagable Bs.)</v>
      </c>
      <c r="J156" s="498"/>
      <c r="K156" s="498"/>
      <c r="L156" s="498"/>
      <c r="M156" s="498"/>
      <c r="N156" s="498"/>
      <c r="O156" s="29">
        <f>LOOKUP(I153,HOJA_DE_TRABAJO!A141:A152,HOJA_DE_TRABAJO!E141:E152)</f>
        <v>20</v>
      </c>
      <c r="Q156" s="19"/>
    </row>
    <row r="157" spans="1:17" x14ac:dyDescent="0.2">
      <c r="A157" s="30" t="s">
        <v>1403</v>
      </c>
      <c r="B157" s="28"/>
      <c r="C157" s="28"/>
      <c r="D157" s="28"/>
      <c r="E157" s="28"/>
      <c r="F157" s="28"/>
      <c r="G157" s="29"/>
      <c r="H157" s="25"/>
      <c r="I157" s="30" t="s">
        <v>1403</v>
      </c>
      <c r="J157" s="28"/>
      <c r="K157" s="28"/>
      <c r="L157" s="28"/>
      <c r="M157" s="28"/>
      <c r="N157" s="28"/>
      <c r="O157" s="29"/>
      <c r="P157" s="19"/>
      <c r="Q157" s="20"/>
    </row>
    <row r="158" spans="1:17" ht="15" x14ac:dyDescent="0.25">
      <c r="A158" s="31" t="s">
        <v>1394</v>
      </c>
      <c r="B158" s="28"/>
      <c r="C158" s="28"/>
      <c r="D158" s="28"/>
      <c r="E158" s="28"/>
      <c r="F158" s="32">
        <f>+SUM(E159:E160)</f>
        <v>0.155</v>
      </c>
      <c r="G158" s="29">
        <f>LOOKUP(A153,HOJA_DE_TRABAJO!A141:A152,HOJA_DE_TRABAJO!H141:H152)</f>
        <v>23.668639053254438</v>
      </c>
      <c r="H158" s="25"/>
      <c r="I158" s="31" t="s">
        <v>1394</v>
      </c>
      <c r="J158" s="28"/>
      <c r="K158" s="28"/>
      <c r="L158" s="28"/>
      <c r="M158" s="28"/>
      <c r="N158" s="32">
        <f>+SUM(M159:M160)</f>
        <v>0.155</v>
      </c>
      <c r="O158" s="29">
        <f>LOOKUP(I153,HOJA_DE_TRABAJO!A141:A152,HOJA_DE_TRABAJO!H141:H152)</f>
        <v>23.668639053254438</v>
      </c>
      <c r="Q158" s="20"/>
    </row>
    <row r="159" spans="1:17" x14ac:dyDescent="0.2">
      <c r="A159" s="33" t="s">
        <v>1395</v>
      </c>
      <c r="B159" s="28"/>
      <c r="C159" s="28"/>
      <c r="D159" s="28"/>
      <c r="E159" s="34">
        <v>0.125</v>
      </c>
      <c r="F159" s="28"/>
      <c r="G159" s="29"/>
      <c r="H159" s="25"/>
      <c r="I159" s="33" t="s">
        <v>1395</v>
      </c>
      <c r="J159" s="28"/>
      <c r="K159" s="28"/>
      <c r="L159" s="28"/>
      <c r="M159" s="34">
        <v>0.125</v>
      </c>
      <c r="N159" s="28"/>
      <c r="O159" s="29"/>
      <c r="Q159" s="20"/>
    </row>
    <row r="160" spans="1:17" x14ac:dyDescent="0.2">
      <c r="A160" s="33" t="s">
        <v>1396</v>
      </c>
      <c r="B160" s="28"/>
      <c r="C160" s="28"/>
      <c r="D160" s="28"/>
      <c r="E160" s="34">
        <v>0.03</v>
      </c>
      <c r="F160" s="28"/>
      <c r="G160" s="29"/>
      <c r="H160" s="25"/>
      <c r="I160" s="33" t="s">
        <v>1396</v>
      </c>
      <c r="J160" s="28"/>
      <c r="K160" s="28"/>
      <c r="L160" s="28"/>
      <c r="M160" s="34">
        <v>0.03</v>
      </c>
      <c r="N160" s="28"/>
      <c r="O160" s="29"/>
      <c r="Q160" s="20"/>
    </row>
    <row r="161" spans="1:18" x14ac:dyDescent="0.2">
      <c r="A161" s="35" t="s">
        <v>1404</v>
      </c>
      <c r="B161" s="28"/>
      <c r="C161" s="28"/>
      <c r="D161" s="28"/>
      <c r="E161" s="34"/>
      <c r="F161" s="28"/>
      <c r="G161" s="29">
        <f>((HOJA_DE_TRABAJO!$I$23+HOJA_DE_TRABAJO!$E$256)*(LOOKUP(A153,HOJA_DE_TRABAJO!A141:A152,HOJA_DE_TRABAJO!G141:G152)))</f>
        <v>4.4334712248282875</v>
      </c>
      <c r="H161" s="25"/>
      <c r="I161" s="35" t="s">
        <v>1404</v>
      </c>
      <c r="J161" s="28"/>
      <c r="K161" s="28"/>
      <c r="L161" s="28"/>
      <c r="M161" s="34"/>
      <c r="N161" s="28"/>
      <c r="O161" s="29">
        <f>((HOJA_DE_TRABAJO!$I$23+HOJA_DE_TRABAJO!$E$256)*(LOOKUP(I153,HOJA_DE_TRABAJO!A141:A152,HOJA_DE_TRABAJO!G141:G152)))</f>
        <v>4.4334712248282875</v>
      </c>
      <c r="Q161" s="19"/>
    </row>
    <row r="162" spans="1:18" x14ac:dyDescent="0.2">
      <c r="A162" s="35" t="s">
        <v>1387</v>
      </c>
      <c r="B162" s="28"/>
      <c r="C162" s="28"/>
      <c r="D162" s="28"/>
      <c r="E162" s="94">
        <f>(HOJA_DE_TRABAJO!D259)</f>
        <v>5.4487179487179495E-4</v>
      </c>
      <c r="F162" s="28"/>
      <c r="G162" s="29">
        <f>+HOJA_DE_TRABAJO!$E$259*(LOOKUP(A153,HOJA_DE_TRABAJO!A141:A152,HOJA_DE_TRABAJO!G141:G152))</f>
        <v>1.9809929614581923</v>
      </c>
      <c r="H162" s="25"/>
      <c r="I162" s="35" t="s">
        <v>1387</v>
      </c>
      <c r="J162" s="28"/>
      <c r="K162" s="28"/>
      <c r="L162" s="28"/>
      <c r="M162" s="94">
        <f>(HOJA_DE_TRABAJO!D259)</f>
        <v>5.4487179487179495E-4</v>
      </c>
      <c r="N162" s="28"/>
      <c r="O162" s="29">
        <f>+HOJA_DE_TRABAJO!$E$259*(LOOKUP(I153,HOJA_DE_TRABAJO!A141:A152,HOJA_DE_TRABAJO!G141:G152))</f>
        <v>1.9809929614581923</v>
      </c>
      <c r="Q162" s="19"/>
    </row>
    <row r="163" spans="1:18" x14ac:dyDescent="0.2">
      <c r="A163" s="36" t="s">
        <v>1405</v>
      </c>
      <c r="B163" s="37"/>
      <c r="C163" s="37"/>
      <c r="D163" s="37"/>
      <c r="E163" s="38">
        <f>IF(OR(HOJA_DE_TRABAJO!I262="",HOJA_DE_TRABAJO!I262=0),HOJA_DE_TRABAJO!C262,HOJA_DE_TRABAJO!I262)</f>
        <v>0.15</v>
      </c>
      <c r="F163" s="37"/>
      <c r="G163" s="39">
        <f>+(G158+G161+G162)*E163</f>
        <v>4.5124654859311377</v>
      </c>
      <c r="H163" s="25"/>
      <c r="I163" s="36" t="s">
        <v>1405</v>
      </c>
      <c r="J163" s="37"/>
      <c r="K163" s="37"/>
      <c r="L163" s="37"/>
      <c r="M163" s="38">
        <f>IF(OR(HOJA_DE_TRABAJO!I262="",HOJA_DE_TRABAJO!I262=0),HOJA_DE_TRABAJO!C262,HOJA_DE_TRABAJO!I262)</f>
        <v>0.15</v>
      </c>
      <c r="N163" s="37"/>
      <c r="O163" s="39">
        <f>+(O158+O161+O162)*M163</f>
        <v>4.5124654859311377</v>
      </c>
      <c r="Q163" s="19"/>
      <c r="R163" s="19"/>
    </row>
    <row r="164" spans="1:18" ht="15" x14ac:dyDescent="0.25">
      <c r="A164" s="40" t="s">
        <v>1406</v>
      </c>
      <c r="B164" s="41"/>
      <c r="C164" s="41"/>
      <c r="D164" s="41"/>
      <c r="E164" s="41"/>
      <c r="F164" s="41"/>
      <c r="G164" s="42">
        <f>+SUM(G158:G163)</f>
        <v>34.595568725472056</v>
      </c>
      <c r="H164" s="26"/>
      <c r="I164" s="40" t="s">
        <v>1372</v>
      </c>
      <c r="J164" s="41"/>
      <c r="K164" s="41"/>
      <c r="L164" s="41"/>
      <c r="M164" s="41"/>
      <c r="N164" s="41"/>
      <c r="O164" s="42">
        <f>+SUM(O158:O163)</f>
        <v>34.595568725472056</v>
      </c>
    </row>
    <row r="165" spans="1:18" x14ac:dyDescent="0.2">
      <c r="A165" s="35" t="s">
        <v>1371</v>
      </c>
      <c r="B165" s="28"/>
      <c r="C165" s="28"/>
      <c r="D165" s="28"/>
      <c r="E165" s="32">
        <f>+B166+B167</f>
        <v>0.16</v>
      </c>
      <c r="F165" s="28"/>
      <c r="G165" s="29">
        <f>+G168-G164</f>
        <v>6.5896321381851521</v>
      </c>
      <c r="H165" s="25"/>
      <c r="I165" s="35" t="s">
        <v>1371</v>
      </c>
      <c r="J165" s="28"/>
      <c r="K165" s="28"/>
      <c r="L165" s="28"/>
      <c r="M165" s="32">
        <f>+J166+J167</f>
        <v>0.16</v>
      </c>
      <c r="N165" s="28"/>
      <c r="O165" s="29">
        <f>+O168-O164</f>
        <v>6.5896321381851521</v>
      </c>
    </row>
    <row r="166" spans="1:18" x14ac:dyDescent="0.2">
      <c r="A166" s="43" t="s">
        <v>1370</v>
      </c>
      <c r="B166" s="44">
        <v>0.13</v>
      </c>
      <c r="C166" s="28"/>
      <c r="D166" s="28"/>
      <c r="E166" s="34"/>
      <c r="F166" s="28"/>
      <c r="G166" s="29"/>
      <c r="H166" s="25"/>
      <c r="I166" s="43" t="s">
        <v>1370</v>
      </c>
      <c r="J166" s="44">
        <v>0.13</v>
      </c>
      <c r="K166" s="28"/>
      <c r="L166" s="28"/>
      <c r="M166" s="34"/>
      <c r="N166" s="28"/>
      <c r="O166" s="29"/>
    </row>
    <row r="167" spans="1:18" x14ac:dyDescent="0.2">
      <c r="A167" s="45" t="s">
        <v>1369</v>
      </c>
      <c r="B167" s="46">
        <v>0.03</v>
      </c>
      <c r="C167" s="37"/>
      <c r="D167" s="37"/>
      <c r="E167" s="47"/>
      <c r="F167" s="37"/>
      <c r="G167" s="39"/>
      <c r="H167" s="25"/>
      <c r="I167" s="45" t="s">
        <v>1369</v>
      </c>
      <c r="J167" s="46">
        <v>0.03</v>
      </c>
      <c r="K167" s="37"/>
      <c r="L167" s="37"/>
      <c r="M167" s="47"/>
      <c r="N167" s="37"/>
      <c r="O167" s="39"/>
    </row>
    <row r="168" spans="1:18" ht="15" x14ac:dyDescent="0.25">
      <c r="A168" s="40" t="s">
        <v>1407</v>
      </c>
      <c r="B168" s="41"/>
      <c r="C168" s="41"/>
      <c r="D168" s="41"/>
      <c r="E168" s="41"/>
      <c r="F168" s="41"/>
      <c r="G168" s="42">
        <f>IFERROR((G164/0.84),0)</f>
        <v>41.185200863657208</v>
      </c>
      <c r="H168" s="26"/>
      <c r="I168" s="40" t="s">
        <v>1407</v>
      </c>
      <c r="J168" s="41"/>
      <c r="K168" s="41"/>
      <c r="L168" s="41"/>
      <c r="M168" s="41"/>
      <c r="N168" s="41"/>
      <c r="O168" s="42">
        <f>IFERROR((O164/0.84),0)</f>
        <v>41.185200863657208</v>
      </c>
    </row>
    <row r="170" spans="1:18" ht="27" x14ac:dyDescent="0.35">
      <c r="E170" s="501" t="str">
        <f>HOJA_DE_TRABAJO!D155</f>
        <v>PANDO</v>
      </c>
      <c r="F170" s="501"/>
      <c r="G170" s="501"/>
      <c r="H170" s="501"/>
      <c r="I170" s="501"/>
      <c r="J170" s="501"/>
      <c r="K170" s="501"/>
    </row>
    <row r="171" spans="1:18" ht="27" x14ac:dyDescent="0.35">
      <c r="A171" s="499" t="s">
        <v>1578</v>
      </c>
      <c r="B171" s="499"/>
      <c r="C171" s="499"/>
      <c r="E171" s="378"/>
      <c r="F171" s="378"/>
      <c r="G171" s="378"/>
      <c r="H171" s="378"/>
      <c r="I171" s="378"/>
      <c r="J171" s="378"/>
      <c r="K171" s="378"/>
    </row>
    <row r="172" spans="1:18" ht="21.75" customHeight="1" x14ac:dyDescent="0.2"/>
    <row r="173" spans="1:18" ht="15" x14ac:dyDescent="0.25">
      <c r="A173" s="500" t="s">
        <v>1415</v>
      </c>
      <c r="B173" s="500"/>
      <c r="C173" s="500"/>
      <c r="D173" s="500"/>
      <c r="E173" s="500"/>
      <c r="F173" s="500"/>
      <c r="G173" s="500"/>
      <c r="H173" s="50"/>
      <c r="I173" s="500" t="s">
        <v>1415</v>
      </c>
      <c r="J173" s="500"/>
      <c r="K173" s="500"/>
      <c r="L173" s="500"/>
      <c r="M173" s="500"/>
      <c r="N173" s="500"/>
      <c r="O173" s="500"/>
    </row>
    <row r="174" spans="1:18" ht="15" x14ac:dyDescent="0.25">
      <c r="A174" s="368">
        <v>3</v>
      </c>
      <c r="B174" s="368" t="s">
        <v>1376</v>
      </c>
      <c r="C174" s="500">
        <f>LOOKUP(A174,HOJA_DE_TRABAJO!A157:A168,HOJA_DE_TRABAJO!B157:B168)</f>
        <v>0</v>
      </c>
      <c r="D174" s="500"/>
      <c r="E174" s="500"/>
      <c r="F174" s="51" t="s">
        <v>2</v>
      </c>
      <c r="G174" s="51">
        <f>LOOKUP(A174,HOJA_DE_TRABAJO!A157:A168,HOJA_DE_TRABAJO!D157:D168)</f>
        <v>0</v>
      </c>
      <c r="H174" s="50"/>
      <c r="I174" s="368">
        <f>A174+1</f>
        <v>4</v>
      </c>
      <c r="J174" s="368" t="s">
        <v>1376</v>
      </c>
      <c r="K174" s="500">
        <f>LOOKUP(I174,HOJA_DE_TRABAJO!A157:A168,HOJA_DE_TRABAJO!B157:B168)</f>
        <v>0</v>
      </c>
      <c r="L174" s="500"/>
      <c r="M174" s="500"/>
      <c r="N174" s="51" t="s">
        <v>2</v>
      </c>
      <c r="O174" s="51">
        <f>LOOKUP(I174,HOJA_DE_TRABAJO!A157:A168,HOJA_DE_TRABAJO!D157:D168)</f>
        <v>0</v>
      </c>
    </row>
    <row r="175" spans="1:18" x14ac:dyDescent="0.2">
      <c r="A175" s="497" t="s">
        <v>1377</v>
      </c>
      <c r="B175" s="497"/>
      <c r="C175" s="497"/>
      <c r="D175" s="497"/>
      <c r="E175" s="497"/>
      <c r="F175" s="497"/>
      <c r="G175" s="497"/>
      <c r="H175" s="23"/>
      <c r="I175" s="497" t="s">
        <v>1377</v>
      </c>
      <c r="J175" s="497"/>
      <c r="K175" s="497"/>
      <c r="L175" s="497"/>
      <c r="M175" s="497"/>
      <c r="N175" s="497"/>
      <c r="O175" s="497"/>
    </row>
    <row r="176" spans="1:18" x14ac:dyDescent="0.2">
      <c r="A176" s="28"/>
      <c r="B176" s="28"/>
      <c r="C176" s="28"/>
      <c r="D176" s="28"/>
      <c r="E176" s="28"/>
      <c r="F176" s="28"/>
      <c r="G176" s="28"/>
      <c r="H176" s="24"/>
      <c r="I176" s="28"/>
      <c r="J176" s="28"/>
      <c r="K176" s="28"/>
      <c r="L176" s="28"/>
      <c r="M176" s="28"/>
      <c r="N176" s="28"/>
      <c r="O176" s="28"/>
    </row>
    <row r="177" spans="1:18" x14ac:dyDescent="0.2">
      <c r="A177" s="498" t="str">
        <f>+"Costo líquido por " &amp; C174 &amp;  "(líquido pagable Bs.)"</f>
        <v>Costo líquido por 0(líquido pagable Bs.)</v>
      </c>
      <c r="B177" s="498"/>
      <c r="C177" s="498"/>
      <c r="D177" s="498"/>
      <c r="E177" s="498"/>
      <c r="F177" s="498"/>
      <c r="G177" s="29">
        <f>LOOKUP(A174,HOJA_DE_TRABAJO!A157:A168,HOJA_DE_TRABAJO!E157:E168)</f>
        <v>0</v>
      </c>
      <c r="H177" s="25"/>
      <c r="I177" s="498" t="str">
        <f>+"Costo líquido por " &amp; K174 &amp;  "(líquido pagable Bs.)"</f>
        <v>Costo líquido por 0(líquido pagable Bs.)</v>
      </c>
      <c r="J177" s="498"/>
      <c r="K177" s="498"/>
      <c r="L177" s="498"/>
      <c r="M177" s="498"/>
      <c r="N177" s="498"/>
      <c r="O177" s="29">
        <f>LOOKUP(I174,HOJA_DE_TRABAJO!A157:A168,HOJA_DE_TRABAJO!E157:E168)</f>
        <v>0</v>
      </c>
      <c r="Q177" s="19"/>
    </row>
    <row r="178" spans="1:18" x14ac:dyDescent="0.2">
      <c r="A178" s="30" t="s">
        <v>1403</v>
      </c>
      <c r="B178" s="28"/>
      <c r="C178" s="28"/>
      <c r="D178" s="28"/>
      <c r="E178" s="28"/>
      <c r="F178" s="28"/>
      <c r="G178" s="29"/>
      <c r="H178" s="25"/>
      <c r="I178" s="30" t="s">
        <v>1403</v>
      </c>
      <c r="J178" s="28"/>
      <c r="K178" s="28"/>
      <c r="L178" s="28"/>
      <c r="M178" s="28"/>
      <c r="N178" s="28"/>
      <c r="O178" s="29"/>
      <c r="P178" s="19"/>
      <c r="Q178" s="20"/>
    </row>
    <row r="179" spans="1:18" ht="15" x14ac:dyDescent="0.25">
      <c r="A179" s="31" t="s">
        <v>1394</v>
      </c>
      <c r="B179" s="28"/>
      <c r="C179" s="28"/>
      <c r="D179" s="28"/>
      <c r="E179" s="28"/>
      <c r="F179" s="32">
        <f>+SUM(E180:E181)</f>
        <v>0.155</v>
      </c>
      <c r="G179" s="29">
        <f>LOOKUP(A174,HOJA_DE_TRABAJO!A157:A168,HOJA_DE_TRABAJO!H157:H168)</f>
        <v>0</v>
      </c>
      <c r="H179" s="25"/>
      <c r="I179" s="31" t="s">
        <v>1394</v>
      </c>
      <c r="J179" s="28"/>
      <c r="K179" s="28"/>
      <c r="L179" s="28"/>
      <c r="M179" s="28"/>
      <c r="N179" s="32">
        <f>+SUM(M180:M181)</f>
        <v>0.155</v>
      </c>
      <c r="O179" s="29">
        <f>LOOKUP(I174,HOJA_DE_TRABAJO!A157:A168,HOJA_DE_TRABAJO!H157:H168)</f>
        <v>0</v>
      </c>
      <c r="Q179" s="20"/>
    </row>
    <row r="180" spans="1:18" x14ac:dyDescent="0.2">
      <c r="A180" s="33" t="s">
        <v>1395</v>
      </c>
      <c r="B180" s="28"/>
      <c r="C180" s="28"/>
      <c r="D180" s="28"/>
      <c r="E180" s="34">
        <v>0.125</v>
      </c>
      <c r="F180" s="28"/>
      <c r="G180" s="29"/>
      <c r="H180" s="25"/>
      <c r="I180" s="33" t="s">
        <v>1395</v>
      </c>
      <c r="J180" s="28"/>
      <c r="K180" s="28"/>
      <c r="L180" s="28"/>
      <c r="M180" s="34">
        <v>0.125</v>
      </c>
      <c r="N180" s="28"/>
      <c r="O180" s="29"/>
      <c r="Q180" s="20"/>
    </row>
    <row r="181" spans="1:18" x14ac:dyDescent="0.2">
      <c r="A181" s="33" t="s">
        <v>1396</v>
      </c>
      <c r="B181" s="28"/>
      <c r="C181" s="28"/>
      <c r="D181" s="28"/>
      <c r="E181" s="34">
        <v>0.03</v>
      </c>
      <c r="F181" s="28"/>
      <c r="G181" s="29"/>
      <c r="H181" s="25"/>
      <c r="I181" s="33" t="s">
        <v>1396</v>
      </c>
      <c r="J181" s="28"/>
      <c r="K181" s="28"/>
      <c r="L181" s="28"/>
      <c r="M181" s="34">
        <v>0.03</v>
      </c>
      <c r="N181" s="28"/>
      <c r="O181" s="29"/>
      <c r="Q181" s="20"/>
    </row>
    <row r="182" spans="1:18" x14ac:dyDescent="0.2">
      <c r="A182" s="35" t="s">
        <v>1404</v>
      </c>
      <c r="B182" s="28"/>
      <c r="C182" s="28"/>
      <c r="D182" s="28"/>
      <c r="E182" s="34"/>
      <c r="F182" s="28"/>
      <c r="G182" s="29">
        <f>((HOJA_DE_TRABAJO!$I$23+HOJA_DE_TRABAJO!$E$256)*(LOOKUP(A174,HOJA_DE_TRABAJO!A157:A168,HOJA_DE_TRABAJO!G157:G168)))</f>
        <v>0</v>
      </c>
      <c r="H182" s="25"/>
      <c r="I182" s="35" t="s">
        <v>1404</v>
      </c>
      <c r="J182" s="28"/>
      <c r="K182" s="28"/>
      <c r="L182" s="28"/>
      <c r="M182" s="34"/>
      <c r="N182" s="28"/>
      <c r="O182" s="29">
        <f>((HOJA_DE_TRABAJO!$I$23+HOJA_DE_TRABAJO!$E$256)*(LOOKUP(I174,HOJA_DE_TRABAJO!A157:A168,HOJA_DE_TRABAJO!G157:G168)))</f>
        <v>0</v>
      </c>
      <c r="Q182" s="19"/>
    </row>
    <row r="183" spans="1:18" x14ac:dyDescent="0.2">
      <c r="A183" s="35" t="s">
        <v>1387</v>
      </c>
      <c r="B183" s="28"/>
      <c r="C183" s="28"/>
      <c r="D183" s="28"/>
      <c r="E183" s="94">
        <f>(HOJA_DE_TRABAJO!D259)</f>
        <v>5.4487179487179495E-4</v>
      </c>
      <c r="F183" s="28"/>
      <c r="G183" s="29">
        <f>+HOJA_DE_TRABAJO!$E$259*(LOOKUP(A174,HOJA_DE_TRABAJO!A157:A168,HOJA_DE_TRABAJO!G157:G168))</f>
        <v>0</v>
      </c>
      <c r="H183" s="25"/>
      <c r="I183" s="35" t="s">
        <v>1387</v>
      </c>
      <c r="J183" s="28"/>
      <c r="K183" s="28"/>
      <c r="L183" s="28"/>
      <c r="M183" s="94">
        <f>(HOJA_DE_TRABAJO!D259)</f>
        <v>5.4487179487179495E-4</v>
      </c>
      <c r="N183" s="28"/>
      <c r="O183" s="29">
        <f>+HOJA_DE_TRABAJO!$E$259*(LOOKUP(I174,HOJA_DE_TRABAJO!A157:A168,HOJA_DE_TRABAJO!G157:G168))</f>
        <v>0</v>
      </c>
      <c r="Q183" s="19"/>
    </row>
    <row r="184" spans="1:18" x14ac:dyDescent="0.2">
      <c r="A184" s="36" t="s">
        <v>1405</v>
      </c>
      <c r="B184" s="37"/>
      <c r="C184" s="37"/>
      <c r="D184" s="37"/>
      <c r="E184" s="38">
        <f>IF(OR(HOJA_DE_TRABAJO!I262="",HOJA_DE_TRABAJO!I262=0),HOJA_DE_TRABAJO!C262,HOJA_DE_TRABAJO!I262)</f>
        <v>0.15</v>
      </c>
      <c r="F184" s="37"/>
      <c r="G184" s="39">
        <f>+(G179+G182+G183)*E184</f>
        <v>0</v>
      </c>
      <c r="H184" s="25"/>
      <c r="I184" s="36" t="s">
        <v>1405</v>
      </c>
      <c r="J184" s="37"/>
      <c r="K184" s="37"/>
      <c r="L184" s="37"/>
      <c r="M184" s="38">
        <f>IF(OR(HOJA_DE_TRABAJO!I262="",HOJA_DE_TRABAJO!I262=0),HOJA_DE_TRABAJO!C262,HOJA_DE_TRABAJO!I262)</f>
        <v>0.15</v>
      </c>
      <c r="N184" s="37"/>
      <c r="O184" s="39">
        <f>+(O179+O182+O183)*M184</f>
        <v>0</v>
      </c>
      <c r="Q184" s="19"/>
      <c r="R184" s="19"/>
    </row>
    <row r="185" spans="1:18" ht="15" x14ac:dyDescent="0.25">
      <c r="A185" s="40" t="s">
        <v>1406</v>
      </c>
      <c r="B185" s="41"/>
      <c r="C185" s="41"/>
      <c r="D185" s="41"/>
      <c r="E185" s="41"/>
      <c r="F185" s="41"/>
      <c r="G185" s="42">
        <f>+SUM(G179:G184)</f>
        <v>0</v>
      </c>
      <c r="H185" s="26"/>
      <c r="I185" s="40" t="s">
        <v>1372</v>
      </c>
      <c r="J185" s="41"/>
      <c r="K185" s="41"/>
      <c r="L185" s="41"/>
      <c r="M185" s="41"/>
      <c r="N185" s="41"/>
      <c r="O185" s="42">
        <f>+SUM(O179:O184)</f>
        <v>0</v>
      </c>
    </row>
    <row r="186" spans="1:18" x14ac:dyDescent="0.2">
      <c r="A186" s="35" t="s">
        <v>1371</v>
      </c>
      <c r="B186" s="28"/>
      <c r="C186" s="28"/>
      <c r="D186" s="28"/>
      <c r="E186" s="32">
        <f>+B187+B188</f>
        <v>0.16</v>
      </c>
      <c r="F186" s="28"/>
      <c r="G186" s="29">
        <f>+G189-G185</f>
        <v>0</v>
      </c>
      <c r="H186" s="25"/>
      <c r="I186" s="35" t="s">
        <v>1371</v>
      </c>
      <c r="J186" s="28"/>
      <c r="K186" s="28"/>
      <c r="L186" s="28"/>
      <c r="M186" s="32">
        <f>+J187+J188</f>
        <v>0.16</v>
      </c>
      <c r="N186" s="28"/>
      <c r="O186" s="29">
        <f>+O189-O185</f>
        <v>0</v>
      </c>
    </row>
    <row r="187" spans="1:18" x14ac:dyDescent="0.2">
      <c r="A187" s="43" t="s">
        <v>1370</v>
      </c>
      <c r="B187" s="44">
        <v>0.13</v>
      </c>
      <c r="C187" s="28"/>
      <c r="D187" s="28"/>
      <c r="E187" s="34"/>
      <c r="F187" s="28"/>
      <c r="G187" s="29"/>
      <c r="H187" s="25"/>
      <c r="I187" s="43" t="s">
        <v>1370</v>
      </c>
      <c r="J187" s="44">
        <v>0.13</v>
      </c>
      <c r="K187" s="28"/>
      <c r="L187" s="28"/>
      <c r="M187" s="34"/>
      <c r="N187" s="28"/>
      <c r="O187" s="29"/>
    </row>
    <row r="188" spans="1:18" x14ac:dyDescent="0.2">
      <c r="A188" s="45" t="s">
        <v>1369</v>
      </c>
      <c r="B188" s="46">
        <v>0.03</v>
      </c>
      <c r="C188" s="37"/>
      <c r="D188" s="37"/>
      <c r="E188" s="47"/>
      <c r="F188" s="37"/>
      <c r="G188" s="39"/>
      <c r="H188" s="25"/>
      <c r="I188" s="45" t="s">
        <v>1369</v>
      </c>
      <c r="J188" s="46">
        <v>0.03</v>
      </c>
      <c r="K188" s="37"/>
      <c r="L188" s="37"/>
      <c r="M188" s="47"/>
      <c r="N188" s="37"/>
      <c r="O188" s="39"/>
    </row>
    <row r="189" spans="1:18" ht="15" x14ac:dyDescent="0.25">
      <c r="A189" s="40" t="s">
        <v>1407</v>
      </c>
      <c r="B189" s="41"/>
      <c r="C189" s="41"/>
      <c r="D189" s="41"/>
      <c r="E189" s="41"/>
      <c r="F189" s="41"/>
      <c r="G189" s="42">
        <f>IFERROR((G185/0.84),0)</f>
        <v>0</v>
      </c>
      <c r="H189" s="26"/>
      <c r="I189" s="40" t="s">
        <v>1407</v>
      </c>
      <c r="J189" s="41"/>
      <c r="K189" s="41"/>
      <c r="L189" s="41"/>
      <c r="M189" s="41"/>
      <c r="N189" s="41"/>
      <c r="O189" s="42">
        <f>IFERROR((O185/0.84),0)</f>
        <v>0</v>
      </c>
    </row>
  </sheetData>
  <mergeCells count="90">
    <mergeCell ref="A9:F9"/>
    <mergeCell ref="I9:N9"/>
    <mergeCell ref="E2:K2"/>
    <mergeCell ref="A7:G7"/>
    <mergeCell ref="I7:O7"/>
    <mergeCell ref="C6:E6"/>
    <mergeCell ref="K6:M6"/>
    <mergeCell ref="A5:G5"/>
    <mergeCell ref="I5:O5"/>
    <mergeCell ref="A3:C3"/>
    <mergeCell ref="A28:G28"/>
    <mergeCell ref="I28:O28"/>
    <mergeCell ref="A30:F30"/>
    <mergeCell ref="I30:N30"/>
    <mergeCell ref="E23:K23"/>
    <mergeCell ref="A24:C24"/>
    <mergeCell ref="A26:G26"/>
    <mergeCell ref="I26:O26"/>
    <mergeCell ref="C27:E27"/>
    <mergeCell ref="K27:M27"/>
    <mergeCell ref="E44:K44"/>
    <mergeCell ref="A45:C45"/>
    <mergeCell ref="A47:G47"/>
    <mergeCell ref="I47:O47"/>
    <mergeCell ref="C48:E48"/>
    <mergeCell ref="K48:M48"/>
    <mergeCell ref="A49:G49"/>
    <mergeCell ref="I49:O49"/>
    <mergeCell ref="A51:F51"/>
    <mergeCell ref="I51:N51"/>
    <mergeCell ref="E65:K65"/>
    <mergeCell ref="A66:C66"/>
    <mergeCell ref="A68:G68"/>
    <mergeCell ref="I68:O68"/>
    <mergeCell ref="C69:E69"/>
    <mergeCell ref="K69:M69"/>
    <mergeCell ref="A70:G70"/>
    <mergeCell ref="I70:O70"/>
    <mergeCell ref="A72:F72"/>
    <mergeCell ref="I72:N72"/>
    <mergeCell ref="E86:K86"/>
    <mergeCell ref="A87:C87"/>
    <mergeCell ref="A89:G89"/>
    <mergeCell ref="I89:O89"/>
    <mergeCell ref="C90:E90"/>
    <mergeCell ref="K90:M90"/>
    <mergeCell ref="A91:G91"/>
    <mergeCell ref="I91:O91"/>
    <mergeCell ref="A93:F93"/>
    <mergeCell ref="I93:N93"/>
    <mergeCell ref="E107:K107"/>
    <mergeCell ref="A108:C108"/>
    <mergeCell ref="A110:G110"/>
    <mergeCell ref="I110:O110"/>
    <mergeCell ref="C111:E111"/>
    <mergeCell ref="K111:M111"/>
    <mergeCell ref="A112:G112"/>
    <mergeCell ref="I112:O112"/>
    <mergeCell ref="A114:F114"/>
    <mergeCell ref="I114:N114"/>
    <mergeCell ref="E128:K128"/>
    <mergeCell ref="A129:C129"/>
    <mergeCell ref="A131:G131"/>
    <mergeCell ref="I131:O131"/>
    <mergeCell ref="C132:E132"/>
    <mergeCell ref="K132:M132"/>
    <mergeCell ref="A133:G133"/>
    <mergeCell ref="I133:O133"/>
    <mergeCell ref="A135:F135"/>
    <mergeCell ref="I135:N135"/>
    <mergeCell ref="E149:K149"/>
    <mergeCell ref="A150:C150"/>
    <mergeCell ref="A152:G152"/>
    <mergeCell ref="I152:O152"/>
    <mergeCell ref="C153:E153"/>
    <mergeCell ref="K153:M153"/>
    <mergeCell ref="A154:G154"/>
    <mergeCell ref="I154:O154"/>
    <mergeCell ref="A156:F156"/>
    <mergeCell ref="I156:N156"/>
    <mergeCell ref="E170:K170"/>
    <mergeCell ref="A175:G175"/>
    <mergeCell ref="I175:O175"/>
    <mergeCell ref="A177:F177"/>
    <mergeCell ref="I177:N177"/>
    <mergeCell ref="A171:C171"/>
    <mergeCell ref="A173:G173"/>
    <mergeCell ref="I173:O173"/>
    <mergeCell ref="C174:E174"/>
    <mergeCell ref="K174:M174"/>
  </mergeCells>
  <pageMargins left="0.7" right="0.7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Drop Down 2">
              <controlPr defaultSize="0" autoLine="0" autoPict="0">
                <anchor moveWithCells="1">
                  <from>
                    <xdr:col>0</xdr:col>
                    <xdr:colOff>95250</xdr:colOff>
                    <xdr:row>3</xdr:row>
                    <xdr:rowOff>0</xdr:rowOff>
                  </from>
                  <to>
                    <xdr:col>3</xdr:col>
                    <xdr:colOff>171450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Drop Down 3">
              <controlPr defaultSize="0" autoLine="0" autoPict="0">
                <anchor moveWithCells="1">
                  <from>
                    <xdr:col>0</xdr:col>
                    <xdr:colOff>95250</xdr:colOff>
                    <xdr:row>24</xdr:row>
                    <xdr:rowOff>0</xdr:rowOff>
                  </from>
                  <to>
                    <xdr:col>3</xdr:col>
                    <xdr:colOff>171450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Drop Down 4">
              <controlPr defaultSize="0" autoLine="0" autoPict="0">
                <anchor moveWithCells="1">
                  <from>
                    <xdr:col>0</xdr:col>
                    <xdr:colOff>95250</xdr:colOff>
                    <xdr:row>45</xdr:row>
                    <xdr:rowOff>0</xdr:rowOff>
                  </from>
                  <to>
                    <xdr:col>3</xdr:col>
                    <xdr:colOff>171450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Drop Down 5">
              <controlPr defaultSize="0" autoLine="0" autoPict="0">
                <anchor moveWithCells="1">
                  <from>
                    <xdr:col>0</xdr:col>
                    <xdr:colOff>95250</xdr:colOff>
                    <xdr:row>66</xdr:row>
                    <xdr:rowOff>0</xdr:rowOff>
                  </from>
                  <to>
                    <xdr:col>3</xdr:col>
                    <xdr:colOff>171450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8" name="Drop Down 6">
              <controlPr defaultSize="0" autoLine="0" autoPict="0">
                <anchor moveWithCells="1">
                  <from>
                    <xdr:col>0</xdr:col>
                    <xdr:colOff>95250</xdr:colOff>
                    <xdr:row>87</xdr:row>
                    <xdr:rowOff>0</xdr:rowOff>
                  </from>
                  <to>
                    <xdr:col>3</xdr:col>
                    <xdr:colOff>171450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9" name="Drop Down 7">
              <controlPr defaultSize="0" autoLine="0" autoPict="0">
                <anchor moveWithCells="1">
                  <from>
                    <xdr:col>0</xdr:col>
                    <xdr:colOff>95250</xdr:colOff>
                    <xdr:row>108</xdr:row>
                    <xdr:rowOff>0</xdr:rowOff>
                  </from>
                  <to>
                    <xdr:col>3</xdr:col>
                    <xdr:colOff>171450</xdr:colOff>
                    <xdr:row>108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0" name="Drop Down 8">
              <controlPr defaultSize="0" autoLine="0" autoPict="0">
                <anchor moveWithCells="1">
                  <from>
                    <xdr:col>0</xdr:col>
                    <xdr:colOff>95250</xdr:colOff>
                    <xdr:row>129</xdr:row>
                    <xdr:rowOff>0</xdr:rowOff>
                  </from>
                  <to>
                    <xdr:col>3</xdr:col>
                    <xdr:colOff>171450</xdr:colOff>
                    <xdr:row>129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1" name="Drop Down 9">
              <controlPr defaultSize="0" autoLine="0" autoPict="0">
                <anchor moveWithCells="1">
                  <from>
                    <xdr:col>0</xdr:col>
                    <xdr:colOff>95250</xdr:colOff>
                    <xdr:row>150</xdr:row>
                    <xdr:rowOff>0</xdr:rowOff>
                  </from>
                  <to>
                    <xdr:col>3</xdr:col>
                    <xdr:colOff>171450</xdr:colOff>
                    <xdr:row>150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2" name="Drop Down 10">
              <controlPr defaultSize="0" autoLine="0" autoPict="0">
                <anchor moveWithCells="1">
                  <from>
                    <xdr:col>0</xdr:col>
                    <xdr:colOff>95250</xdr:colOff>
                    <xdr:row>171</xdr:row>
                    <xdr:rowOff>0</xdr:rowOff>
                  </from>
                  <to>
                    <xdr:col>3</xdr:col>
                    <xdr:colOff>171450</xdr:colOff>
                    <xdr:row>171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91"/>
  <sheetViews>
    <sheetView workbookViewId="0">
      <selection activeCell="H5" sqref="H5"/>
    </sheetView>
  </sheetViews>
  <sheetFormatPr baseColWidth="10" defaultRowHeight="15" x14ac:dyDescent="0.25"/>
  <cols>
    <col min="2" max="2" width="15.42578125" customWidth="1"/>
    <col min="3" max="3" width="14.7109375" customWidth="1"/>
    <col min="4" max="4" width="13.140625" customWidth="1"/>
    <col min="5" max="5" width="16" customWidth="1"/>
    <col min="8" max="8" width="11.42578125" style="57"/>
    <col min="10" max="10" width="11.85546875" style="57" bestFit="1" customWidth="1"/>
  </cols>
  <sheetData>
    <row r="1" spans="1:15" ht="55.5" customHeight="1" x14ac:dyDescent="0.25">
      <c r="A1" s="386" t="s">
        <v>1599</v>
      </c>
      <c r="B1" s="386" t="s">
        <v>1600</v>
      </c>
      <c r="C1" s="386" t="s">
        <v>1601</v>
      </c>
      <c r="D1" s="386" t="s">
        <v>1602</v>
      </c>
      <c r="E1" s="386" t="s">
        <v>1606</v>
      </c>
      <c r="F1" s="387"/>
      <c r="G1" s="386" t="s">
        <v>1603</v>
      </c>
      <c r="H1" s="386" t="s">
        <v>1604</v>
      </c>
      <c r="I1" s="386" t="s">
        <v>1605</v>
      </c>
      <c r="J1" s="386" t="s">
        <v>1611</v>
      </c>
      <c r="K1" s="386" t="s">
        <v>1607</v>
      </c>
      <c r="L1" s="386" t="s">
        <v>1610</v>
      </c>
      <c r="M1" s="386" t="s">
        <v>1608</v>
      </c>
      <c r="N1" s="386" t="s">
        <v>1609</v>
      </c>
      <c r="O1" s="389" t="s">
        <v>1612</v>
      </c>
    </row>
    <row r="2" spans="1:15" ht="15.75" x14ac:dyDescent="0.25">
      <c r="A2" s="221" t="s">
        <v>1596</v>
      </c>
      <c r="B2" s="222">
        <v>2</v>
      </c>
      <c r="C2" s="223">
        <v>10</v>
      </c>
      <c r="D2" s="224">
        <v>2500</v>
      </c>
      <c r="E2" s="384">
        <f>D2/0.845</f>
        <v>2958.5798816568049</v>
      </c>
      <c r="F2" s="384">
        <f>E2/HOJA_DE_TRABAJO!$E$184</f>
        <v>3.5176586464049524E-2</v>
      </c>
      <c r="G2">
        <f>B2*C2*E2</f>
        <v>59171.597633136102</v>
      </c>
      <c r="H2" s="10">
        <f>(HOJA_DE_TRABAJO!$I$23+HOJA_DE_TRABAJO!$E$256)*F2</f>
        <v>554.18390310353595</v>
      </c>
      <c r="I2">
        <f>F2*HOJA_DE_TRABAJO!$E$259</f>
        <v>247.62412018227405</v>
      </c>
      <c r="J2" s="385">
        <f>IF(OR(HOJA_DE_TRABAJO!$I$262="",HOJA_DE_TRABAJO!$I$262=0),HOJA_DE_TRABAJO!$C$262,HOJA_DE_TRABAJO!$I$262)</f>
        <v>0.15</v>
      </c>
      <c r="K2" s="384">
        <f>(E2+H2+I2)*J2</f>
        <v>564.05818574139221</v>
      </c>
      <c r="L2" s="384">
        <f>E2+H2+I2+K2</f>
        <v>4324.4460906840068</v>
      </c>
      <c r="M2" s="384">
        <f>N2-L2</f>
        <v>823.70401727314402</v>
      </c>
      <c r="N2" s="384">
        <f>IF(A2="","",L2/0.84)</f>
        <v>5148.1501079571508</v>
      </c>
      <c r="O2" t="str">
        <f ca="1">LOOKUP(A2,HOJA_DE_TRABAJO!B29:B40,HOJA_DE_TRABAJO!D27)</f>
        <v xml:space="preserve">COCHABAMBA </v>
      </c>
    </row>
    <row r="3" spans="1:15" ht="15.75" x14ac:dyDescent="0.25">
      <c r="A3" s="221" t="s">
        <v>1597</v>
      </c>
      <c r="B3" s="222">
        <v>1</v>
      </c>
      <c r="C3" s="223">
        <v>1</v>
      </c>
      <c r="D3" s="224">
        <v>1000</v>
      </c>
      <c r="E3" s="384">
        <f t="shared" ref="E3:E66" si="0">D3/0.845</f>
        <v>1183.4319526627219</v>
      </c>
      <c r="F3" s="384">
        <f>E3/HOJA_DE_TRABAJO!$E$184</f>
        <v>1.4070634585619808E-2</v>
      </c>
      <c r="G3" s="57">
        <f t="shared" ref="G3:G66" si="1">B3*C3*E3</f>
        <v>1183.4319526627219</v>
      </c>
      <c r="H3" s="10">
        <f>(HOJA_DE_TRABAJO!$I$23+HOJA_DE_TRABAJO!$E$256)*F3</f>
        <v>221.67356124141438</v>
      </c>
      <c r="I3" s="57">
        <f>F3*HOJA_DE_TRABAJO!$E$259</f>
        <v>99.049648072909619</v>
      </c>
      <c r="J3" s="385">
        <f>IF(OR(HOJA_DE_TRABAJO!$I$262="",HOJA_DE_TRABAJO!$I$262=0),HOJA_DE_TRABAJO!$C$262,HOJA_DE_TRABAJO!$I$262)</f>
        <v>0.15</v>
      </c>
      <c r="K3" s="384">
        <f t="shared" ref="K3:K66" si="2">(E3+H3+I3)*J3</f>
        <v>225.62327429655684</v>
      </c>
      <c r="L3" s="384">
        <f t="shared" ref="L3:L66" si="3">E3+H3+I3+K3</f>
        <v>1729.7784362736027</v>
      </c>
      <c r="M3" s="384">
        <f t="shared" ref="M3:M66" si="4">N3-L3</f>
        <v>329.48160690925783</v>
      </c>
      <c r="N3" s="384">
        <f t="shared" ref="N3:N66" si="5">IF(A3="","",L3/0.84)</f>
        <v>2059.2600431828605</v>
      </c>
      <c r="O3" s="57"/>
    </row>
    <row r="4" spans="1:15" ht="15.75" x14ac:dyDescent="0.25">
      <c r="A4" s="221" t="s">
        <v>1598</v>
      </c>
      <c r="B4" s="222">
        <v>4</v>
      </c>
      <c r="C4" s="223">
        <v>1</v>
      </c>
      <c r="D4" s="224">
        <v>2500</v>
      </c>
      <c r="E4" s="384">
        <f t="shared" si="0"/>
        <v>2958.5798816568049</v>
      </c>
      <c r="F4" s="384">
        <f>E4/HOJA_DE_TRABAJO!$E$184</f>
        <v>3.5176586464049524E-2</v>
      </c>
      <c r="G4" s="57">
        <f t="shared" si="1"/>
        <v>11834.31952662722</v>
      </c>
      <c r="H4" s="10">
        <f>(HOJA_DE_TRABAJO!$I$23+HOJA_DE_TRABAJO!$E$256)*F4</f>
        <v>554.18390310353595</v>
      </c>
      <c r="I4" s="57">
        <f>F4*HOJA_DE_TRABAJO!$E$259</f>
        <v>247.62412018227405</v>
      </c>
      <c r="J4" s="385">
        <f>IF(OR(HOJA_DE_TRABAJO!$I$262="",HOJA_DE_TRABAJO!$I$262=0),HOJA_DE_TRABAJO!$C$262,HOJA_DE_TRABAJO!$I$262)</f>
        <v>0.15</v>
      </c>
      <c r="K4" s="384">
        <f t="shared" si="2"/>
        <v>564.05818574139221</v>
      </c>
      <c r="L4" s="384">
        <f t="shared" si="3"/>
        <v>4324.4460906840068</v>
      </c>
      <c r="M4" s="384">
        <f t="shared" si="4"/>
        <v>823.70401727314402</v>
      </c>
      <c r="N4" s="384">
        <f t="shared" si="5"/>
        <v>5148.1501079571508</v>
      </c>
    </row>
    <row r="5" spans="1:15" ht="15.75" x14ac:dyDescent="0.25">
      <c r="A5" s="221" t="s">
        <v>1579</v>
      </c>
      <c r="B5" s="222">
        <v>1</v>
      </c>
      <c r="C5" s="223">
        <v>2</v>
      </c>
      <c r="D5" s="224">
        <v>1500</v>
      </c>
      <c r="E5" s="384">
        <f t="shared" si="0"/>
        <v>1775.1479289940828</v>
      </c>
      <c r="F5" s="384">
        <f>E5/HOJA_DE_TRABAJO!$E$184</f>
        <v>2.1105951878429712E-2</v>
      </c>
      <c r="G5" s="57">
        <f t="shared" si="1"/>
        <v>3550.2958579881656</v>
      </c>
      <c r="H5" s="10">
        <f>(HOJA_DE_TRABAJO!$I$23+HOJA_DE_TRABAJO!$E$256)*F5</f>
        <v>332.51034186212155</v>
      </c>
      <c r="I5" s="57">
        <f>F5*HOJA_DE_TRABAJO!$E$259</f>
        <v>148.57447210936442</v>
      </c>
      <c r="J5" s="385">
        <f>IF(OR(HOJA_DE_TRABAJO!$I$262="",HOJA_DE_TRABAJO!$I$262=0),HOJA_DE_TRABAJO!$C$262,HOJA_DE_TRABAJO!$I$262)</f>
        <v>0.15</v>
      </c>
      <c r="K5" s="384">
        <f t="shared" si="2"/>
        <v>338.43491144483534</v>
      </c>
      <c r="L5" s="384">
        <f t="shared" si="3"/>
        <v>2594.6676544104043</v>
      </c>
      <c r="M5" s="384">
        <f t="shared" si="4"/>
        <v>494.22241036388687</v>
      </c>
      <c r="N5" s="384">
        <f t="shared" si="5"/>
        <v>3088.8900647742912</v>
      </c>
    </row>
    <row r="6" spans="1:15" ht="15.75" x14ac:dyDescent="0.25">
      <c r="A6" s="221" t="s">
        <v>1580</v>
      </c>
      <c r="B6" s="222">
        <v>2</v>
      </c>
      <c r="C6" s="223">
        <v>2</v>
      </c>
      <c r="D6" s="224">
        <v>1500</v>
      </c>
      <c r="E6" s="384">
        <f t="shared" si="0"/>
        <v>1775.1479289940828</v>
      </c>
      <c r="F6" s="384">
        <f>E6/HOJA_DE_TRABAJO!$E$184</f>
        <v>2.1105951878429712E-2</v>
      </c>
      <c r="G6" s="57">
        <f t="shared" si="1"/>
        <v>7100.5917159763312</v>
      </c>
      <c r="H6" s="10">
        <f>(HOJA_DE_TRABAJO!$I$23+HOJA_DE_TRABAJO!$E$256)*F6</f>
        <v>332.51034186212155</v>
      </c>
      <c r="I6" s="57">
        <f>F6*HOJA_DE_TRABAJO!$E$259</f>
        <v>148.57447210936442</v>
      </c>
      <c r="J6" s="385">
        <f>IF(OR(HOJA_DE_TRABAJO!$I$262="",HOJA_DE_TRABAJO!$I$262=0),HOJA_DE_TRABAJO!$C$262,HOJA_DE_TRABAJO!$I$262)</f>
        <v>0.15</v>
      </c>
      <c r="K6" s="384">
        <f t="shared" si="2"/>
        <v>338.43491144483534</v>
      </c>
      <c r="L6" s="384">
        <f t="shared" si="3"/>
        <v>2594.6676544104043</v>
      </c>
      <c r="M6" s="384">
        <f t="shared" si="4"/>
        <v>494.22241036388687</v>
      </c>
      <c r="N6" s="384">
        <f t="shared" si="5"/>
        <v>3088.8900647742912</v>
      </c>
    </row>
    <row r="7" spans="1:15" ht="15.75" x14ac:dyDescent="0.25">
      <c r="A7" s="243" t="s">
        <v>1581</v>
      </c>
      <c r="B7" s="244">
        <v>1</v>
      </c>
      <c r="C7" s="245">
        <v>1</v>
      </c>
      <c r="D7" s="224">
        <v>105</v>
      </c>
      <c r="E7" s="384">
        <f t="shared" si="0"/>
        <v>124.2603550295858</v>
      </c>
      <c r="F7" s="384">
        <f>E7/HOJA_DE_TRABAJO!$E$184</f>
        <v>1.4774166314900799E-3</v>
      </c>
      <c r="G7" s="57">
        <f t="shared" si="1"/>
        <v>124.2603550295858</v>
      </c>
      <c r="H7" s="10">
        <f>(HOJA_DE_TRABAJO!$I$23+HOJA_DE_TRABAJO!$E$256)*F7</f>
        <v>23.275723930348509</v>
      </c>
      <c r="I7" s="57">
        <f>F7*HOJA_DE_TRABAJO!$E$259</f>
        <v>10.400213047655511</v>
      </c>
      <c r="J7" s="385">
        <f>IF(OR(HOJA_DE_TRABAJO!$I$262="",HOJA_DE_TRABAJO!$I$262=0),HOJA_DE_TRABAJO!$C$262,HOJA_DE_TRABAJO!$I$262)</f>
        <v>0.15</v>
      </c>
      <c r="K7" s="384">
        <f t="shared" si="2"/>
        <v>23.690443801138475</v>
      </c>
      <c r="L7" s="384">
        <f t="shared" si="3"/>
        <v>181.62673580872831</v>
      </c>
      <c r="M7" s="384">
        <f t="shared" si="4"/>
        <v>34.595568725472077</v>
      </c>
      <c r="N7" s="384">
        <f t="shared" si="5"/>
        <v>216.22230453420039</v>
      </c>
    </row>
    <row r="8" spans="1:15" ht="15.75" x14ac:dyDescent="0.25">
      <c r="A8" s="243" t="s">
        <v>1582</v>
      </c>
      <c r="B8" s="244">
        <v>1</v>
      </c>
      <c r="C8" s="245">
        <v>1</v>
      </c>
      <c r="D8" s="224">
        <v>105</v>
      </c>
      <c r="E8" s="384">
        <f t="shared" si="0"/>
        <v>124.2603550295858</v>
      </c>
      <c r="F8" s="384">
        <f>E8/HOJA_DE_TRABAJO!$E$184</f>
        <v>1.4774166314900799E-3</v>
      </c>
      <c r="G8" s="57">
        <f t="shared" si="1"/>
        <v>124.2603550295858</v>
      </c>
      <c r="H8" s="10">
        <f>(HOJA_DE_TRABAJO!$I$23+HOJA_DE_TRABAJO!$E$256)*F8</f>
        <v>23.275723930348509</v>
      </c>
      <c r="I8" s="57">
        <f>F8*HOJA_DE_TRABAJO!$E$259</f>
        <v>10.400213047655511</v>
      </c>
      <c r="J8" s="385">
        <f>IF(OR(HOJA_DE_TRABAJO!$I$262="",HOJA_DE_TRABAJO!$I$262=0),HOJA_DE_TRABAJO!$C$262,HOJA_DE_TRABAJO!$I$262)</f>
        <v>0.15</v>
      </c>
      <c r="K8" s="384">
        <f t="shared" si="2"/>
        <v>23.690443801138475</v>
      </c>
      <c r="L8" s="384">
        <f t="shared" si="3"/>
        <v>181.62673580872831</v>
      </c>
      <c r="M8" s="384">
        <f t="shared" si="4"/>
        <v>34.595568725472077</v>
      </c>
      <c r="N8" s="384">
        <f t="shared" si="5"/>
        <v>216.22230453420039</v>
      </c>
    </row>
    <row r="9" spans="1:15" ht="15.75" x14ac:dyDescent="0.25">
      <c r="A9" s="221" t="s">
        <v>1583</v>
      </c>
      <c r="B9" s="222">
        <v>1</v>
      </c>
      <c r="C9" s="223">
        <v>1</v>
      </c>
      <c r="D9" s="224">
        <v>100</v>
      </c>
      <c r="E9" s="384">
        <f t="shared" si="0"/>
        <v>118.34319526627219</v>
      </c>
      <c r="F9" s="384">
        <f>E9/HOJA_DE_TRABAJO!$E$184</f>
        <v>1.407063458561981E-3</v>
      </c>
      <c r="G9" s="57">
        <f t="shared" si="1"/>
        <v>118.34319526627219</v>
      </c>
      <c r="H9" s="10">
        <f>(HOJA_DE_TRABAJO!$I$23+HOJA_DE_TRABAJO!$E$256)*F9</f>
        <v>22.167356124141442</v>
      </c>
      <c r="I9" s="57">
        <f>F9*HOJA_DE_TRABAJO!$E$259</f>
        <v>9.9049648072909626</v>
      </c>
      <c r="J9" s="385">
        <f>IF(OR(HOJA_DE_TRABAJO!$I$262="",HOJA_DE_TRABAJO!$I$262=0),HOJA_DE_TRABAJO!$C$262,HOJA_DE_TRABAJO!$I$262)</f>
        <v>0.15</v>
      </c>
      <c r="K9" s="384">
        <f t="shared" si="2"/>
        <v>22.562327429655689</v>
      </c>
      <c r="L9" s="384">
        <f t="shared" si="3"/>
        <v>172.97784362736027</v>
      </c>
      <c r="M9" s="384">
        <f t="shared" si="4"/>
        <v>32.948160690925761</v>
      </c>
      <c r="N9" s="384">
        <f t="shared" si="5"/>
        <v>205.92600431828603</v>
      </c>
    </row>
    <row r="10" spans="1:15" ht="15.75" x14ac:dyDescent="0.25">
      <c r="A10" s="221" t="s">
        <v>1584</v>
      </c>
      <c r="B10" s="222">
        <v>1</v>
      </c>
      <c r="C10" s="223">
        <v>2</v>
      </c>
      <c r="D10" s="224">
        <v>100</v>
      </c>
      <c r="E10" s="384">
        <f t="shared" si="0"/>
        <v>118.34319526627219</v>
      </c>
      <c r="F10" s="384">
        <f>E10/HOJA_DE_TRABAJO!$E$184</f>
        <v>1.407063458561981E-3</v>
      </c>
      <c r="G10" s="57">
        <f t="shared" si="1"/>
        <v>236.68639053254438</v>
      </c>
      <c r="H10" s="10">
        <f>(HOJA_DE_TRABAJO!$I$23+HOJA_DE_TRABAJO!$E$256)*F10</f>
        <v>22.167356124141442</v>
      </c>
      <c r="I10" s="57">
        <f>F10*HOJA_DE_TRABAJO!$E$259</f>
        <v>9.9049648072909626</v>
      </c>
      <c r="J10" s="385">
        <f>IF(OR(HOJA_DE_TRABAJO!$I$262="",HOJA_DE_TRABAJO!$I$262=0),HOJA_DE_TRABAJO!$C$262,HOJA_DE_TRABAJO!$I$262)</f>
        <v>0.15</v>
      </c>
      <c r="K10" s="384">
        <f t="shared" si="2"/>
        <v>22.562327429655689</v>
      </c>
      <c r="L10" s="384">
        <f t="shared" si="3"/>
        <v>172.97784362736027</v>
      </c>
      <c r="M10" s="384">
        <f t="shared" si="4"/>
        <v>32.948160690925761</v>
      </c>
      <c r="N10" s="384">
        <f t="shared" si="5"/>
        <v>205.92600431828603</v>
      </c>
    </row>
    <row r="11" spans="1:15" ht="15.75" x14ac:dyDescent="0.25">
      <c r="A11" s="243" t="s">
        <v>1585</v>
      </c>
      <c r="B11" s="244">
        <v>1</v>
      </c>
      <c r="C11" s="244">
        <v>1</v>
      </c>
      <c r="D11" s="224">
        <v>50</v>
      </c>
      <c r="E11" s="384">
        <f t="shared" si="0"/>
        <v>59.171597633136095</v>
      </c>
      <c r="F11" s="384">
        <f>E11/HOJA_DE_TRABAJO!$E$184</f>
        <v>7.0353172928099049E-4</v>
      </c>
      <c r="G11" s="57">
        <f t="shared" si="1"/>
        <v>59.171597633136095</v>
      </c>
      <c r="H11" s="10">
        <f>(HOJA_DE_TRABAJO!$I$23+HOJA_DE_TRABAJO!$E$256)*F11</f>
        <v>11.083678062070721</v>
      </c>
      <c r="I11" s="57">
        <f>F11*HOJA_DE_TRABAJO!$E$259</f>
        <v>4.9524824036454813</v>
      </c>
      <c r="J11" s="385">
        <f>IF(OR(HOJA_DE_TRABAJO!$I$262="",HOJA_DE_TRABAJO!$I$262=0),HOJA_DE_TRABAJO!$C$262,HOJA_DE_TRABAJO!$I$262)</f>
        <v>0.15</v>
      </c>
      <c r="K11" s="384">
        <f t="shared" si="2"/>
        <v>11.281163714827844</v>
      </c>
      <c r="L11" s="384">
        <f t="shared" si="3"/>
        <v>86.488921813680136</v>
      </c>
      <c r="M11" s="384">
        <f t="shared" si="4"/>
        <v>16.47408034546288</v>
      </c>
      <c r="N11" s="384">
        <f t="shared" si="5"/>
        <v>102.96300215914302</v>
      </c>
    </row>
    <row r="12" spans="1:15" ht="15.75" x14ac:dyDescent="0.25">
      <c r="A12" s="243" t="s">
        <v>1586</v>
      </c>
      <c r="B12" s="244">
        <v>1</v>
      </c>
      <c r="C12" s="244">
        <v>1</v>
      </c>
      <c r="D12" s="224">
        <v>50</v>
      </c>
      <c r="E12" s="384">
        <f t="shared" si="0"/>
        <v>59.171597633136095</v>
      </c>
      <c r="F12" s="384">
        <f>E12/HOJA_DE_TRABAJO!$E$184</f>
        <v>7.0353172928099049E-4</v>
      </c>
      <c r="G12" s="57">
        <f t="shared" si="1"/>
        <v>59.171597633136095</v>
      </c>
      <c r="H12" s="10">
        <f>(HOJA_DE_TRABAJO!$I$23+HOJA_DE_TRABAJO!$E$256)*F12</f>
        <v>11.083678062070721</v>
      </c>
      <c r="I12" s="57">
        <f>F12*HOJA_DE_TRABAJO!$E$259</f>
        <v>4.9524824036454813</v>
      </c>
      <c r="J12" s="385">
        <f>IF(OR(HOJA_DE_TRABAJO!$I$262="",HOJA_DE_TRABAJO!$I$262=0),HOJA_DE_TRABAJO!$C$262,HOJA_DE_TRABAJO!$I$262)</f>
        <v>0.15</v>
      </c>
      <c r="K12" s="384">
        <f t="shared" si="2"/>
        <v>11.281163714827844</v>
      </c>
      <c r="L12" s="384">
        <f t="shared" si="3"/>
        <v>86.488921813680136</v>
      </c>
      <c r="M12" s="384">
        <f t="shared" si="4"/>
        <v>16.47408034546288</v>
      </c>
      <c r="N12" s="384">
        <f t="shared" si="5"/>
        <v>102.96300215914302</v>
      </c>
    </row>
    <row r="13" spans="1:15" ht="15.75" x14ac:dyDescent="0.25">
      <c r="A13" s="221" t="s">
        <v>1591</v>
      </c>
      <c r="B13" s="222">
        <v>2</v>
      </c>
      <c r="C13" s="222">
        <v>2</v>
      </c>
      <c r="D13" s="224">
        <v>10</v>
      </c>
      <c r="E13" s="384">
        <f t="shared" si="0"/>
        <v>11.834319526627219</v>
      </c>
      <c r="F13" s="384">
        <f>E13/HOJA_DE_TRABAJO!$E$184</f>
        <v>1.4070634585619808E-4</v>
      </c>
      <c r="G13" s="57">
        <f t="shared" si="1"/>
        <v>47.337278106508876</v>
      </c>
      <c r="H13" s="10">
        <f>(HOJA_DE_TRABAJO!$I$23+HOJA_DE_TRABAJO!$E$256)*F13</f>
        <v>2.2167356124141437</v>
      </c>
      <c r="I13" s="57">
        <f>F13*HOJA_DE_TRABAJO!$E$259</f>
        <v>0.99049648072909613</v>
      </c>
      <c r="J13" s="385">
        <f>IF(OR(HOJA_DE_TRABAJO!$I$262="",HOJA_DE_TRABAJO!$I$262=0),HOJA_DE_TRABAJO!$C$262,HOJA_DE_TRABAJO!$I$262)</f>
        <v>0.15</v>
      </c>
      <c r="K13" s="384">
        <f t="shared" si="2"/>
        <v>2.2562327429655689</v>
      </c>
      <c r="L13" s="384">
        <f t="shared" si="3"/>
        <v>17.297784362736028</v>
      </c>
      <c r="M13" s="384">
        <f t="shared" si="4"/>
        <v>3.2948160690925761</v>
      </c>
      <c r="N13" s="384">
        <f t="shared" si="5"/>
        <v>20.592600431828604</v>
      </c>
    </row>
    <row r="14" spans="1:15" ht="15.75" x14ac:dyDescent="0.25">
      <c r="A14" s="221" t="s">
        <v>1592</v>
      </c>
      <c r="B14" s="222">
        <v>2</v>
      </c>
      <c r="C14" s="222">
        <v>2</v>
      </c>
      <c r="D14" s="224">
        <v>10</v>
      </c>
      <c r="E14" s="384">
        <f t="shared" si="0"/>
        <v>11.834319526627219</v>
      </c>
      <c r="F14" s="384">
        <f>E14/HOJA_DE_TRABAJO!$E$184</f>
        <v>1.4070634585619808E-4</v>
      </c>
      <c r="G14" s="57">
        <f t="shared" si="1"/>
        <v>47.337278106508876</v>
      </c>
      <c r="H14" s="10">
        <f>(HOJA_DE_TRABAJO!$I$23+HOJA_DE_TRABAJO!$E$256)*F14</f>
        <v>2.2167356124141437</v>
      </c>
      <c r="I14" s="57">
        <f>F14*HOJA_DE_TRABAJO!$E$259</f>
        <v>0.99049648072909613</v>
      </c>
      <c r="J14" s="385">
        <f>IF(OR(HOJA_DE_TRABAJO!$I$262="",HOJA_DE_TRABAJO!$I$262=0),HOJA_DE_TRABAJO!$C$262,HOJA_DE_TRABAJO!$I$262)</f>
        <v>0.15</v>
      </c>
      <c r="K14" s="384">
        <f t="shared" si="2"/>
        <v>2.2562327429655689</v>
      </c>
      <c r="L14" s="384">
        <f t="shared" si="3"/>
        <v>17.297784362736028</v>
      </c>
      <c r="M14" s="384">
        <f t="shared" si="4"/>
        <v>3.2948160690925761</v>
      </c>
      <c r="N14" s="384">
        <f t="shared" si="5"/>
        <v>20.592600431828604</v>
      </c>
    </row>
    <row r="15" spans="1:15" ht="15.75" x14ac:dyDescent="0.25">
      <c r="A15" s="221" t="s">
        <v>1587</v>
      </c>
      <c r="B15" s="222">
        <v>1</v>
      </c>
      <c r="C15" s="222">
        <v>1</v>
      </c>
      <c r="D15" s="224">
        <v>10</v>
      </c>
      <c r="E15" s="384">
        <f t="shared" si="0"/>
        <v>11.834319526627219</v>
      </c>
      <c r="F15" s="384">
        <f>E15/HOJA_DE_TRABAJO!$E$184</f>
        <v>1.4070634585619808E-4</v>
      </c>
      <c r="G15" s="57">
        <f t="shared" si="1"/>
        <v>11.834319526627219</v>
      </c>
      <c r="H15" s="10">
        <f>(HOJA_DE_TRABAJO!$I$23+HOJA_DE_TRABAJO!$E$256)*F15</f>
        <v>2.2167356124141437</v>
      </c>
      <c r="I15" s="57">
        <f>F15*HOJA_DE_TRABAJO!$E$259</f>
        <v>0.99049648072909613</v>
      </c>
      <c r="J15" s="385">
        <f>IF(OR(HOJA_DE_TRABAJO!$I$262="",HOJA_DE_TRABAJO!$I$262=0),HOJA_DE_TRABAJO!$C$262,HOJA_DE_TRABAJO!$I$262)</f>
        <v>0.15</v>
      </c>
      <c r="K15" s="384">
        <f t="shared" si="2"/>
        <v>2.2562327429655689</v>
      </c>
      <c r="L15" s="384">
        <f t="shared" si="3"/>
        <v>17.297784362736028</v>
      </c>
      <c r="M15" s="384">
        <f t="shared" si="4"/>
        <v>3.2948160690925761</v>
      </c>
      <c r="N15" s="384">
        <f t="shared" si="5"/>
        <v>20.592600431828604</v>
      </c>
    </row>
    <row r="16" spans="1:15" ht="15.75" x14ac:dyDescent="0.25">
      <c r="A16" s="221" t="s">
        <v>1588</v>
      </c>
      <c r="B16" s="222">
        <v>1</v>
      </c>
      <c r="C16" s="222">
        <v>1</v>
      </c>
      <c r="D16" s="224">
        <v>10</v>
      </c>
      <c r="E16" s="384">
        <f t="shared" si="0"/>
        <v>11.834319526627219</v>
      </c>
      <c r="F16" s="384">
        <f>E16/HOJA_DE_TRABAJO!$E$184</f>
        <v>1.4070634585619808E-4</v>
      </c>
      <c r="G16" s="57">
        <f t="shared" si="1"/>
        <v>11.834319526627219</v>
      </c>
      <c r="H16" s="10">
        <f>(HOJA_DE_TRABAJO!$I$23+HOJA_DE_TRABAJO!$E$256)*F16</f>
        <v>2.2167356124141437</v>
      </c>
      <c r="I16" s="57">
        <f>F16*HOJA_DE_TRABAJO!$E$259</f>
        <v>0.99049648072909613</v>
      </c>
      <c r="J16" s="385">
        <f>IF(OR(HOJA_DE_TRABAJO!$I$262="",HOJA_DE_TRABAJO!$I$262=0),HOJA_DE_TRABAJO!$C$262,HOJA_DE_TRABAJO!$I$262)</f>
        <v>0.15</v>
      </c>
      <c r="K16" s="384">
        <f t="shared" si="2"/>
        <v>2.2562327429655689</v>
      </c>
      <c r="L16" s="384">
        <f t="shared" si="3"/>
        <v>17.297784362736028</v>
      </c>
      <c r="M16" s="384">
        <f t="shared" si="4"/>
        <v>3.2948160690925761</v>
      </c>
      <c r="N16" s="384">
        <f t="shared" si="5"/>
        <v>20.592600431828604</v>
      </c>
    </row>
    <row r="17" spans="1:14" ht="15.75" x14ac:dyDescent="0.25">
      <c r="A17" s="221" t="s">
        <v>1593</v>
      </c>
      <c r="B17" s="222">
        <v>2</v>
      </c>
      <c r="C17" s="222">
        <v>2</v>
      </c>
      <c r="D17" s="224">
        <v>20</v>
      </c>
      <c r="E17" s="384">
        <f t="shared" si="0"/>
        <v>23.668639053254438</v>
      </c>
      <c r="F17" s="384">
        <f>E17/HOJA_DE_TRABAJO!$E$184</f>
        <v>2.8141269171239616E-4</v>
      </c>
      <c r="G17" s="57">
        <f t="shared" si="1"/>
        <v>94.674556213017752</v>
      </c>
      <c r="H17" s="10">
        <f>(HOJA_DE_TRABAJO!$I$23+HOJA_DE_TRABAJO!$E$256)*F17</f>
        <v>4.4334712248282875</v>
      </c>
      <c r="I17" s="57">
        <f>F17*HOJA_DE_TRABAJO!$E$259</f>
        <v>1.9809929614581923</v>
      </c>
      <c r="J17" s="385">
        <f>IF(OR(HOJA_DE_TRABAJO!$I$262="",HOJA_DE_TRABAJO!$I$262=0),HOJA_DE_TRABAJO!$C$262,HOJA_DE_TRABAJO!$I$262)</f>
        <v>0.15</v>
      </c>
      <c r="K17" s="384">
        <f t="shared" si="2"/>
        <v>4.5124654859311377</v>
      </c>
      <c r="L17" s="384">
        <f t="shared" si="3"/>
        <v>34.595568725472056</v>
      </c>
      <c r="M17" s="384">
        <f t="shared" si="4"/>
        <v>6.5896321381851521</v>
      </c>
      <c r="N17" s="384">
        <f t="shared" si="5"/>
        <v>41.185200863657208</v>
      </c>
    </row>
    <row r="18" spans="1:14" ht="15.75" x14ac:dyDescent="0.25">
      <c r="A18" s="221" t="s">
        <v>1594</v>
      </c>
      <c r="B18" s="222">
        <v>2</v>
      </c>
      <c r="C18" s="222">
        <v>2</v>
      </c>
      <c r="D18" s="224">
        <v>20</v>
      </c>
      <c r="E18" s="384">
        <f t="shared" si="0"/>
        <v>23.668639053254438</v>
      </c>
      <c r="F18" s="384">
        <f>E18/HOJA_DE_TRABAJO!$E$184</f>
        <v>2.8141269171239616E-4</v>
      </c>
      <c r="G18" s="57">
        <f t="shared" si="1"/>
        <v>94.674556213017752</v>
      </c>
      <c r="H18" s="10">
        <f>(HOJA_DE_TRABAJO!$I$23+HOJA_DE_TRABAJO!$E$256)*F18</f>
        <v>4.4334712248282875</v>
      </c>
      <c r="I18" s="57">
        <f>F18*HOJA_DE_TRABAJO!$E$259</f>
        <v>1.9809929614581923</v>
      </c>
      <c r="J18" s="385">
        <f>IF(OR(HOJA_DE_TRABAJO!$I$262="",HOJA_DE_TRABAJO!$I$262=0),HOJA_DE_TRABAJO!$C$262,HOJA_DE_TRABAJO!$I$262)</f>
        <v>0.15</v>
      </c>
      <c r="K18" s="384">
        <f t="shared" si="2"/>
        <v>4.5124654859311377</v>
      </c>
      <c r="L18" s="384">
        <f t="shared" si="3"/>
        <v>34.595568725472056</v>
      </c>
      <c r="M18" s="384">
        <f t="shared" si="4"/>
        <v>6.5896321381851521</v>
      </c>
      <c r="N18" s="384">
        <f t="shared" si="5"/>
        <v>41.185200863657208</v>
      </c>
    </row>
    <row r="19" spans="1:14" ht="15.75" x14ac:dyDescent="0.25">
      <c r="A19" s="221" t="s">
        <v>1589</v>
      </c>
      <c r="B19" s="222">
        <v>2</v>
      </c>
      <c r="C19" s="222">
        <v>2</v>
      </c>
      <c r="D19" s="224">
        <v>25</v>
      </c>
      <c r="E19" s="384">
        <f t="shared" si="0"/>
        <v>29.585798816568047</v>
      </c>
      <c r="F19" s="384">
        <f>E19/HOJA_DE_TRABAJO!$E$184</f>
        <v>3.5176586464049525E-4</v>
      </c>
      <c r="G19" s="57">
        <f t="shared" si="1"/>
        <v>118.34319526627219</v>
      </c>
      <c r="H19" s="10">
        <f>(HOJA_DE_TRABAJO!$I$23+HOJA_DE_TRABAJO!$E$256)*F19</f>
        <v>5.5418390310353605</v>
      </c>
      <c r="I19" s="57">
        <f>F19*HOJA_DE_TRABAJO!$E$259</f>
        <v>2.4762412018227407</v>
      </c>
      <c r="J19" s="385">
        <f>IF(OR(HOJA_DE_TRABAJO!$I$262="",HOJA_DE_TRABAJO!$I$262=0),HOJA_DE_TRABAJO!$C$262,HOJA_DE_TRABAJO!$I$262)</f>
        <v>0.15</v>
      </c>
      <c r="K19" s="384">
        <f t="shared" si="2"/>
        <v>5.6405818574139222</v>
      </c>
      <c r="L19" s="384">
        <f t="shared" si="3"/>
        <v>43.244460906840068</v>
      </c>
      <c r="M19" s="384">
        <f t="shared" si="4"/>
        <v>8.2370401727314402</v>
      </c>
      <c r="N19" s="384">
        <f t="shared" si="5"/>
        <v>51.481501079571508</v>
      </c>
    </row>
    <row r="20" spans="1:14" ht="15.75" x14ac:dyDescent="0.25">
      <c r="A20" s="221" t="s">
        <v>1590</v>
      </c>
      <c r="B20" s="222">
        <v>2</v>
      </c>
      <c r="C20" s="222">
        <v>2</v>
      </c>
      <c r="D20" s="224">
        <v>25</v>
      </c>
      <c r="E20" s="384">
        <f t="shared" si="0"/>
        <v>29.585798816568047</v>
      </c>
      <c r="F20" s="384">
        <f>E20/HOJA_DE_TRABAJO!$E$184</f>
        <v>3.5176586464049525E-4</v>
      </c>
      <c r="G20" s="57">
        <f t="shared" si="1"/>
        <v>118.34319526627219</v>
      </c>
      <c r="H20" s="10">
        <f>(HOJA_DE_TRABAJO!$I$23+HOJA_DE_TRABAJO!$E$256)*F20</f>
        <v>5.5418390310353605</v>
      </c>
      <c r="I20" s="57">
        <f>F20*HOJA_DE_TRABAJO!$E$259</f>
        <v>2.4762412018227407</v>
      </c>
      <c r="J20" s="385">
        <f>IF(OR(HOJA_DE_TRABAJO!$I$262="",HOJA_DE_TRABAJO!$I$262=0),HOJA_DE_TRABAJO!$C$262,HOJA_DE_TRABAJO!$I$262)</f>
        <v>0.15</v>
      </c>
      <c r="K20" s="384">
        <f t="shared" si="2"/>
        <v>5.6405818574139222</v>
      </c>
      <c r="L20" s="384">
        <f t="shared" si="3"/>
        <v>43.244460906840068</v>
      </c>
      <c r="M20" s="384">
        <f t="shared" si="4"/>
        <v>8.2370401727314402</v>
      </c>
      <c r="N20" s="384">
        <f t="shared" si="5"/>
        <v>51.481501079571508</v>
      </c>
    </row>
    <row r="21" spans="1:14" ht="15.75" x14ac:dyDescent="0.25">
      <c r="A21" s="388"/>
      <c r="E21" s="384">
        <f t="shared" si="0"/>
        <v>0</v>
      </c>
      <c r="F21" s="384">
        <f>E21/HOJA_DE_TRABAJO!$E$184</f>
        <v>0</v>
      </c>
      <c r="G21" s="57">
        <f t="shared" si="1"/>
        <v>0</v>
      </c>
      <c r="H21" s="10">
        <f>(HOJA_DE_TRABAJO!$I$23+HOJA_DE_TRABAJO!$E$256)*F21</f>
        <v>0</v>
      </c>
      <c r="I21" s="57">
        <f>F21*HOJA_DE_TRABAJO!$E$259</f>
        <v>0</v>
      </c>
      <c r="J21" s="385">
        <f>IF(OR(HOJA_DE_TRABAJO!$I$262="",HOJA_DE_TRABAJO!$I$262=0),HOJA_DE_TRABAJO!$C$262,HOJA_DE_TRABAJO!$I$262)</f>
        <v>0.15</v>
      </c>
      <c r="K21" s="384">
        <f t="shared" si="2"/>
        <v>0</v>
      </c>
      <c r="L21" s="384">
        <f t="shared" si="3"/>
        <v>0</v>
      </c>
      <c r="M21" s="384" t="e">
        <f t="shared" si="4"/>
        <v>#VALUE!</v>
      </c>
      <c r="N21" s="384" t="str">
        <f t="shared" si="5"/>
        <v/>
      </c>
    </row>
    <row r="22" spans="1:14" x14ac:dyDescent="0.25">
      <c r="E22" s="384">
        <f t="shared" si="0"/>
        <v>0</v>
      </c>
      <c r="F22" s="384">
        <f>E22/HOJA_DE_TRABAJO!$E$184</f>
        <v>0</v>
      </c>
      <c r="G22" s="57">
        <f t="shared" si="1"/>
        <v>0</v>
      </c>
      <c r="H22" s="10">
        <f>(HOJA_DE_TRABAJO!$I$23+HOJA_DE_TRABAJO!$E$256)*F22</f>
        <v>0</v>
      </c>
      <c r="I22" s="57">
        <f>F22*HOJA_DE_TRABAJO!$E$259</f>
        <v>0</v>
      </c>
      <c r="J22" s="385">
        <f>IF(OR(HOJA_DE_TRABAJO!$I$262="",HOJA_DE_TRABAJO!$I$262=0),HOJA_DE_TRABAJO!$C$262,HOJA_DE_TRABAJO!$I$262)</f>
        <v>0.15</v>
      </c>
      <c r="K22" s="384">
        <f t="shared" si="2"/>
        <v>0</v>
      </c>
      <c r="L22" s="384">
        <f t="shared" si="3"/>
        <v>0</v>
      </c>
      <c r="M22" s="384" t="e">
        <f t="shared" si="4"/>
        <v>#VALUE!</v>
      </c>
      <c r="N22" s="384" t="str">
        <f t="shared" si="5"/>
        <v/>
      </c>
    </row>
    <row r="23" spans="1:14" x14ac:dyDescent="0.25">
      <c r="E23" s="384">
        <f t="shared" si="0"/>
        <v>0</v>
      </c>
      <c r="F23" s="384">
        <f>E23/HOJA_DE_TRABAJO!$E$184</f>
        <v>0</v>
      </c>
      <c r="G23" s="57">
        <f t="shared" si="1"/>
        <v>0</v>
      </c>
      <c r="H23" s="10">
        <f>(HOJA_DE_TRABAJO!$I$23+HOJA_DE_TRABAJO!$E$256)*F23</f>
        <v>0</v>
      </c>
      <c r="I23" s="57">
        <f>F23*HOJA_DE_TRABAJO!$E$259</f>
        <v>0</v>
      </c>
      <c r="J23" s="385">
        <f>IF(OR(HOJA_DE_TRABAJO!$I$262="",HOJA_DE_TRABAJO!$I$262=0),HOJA_DE_TRABAJO!$C$262,HOJA_DE_TRABAJO!$I$262)</f>
        <v>0.15</v>
      </c>
      <c r="K23" s="384">
        <f t="shared" si="2"/>
        <v>0</v>
      </c>
      <c r="L23" s="384">
        <f t="shared" si="3"/>
        <v>0</v>
      </c>
      <c r="M23" s="384" t="e">
        <f t="shared" si="4"/>
        <v>#VALUE!</v>
      </c>
      <c r="N23" s="384" t="str">
        <f t="shared" si="5"/>
        <v/>
      </c>
    </row>
    <row r="24" spans="1:14" x14ac:dyDescent="0.25">
      <c r="E24" s="384">
        <f t="shared" si="0"/>
        <v>0</v>
      </c>
      <c r="F24" s="384">
        <f>E24/HOJA_DE_TRABAJO!$E$184</f>
        <v>0</v>
      </c>
      <c r="G24" s="57">
        <f t="shared" si="1"/>
        <v>0</v>
      </c>
      <c r="H24" s="10">
        <f>(HOJA_DE_TRABAJO!$I$23+HOJA_DE_TRABAJO!$E$256)*F24</f>
        <v>0</v>
      </c>
      <c r="I24" s="57">
        <f>F24*HOJA_DE_TRABAJO!$E$259</f>
        <v>0</v>
      </c>
      <c r="J24" s="385">
        <f>IF(OR(HOJA_DE_TRABAJO!$I$262="",HOJA_DE_TRABAJO!$I$262=0),HOJA_DE_TRABAJO!$C$262,HOJA_DE_TRABAJO!$I$262)</f>
        <v>0.15</v>
      </c>
      <c r="K24" s="384">
        <f t="shared" si="2"/>
        <v>0</v>
      </c>
      <c r="L24" s="384">
        <f t="shared" si="3"/>
        <v>0</v>
      </c>
      <c r="M24" s="384" t="e">
        <f t="shared" si="4"/>
        <v>#VALUE!</v>
      </c>
      <c r="N24" s="384" t="str">
        <f t="shared" si="5"/>
        <v/>
      </c>
    </row>
    <row r="25" spans="1:14" x14ac:dyDescent="0.25">
      <c r="E25" s="384">
        <f t="shared" si="0"/>
        <v>0</v>
      </c>
      <c r="F25" s="384">
        <f>E25/HOJA_DE_TRABAJO!$E$184</f>
        <v>0</v>
      </c>
      <c r="G25" s="57">
        <f t="shared" si="1"/>
        <v>0</v>
      </c>
      <c r="H25" s="10">
        <f>(HOJA_DE_TRABAJO!$I$23+HOJA_DE_TRABAJO!$E$256)*F25</f>
        <v>0</v>
      </c>
      <c r="I25" s="57">
        <f>F25*HOJA_DE_TRABAJO!$E$259</f>
        <v>0</v>
      </c>
      <c r="J25" s="385">
        <f>IF(OR(HOJA_DE_TRABAJO!$I$262="",HOJA_DE_TRABAJO!$I$262=0),HOJA_DE_TRABAJO!$C$262,HOJA_DE_TRABAJO!$I$262)</f>
        <v>0.15</v>
      </c>
      <c r="K25" s="384">
        <f t="shared" si="2"/>
        <v>0</v>
      </c>
      <c r="L25" s="384">
        <f t="shared" si="3"/>
        <v>0</v>
      </c>
      <c r="M25" s="384" t="e">
        <f t="shared" si="4"/>
        <v>#VALUE!</v>
      </c>
      <c r="N25" s="384" t="str">
        <f t="shared" si="5"/>
        <v/>
      </c>
    </row>
    <row r="26" spans="1:14" x14ac:dyDescent="0.25">
      <c r="E26" s="384">
        <f t="shared" si="0"/>
        <v>0</v>
      </c>
      <c r="F26" s="384">
        <f>E26/HOJA_DE_TRABAJO!$E$184</f>
        <v>0</v>
      </c>
      <c r="G26" s="57">
        <f t="shared" si="1"/>
        <v>0</v>
      </c>
      <c r="H26" s="10">
        <f>(HOJA_DE_TRABAJO!$I$23+HOJA_DE_TRABAJO!$E$256)*F26</f>
        <v>0</v>
      </c>
      <c r="I26" s="57">
        <f>F26*HOJA_DE_TRABAJO!$E$259</f>
        <v>0</v>
      </c>
      <c r="J26" s="385">
        <f>IF(OR(HOJA_DE_TRABAJO!$I$262="",HOJA_DE_TRABAJO!$I$262=0),HOJA_DE_TRABAJO!$C$262,HOJA_DE_TRABAJO!$I$262)</f>
        <v>0.15</v>
      </c>
      <c r="K26" s="384">
        <f t="shared" si="2"/>
        <v>0</v>
      </c>
      <c r="L26" s="384">
        <f t="shared" si="3"/>
        <v>0</v>
      </c>
      <c r="M26" s="384" t="e">
        <f t="shared" si="4"/>
        <v>#VALUE!</v>
      </c>
      <c r="N26" s="384" t="str">
        <f t="shared" si="5"/>
        <v/>
      </c>
    </row>
    <row r="27" spans="1:14" x14ac:dyDescent="0.25">
      <c r="E27" s="384">
        <f t="shared" si="0"/>
        <v>0</v>
      </c>
      <c r="F27" s="384">
        <f>E27/HOJA_DE_TRABAJO!$E$184</f>
        <v>0</v>
      </c>
      <c r="G27" s="57">
        <f t="shared" si="1"/>
        <v>0</v>
      </c>
      <c r="H27" s="10">
        <f>(HOJA_DE_TRABAJO!$I$23+HOJA_DE_TRABAJO!$E$256)*F27</f>
        <v>0</v>
      </c>
      <c r="I27" s="57">
        <f>F27*HOJA_DE_TRABAJO!$E$259</f>
        <v>0</v>
      </c>
      <c r="J27" s="385">
        <f>IF(OR(HOJA_DE_TRABAJO!$I$262="",HOJA_DE_TRABAJO!$I$262=0),HOJA_DE_TRABAJO!$C$262,HOJA_DE_TRABAJO!$I$262)</f>
        <v>0.15</v>
      </c>
      <c r="K27" s="384">
        <f t="shared" si="2"/>
        <v>0</v>
      </c>
      <c r="L27" s="384">
        <f t="shared" si="3"/>
        <v>0</v>
      </c>
      <c r="M27" s="384" t="e">
        <f t="shared" si="4"/>
        <v>#VALUE!</v>
      </c>
      <c r="N27" s="384" t="str">
        <f t="shared" si="5"/>
        <v/>
      </c>
    </row>
    <row r="28" spans="1:14" x14ac:dyDescent="0.25">
      <c r="E28" s="384">
        <f t="shared" si="0"/>
        <v>0</v>
      </c>
      <c r="F28" s="384">
        <f>E28/HOJA_DE_TRABAJO!$E$184</f>
        <v>0</v>
      </c>
      <c r="G28" s="57">
        <f t="shared" si="1"/>
        <v>0</v>
      </c>
      <c r="H28" s="10">
        <f>(HOJA_DE_TRABAJO!$I$23+HOJA_DE_TRABAJO!$E$256)*F28</f>
        <v>0</v>
      </c>
      <c r="I28" s="57">
        <f>F28*HOJA_DE_TRABAJO!$E$259</f>
        <v>0</v>
      </c>
      <c r="J28" s="385">
        <f>IF(OR(HOJA_DE_TRABAJO!$I$262="",HOJA_DE_TRABAJO!$I$262=0),HOJA_DE_TRABAJO!$C$262,HOJA_DE_TRABAJO!$I$262)</f>
        <v>0.15</v>
      </c>
      <c r="K28" s="384">
        <f t="shared" si="2"/>
        <v>0</v>
      </c>
      <c r="L28" s="384">
        <f t="shared" si="3"/>
        <v>0</v>
      </c>
      <c r="M28" s="384" t="e">
        <f t="shared" si="4"/>
        <v>#VALUE!</v>
      </c>
      <c r="N28" s="384" t="str">
        <f t="shared" si="5"/>
        <v/>
      </c>
    </row>
    <row r="29" spans="1:14" x14ac:dyDescent="0.25">
      <c r="E29" s="384">
        <f t="shared" si="0"/>
        <v>0</v>
      </c>
      <c r="F29" s="384">
        <f>E29/HOJA_DE_TRABAJO!$E$184</f>
        <v>0</v>
      </c>
      <c r="G29" s="57">
        <f t="shared" si="1"/>
        <v>0</v>
      </c>
      <c r="H29" s="10">
        <f>(HOJA_DE_TRABAJO!$I$23+HOJA_DE_TRABAJO!$E$256)*F29</f>
        <v>0</v>
      </c>
      <c r="I29" s="57">
        <f>F29*HOJA_DE_TRABAJO!$E$259</f>
        <v>0</v>
      </c>
      <c r="J29" s="385">
        <f>IF(OR(HOJA_DE_TRABAJO!$I$262="",HOJA_DE_TRABAJO!$I$262=0),HOJA_DE_TRABAJO!$C$262,HOJA_DE_TRABAJO!$I$262)</f>
        <v>0.15</v>
      </c>
      <c r="K29" s="384">
        <f t="shared" si="2"/>
        <v>0</v>
      </c>
      <c r="L29" s="384">
        <f t="shared" si="3"/>
        <v>0</v>
      </c>
      <c r="M29" s="384" t="e">
        <f t="shared" si="4"/>
        <v>#VALUE!</v>
      </c>
      <c r="N29" s="384" t="str">
        <f t="shared" si="5"/>
        <v/>
      </c>
    </row>
    <row r="30" spans="1:14" x14ac:dyDescent="0.25">
      <c r="E30" s="384">
        <f t="shared" si="0"/>
        <v>0</v>
      </c>
      <c r="F30" s="384">
        <f>E30/HOJA_DE_TRABAJO!$E$184</f>
        <v>0</v>
      </c>
      <c r="G30" s="57">
        <f t="shared" si="1"/>
        <v>0</v>
      </c>
      <c r="H30" s="10">
        <f>(HOJA_DE_TRABAJO!$I$23+HOJA_DE_TRABAJO!$E$256)*F30</f>
        <v>0</v>
      </c>
      <c r="I30" s="57">
        <f>F30*HOJA_DE_TRABAJO!$E$259</f>
        <v>0</v>
      </c>
      <c r="J30" s="385">
        <f>IF(OR(HOJA_DE_TRABAJO!$I$262="",HOJA_DE_TRABAJO!$I$262=0),HOJA_DE_TRABAJO!$C$262,HOJA_DE_TRABAJO!$I$262)</f>
        <v>0.15</v>
      </c>
      <c r="K30" s="384">
        <f t="shared" si="2"/>
        <v>0</v>
      </c>
      <c r="L30" s="384">
        <f t="shared" si="3"/>
        <v>0</v>
      </c>
      <c r="M30" s="384" t="e">
        <f t="shared" si="4"/>
        <v>#VALUE!</v>
      </c>
      <c r="N30" s="384" t="str">
        <f t="shared" si="5"/>
        <v/>
      </c>
    </row>
    <row r="31" spans="1:14" x14ac:dyDescent="0.25">
      <c r="E31" s="384">
        <f t="shared" si="0"/>
        <v>0</v>
      </c>
      <c r="F31" s="384">
        <f>E31/HOJA_DE_TRABAJO!$E$184</f>
        <v>0</v>
      </c>
      <c r="G31" s="57">
        <f t="shared" si="1"/>
        <v>0</v>
      </c>
      <c r="H31" s="10">
        <f>(HOJA_DE_TRABAJO!$I$23+HOJA_DE_TRABAJO!$E$256)*F31</f>
        <v>0</v>
      </c>
      <c r="I31" s="57">
        <f>F31*HOJA_DE_TRABAJO!$E$259</f>
        <v>0</v>
      </c>
      <c r="J31" s="385">
        <f>IF(OR(HOJA_DE_TRABAJO!$I$262="",HOJA_DE_TRABAJO!$I$262=0),HOJA_DE_TRABAJO!$C$262,HOJA_DE_TRABAJO!$I$262)</f>
        <v>0.15</v>
      </c>
      <c r="K31" s="384">
        <f t="shared" si="2"/>
        <v>0</v>
      </c>
      <c r="L31" s="384">
        <f t="shared" si="3"/>
        <v>0</v>
      </c>
      <c r="M31" s="384" t="e">
        <f t="shared" si="4"/>
        <v>#VALUE!</v>
      </c>
      <c r="N31" s="384" t="str">
        <f t="shared" si="5"/>
        <v/>
      </c>
    </row>
    <row r="32" spans="1:14" x14ac:dyDescent="0.25">
      <c r="E32" s="384">
        <f t="shared" si="0"/>
        <v>0</v>
      </c>
      <c r="F32" s="384">
        <f>E32/HOJA_DE_TRABAJO!$E$184</f>
        <v>0</v>
      </c>
      <c r="G32" s="57">
        <f t="shared" si="1"/>
        <v>0</v>
      </c>
      <c r="H32" s="10">
        <f>(HOJA_DE_TRABAJO!$I$23+HOJA_DE_TRABAJO!$E$256)*F32</f>
        <v>0</v>
      </c>
      <c r="I32" s="57">
        <f>F32*HOJA_DE_TRABAJO!$E$259</f>
        <v>0</v>
      </c>
      <c r="J32" s="385">
        <f>IF(OR(HOJA_DE_TRABAJO!$I$262="",HOJA_DE_TRABAJO!$I$262=0),HOJA_DE_TRABAJO!$C$262,HOJA_DE_TRABAJO!$I$262)</f>
        <v>0.15</v>
      </c>
      <c r="K32" s="384">
        <f t="shared" si="2"/>
        <v>0</v>
      </c>
      <c r="L32" s="384">
        <f t="shared" si="3"/>
        <v>0</v>
      </c>
      <c r="M32" s="384" t="e">
        <f t="shared" si="4"/>
        <v>#VALUE!</v>
      </c>
      <c r="N32" s="384" t="str">
        <f t="shared" si="5"/>
        <v/>
      </c>
    </row>
    <row r="33" spans="5:14" x14ac:dyDescent="0.25">
      <c r="E33" s="384">
        <f t="shared" si="0"/>
        <v>0</v>
      </c>
      <c r="F33" s="384">
        <f>E33/HOJA_DE_TRABAJO!$E$184</f>
        <v>0</v>
      </c>
      <c r="G33" s="57">
        <f t="shared" si="1"/>
        <v>0</v>
      </c>
      <c r="H33" s="10">
        <f>(HOJA_DE_TRABAJO!$I$23+HOJA_DE_TRABAJO!$E$256)*F33</f>
        <v>0</v>
      </c>
      <c r="I33" s="57">
        <f>F33*HOJA_DE_TRABAJO!$E$259</f>
        <v>0</v>
      </c>
      <c r="J33" s="385">
        <f>IF(OR(HOJA_DE_TRABAJO!$I$262="",HOJA_DE_TRABAJO!$I$262=0),HOJA_DE_TRABAJO!$C$262,HOJA_DE_TRABAJO!$I$262)</f>
        <v>0.15</v>
      </c>
      <c r="K33" s="384">
        <f t="shared" si="2"/>
        <v>0</v>
      </c>
      <c r="L33" s="384">
        <f t="shared" si="3"/>
        <v>0</v>
      </c>
      <c r="M33" s="384" t="e">
        <f t="shared" si="4"/>
        <v>#VALUE!</v>
      </c>
      <c r="N33" s="384" t="str">
        <f t="shared" si="5"/>
        <v/>
      </c>
    </row>
    <row r="34" spans="5:14" x14ac:dyDescent="0.25">
      <c r="E34" s="384">
        <f t="shared" si="0"/>
        <v>0</v>
      </c>
      <c r="F34" s="384">
        <f>E34/HOJA_DE_TRABAJO!$E$184</f>
        <v>0</v>
      </c>
      <c r="G34" s="57">
        <f t="shared" si="1"/>
        <v>0</v>
      </c>
      <c r="H34" s="10">
        <f>(HOJA_DE_TRABAJO!$I$23+HOJA_DE_TRABAJO!$E$256)*F34</f>
        <v>0</v>
      </c>
      <c r="I34" s="57">
        <f>F34*HOJA_DE_TRABAJO!$E$259</f>
        <v>0</v>
      </c>
      <c r="J34" s="385">
        <f>IF(OR(HOJA_DE_TRABAJO!$I$262="",HOJA_DE_TRABAJO!$I$262=0),HOJA_DE_TRABAJO!$C$262,HOJA_DE_TRABAJO!$I$262)</f>
        <v>0.15</v>
      </c>
      <c r="K34" s="384">
        <f t="shared" si="2"/>
        <v>0</v>
      </c>
      <c r="L34" s="384">
        <f t="shared" si="3"/>
        <v>0</v>
      </c>
      <c r="M34" s="384" t="e">
        <f t="shared" si="4"/>
        <v>#VALUE!</v>
      </c>
      <c r="N34" s="384" t="str">
        <f t="shared" si="5"/>
        <v/>
      </c>
    </row>
    <row r="35" spans="5:14" x14ac:dyDescent="0.25">
      <c r="E35" s="384">
        <f t="shared" si="0"/>
        <v>0</v>
      </c>
      <c r="F35" s="384">
        <f>E35/HOJA_DE_TRABAJO!$E$184</f>
        <v>0</v>
      </c>
      <c r="G35" s="57">
        <f t="shared" si="1"/>
        <v>0</v>
      </c>
      <c r="H35" s="10">
        <f>(HOJA_DE_TRABAJO!$I$23+HOJA_DE_TRABAJO!$E$256)*F35</f>
        <v>0</v>
      </c>
      <c r="I35" s="57">
        <f>F35*HOJA_DE_TRABAJO!$E$259</f>
        <v>0</v>
      </c>
      <c r="J35" s="385">
        <f>IF(OR(HOJA_DE_TRABAJO!$I$262="",HOJA_DE_TRABAJO!$I$262=0),HOJA_DE_TRABAJO!$C$262,HOJA_DE_TRABAJO!$I$262)</f>
        <v>0.15</v>
      </c>
      <c r="K35" s="384">
        <f t="shared" si="2"/>
        <v>0</v>
      </c>
      <c r="L35" s="384">
        <f t="shared" si="3"/>
        <v>0</v>
      </c>
      <c r="M35" s="384" t="e">
        <f t="shared" si="4"/>
        <v>#VALUE!</v>
      </c>
      <c r="N35" s="384" t="str">
        <f t="shared" si="5"/>
        <v/>
      </c>
    </row>
    <row r="36" spans="5:14" x14ac:dyDescent="0.25">
      <c r="E36" s="384">
        <f t="shared" si="0"/>
        <v>0</v>
      </c>
      <c r="F36" s="384">
        <f>E36/HOJA_DE_TRABAJO!$E$184</f>
        <v>0</v>
      </c>
      <c r="G36" s="57">
        <f t="shared" si="1"/>
        <v>0</v>
      </c>
      <c r="H36" s="10">
        <f>(HOJA_DE_TRABAJO!$I$23+HOJA_DE_TRABAJO!$E$256)*F36</f>
        <v>0</v>
      </c>
      <c r="I36" s="57">
        <f>F36*HOJA_DE_TRABAJO!$E$259</f>
        <v>0</v>
      </c>
      <c r="J36" s="385">
        <f>IF(OR(HOJA_DE_TRABAJO!$I$262="",HOJA_DE_TRABAJO!$I$262=0),HOJA_DE_TRABAJO!$C$262,HOJA_DE_TRABAJO!$I$262)</f>
        <v>0.15</v>
      </c>
      <c r="K36" s="384">
        <f t="shared" si="2"/>
        <v>0</v>
      </c>
      <c r="L36" s="384">
        <f t="shared" si="3"/>
        <v>0</v>
      </c>
      <c r="M36" s="384" t="e">
        <f t="shared" si="4"/>
        <v>#VALUE!</v>
      </c>
      <c r="N36" s="384" t="str">
        <f t="shared" si="5"/>
        <v/>
      </c>
    </row>
    <row r="37" spans="5:14" x14ac:dyDescent="0.25">
      <c r="E37" s="384">
        <f t="shared" si="0"/>
        <v>0</v>
      </c>
      <c r="F37" s="384">
        <f>E37/HOJA_DE_TRABAJO!$E$184</f>
        <v>0</v>
      </c>
      <c r="G37" s="57">
        <f t="shared" si="1"/>
        <v>0</v>
      </c>
      <c r="H37" s="10">
        <f>(HOJA_DE_TRABAJO!$I$23+HOJA_DE_TRABAJO!$E$256)*F37</f>
        <v>0</v>
      </c>
      <c r="I37" s="57">
        <f>F37*HOJA_DE_TRABAJO!$E$259</f>
        <v>0</v>
      </c>
      <c r="J37" s="385">
        <f>IF(OR(HOJA_DE_TRABAJO!$I$262="",HOJA_DE_TRABAJO!$I$262=0),HOJA_DE_TRABAJO!$C$262,HOJA_DE_TRABAJO!$I$262)</f>
        <v>0.15</v>
      </c>
      <c r="K37" s="384">
        <f t="shared" si="2"/>
        <v>0</v>
      </c>
      <c r="L37" s="384">
        <f t="shared" si="3"/>
        <v>0</v>
      </c>
      <c r="M37" s="384" t="e">
        <f t="shared" si="4"/>
        <v>#VALUE!</v>
      </c>
      <c r="N37" s="384" t="str">
        <f t="shared" si="5"/>
        <v/>
      </c>
    </row>
    <row r="38" spans="5:14" x14ac:dyDescent="0.25">
      <c r="E38" s="384">
        <f t="shared" si="0"/>
        <v>0</v>
      </c>
      <c r="F38" s="384">
        <f>E38/HOJA_DE_TRABAJO!$E$184</f>
        <v>0</v>
      </c>
      <c r="G38" s="57">
        <f t="shared" si="1"/>
        <v>0</v>
      </c>
      <c r="H38" s="10">
        <f>(HOJA_DE_TRABAJO!$I$23+HOJA_DE_TRABAJO!$E$256)*F38</f>
        <v>0</v>
      </c>
      <c r="I38" s="57">
        <f>F38*HOJA_DE_TRABAJO!$E$259</f>
        <v>0</v>
      </c>
      <c r="J38" s="385">
        <f>IF(OR(HOJA_DE_TRABAJO!$I$262="",HOJA_DE_TRABAJO!$I$262=0),HOJA_DE_TRABAJO!$C$262,HOJA_DE_TRABAJO!$I$262)</f>
        <v>0.15</v>
      </c>
      <c r="K38" s="384">
        <f t="shared" si="2"/>
        <v>0</v>
      </c>
      <c r="L38" s="384">
        <f t="shared" si="3"/>
        <v>0</v>
      </c>
      <c r="M38" s="384" t="e">
        <f t="shared" si="4"/>
        <v>#VALUE!</v>
      </c>
      <c r="N38" s="384" t="str">
        <f t="shared" si="5"/>
        <v/>
      </c>
    </row>
    <row r="39" spans="5:14" x14ac:dyDescent="0.25">
      <c r="E39" s="384">
        <f t="shared" si="0"/>
        <v>0</v>
      </c>
      <c r="F39" s="384">
        <f>E39/HOJA_DE_TRABAJO!$E$184</f>
        <v>0</v>
      </c>
      <c r="G39" s="57">
        <f t="shared" si="1"/>
        <v>0</v>
      </c>
      <c r="H39" s="10">
        <f>(HOJA_DE_TRABAJO!$I$23+HOJA_DE_TRABAJO!$E$256)*F39</f>
        <v>0</v>
      </c>
      <c r="I39" s="57">
        <f>F39*HOJA_DE_TRABAJO!$E$259</f>
        <v>0</v>
      </c>
      <c r="J39" s="385">
        <f>IF(OR(HOJA_DE_TRABAJO!$I$262="",HOJA_DE_TRABAJO!$I$262=0),HOJA_DE_TRABAJO!$C$262,HOJA_DE_TRABAJO!$I$262)</f>
        <v>0.15</v>
      </c>
      <c r="K39" s="384">
        <f t="shared" si="2"/>
        <v>0</v>
      </c>
      <c r="L39" s="384">
        <f t="shared" si="3"/>
        <v>0</v>
      </c>
      <c r="M39" s="384" t="e">
        <f t="shared" si="4"/>
        <v>#VALUE!</v>
      </c>
      <c r="N39" s="384" t="str">
        <f t="shared" si="5"/>
        <v/>
      </c>
    </row>
    <row r="40" spans="5:14" x14ac:dyDescent="0.25">
      <c r="E40" s="384">
        <f t="shared" si="0"/>
        <v>0</v>
      </c>
      <c r="F40" s="384">
        <f>E40/HOJA_DE_TRABAJO!$E$184</f>
        <v>0</v>
      </c>
      <c r="G40" s="57">
        <f t="shared" si="1"/>
        <v>0</v>
      </c>
      <c r="H40" s="10">
        <f>(HOJA_DE_TRABAJO!$I$23+HOJA_DE_TRABAJO!$E$256)*F40</f>
        <v>0</v>
      </c>
      <c r="I40" s="57">
        <f>F40*HOJA_DE_TRABAJO!$E$259</f>
        <v>0</v>
      </c>
      <c r="J40" s="385">
        <f>IF(OR(HOJA_DE_TRABAJO!$I$262="",HOJA_DE_TRABAJO!$I$262=0),HOJA_DE_TRABAJO!$C$262,HOJA_DE_TRABAJO!$I$262)</f>
        <v>0.15</v>
      </c>
      <c r="K40" s="384">
        <f t="shared" si="2"/>
        <v>0</v>
      </c>
      <c r="L40" s="384">
        <f t="shared" si="3"/>
        <v>0</v>
      </c>
      <c r="M40" s="384" t="e">
        <f t="shared" si="4"/>
        <v>#VALUE!</v>
      </c>
      <c r="N40" s="384" t="str">
        <f t="shared" si="5"/>
        <v/>
      </c>
    </row>
    <row r="41" spans="5:14" x14ac:dyDescent="0.25">
      <c r="E41" s="384">
        <f t="shared" si="0"/>
        <v>0</v>
      </c>
      <c r="F41" s="384">
        <f>E41/HOJA_DE_TRABAJO!$E$184</f>
        <v>0</v>
      </c>
      <c r="G41" s="57">
        <f t="shared" si="1"/>
        <v>0</v>
      </c>
      <c r="H41" s="10">
        <f>(HOJA_DE_TRABAJO!$I$23+HOJA_DE_TRABAJO!$E$256)*F41</f>
        <v>0</v>
      </c>
      <c r="I41" s="57">
        <f>F41*HOJA_DE_TRABAJO!$E$259</f>
        <v>0</v>
      </c>
      <c r="J41" s="385">
        <f>IF(OR(HOJA_DE_TRABAJO!$I$262="",HOJA_DE_TRABAJO!$I$262=0),HOJA_DE_TRABAJO!$C$262,HOJA_DE_TRABAJO!$I$262)</f>
        <v>0.15</v>
      </c>
      <c r="K41" s="384">
        <f t="shared" si="2"/>
        <v>0</v>
      </c>
      <c r="L41" s="384">
        <f t="shared" si="3"/>
        <v>0</v>
      </c>
      <c r="M41" s="384" t="e">
        <f t="shared" si="4"/>
        <v>#VALUE!</v>
      </c>
      <c r="N41" s="384" t="str">
        <f t="shared" si="5"/>
        <v/>
      </c>
    </row>
    <row r="42" spans="5:14" x14ac:dyDescent="0.25">
      <c r="E42" s="384">
        <f t="shared" si="0"/>
        <v>0</v>
      </c>
      <c r="F42" s="384">
        <f>E42/HOJA_DE_TRABAJO!$E$184</f>
        <v>0</v>
      </c>
      <c r="G42" s="57">
        <f t="shared" si="1"/>
        <v>0</v>
      </c>
      <c r="H42" s="10">
        <f>(HOJA_DE_TRABAJO!$I$23+HOJA_DE_TRABAJO!$E$256)*F42</f>
        <v>0</v>
      </c>
      <c r="I42" s="57">
        <f>F42*HOJA_DE_TRABAJO!$E$259</f>
        <v>0</v>
      </c>
      <c r="J42" s="385">
        <f>IF(OR(HOJA_DE_TRABAJO!$I$262="",HOJA_DE_TRABAJO!$I$262=0),HOJA_DE_TRABAJO!$C$262,HOJA_DE_TRABAJO!$I$262)</f>
        <v>0.15</v>
      </c>
      <c r="K42" s="384">
        <f t="shared" si="2"/>
        <v>0</v>
      </c>
      <c r="L42" s="384">
        <f t="shared" si="3"/>
        <v>0</v>
      </c>
      <c r="M42" s="384" t="e">
        <f t="shared" si="4"/>
        <v>#VALUE!</v>
      </c>
      <c r="N42" s="384" t="str">
        <f t="shared" si="5"/>
        <v/>
      </c>
    </row>
    <row r="43" spans="5:14" x14ac:dyDescent="0.25">
      <c r="E43" s="384">
        <f t="shared" si="0"/>
        <v>0</v>
      </c>
      <c r="F43" s="384">
        <f>E43/HOJA_DE_TRABAJO!$E$184</f>
        <v>0</v>
      </c>
      <c r="G43" s="57">
        <f t="shared" si="1"/>
        <v>0</v>
      </c>
      <c r="H43" s="10">
        <f>(HOJA_DE_TRABAJO!$I$23+HOJA_DE_TRABAJO!$E$256)*F43</f>
        <v>0</v>
      </c>
      <c r="I43" s="57">
        <f>F43*HOJA_DE_TRABAJO!$E$259</f>
        <v>0</v>
      </c>
      <c r="J43" s="385">
        <f>IF(OR(HOJA_DE_TRABAJO!$I$262="",HOJA_DE_TRABAJO!$I$262=0),HOJA_DE_TRABAJO!$C$262,HOJA_DE_TRABAJO!$I$262)</f>
        <v>0.15</v>
      </c>
      <c r="K43" s="384">
        <f t="shared" si="2"/>
        <v>0</v>
      </c>
      <c r="L43" s="384">
        <f t="shared" si="3"/>
        <v>0</v>
      </c>
      <c r="M43" s="384" t="e">
        <f t="shared" si="4"/>
        <v>#VALUE!</v>
      </c>
      <c r="N43" s="384" t="str">
        <f t="shared" si="5"/>
        <v/>
      </c>
    </row>
    <row r="44" spans="5:14" x14ac:dyDescent="0.25">
      <c r="E44" s="384">
        <f t="shared" si="0"/>
        <v>0</v>
      </c>
      <c r="F44" s="384">
        <f>E44/HOJA_DE_TRABAJO!$E$184</f>
        <v>0</v>
      </c>
      <c r="G44" s="57">
        <f t="shared" si="1"/>
        <v>0</v>
      </c>
      <c r="H44" s="10">
        <f>(HOJA_DE_TRABAJO!$I$23+HOJA_DE_TRABAJO!$E$256)*F44</f>
        <v>0</v>
      </c>
      <c r="I44" s="57">
        <f>F44*HOJA_DE_TRABAJO!$E$259</f>
        <v>0</v>
      </c>
      <c r="J44" s="385">
        <f>IF(OR(HOJA_DE_TRABAJO!$I$262="",HOJA_DE_TRABAJO!$I$262=0),HOJA_DE_TRABAJO!$C$262,HOJA_DE_TRABAJO!$I$262)</f>
        <v>0.15</v>
      </c>
      <c r="K44" s="384">
        <f t="shared" si="2"/>
        <v>0</v>
      </c>
      <c r="L44" s="384">
        <f t="shared" si="3"/>
        <v>0</v>
      </c>
      <c r="M44" s="384" t="e">
        <f t="shared" si="4"/>
        <v>#VALUE!</v>
      </c>
      <c r="N44" s="384" t="str">
        <f t="shared" si="5"/>
        <v/>
      </c>
    </row>
    <row r="45" spans="5:14" x14ac:dyDescent="0.25">
      <c r="E45" s="384">
        <f t="shared" si="0"/>
        <v>0</v>
      </c>
      <c r="F45" s="384">
        <f>E45/HOJA_DE_TRABAJO!$E$184</f>
        <v>0</v>
      </c>
      <c r="G45" s="57">
        <f t="shared" si="1"/>
        <v>0</v>
      </c>
      <c r="H45" s="10">
        <f>(HOJA_DE_TRABAJO!$I$23+HOJA_DE_TRABAJO!$E$256)*F45</f>
        <v>0</v>
      </c>
      <c r="I45" s="57">
        <f>F45*HOJA_DE_TRABAJO!$E$259</f>
        <v>0</v>
      </c>
      <c r="J45" s="385">
        <f>IF(OR(HOJA_DE_TRABAJO!$I$262="",HOJA_DE_TRABAJO!$I$262=0),HOJA_DE_TRABAJO!$C$262,HOJA_DE_TRABAJO!$I$262)</f>
        <v>0.15</v>
      </c>
      <c r="K45" s="384">
        <f t="shared" si="2"/>
        <v>0</v>
      </c>
      <c r="L45" s="384">
        <f t="shared" si="3"/>
        <v>0</v>
      </c>
      <c r="M45" s="384" t="e">
        <f t="shared" si="4"/>
        <v>#VALUE!</v>
      </c>
      <c r="N45" s="384" t="str">
        <f t="shared" si="5"/>
        <v/>
      </c>
    </row>
    <row r="46" spans="5:14" x14ac:dyDescent="0.25">
      <c r="E46" s="384">
        <f t="shared" si="0"/>
        <v>0</v>
      </c>
      <c r="F46" s="384">
        <f>E46/HOJA_DE_TRABAJO!$E$184</f>
        <v>0</v>
      </c>
      <c r="G46" s="57">
        <f t="shared" si="1"/>
        <v>0</v>
      </c>
      <c r="H46" s="10">
        <f>(HOJA_DE_TRABAJO!$I$23+HOJA_DE_TRABAJO!$E$256)*F46</f>
        <v>0</v>
      </c>
      <c r="I46" s="57">
        <f>F46*HOJA_DE_TRABAJO!$E$259</f>
        <v>0</v>
      </c>
      <c r="J46" s="385">
        <f>IF(OR(HOJA_DE_TRABAJO!$I$262="",HOJA_DE_TRABAJO!$I$262=0),HOJA_DE_TRABAJO!$C$262,HOJA_DE_TRABAJO!$I$262)</f>
        <v>0.15</v>
      </c>
      <c r="K46" s="384">
        <f t="shared" si="2"/>
        <v>0</v>
      </c>
      <c r="L46" s="384">
        <f t="shared" si="3"/>
        <v>0</v>
      </c>
      <c r="M46" s="384" t="e">
        <f t="shared" si="4"/>
        <v>#VALUE!</v>
      </c>
      <c r="N46" s="384" t="str">
        <f t="shared" si="5"/>
        <v/>
      </c>
    </row>
    <row r="47" spans="5:14" x14ac:dyDescent="0.25">
      <c r="E47" s="384">
        <f t="shared" si="0"/>
        <v>0</v>
      </c>
      <c r="F47" s="384">
        <f>E47/HOJA_DE_TRABAJO!$E$184</f>
        <v>0</v>
      </c>
      <c r="G47" s="57">
        <f t="shared" si="1"/>
        <v>0</v>
      </c>
      <c r="H47" s="10">
        <f>(HOJA_DE_TRABAJO!$I$23+HOJA_DE_TRABAJO!$E$256)*F47</f>
        <v>0</v>
      </c>
      <c r="I47" s="57">
        <f>F47*HOJA_DE_TRABAJO!$E$259</f>
        <v>0</v>
      </c>
      <c r="J47" s="385">
        <f>IF(OR(HOJA_DE_TRABAJO!$I$262="",HOJA_DE_TRABAJO!$I$262=0),HOJA_DE_TRABAJO!$C$262,HOJA_DE_TRABAJO!$I$262)</f>
        <v>0.15</v>
      </c>
      <c r="K47" s="384">
        <f t="shared" si="2"/>
        <v>0</v>
      </c>
      <c r="L47" s="384">
        <f t="shared" si="3"/>
        <v>0</v>
      </c>
      <c r="M47" s="384" t="e">
        <f t="shared" si="4"/>
        <v>#VALUE!</v>
      </c>
      <c r="N47" s="384" t="str">
        <f t="shared" si="5"/>
        <v/>
      </c>
    </row>
    <row r="48" spans="5:14" x14ac:dyDescent="0.25">
      <c r="E48" s="384">
        <f t="shared" si="0"/>
        <v>0</v>
      </c>
      <c r="F48" s="384">
        <f>E48/HOJA_DE_TRABAJO!$E$184</f>
        <v>0</v>
      </c>
      <c r="G48" s="57">
        <f t="shared" si="1"/>
        <v>0</v>
      </c>
      <c r="H48" s="10">
        <f>(HOJA_DE_TRABAJO!$I$23+HOJA_DE_TRABAJO!$E$256)*F48</f>
        <v>0</v>
      </c>
      <c r="I48" s="57">
        <f>F48*HOJA_DE_TRABAJO!$E$259</f>
        <v>0</v>
      </c>
      <c r="J48" s="385">
        <f>IF(OR(HOJA_DE_TRABAJO!$I$262="",HOJA_DE_TRABAJO!$I$262=0),HOJA_DE_TRABAJO!$C$262,HOJA_DE_TRABAJO!$I$262)</f>
        <v>0.15</v>
      </c>
      <c r="K48" s="384">
        <f t="shared" si="2"/>
        <v>0</v>
      </c>
      <c r="L48" s="384">
        <f t="shared" si="3"/>
        <v>0</v>
      </c>
      <c r="M48" s="384" t="e">
        <f t="shared" si="4"/>
        <v>#VALUE!</v>
      </c>
      <c r="N48" s="384" t="str">
        <f t="shared" si="5"/>
        <v/>
      </c>
    </row>
    <row r="49" spans="5:14" x14ac:dyDescent="0.25">
      <c r="E49" s="384">
        <f t="shared" si="0"/>
        <v>0</v>
      </c>
      <c r="F49" s="384">
        <f>E49/HOJA_DE_TRABAJO!$E$184</f>
        <v>0</v>
      </c>
      <c r="G49" s="57">
        <f t="shared" si="1"/>
        <v>0</v>
      </c>
      <c r="H49" s="10">
        <f>(HOJA_DE_TRABAJO!$I$23+HOJA_DE_TRABAJO!$E$256)*F49</f>
        <v>0</v>
      </c>
      <c r="I49" s="57">
        <f>F49*HOJA_DE_TRABAJO!$E$259</f>
        <v>0</v>
      </c>
      <c r="J49" s="385">
        <f>IF(OR(HOJA_DE_TRABAJO!$I$262="",HOJA_DE_TRABAJO!$I$262=0),HOJA_DE_TRABAJO!$C$262,HOJA_DE_TRABAJO!$I$262)</f>
        <v>0.15</v>
      </c>
      <c r="K49" s="384">
        <f t="shared" si="2"/>
        <v>0</v>
      </c>
      <c r="L49" s="384">
        <f t="shared" si="3"/>
        <v>0</v>
      </c>
      <c r="M49" s="384" t="e">
        <f t="shared" si="4"/>
        <v>#VALUE!</v>
      </c>
      <c r="N49" s="384" t="str">
        <f t="shared" si="5"/>
        <v/>
      </c>
    </row>
    <row r="50" spans="5:14" x14ac:dyDescent="0.25">
      <c r="E50" s="384">
        <f t="shared" si="0"/>
        <v>0</v>
      </c>
      <c r="F50" s="384">
        <f>E50/HOJA_DE_TRABAJO!$E$184</f>
        <v>0</v>
      </c>
      <c r="G50" s="57">
        <f t="shared" si="1"/>
        <v>0</v>
      </c>
      <c r="H50" s="10">
        <f>(HOJA_DE_TRABAJO!$I$23+HOJA_DE_TRABAJO!$E$256)*F50</f>
        <v>0</v>
      </c>
      <c r="I50" s="57">
        <f>F50*HOJA_DE_TRABAJO!$E$259</f>
        <v>0</v>
      </c>
      <c r="J50" s="385">
        <f>IF(OR(HOJA_DE_TRABAJO!$I$262="",HOJA_DE_TRABAJO!$I$262=0),HOJA_DE_TRABAJO!$C$262,HOJA_DE_TRABAJO!$I$262)</f>
        <v>0.15</v>
      </c>
      <c r="K50" s="384">
        <f t="shared" si="2"/>
        <v>0</v>
      </c>
      <c r="L50" s="384">
        <f t="shared" si="3"/>
        <v>0</v>
      </c>
      <c r="M50" s="384" t="e">
        <f t="shared" si="4"/>
        <v>#VALUE!</v>
      </c>
      <c r="N50" s="384" t="str">
        <f t="shared" si="5"/>
        <v/>
      </c>
    </row>
    <row r="51" spans="5:14" x14ac:dyDescent="0.25">
      <c r="E51" s="384">
        <f t="shared" si="0"/>
        <v>0</v>
      </c>
      <c r="F51" s="384">
        <f>E51/HOJA_DE_TRABAJO!$E$184</f>
        <v>0</v>
      </c>
      <c r="G51" s="57">
        <f t="shared" si="1"/>
        <v>0</v>
      </c>
      <c r="H51" s="10">
        <f>(HOJA_DE_TRABAJO!$I$23+HOJA_DE_TRABAJO!$E$256)*F51</f>
        <v>0</v>
      </c>
      <c r="I51" s="57">
        <f>F51*HOJA_DE_TRABAJO!$E$259</f>
        <v>0</v>
      </c>
      <c r="J51" s="385">
        <f>IF(OR(HOJA_DE_TRABAJO!$I$262="",HOJA_DE_TRABAJO!$I$262=0),HOJA_DE_TRABAJO!$C$262,HOJA_DE_TRABAJO!$I$262)</f>
        <v>0.15</v>
      </c>
      <c r="K51" s="384">
        <f t="shared" si="2"/>
        <v>0</v>
      </c>
      <c r="L51" s="384">
        <f t="shared" si="3"/>
        <v>0</v>
      </c>
      <c r="M51" s="384" t="e">
        <f t="shared" si="4"/>
        <v>#VALUE!</v>
      </c>
      <c r="N51" s="384" t="str">
        <f t="shared" si="5"/>
        <v/>
      </c>
    </row>
    <row r="52" spans="5:14" x14ac:dyDescent="0.25">
      <c r="E52" s="384">
        <f t="shared" si="0"/>
        <v>0</v>
      </c>
      <c r="F52" s="384">
        <f>E52/HOJA_DE_TRABAJO!$E$184</f>
        <v>0</v>
      </c>
      <c r="G52" s="57">
        <f t="shared" si="1"/>
        <v>0</v>
      </c>
      <c r="H52" s="10">
        <f>(HOJA_DE_TRABAJO!$I$23+HOJA_DE_TRABAJO!$E$256)*F52</f>
        <v>0</v>
      </c>
      <c r="I52" s="57">
        <f>F52*HOJA_DE_TRABAJO!$E$259</f>
        <v>0</v>
      </c>
      <c r="J52" s="385">
        <f>IF(OR(HOJA_DE_TRABAJO!$I$262="",HOJA_DE_TRABAJO!$I$262=0),HOJA_DE_TRABAJO!$C$262,HOJA_DE_TRABAJO!$I$262)</f>
        <v>0.15</v>
      </c>
      <c r="K52" s="384">
        <f t="shared" si="2"/>
        <v>0</v>
      </c>
      <c r="L52" s="384">
        <f t="shared" si="3"/>
        <v>0</v>
      </c>
      <c r="M52" s="384" t="e">
        <f t="shared" si="4"/>
        <v>#VALUE!</v>
      </c>
      <c r="N52" s="384" t="str">
        <f t="shared" si="5"/>
        <v/>
      </c>
    </row>
    <row r="53" spans="5:14" x14ac:dyDescent="0.25">
      <c r="E53" s="384">
        <f t="shared" si="0"/>
        <v>0</v>
      </c>
      <c r="F53" s="384">
        <f>E53/HOJA_DE_TRABAJO!$E$184</f>
        <v>0</v>
      </c>
      <c r="G53" s="57">
        <f t="shared" si="1"/>
        <v>0</v>
      </c>
      <c r="H53" s="10">
        <f>(HOJA_DE_TRABAJO!$I$23+HOJA_DE_TRABAJO!$E$256)*F53</f>
        <v>0</v>
      </c>
      <c r="I53" s="57">
        <f>F53*HOJA_DE_TRABAJO!$E$259</f>
        <v>0</v>
      </c>
      <c r="J53" s="385">
        <f>IF(OR(HOJA_DE_TRABAJO!$I$262="",HOJA_DE_TRABAJO!$I$262=0),HOJA_DE_TRABAJO!$C$262,HOJA_DE_TRABAJO!$I$262)</f>
        <v>0.15</v>
      </c>
      <c r="K53" s="384">
        <f t="shared" si="2"/>
        <v>0</v>
      </c>
      <c r="L53" s="384">
        <f t="shared" si="3"/>
        <v>0</v>
      </c>
      <c r="M53" s="384" t="e">
        <f t="shared" si="4"/>
        <v>#VALUE!</v>
      </c>
      <c r="N53" s="384" t="str">
        <f t="shared" si="5"/>
        <v/>
      </c>
    </row>
    <row r="54" spans="5:14" x14ac:dyDescent="0.25">
      <c r="E54" s="384">
        <f t="shared" si="0"/>
        <v>0</v>
      </c>
      <c r="F54" s="384">
        <f>E54/HOJA_DE_TRABAJO!$E$184</f>
        <v>0</v>
      </c>
      <c r="G54" s="57">
        <f t="shared" si="1"/>
        <v>0</v>
      </c>
      <c r="H54" s="10">
        <f>(HOJA_DE_TRABAJO!$I$23+HOJA_DE_TRABAJO!$E$256)*F54</f>
        <v>0</v>
      </c>
      <c r="I54" s="57">
        <f>F54*HOJA_DE_TRABAJO!$E$259</f>
        <v>0</v>
      </c>
      <c r="J54" s="385">
        <f>IF(OR(HOJA_DE_TRABAJO!$I$262="",HOJA_DE_TRABAJO!$I$262=0),HOJA_DE_TRABAJO!$C$262,HOJA_DE_TRABAJO!$I$262)</f>
        <v>0.15</v>
      </c>
      <c r="K54" s="384">
        <f t="shared" si="2"/>
        <v>0</v>
      </c>
      <c r="L54" s="384">
        <f t="shared" si="3"/>
        <v>0</v>
      </c>
      <c r="M54" s="384" t="e">
        <f t="shared" si="4"/>
        <v>#VALUE!</v>
      </c>
      <c r="N54" s="384" t="str">
        <f t="shared" si="5"/>
        <v/>
      </c>
    </row>
    <row r="55" spans="5:14" x14ac:dyDescent="0.25">
      <c r="E55" s="384">
        <f t="shared" si="0"/>
        <v>0</v>
      </c>
      <c r="F55" s="384">
        <f>E55/HOJA_DE_TRABAJO!$E$184</f>
        <v>0</v>
      </c>
      <c r="G55" s="57">
        <f t="shared" si="1"/>
        <v>0</v>
      </c>
      <c r="H55" s="10">
        <f>(HOJA_DE_TRABAJO!$I$23+HOJA_DE_TRABAJO!$E$256)*F55</f>
        <v>0</v>
      </c>
      <c r="I55" s="57">
        <f>F55*HOJA_DE_TRABAJO!$E$259</f>
        <v>0</v>
      </c>
      <c r="J55" s="385">
        <f>IF(OR(HOJA_DE_TRABAJO!$I$262="",HOJA_DE_TRABAJO!$I$262=0),HOJA_DE_TRABAJO!$C$262,HOJA_DE_TRABAJO!$I$262)</f>
        <v>0.15</v>
      </c>
      <c r="K55" s="384">
        <f t="shared" si="2"/>
        <v>0</v>
      </c>
      <c r="L55" s="384">
        <f t="shared" si="3"/>
        <v>0</v>
      </c>
      <c r="M55" s="384" t="e">
        <f t="shared" si="4"/>
        <v>#VALUE!</v>
      </c>
      <c r="N55" s="384" t="str">
        <f t="shared" si="5"/>
        <v/>
      </c>
    </row>
    <row r="56" spans="5:14" x14ac:dyDescent="0.25">
      <c r="E56" s="384">
        <f t="shared" si="0"/>
        <v>0</v>
      </c>
      <c r="F56" s="384">
        <f>E56/HOJA_DE_TRABAJO!$E$184</f>
        <v>0</v>
      </c>
      <c r="G56" s="57">
        <f t="shared" si="1"/>
        <v>0</v>
      </c>
      <c r="H56" s="10">
        <f>(HOJA_DE_TRABAJO!$I$23+HOJA_DE_TRABAJO!$E$256)*F56</f>
        <v>0</v>
      </c>
      <c r="I56" s="57">
        <f>F56*HOJA_DE_TRABAJO!$E$259</f>
        <v>0</v>
      </c>
      <c r="J56" s="385">
        <f>IF(OR(HOJA_DE_TRABAJO!$I$262="",HOJA_DE_TRABAJO!$I$262=0),HOJA_DE_TRABAJO!$C$262,HOJA_DE_TRABAJO!$I$262)</f>
        <v>0.15</v>
      </c>
      <c r="K56" s="384">
        <f t="shared" si="2"/>
        <v>0</v>
      </c>
      <c r="L56" s="384">
        <f t="shared" si="3"/>
        <v>0</v>
      </c>
      <c r="M56" s="384" t="e">
        <f t="shared" si="4"/>
        <v>#VALUE!</v>
      </c>
      <c r="N56" s="384" t="str">
        <f t="shared" si="5"/>
        <v/>
      </c>
    </row>
    <row r="57" spans="5:14" x14ac:dyDescent="0.25">
      <c r="E57" s="384">
        <f t="shared" si="0"/>
        <v>0</v>
      </c>
      <c r="F57" s="384">
        <f>E57/HOJA_DE_TRABAJO!$E$184</f>
        <v>0</v>
      </c>
      <c r="G57" s="57">
        <f t="shared" si="1"/>
        <v>0</v>
      </c>
      <c r="H57" s="10">
        <f>(HOJA_DE_TRABAJO!$I$23+HOJA_DE_TRABAJO!$E$256)*F57</f>
        <v>0</v>
      </c>
      <c r="I57" s="57">
        <f>F57*HOJA_DE_TRABAJO!$E$259</f>
        <v>0</v>
      </c>
      <c r="J57" s="385">
        <f>IF(OR(HOJA_DE_TRABAJO!$I$262="",HOJA_DE_TRABAJO!$I$262=0),HOJA_DE_TRABAJO!$C$262,HOJA_DE_TRABAJO!$I$262)</f>
        <v>0.15</v>
      </c>
      <c r="K57" s="384">
        <f t="shared" si="2"/>
        <v>0</v>
      </c>
      <c r="L57" s="384">
        <f t="shared" si="3"/>
        <v>0</v>
      </c>
      <c r="M57" s="384" t="e">
        <f t="shared" si="4"/>
        <v>#VALUE!</v>
      </c>
      <c r="N57" s="384" t="str">
        <f t="shared" si="5"/>
        <v/>
      </c>
    </row>
    <row r="58" spans="5:14" x14ac:dyDescent="0.25">
      <c r="E58" s="384">
        <f t="shared" si="0"/>
        <v>0</v>
      </c>
      <c r="F58" s="384">
        <f>E58/HOJA_DE_TRABAJO!$E$184</f>
        <v>0</v>
      </c>
      <c r="G58" s="57">
        <f t="shared" si="1"/>
        <v>0</v>
      </c>
      <c r="H58" s="10">
        <f>(HOJA_DE_TRABAJO!$I$23+HOJA_DE_TRABAJO!$E$256)*F58</f>
        <v>0</v>
      </c>
      <c r="I58" s="57">
        <f>F58*HOJA_DE_TRABAJO!$E$259</f>
        <v>0</v>
      </c>
      <c r="J58" s="385">
        <f>IF(OR(HOJA_DE_TRABAJO!$I$262="",HOJA_DE_TRABAJO!$I$262=0),HOJA_DE_TRABAJO!$C$262,HOJA_DE_TRABAJO!$I$262)</f>
        <v>0.15</v>
      </c>
      <c r="K58" s="384">
        <f t="shared" si="2"/>
        <v>0</v>
      </c>
      <c r="L58" s="384">
        <f t="shared" si="3"/>
        <v>0</v>
      </c>
      <c r="M58" s="384" t="e">
        <f t="shared" si="4"/>
        <v>#VALUE!</v>
      </c>
      <c r="N58" s="384" t="str">
        <f t="shared" si="5"/>
        <v/>
      </c>
    </row>
    <row r="59" spans="5:14" x14ac:dyDescent="0.25">
      <c r="E59" s="384">
        <f t="shared" si="0"/>
        <v>0</v>
      </c>
      <c r="F59" s="384">
        <f>E59/HOJA_DE_TRABAJO!$E$184</f>
        <v>0</v>
      </c>
      <c r="G59" s="57">
        <f t="shared" si="1"/>
        <v>0</v>
      </c>
      <c r="H59" s="10">
        <f>(HOJA_DE_TRABAJO!$I$23+HOJA_DE_TRABAJO!$E$256)*F59</f>
        <v>0</v>
      </c>
      <c r="I59" s="57">
        <f>F59*HOJA_DE_TRABAJO!$E$259</f>
        <v>0</v>
      </c>
      <c r="J59" s="385">
        <f>IF(OR(HOJA_DE_TRABAJO!$I$262="",HOJA_DE_TRABAJO!$I$262=0),HOJA_DE_TRABAJO!$C$262,HOJA_DE_TRABAJO!$I$262)</f>
        <v>0.15</v>
      </c>
      <c r="K59" s="384">
        <f t="shared" si="2"/>
        <v>0</v>
      </c>
      <c r="L59" s="384">
        <f t="shared" si="3"/>
        <v>0</v>
      </c>
      <c r="M59" s="384" t="e">
        <f t="shared" si="4"/>
        <v>#VALUE!</v>
      </c>
      <c r="N59" s="384" t="str">
        <f t="shared" si="5"/>
        <v/>
      </c>
    </row>
    <row r="60" spans="5:14" x14ac:dyDescent="0.25">
      <c r="E60" s="384">
        <f t="shared" si="0"/>
        <v>0</v>
      </c>
      <c r="F60" s="384">
        <f>E60/HOJA_DE_TRABAJO!$E$184</f>
        <v>0</v>
      </c>
      <c r="G60" s="57">
        <f t="shared" si="1"/>
        <v>0</v>
      </c>
      <c r="H60" s="10">
        <f>(HOJA_DE_TRABAJO!$I$23+HOJA_DE_TRABAJO!$E$256)*F60</f>
        <v>0</v>
      </c>
      <c r="I60" s="57">
        <f>F60*HOJA_DE_TRABAJO!$E$259</f>
        <v>0</v>
      </c>
      <c r="J60" s="385">
        <f>IF(OR(HOJA_DE_TRABAJO!$I$262="",HOJA_DE_TRABAJO!$I$262=0),HOJA_DE_TRABAJO!$C$262,HOJA_DE_TRABAJO!$I$262)</f>
        <v>0.15</v>
      </c>
      <c r="K60" s="384">
        <f t="shared" si="2"/>
        <v>0</v>
      </c>
      <c r="L60" s="384">
        <f t="shared" si="3"/>
        <v>0</v>
      </c>
      <c r="M60" s="384" t="e">
        <f t="shared" si="4"/>
        <v>#VALUE!</v>
      </c>
      <c r="N60" s="384" t="str">
        <f t="shared" si="5"/>
        <v/>
      </c>
    </row>
    <row r="61" spans="5:14" x14ac:dyDescent="0.25">
      <c r="E61" s="384">
        <f t="shared" si="0"/>
        <v>0</v>
      </c>
      <c r="F61" s="384">
        <f>E61/HOJA_DE_TRABAJO!$E$184</f>
        <v>0</v>
      </c>
      <c r="G61" s="57">
        <f t="shared" si="1"/>
        <v>0</v>
      </c>
      <c r="H61" s="10">
        <f>(HOJA_DE_TRABAJO!$I$23+HOJA_DE_TRABAJO!$E$256)*F61</f>
        <v>0</v>
      </c>
      <c r="I61" s="57">
        <f>F61*HOJA_DE_TRABAJO!$E$259</f>
        <v>0</v>
      </c>
      <c r="J61" s="385">
        <f>IF(OR(HOJA_DE_TRABAJO!$I$262="",HOJA_DE_TRABAJO!$I$262=0),HOJA_DE_TRABAJO!$C$262,HOJA_DE_TRABAJO!$I$262)</f>
        <v>0.15</v>
      </c>
      <c r="K61" s="384">
        <f t="shared" si="2"/>
        <v>0</v>
      </c>
      <c r="L61" s="384">
        <f t="shared" si="3"/>
        <v>0</v>
      </c>
      <c r="M61" s="384" t="e">
        <f t="shared" si="4"/>
        <v>#VALUE!</v>
      </c>
      <c r="N61" s="384" t="str">
        <f t="shared" si="5"/>
        <v/>
      </c>
    </row>
    <row r="62" spans="5:14" x14ac:dyDescent="0.25">
      <c r="E62" s="384">
        <f t="shared" si="0"/>
        <v>0</v>
      </c>
      <c r="F62" s="384">
        <f>E62/HOJA_DE_TRABAJO!$E$184</f>
        <v>0</v>
      </c>
      <c r="G62" s="57">
        <f t="shared" si="1"/>
        <v>0</v>
      </c>
      <c r="H62" s="10">
        <f>(HOJA_DE_TRABAJO!$I$23+HOJA_DE_TRABAJO!$E$256)*F62</f>
        <v>0</v>
      </c>
      <c r="I62" s="57">
        <f>F62*HOJA_DE_TRABAJO!$E$259</f>
        <v>0</v>
      </c>
      <c r="J62" s="385">
        <f>IF(OR(HOJA_DE_TRABAJO!$I$262="",HOJA_DE_TRABAJO!$I$262=0),HOJA_DE_TRABAJO!$C$262,HOJA_DE_TRABAJO!$I$262)</f>
        <v>0.15</v>
      </c>
      <c r="K62" s="384">
        <f t="shared" si="2"/>
        <v>0</v>
      </c>
      <c r="L62" s="384">
        <f t="shared" si="3"/>
        <v>0</v>
      </c>
      <c r="M62" s="384" t="e">
        <f t="shared" si="4"/>
        <v>#VALUE!</v>
      </c>
      <c r="N62" s="384" t="str">
        <f t="shared" si="5"/>
        <v/>
      </c>
    </row>
    <row r="63" spans="5:14" x14ac:dyDescent="0.25">
      <c r="E63" s="384">
        <f t="shared" si="0"/>
        <v>0</v>
      </c>
      <c r="F63" s="384">
        <f>E63/HOJA_DE_TRABAJO!$E$184</f>
        <v>0</v>
      </c>
      <c r="G63" s="57">
        <f t="shared" si="1"/>
        <v>0</v>
      </c>
      <c r="H63" s="10">
        <f>(HOJA_DE_TRABAJO!$I$23+HOJA_DE_TRABAJO!$E$256)*F63</f>
        <v>0</v>
      </c>
      <c r="I63" s="57">
        <f>F63*HOJA_DE_TRABAJO!$E$259</f>
        <v>0</v>
      </c>
      <c r="J63" s="385">
        <f>IF(OR(HOJA_DE_TRABAJO!$I$262="",HOJA_DE_TRABAJO!$I$262=0),HOJA_DE_TRABAJO!$C$262,HOJA_DE_TRABAJO!$I$262)</f>
        <v>0.15</v>
      </c>
      <c r="K63" s="384">
        <f t="shared" si="2"/>
        <v>0</v>
      </c>
      <c r="L63" s="384">
        <f t="shared" si="3"/>
        <v>0</v>
      </c>
      <c r="M63" s="384" t="e">
        <f t="shared" si="4"/>
        <v>#VALUE!</v>
      </c>
      <c r="N63" s="384" t="str">
        <f t="shared" si="5"/>
        <v/>
      </c>
    </row>
    <row r="64" spans="5:14" x14ac:dyDescent="0.25">
      <c r="E64" s="384">
        <f t="shared" si="0"/>
        <v>0</v>
      </c>
      <c r="F64" s="384">
        <f>E64/HOJA_DE_TRABAJO!$E$184</f>
        <v>0</v>
      </c>
      <c r="G64" s="57">
        <f t="shared" si="1"/>
        <v>0</v>
      </c>
      <c r="H64" s="10">
        <f>(HOJA_DE_TRABAJO!$I$23+HOJA_DE_TRABAJO!$E$256)*F64</f>
        <v>0</v>
      </c>
      <c r="I64" s="57">
        <f>F64*HOJA_DE_TRABAJO!$E$259</f>
        <v>0</v>
      </c>
      <c r="J64" s="385">
        <f>IF(OR(HOJA_DE_TRABAJO!$I$262="",HOJA_DE_TRABAJO!$I$262=0),HOJA_DE_TRABAJO!$C$262,HOJA_DE_TRABAJO!$I$262)</f>
        <v>0.15</v>
      </c>
      <c r="K64" s="384">
        <f t="shared" si="2"/>
        <v>0</v>
      </c>
      <c r="L64" s="384">
        <f t="shared" si="3"/>
        <v>0</v>
      </c>
      <c r="M64" s="384" t="e">
        <f t="shared" si="4"/>
        <v>#VALUE!</v>
      </c>
      <c r="N64" s="384" t="str">
        <f t="shared" si="5"/>
        <v/>
      </c>
    </row>
    <row r="65" spans="5:14" x14ac:dyDescent="0.25">
      <c r="E65" s="384">
        <f t="shared" si="0"/>
        <v>0</v>
      </c>
      <c r="F65" s="384">
        <f>E65/HOJA_DE_TRABAJO!$E$184</f>
        <v>0</v>
      </c>
      <c r="G65" s="57">
        <f t="shared" si="1"/>
        <v>0</v>
      </c>
      <c r="H65" s="10">
        <f>(HOJA_DE_TRABAJO!$I$23+HOJA_DE_TRABAJO!$E$256)*F65</f>
        <v>0</v>
      </c>
      <c r="I65" s="57">
        <f>F65*HOJA_DE_TRABAJO!$E$259</f>
        <v>0</v>
      </c>
      <c r="J65" s="385">
        <f>IF(OR(HOJA_DE_TRABAJO!$I$262="",HOJA_DE_TRABAJO!$I$262=0),HOJA_DE_TRABAJO!$C$262,HOJA_DE_TRABAJO!$I$262)</f>
        <v>0.15</v>
      </c>
      <c r="K65" s="384">
        <f t="shared" si="2"/>
        <v>0</v>
      </c>
      <c r="L65" s="384">
        <f t="shared" si="3"/>
        <v>0</v>
      </c>
      <c r="M65" s="384" t="e">
        <f t="shared" si="4"/>
        <v>#VALUE!</v>
      </c>
      <c r="N65" s="384" t="str">
        <f t="shared" si="5"/>
        <v/>
      </c>
    </row>
    <row r="66" spans="5:14" x14ac:dyDescent="0.25">
      <c r="E66" s="384">
        <f t="shared" si="0"/>
        <v>0</v>
      </c>
      <c r="F66" s="384">
        <f>E66/HOJA_DE_TRABAJO!$E$184</f>
        <v>0</v>
      </c>
      <c r="G66" s="57">
        <f t="shared" si="1"/>
        <v>0</v>
      </c>
      <c r="H66" s="10">
        <f>(HOJA_DE_TRABAJO!$I$23+HOJA_DE_TRABAJO!$E$256)*F66</f>
        <v>0</v>
      </c>
      <c r="I66" s="57">
        <f>F66*HOJA_DE_TRABAJO!$E$259</f>
        <v>0</v>
      </c>
      <c r="J66" s="385">
        <f>IF(OR(HOJA_DE_TRABAJO!$I$262="",HOJA_DE_TRABAJO!$I$262=0),HOJA_DE_TRABAJO!$C$262,HOJA_DE_TRABAJO!$I$262)</f>
        <v>0.15</v>
      </c>
      <c r="K66" s="384">
        <f t="shared" si="2"/>
        <v>0</v>
      </c>
      <c r="L66" s="384">
        <f t="shared" si="3"/>
        <v>0</v>
      </c>
      <c r="M66" s="384" t="e">
        <f t="shared" si="4"/>
        <v>#VALUE!</v>
      </c>
      <c r="N66" s="384" t="str">
        <f t="shared" si="5"/>
        <v/>
      </c>
    </row>
    <row r="67" spans="5:14" x14ac:dyDescent="0.25">
      <c r="E67" s="384">
        <f t="shared" ref="E67:E91" si="6">D67/0.845</f>
        <v>0</v>
      </c>
      <c r="F67" s="384">
        <f>E67/HOJA_DE_TRABAJO!$E$184</f>
        <v>0</v>
      </c>
      <c r="G67" s="57">
        <f t="shared" ref="G67:G91" si="7">B67*C67*E67</f>
        <v>0</v>
      </c>
      <c r="H67" s="10">
        <f>(HOJA_DE_TRABAJO!$I$23+HOJA_DE_TRABAJO!$E$256)*F67</f>
        <v>0</v>
      </c>
      <c r="I67" s="57">
        <f>F67*HOJA_DE_TRABAJO!$E$259</f>
        <v>0</v>
      </c>
      <c r="J67" s="385">
        <f>IF(OR(HOJA_DE_TRABAJO!$I$262="",HOJA_DE_TRABAJO!$I$262=0),HOJA_DE_TRABAJO!$C$262,HOJA_DE_TRABAJO!$I$262)</f>
        <v>0.15</v>
      </c>
      <c r="K67" s="384">
        <f t="shared" ref="K67:K91" si="8">(E67+H67+I67)*J67</f>
        <v>0</v>
      </c>
      <c r="L67" s="384">
        <f t="shared" ref="L67:L91" si="9">E67+H67+I67+K67</f>
        <v>0</v>
      </c>
      <c r="M67" s="384" t="e">
        <f t="shared" ref="M67:M91" si="10">N67-L67</f>
        <v>#VALUE!</v>
      </c>
      <c r="N67" s="384" t="str">
        <f t="shared" ref="N67:N91" si="11">IF(A67="","",L67/0.84)</f>
        <v/>
      </c>
    </row>
    <row r="68" spans="5:14" x14ac:dyDescent="0.25">
      <c r="E68" s="384">
        <f t="shared" si="6"/>
        <v>0</v>
      </c>
      <c r="F68" s="384">
        <f>E68/HOJA_DE_TRABAJO!$E$184</f>
        <v>0</v>
      </c>
      <c r="G68" s="57">
        <f t="shared" si="7"/>
        <v>0</v>
      </c>
      <c r="H68" s="10">
        <f>(HOJA_DE_TRABAJO!$I$23+HOJA_DE_TRABAJO!$E$256)*F68</f>
        <v>0</v>
      </c>
      <c r="I68" s="57">
        <f>F68*HOJA_DE_TRABAJO!$E$259</f>
        <v>0</v>
      </c>
      <c r="J68" s="385">
        <f>IF(OR(HOJA_DE_TRABAJO!$I$262="",HOJA_DE_TRABAJO!$I$262=0),HOJA_DE_TRABAJO!$C$262,HOJA_DE_TRABAJO!$I$262)</f>
        <v>0.15</v>
      </c>
      <c r="K68" s="384">
        <f t="shared" si="8"/>
        <v>0</v>
      </c>
      <c r="L68" s="384">
        <f t="shared" si="9"/>
        <v>0</v>
      </c>
      <c r="M68" s="384" t="e">
        <f t="shared" si="10"/>
        <v>#VALUE!</v>
      </c>
      <c r="N68" s="384" t="str">
        <f t="shared" si="11"/>
        <v/>
      </c>
    </row>
    <row r="69" spans="5:14" x14ac:dyDescent="0.25">
      <c r="E69" s="384">
        <f t="shared" si="6"/>
        <v>0</v>
      </c>
      <c r="F69" s="384">
        <f>E69/HOJA_DE_TRABAJO!$E$184</f>
        <v>0</v>
      </c>
      <c r="G69" s="57">
        <f t="shared" si="7"/>
        <v>0</v>
      </c>
      <c r="H69" s="10">
        <f>(HOJA_DE_TRABAJO!$I$23+HOJA_DE_TRABAJO!$E$256)*F69</f>
        <v>0</v>
      </c>
      <c r="I69" s="57">
        <f>F69*HOJA_DE_TRABAJO!$E$259</f>
        <v>0</v>
      </c>
      <c r="J69" s="385">
        <f>IF(OR(HOJA_DE_TRABAJO!$I$262="",HOJA_DE_TRABAJO!$I$262=0),HOJA_DE_TRABAJO!$C$262,HOJA_DE_TRABAJO!$I$262)</f>
        <v>0.15</v>
      </c>
      <c r="K69" s="384">
        <f t="shared" si="8"/>
        <v>0</v>
      </c>
      <c r="L69" s="384">
        <f t="shared" si="9"/>
        <v>0</v>
      </c>
      <c r="M69" s="384" t="e">
        <f t="shared" si="10"/>
        <v>#VALUE!</v>
      </c>
      <c r="N69" s="384" t="str">
        <f t="shared" si="11"/>
        <v/>
      </c>
    </row>
    <row r="70" spans="5:14" x14ac:dyDescent="0.25">
      <c r="E70" s="384">
        <f t="shared" si="6"/>
        <v>0</v>
      </c>
      <c r="F70" s="384">
        <f>E70/HOJA_DE_TRABAJO!$E$184</f>
        <v>0</v>
      </c>
      <c r="G70" s="57">
        <f t="shared" si="7"/>
        <v>0</v>
      </c>
      <c r="H70" s="10">
        <f>(HOJA_DE_TRABAJO!$I$23+HOJA_DE_TRABAJO!$E$256)*F70</f>
        <v>0</v>
      </c>
      <c r="I70" s="57">
        <f>F70*HOJA_DE_TRABAJO!$E$259</f>
        <v>0</v>
      </c>
      <c r="J70" s="385">
        <f>IF(OR(HOJA_DE_TRABAJO!$I$262="",HOJA_DE_TRABAJO!$I$262=0),HOJA_DE_TRABAJO!$C$262,HOJA_DE_TRABAJO!$I$262)</f>
        <v>0.15</v>
      </c>
      <c r="K70" s="384">
        <f t="shared" si="8"/>
        <v>0</v>
      </c>
      <c r="L70" s="384">
        <f t="shared" si="9"/>
        <v>0</v>
      </c>
      <c r="M70" s="384" t="e">
        <f t="shared" si="10"/>
        <v>#VALUE!</v>
      </c>
      <c r="N70" s="384" t="str">
        <f t="shared" si="11"/>
        <v/>
      </c>
    </row>
    <row r="71" spans="5:14" x14ac:dyDescent="0.25">
      <c r="E71" s="384">
        <f t="shared" si="6"/>
        <v>0</v>
      </c>
      <c r="F71" s="384">
        <f>E71/HOJA_DE_TRABAJO!$E$184</f>
        <v>0</v>
      </c>
      <c r="G71" s="57">
        <f t="shared" si="7"/>
        <v>0</v>
      </c>
      <c r="H71" s="10">
        <f>(HOJA_DE_TRABAJO!$I$23+HOJA_DE_TRABAJO!$E$256)*F71</f>
        <v>0</v>
      </c>
      <c r="I71" s="57">
        <f>F71*HOJA_DE_TRABAJO!$E$259</f>
        <v>0</v>
      </c>
      <c r="J71" s="385">
        <f>IF(OR(HOJA_DE_TRABAJO!$I$262="",HOJA_DE_TRABAJO!$I$262=0),HOJA_DE_TRABAJO!$C$262,HOJA_DE_TRABAJO!$I$262)</f>
        <v>0.15</v>
      </c>
      <c r="K71" s="384">
        <f t="shared" si="8"/>
        <v>0</v>
      </c>
      <c r="L71" s="384">
        <f t="shared" si="9"/>
        <v>0</v>
      </c>
      <c r="M71" s="384" t="e">
        <f t="shared" si="10"/>
        <v>#VALUE!</v>
      </c>
      <c r="N71" s="384" t="str">
        <f t="shared" si="11"/>
        <v/>
      </c>
    </row>
    <row r="72" spans="5:14" x14ac:dyDescent="0.25">
      <c r="E72" s="384">
        <f t="shared" si="6"/>
        <v>0</v>
      </c>
      <c r="F72" s="384">
        <f>E72/HOJA_DE_TRABAJO!$E$184</f>
        <v>0</v>
      </c>
      <c r="G72" s="57">
        <f t="shared" si="7"/>
        <v>0</v>
      </c>
      <c r="H72" s="10">
        <f>(HOJA_DE_TRABAJO!$I$23+HOJA_DE_TRABAJO!$E$256)*F72</f>
        <v>0</v>
      </c>
      <c r="I72" s="57">
        <f>F72*HOJA_DE_TRABAJO!$E$259</f>
        <v>0</v>
      </c>
      <c r="J72" s="385">
        <f>IF(OR(HOJA_DE_TRABAJO!$I$262="",HOJA_DE_TRABAJO!$I$262=0),HOJA_DE_TRABAJO!$C$262,HOJA_DE_TRABAJO!$I$262)</f>
        <v>0.15</v>
      </c>
      <c r="K72" s="384">
        <f t="shared" si="8"/>
        <v>0</v>
      </c>
      <c r="L72" s="384">
        <f t="shared" si="9"/>
        <v>0</v>
      </c>
      <c r="M72" s="384" t="e">
        <f t="shared" si="10"/>
        <v>#VALUE!</v>
      </c>
      <c r="N72" s="384" t="str">
        <f t="shared" si="11"/>
        <v/>
      </c>
    </row>
    <row r="73" spans="5:14" x14ac:dyDescent="0.25">
      <c r="E73" s="384">
        <f t="shared" si="6"/>
        <v>0</v>
      </c>
      <c r="F73" s="384">
        <f>E73/HOJA_DE_TRABAJO!$E$184</f>
        <v>0</v>
      </c>
      <c r="G73" s="57">
        <f t="shared" si="7"/>
        <v>0</v>
      </c>
      <c r="H73" s="10">
        <f>(HOJA_DE_TRABAJO!$I$23+HOJA_DE_TRABAJO!$E$256)*F73</f>
        <v>0</v>
      </c>
      <c r="I73" s="57">
        <f>F73*HOJA_DE_TRABAJO!$E$259</f>
        <v>0</v>
      </c>
      <c r="J73" s="385">
        <f>IF(OR(HOJA_DE_TRABAJO!$I$262="",HOJA_DE_TRABAJO!$I$262=0),HOJA_DE_TRABAJO!$C$262,HOJA_DE_TRABAJO!$I$262)</f>
        <v>0.15</v>
      </c>
      <c r="K73" s="384">
        <f t="shared" si="8"/>
        <v>0</v>
      </c>
      <c r="L73" s="384">
        <f t="shared" si="9"/>
        <v>0</v>
      </c>
      <c r="M73" s="384" t="e">
        <f t="shared" si="10"/>
        <v>#VALUE!</v>
      </c>
      <c r="N73" s="384" t="str">
        <f t="shared" si="11"/>
        <v/>
      </c>
    </row>
    <row r="74" spans="5:14" x14ac:dyDescent="0.25">
      <c r="E74" s="384">
        <f t="shared" si="6"/>
        <v>0</v>
      </c>
      <c r="F74" s="384">
        <f>E74/HOJA_DE_TRABAJO!$E$184</f>
        <v>0</v>
      </c>
      <c r="G74" s="57">
        <f t="shared" si="7"/>
        <v>0</v>
      </c>
      <c r="H74" s="10">
        <f>(HOJA_DE_TRABAJO!$I$23+HOJA_DE_TRABAJO!$E$256)*F74</f>
        <v>0</v>
      </c>
      <c r="I74" s="57">
        <f>F74*HOJA_DE_TRABAJO!$E$259</f>
        <v>0</v>
      </c>
      <c r="J74" s="385">
        <f>IF(OR(HOJA_DE_TRABAJO!$I$262="",HOJA_DE_TRABAJO!$I$262=0),HOJA_DE_TRABAJO!$C$262,HOJA_DE_TRABAJO!$I$262)</f>
        <v>0.15</v>
      </c>
      <c r="K74" s="384">
        <f t="shared" si="8"/>
        <v>0</v>
      </c>
      <c r="L74" s="384">
        <f t="shared" si="9"/>
        <v>0</v>
      </c>
      <c r="M74" s="384" t="e">
        <f t="shared" si="10"/>
        <v>#VALUE!</v>
      </c>
      <c r="N74" s="384" t="str">
        <f t="shared" si="11"/>
        <v/>
      </c>
    </row>
    <row r="75" spans="5:14" x14ac:dyDescent="0.25">
      <c r="E75" s="384">
        <f t="shared" si="6"/>
        <v>0</v>
      </c>
      <c r="F75" s="384">
        <f>E75/HOJA_DE_TRABAJO!$E$184</f>
        <v>0</v>
      </c>
      <c r="G75" s="57">
        <f t="shared" si="7"/>
        <v>0</v>
      </c>
      <c r="H75" s="10">
        <f>(HOJA_DE_TRABAJO!$I$23+HOJA_DE_TRABAJO!$E$256)*F75</f>
        <v>0</v>
      </c>
      <c r="I75" s="57">
        <f>F75*HOJA_DE_TRABAJO!$E$259</f>
        <v>0</v>
      </c>
      <c r="J75" s="385">
        <f>IF(OR(HOJA_DE_TRABAJO!$I$262="",HOJA_DE_TRABAJO!$I$262=0),HOJA_DE_TRABAJO!$C$262,HOJA_DE_TRABAJO!$I$262)</f>
        <v>0.15</v>
      </c>
      <c r="K75" s="384">
        <f t="shared" si="8"/>
        <v>0</v>
      </c>
      <c r="L75" s="384">
        <f t="shared" si="9"/>
        <v>0</v>
      </c>
      <c r="M75" s="384" t="e">
        <f t="shared" si="10"/>
        <v>#VALUE!</v>
      </c>
      <c r="N75" s="384" t="str">
        <f t="shared" si="11"/>
        <v/>
      </c>
    </row>
    <row r="76" spans="5:14" x14ac:dyDescent="0.25">
      <c r="E76" s="384">
        <f t="shared" si="6"/>
        <v>0</v>
      </c>
      <c r="F76" s="384">
        <f>E76/HOJA_DE_TRABAJO!$E$184</f>
        <v>0</v>
      </c>
      <c r="G76" s="57">
        <f t="shared" si="7"/>
        <v>0</v>
      </c>
      <c r="H76" s="10">
        <f>(HOJA_DE_TRABAJO!$I$23+HOJA_DE_TRABAJO!$E$256)*F76</f>
        <v>0</v>
      </c>
      <c r="I76" s="57">
        <f>F76*HOJA_DE_TRABAJO!$E$259</f>
        <v>0</v>
      </c>
      <c r="J76" s="385">
        <f>IF(OR(HOJA_DE_TRABAJO!$I$262="",HOJA_DE_TRABAJO!$I$262=0),HOJA_DE_TRABAJO!$C$262,HOJA_DE_TRABAJO!$I$262)</f>
        <v>0.15</v>
      </c>
      <c r="K76" s="384">
        <f t="shared" si="8"/>
        <v>0</v>
      </c>
      <c r="L76" s="384">
        <f t="shared" si="9"/>
        <v>0</v>
      </c>
      <c r="M76" s="384" t="e">
        <f t="shared" si="10"/>
        <v>#VALUE!</v>
      </c>
      <c r="N76" s="384" t="str">
        <f t="shared" si="11"/>
        <v/>
      </c>
    </row>
    <row r="77" spans="5:14" x14ac:dyDescent="0.25">
      <c r="E77" s="384">
        <f t="shared" si="6"/>
        <v>0</v>
      </c>
      <c r="F77" s="384">
        <f>E77/HOJA_DE_TRABAJO!$E$184</f>
        <v>0</v>
      </c>
      <c r="G77" s="57">
        <f t="shared" si="7"/>
        <v>0</v>
      </c>
      <c r="H77" s="10">
        <f>(HOJA_DE_TRABAJO!$I$23+HOJA_DE_TRABAJO!$E$256)*F77</f>
        <v>0</v>
      </c>
      <c r="I77" s="57">
        <f>F77*HOJA_DE_TRABAJO!$E$259</f>
        <v>0</v>
      </c>
      <c r="J77" s="385">
        <f>IF(OR(HOJA_DE_TRABAJO!$I$262="",HOJA_DE_TRABAJO!$I$262=0),HOJA_DE_TRABAJO!$C$262,HOJA_DE_TRABAJO!$I$262)</f>
        <v>0.15</v>
      </c>
      <c r="K77" s="384">
        <f t="shared" si="8"/>
        <v>0</v>
      </c>
      <c r="L77" s="384">
        <f t="shared" si="9"/>
        <v>0</v>
      </c>
      <c r="M77" s="384" t="e">
        <f t="shared" si="10"/>
        <v>#VALUE!</v>
      </c>
      <c r="N77" s="384" t="str">
        <f t="shared" si="11"/>
        <v/>
      </c>
    </row>
    <row r="78" spans="5:14" x14ac:dyDescent="0.25">
      <c r="E78" s="384">
        <f t="shared" si="6"/>
        <v>0</v>
      </c>
      <c r="F78" s="384">
        <f>E78/HOJA_DE_TRABAJO!$E$184</f>
        <v>0</v>
      </c>
      <c r="G78" s="57">
        <f t="shared" si="7"/>
        <v>0</v>
      </c>
      <c r="H78" s="10">
        <f>(HOJA_DE_TRABAJO!$I$23+HOJA_DE_TRABAJO!$E$256)*F78</f>
        <v>0</v>
      </c>
      <c r="I78" s="57">
        <f>F78*HOJA_DE_TRABAJO!$E$259</f>
        <v>0</v>
      </c>
      <c r="J78" s="385">
        <f>IF(OR(HOJA_DE_TRABAJO!$I$262="",HOJA_DE_TRABAJO!$I$262=0),HOJA_DE_TRABAJO!$C$262,HOJA_DE_TRABAJO!$I$262)</f>
        <v>0.15</v>
      </c>
      <c r="K78" s="384">
        <f t="shared" si="8"/>
        <v>0</v>
      </c>
      <c r="L78" s="384">
        <f t="shared" si="9"/>
        <v>0</v>
      </c>
      <c r="M78" s="384" t="e">
        <f t="shared" si="10"/>
        <v>#VALUE!</v>
      </c>
      <c r="N78" s="384" t="str">
        <f t="shared" si="11"/>
        <v/>
      </c>
    </row>
    <row r="79" spans="5:14" x14ac:dyDescent="0.25">
      <c r="E79" s="384">
        <f t="shared" si="6"/>
        <v>0</v>
      </c>
      <c r="F79" s="384">
        <f>E79/HOJA_DE_TRABAJO!$E$184</f>
        <v>0</v>
      </c>
      <c r="G79" s="57">
        <f t="shared" si="7"/>
        <v>0</v>
      </c>
      <c r="H79" s="10">
        <f>(HOJA_DE_TRABAJO!$I$23+HOJA_DE_TRABAJO!$E$256)*F79</f>
        <v>0</v>
      </c>
      <c r="I79" s="57">
        <f>F79*HOJA_DE_TRABAJO!$E$259</f>
        <v>0</v>
      </c>
      <c r="J79" s="385">
        <f>IF(OR(HOJA_DE_TRABAJO!$I$262="",HOJA_DE_TRABAJO!$I$262=0),HOJA_DE_TRABAJO!$C$262,HOJA_DE_TRABAJO!$I$262)</f>
        <v>0.15</v>
      </c>
      <c r="K79" s="384">
        <f t="shared" si="8"/>
        <v>0</v>
      </c>
      <c r="L79" s="384">
        <f t="shared" si="9"/>
        <v>0</v>
      </c>
      <c r="M79" s="384" t="e">
        <f t="shared" si="10"/>
        <v>#VALUE!</v>
      </c>
      <c r="N79" s="384" t="str">
        <f t="shared" si="11"/>
        <v/>
      </c>
    </row>
    <row r="80" spans="5:14" x14ac:dyDescent="0.25">
      <c r="E80" s="384">
        <f t="shared" si="6"/>
        <v>0</v>
      </c>
      <c r="F80" s="384">
        <f>E80/HOJA_DE_TRABAJO!$E$184</f>
        <v>0</v>
      </c>
      <c r="G80" s="57">
        <f t="shared" si="7"/>
        <v>0</v>
      </c>
      <c r="H80" s="10">
        <f>(HOJA_DE_TRABAJO!$I$23+HOJA_DE_TRABAJO!$E$256)*F80</f>
        <v>0</v>
      </c>
      <c r="I80" s="57">
        <f>F80*HOJA_DE_TRABAJO!$E$259</f>
        <v>0</v>
      </c>
      <c r="J80" s="385">
        <f>IF(OR(HOJA_DE_TRABAJO!$I$262="",HOJA_DE_TRABAJO!$I$262=0),HOJA_DE_TRABAJO!$C$262,HOJA_DE_TRABAJO!$I$262)</f>
        <v>0.15</v>
      </c>
      <c r="K80" s="384">
        <f t="shared" si="8"/>
        <v>0</v>
      </c>
      <c r="L80" s="384">
        <f t="shared" si="9"/>
        <v>0</v>
      </c>
      <c r="M80" s="384" t="e">
        <f t="shared" si="10"/>
        <v>#VALUE!</v>
      </c>
      <c r="N80" s="384" t="str">
        <f t="shared" si="11"/>
        <v/>
      </c>
    </row>
    <row r="81" spans="5:14" x14ac:dyDescent="0.25">
      <c r="E81" s="384">
        <f t="shared" si="6"/>
        <v>0</v>
      </c>
      <c r="F81" s="384">
        <f>E81/HOJA_DE_TRABAJO!$E$184</f>
        <v>0</v>
      </c>
      <c r="G81" s="57">
        <f t="shared" si="7"/>
        <v>0</v>
      </c>
      <c r="H81" s="10">
        <f>(HOJA_DE_TRABAJO!$I$23+HOJA_DE_TRABAJO!$E$256)*F81</f>
        <v>0</v>
      </c>
      <c r="I81" s="57">
        <f>F81*HOJA_DE_TRABAJO!$E$259</f>
        <v>0</v>
      </c>
      <c r="J81" s="385">
        <f>IF(OR(HOJA_DE_TRABAJO!$I$262="",HOJA_DE_TRABAJO!$I$262=0),HOJA_DE_TRABAJO!$C$262,HOJA_DE_TRABAJO!$I$262)</f>
        <v>0.15</v>
      </c>
      <c r="K81" s="384">
        <f t="shared" si="8"/>
        <v>0</v>
      </c>
      <c r="L81" s="384">
        <f t="shared" si="9"/>
        <v>0</v>
      </c>
      <c r="M81" s="384" t="e">
        <f t="shared" si="10"/>
        <v>#VALUE!</v>
      </c>
      <c r="N81" s="384" t="str">
        <f t="shared" si="11"/>
        <v/>
      </c>
    </row>
    <row r="82" spans="5:14" x14ac:dyDescent="0.25">
      <c r="E82" s="384">
        <f t="shared" si="6"/>
        <v>0</v>
      </c>
      <c r="F82" s="384">
        <f>E82/HOJA_DE_TRABAJO!$E$184</f>
        <v>0</v>
      </c>
      <c r="G82" s="57">
        <f t="shared" si="7"/>
        <v>0</v>
      </c>
      <c r="H82" s="10">
        <f>(HOJA_DE_TRABAJO!$I$23+HOJA_DE_TRABAJO!$E$256)*F82</f>
        <v>0</v>
      </c>
      <c r="I82" s="57">
        <f>F82*HOJA_DE_TRABAJO!$E$259</f>
        <v>0</v>
      </c>
      <c r="J82" s="385">
        <f>IF(OR(HOJA_DE_TRABAJO!$I$262="",HOJA_DE_TRABAJO!$I$262=0),HOJA_DE_TRABAJO!$C$262,HOJA_DE_TRABAJO!$I$262)</f>
        <v>0.15</v>
      </c>
      <c r="K82" s="384">
        <f t="shared" si="8"/>
        <v>0</v>
      </c>
      <c r="L82" s="384">
        <f t="shared" si="9"/>
        <v>0</v>
      </c>
      <c r="M82" s="384" t="e">
        <f t="shared" si="10"/>
        <v>#VALUE!</v>
      </c>
      <c r="N82" s="384" t="str">
        <f t="shared" si="11"/>
        <v/>
      </c>
    </row>
    <row r="83" spans="5:14" x14ac:dyDescent="0.25">
      <c r="E83" s="384">
        <f t="shared" si="6"/>
        <v>0</v>
      </c>
      <c r="F83" s="384">
        <f>E83/HOJA_DE_TRABAJO!$E$184</f>
        <v>0</v>
      </c>
      <c r="G83" s="57">
        <f t="shared" si="7"/>
        <v>0</v>
      </c>
      <c r="H83" s="10">
        <f>(HOJA_DE_TRABAJO!$I$23+HOJA_DE_TRABAJO!$E$256)*F83</f>
        <v>0</v>
      </c>
      <c r="I83" s="57">
        <f>F83*HOJA_DE_TRABAJO!$E$259</f>
        <v>0</v>
      </c>
      <c r="J83" s="385">
        <f>IF(OR(HOJA_DE_TRABAJO!$I$262="",HOJA_DE_TRABAJO!$I$262=0),HOJA_DE_TRABAJO!$C$262,HOJA_DE_TRABAJO!$I$262)</f>
        <v>0.15</v>
      </c>
      <c r="K83" s="384">
        <f t="shared" si="8"/>
        <v>0</v>
      </c>
      <c r="L83" s="384">
        <f t="shared" si="9"/>
        <v>0</v>
      </c>
      <c r="M83" s="384" t="e">
        <f t="shared" si="10"/>
        <v>#VALUE!</v>
      </c>
      <c r="N83" s="384" t="str">
        <f t="shared" si="11"/>
        <v/>
      </c>
    </row>
    <row r="84" spans="5:14" x14ac:dyDescent="0.25">
      <c r="E84" s="384">
        <f t="shared" si="6"/>
        <v>0</v>
      </c>
      <c r="F84" s="384">
        <f>E84/HOJA_DE_TRABAJO!$E$184</f>
        <v>0</v>
      </c>
      <c r="G84" s="57">
        <f t="shared" si="7"/>
        <v>0</v>
      </c>
      <c r="H84" s="10">
        <f>(HOJA_DE_TRABAJO!$I$23+HOJA_DE_TRABAJO!$E$256)*F84</f>
        <v>0</v>
      </c>
      <c r="I84" s="57">
        <f>F84*HOJA_DE_TRABAJO!$E$259</f>
        <v>0</v>
      </c>
      <c r="J84" s="385">
        <f>IF(OR(HOJA_DE_TRABAJO!$I$262="",HOJA_DE_TRABAJO!$I$262=0),HOJA_DE_TRABAJO!$C$262,HOJA_DE_TRABAJO!$I$262)</f>
        <v>0.15</v>
      </c>
      <c r="K84" s="384">
        <f t="shared" si="8"/>
        <v>0</v>
      </c>
      <c r="L84" s="384">
        <f t="shared" si="9"/>
        <v>0</v>
      </c>
      <c r="M84" s="384" t="e">
        <f t="shared" si="10"/>
        <v>#VALUE!</v>
      </c>
      <c r="N84" s="384" t="str">
        <f t="shared" si="11"/>
        <v/>
      </c>
    </row>
    <row r="85" spans="5:14" x14ac:dyDescent="0.25">
      <c r="E85" s="384">
        <f t="shared" si="6"/>
        <v>0</v>
      </c>
      <c r="F85" s="384">
        <f>E85/HOJA_DE_TRABAJO!$E$184</f>
        <v>0</v>
      </c>
      <c r="G85" s="57">
        <f t="shared" si="7"/>
        <v>0</v>
      </c>
      <c r="H85" s="10">
        <f>(HOJA_DE_TRABAJO!$I$23+HOJA_DE_TRABAJO!$E$256)*F85</f>
        <v>0</v>
      </c>
      <c r="I85" s="57">
        <f>F85*HOJA_DE_TRABAJO!$E$259</f>
        <v>0</v>
      </c>
      <c r="J85" s="385">
        <f>IF(OR(HOJA_DE_TRABAJO!$I$262="",HOJA_DE_TRABAJO!$I$262=0),HOJA_DE_TRABAJO!$C$262,HOJA_DE_TRABAJO!$I$262)</f>
        <v>0.15</v>
      </c>
      <c r="K85" s="384">
        <f t="shared" si="8"/>
        <v>0</v>
      </c>
      <c r="L85" s="384">
        <f t="shared" si="9"/>
        <v>0</v>
      </c>
      <c r="M85" s="384" t="e">
        <f t="shared" si="10"/>
        <v>#VALUE!</v>
      </c>
      <c r="N85" s="384" t="str">
        <f t="shared" si="11"/>
        <v/>
      </c>
    </row>
    <row r="86" spans="5:14" x14ac:dyDescent="0.25">
      <c r="E86" s="384">
        <f t="shared" si="6"/>
        <v>0</v>
      </c>
      <c r="F86" s="384">
        <f>E86/HOJA_DE_TRABAJO!$E$184</f>
        <v>0</v>
      </c>
      <c r="G86" s="57">
        <f t="shared" si="7"/>
        <v>0</v>
      </c>
      <c r="H86" s="10">
        <f>(HOJA_DE_TRABAJO!$I$23+HOJA_DE_TRABAJO!$E$256)*F86</f>
        <v>0</v>
      </c>
      <c r="I86" s="57">
        <f>F86*HOJA_DE_TRABAJO!$E$259</f>
        <v>0</v>
      </c>
      <c r="J86" s="385">
        <f>IF(OR(HOJA_DE_TRABAJO!$I$262="",HOJA_DE_TRABAJO!$I$262=0),HOJA_DE_TRABAJO!$C$262,HOJA_DE_TRABAJO!$I$262)</f>
        <v>0.15</v>
      </c>
      <c r="K86" s="384">
        <f t="shared" si="8"/>
        <v>0</v>
      </c>
      <c r="L86" s="384">
        <f t="shared" si="9"/>
        <v>0</v>
      </c>
      <c r="M86" s="384" t="e">
        <f t="shared" si="10"/>
        <v>#VALUE!</v>
      </c>
      <c r="N86" s="384" t="str">
        <f t="shared" si="11"/>
        <v/>
      </c>
    </row>
    <row r="87" spans="5:14" x14ac:dyDescent="0.25">
      <c r="E87" s="384">
        <f t="shared" si="6"/>
        <v>0</v>
      </c>
      <c r="F87" s="384">
        <f>E87/HOJA_DE_TRABAJO!$E$184</f>
        <v>0</v>
      </c>
      <c r="G87" s="57">
        <f t="shared" si="7"/>
        <v>0</v>
      </c>
      <c r="H87" s="10">
        <f>(HOJA_DE_TRABAJO!$I$23+HOJA_DE_TRABAJO!$E$256)*F87</f>
        <v>0</v>
      </c>
      <c r="I87" s="57">
        <f>F87*HOJA_DE_TRABAJO!$E$259</f>
        <v>0</v>
      </c>
      <c r="J87" s="385">
        <f>IF(OR(HOJA_DE_TRABAJO!$I$262="",HOJA_DE_TRABAJO!$I$262=0),HOJA_DE_TRABAJO!$C$262,HOJA_DE_TRABAJO!$I$262)</f>
        <v>0.15</v>
      </c>
      <c r="K87" s="384">
        <f t="shared" si="8"/>
        <v>0</v>
      </c>
      <c r="L87" s="384">
        <f t="shared" si="9"/>
        <v>0</v>
      </c>
      <c r="M87" s="384" t="e">
        <f t="shared" si="10"/>
        <v>#VALUE!</v>
      </c>
      <c r="N87" s="384" t="str">
        <f t="shared" si="11"/>
        <v/>
      </c>
    </row>
    <row r="88" spans="5:14" x14ac:dyDescent="0.25">
      <c r="E88" s="384">
        <f t="shared" si="6"/>
        <v>0</v>
      </c>
      <c r="F88" s="384">
        <f>E88/HOJA_DE_TRABAJO!$E$184</f>
        <v>0</v>
      </c>
      <c r="G88" s="57">
        <f t="shared" si="7"/>
        <v>0</v>
      </c>
      <c r="H88" s="10">
        <f>(HOJA_DE_TRABAJO!$I$23+HOJA_DE_TRABAJO!$E$256)*F88</f>
        <v>0</v>
      </c>
      <c r="I88" s="57">
        <f>F88*HOJA_DE_TRABAJO!$E$259</f>
        <v>0</v>
      </c>
      <c r="J88" s="385">
        <f>IF(OR(HOJA_DE_TRABAJO!$I$262="",HOJA_DE_TRABAJO!$I$262=0),HOJA_DE_TRABAJO!$C$262,HOJA_DE_TRABAJO!$I$262)</f>
        <v>0.15</v>
      </c>
      <c r="K88" s="384">
        <f t="shared" si="8"/>
        <v>0</v>
      </c>
      <c r="L88" s="384">
        <f t="shared" si="9"/>
        <v>0</v>
      </c>
      <c r="M88" s="384" t="e">
        <f t="shared" si="10"/>
        <v>#VALUE!</v>
      </c>
      <c r="N88" s="384" t="str">
        <f t="shared" si="11"/>
        <v/>
      </c>
    </row>
    <row r="89" spans="5:14" x14ac:dyDescent="0.25">
      <c r="E89" s="384">
        <f t="shared" si="6"/>
        <v>0</v>
      </c>
      <c r="F89" s="384">
        <f>E89/HOJA_DE_TRABAJO!$E$184</f>
        <v>0</v>
      </c>
      <c r="G89" s="57">
        <f t="shared" si="7"/>
        <v>0</v>
      </c>
      <c r="H89" s="10">
        <f>(HOJA_DE_TRABAJO!$I$23+HOJA_DE_TRABAJO!$E$256)*F89</f>
        <v>0</v>
      </c>
      <c r="I89" s="57">
        <f>F89*HOJA_DE_TRABAJO!$E$259</f>
        <v>0</v>
      </c>
      <c r="J89" s="385">
        <f>IF(OR(HOJA_DE_TRABAJO!$I$262="",HOJA_DE_TRABAJO!$I$262=0),HOJA_DE_TRABAJO!$C$262,HOJA_DE_TRABAJO!$I$262)</f>
        <v>0.15</v>
      </c>
      <c r="K89" s="384">
        <f t="shared" si="8"/>
        <v>0</v>
      </c>
      <c r="L89" s="384">
        <f t="shared" si="9"/>
        <v>0</v>
      </c>
      <c r="M89" s="384" t="e">
        <f t="shared" si="10"/>
        <v>#VALUE!</v>
      </c>
      <c r="N89" s="384" t="str">
        <f t="shared" si="11"/>
        <v/>
      </c>
    </row>
    <row r="90" spans="5:14" x14ac:dyDescent="0.25">
      <c r="E90" s="384">
        <f t="shared" si="6"/>
        <v>0</v>
      </c>
      <c r="F90" s="384">
        <f>E90/HOJA_DE_TRABAJO!$E$184</f>
        <v>0</v>
      </c>
      <c r="G90" s="57">
        <f t="shared" si="7"/>
        <v>0</v>
      </c>
      <c r="H90" s="10">
        <f>(HOJA_DE_TRABAJO!$I$23+HOJA_DE_TRABAJO!$E$256)*F90</f>
        <v>0</v>
      </c>
      <c r="I90" s="57">
        <f>F90*HOJA_DE_TRABAJO!$E$259</f>
        <v>0</v>
      </c>
      <c r="J90" s="385">
        <f>IF(OR(HOJA_DE_TRABAJO!$I$262="",HOJA_DE_TRABAJO!$I$262=0),HOJA_DE_TRABAJO!$C$262,HOJA_DE_TRABAJO!$I$262)</f>
        <v>0.15</v>
      </c>
      <c r="K90" s="384">
        <f t="shared" si="8"/>
        <v>0</v>
      </c>
      <c r="L90" s="384">
        <f t="shared" si="9"/>
        <v>0</v>
      </c>
      <c r="M90" s="384" t="e">
        <f t="shared" si="10"/>
        <v>#VALUE!</v>
      </c>
      <c r="N90" s="384" t="str">
        <f t="shared" si="11"/>
        <v/>
      </c>
    </row>
    <row r="91" spans="5:14" x14ac:dyDescent="0.25">
      <c r="E91" s="384">
        <f t="shared" si="6"/>
        <v>0</v>
      </c>
      <c r="F91" s="384">
        <f>E91/HOJA_DE_TRABAJO!$E$184</f>
        <v>0</v>
      </c>
      <c r="G91" s="57">
        <f t="shared" si="7"/>
        <v>0</v>
      </c>
      <c r="H91" s="10">
        <f>(HOJA_DE_TRABAJO!$I$23+HOJA_DE_TRABAJO!$E$256)*F91</f>
        <v>0</v>
      </c>
      <c r="I91" s="57">
        <f>F91*HOJA_DE_TRABAJO!$E$259</f>
        <v>0</v>
      </c>
      <c r="J91" s="385">
        <f>IF(OR(HOJA_DE_TRABAJO!$I$262="",HOJA_DE_TRABAJO!$I$262=0),HOJA_DE_TRABAJO!$C$262,HOJA_DE_TRABAJO!$I$262)</f>
        <v>0.15</v>
      </c>
      <c r="K91" s="384">
        <f t="shared" si="8"/>
        <v>0</v>
      </c>
      <c r="L91" s="384">
        <f t="shared" si="9"/>
        <v>0</v>
      </c>
      <c r="M91" s="384" t="e">
        <f t="shared" si="10"/>
        <v>#VALUE!</v>
      </c>
      <c r="N91" s="384" t="str">
        <f t="shared" si="11"/>
        <v/>
      </c>
    </row>
  </sheetData>
  <protectedRanges>
    <protectedRange sqref="C2:D4 A2:A4" name="Rango3_18"/>
    <protectedRange sqref="B2:B4" name="Rango4_18"/>
    <protectedRange sqref="A5:A6 C5:D6" name="Rango3_19"/>
    <protectedRange sqref="B5:B6" name="Rango4_19"/>
    <protectedRange sqref="A7:A8 C7:D8" name="Rango3_20"/>
    <protectedRange sqref="B7:B8" name="Rango4_20"/>
    <protectedRange sqref="A9:A10 C9:D10" name="Rango3_21"/>
    <protectedRange sqref="B9:B10" name="Rango4_21"/>
    <protectedRange sqref="A11:A12 D11:D12" name="Rango3_22"/>
    <protectedRange sqref="B11:C12" name="Rango4_22"/>
    <protectedRange sqref="A13:A14 D13:D14" name="Rango3_23"/>
    <protectedRange sqref="B13:C14" name="Rango4_23"/>
    <protectedRange sqref="A15:A16 D15:D16" name="Rango3_24"/>
    <protectedRange sqref="B15:C16" name="Rango4_24"/>
    <protectedRange sqref="A17:A18 D17:D18" name="Rango3_25"/>
    <protectedRange sqref="B17:C18" name="Rango4_25"/>
    <protectedRange sqref="A19:A20 D19:D20" name="Rango3_26"/>
    <protectedRange sqref="B19:C20" name="Rango4_26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G133"/>
  <sheetViews>
    <sheetView showGridLines="0" view="pageLayout" topLeftCell="A36" zoomScale="85" zoomScaleNormal="100" zoomScaleSheetLayoutView="106" zoomScalePageLayoutView="85" workbookViewId="0">
      <selection activeCell="B28" sqref="B28"/>
    </sheetView>
  </sheetViews>
  <sheetFormatPr baseColWidth="10" defaultRowHeight="15" x14ac:dyDescent="0.25"/>
  <cols>
    <col min="1" max="1" width="7.85546875" style="57" customWidth="1"/>
    <col min="2" max="2" width="36.42578125" style="57" customWidth="1"/>
    <col min="3" max="3" width="16.28515625" style="57" bestFit="1" customWidth="1"/>
    <col min="4" max="4" width="21.28515625" style="57" bestFit="1" customWidth="1"/>
    <col min="5" max="5" width="19.5703125" style="10" customWidth="1"/>
    <col min="6" max="6" width="15" style="57" customWidth="1"/>
    <col min="7" max="7" width="15.85546875" style="57" customWidth="1"/>
    <col min="8" max="16384" width="11.42578125" style="57"/>
  </cols>
  <sheetData>
    <row r="3" spans="1:7" ht="15.75" x14ac:dyDescent="0.25">
      <c r="A3" s="380"/>
      <c r="B3" s="380"/>
      <c r="C3" s="380"/>
      <c r="D3" s="380"/>
      <c r="E3" s="21"/>
      <c r="F3" s="380"/>
      <c r="G3" s="380"/>
    </row>
    <row r="4" spans="1:7" ht="15.75" x14ac:dyDescent="0.25">
      <c r="A4" s="380"/>
      <c r="B4" s="380"/>
      <c r="C4" s="380"/>
      <c r="D4" s="380"/>
      <c r="E4" s="21"/>
      <c r="F4" s="380"/>
      <c r="G4" s="380"/>
    </row>
    <row r="5" spans="1:7" ht="15.75" x14ac:dyDescent="0.25">
      <c r="A5" s="513">
        <f ca="1">TODAY()</f>
        <v>43472</v>
      </c>
      <c r="B5" s="513"/>
      <c r="C5" s="513"/>
      <c r="D5" s="513"/>
      <c r="E5" s="513"/>
      <c r="F5" s="513"/>
      <c r="G5" s="513"/>
    </row>
    <row r="6" spans="1:7" ht="15.75" x14ac:dyDescent="0.25">
      <c r="A6" s="380"/>
      <c r="B6" s="380"/>
      <c r="C6" s="380"/>
      <c r="D6" s="380"/>
      <c r="E6" s="21"/>
      <c r="F6" s="380"/>
      <c r="G6" s="380"/>
    </row>
    <row r="7" spans="1:7" ht="15.75" x14ac:dyDescent="0.25">
      <c r="A7" s="514" t="s">
        <v>1408</v>
      </c>
      <c r="B7" s="514"/>
      <c r="C7" s="514"/>
      <c r="D7" s="514"/>
      <c r="E7" s="514"/>
      <c r="F7" s="514"/>
      <c r="G7" s="514"/>
    </row>
    <row r="8" spans="1:7" ht="15.75" x14ac:dyDescent="0.25">
      <c r="A8" s="514" t="s">
        <v>1564</v>
      </c>
      <c r="B8" s="514"/>
      <c r="C8" s="514"/>
      <c r="D8" s="514"/>
      <c r="E8" s="514"/>
      <c r="F8" s="514"/>
      <c r="G8" s="514"/>
    </row>
    <row r="9" spans="1:7" ht="15.75" x14ac:dyDescent="0.25">
      <c r="A9" s="514" t="s">
        <v>1409</v>
      </c>
      <c r="B9" s="514"/>
      <c r="C9" s="514"/>
      <c r="D9" s="514"/>
      <c r="E9" s="514"/>
      <c r="F9" s="514"/>
      <c r="G9" s="514"/>
    </row>
    <row r="10" spans="1:7" ht="15.75" x14ac:dyDescent="0.25">
      <c r="A10" s="380"/>
      <c r="B10" s="380"/>
      <c r="C10" s="380"/>
      <c r="D10" s="380"/>
      <c r="E10" s="21"/>
      <c r="F10" s="380"/>
      <c r="G10" s="380"/>
    </row>
    <row r="11" spans="1:7" ht="15.75" x14ac:dyDescent="0.25">
      <c r="A11" s="380"/>
      <c r="B11" s="515" t="str">
        <f>CONCATENATE("REF: ",HOJA_DE_TRABAJO!I11)</f>
        <v>REF: PERSONAL FEICOBOL</v>
      </c>
      <c r="C11" s="515"/>
      <c r="D11" s="515"/>
      <c r="E11" s="515"/>
      <c r="F11" s="515"/>
      <c r="G11" s="515"/>
    </row>
    <row r="12" spans="1:7" ht="15.75" x14ac:dyDescent="0.25">
      <c r="A12" s="380"/>
      <c r="B12" s="380"/>
      <c r="C12" s="380"/>
      <c r="D12" s="380"/>
      <c r="E12" s="21"/>
      <c r="F12" s="380"/>
      <c r="G12" s="380"/>
    </row>
    <row r="13" spans="1:7" ht="15.75" x14ac:dyDescent="0.25">
      <c r="A13" s="516" t="s">
        <v>1420</v>
      </c>
      <c r="B13" s="516"/>
      <c r="C13" s="516"/>
      <c r="D13" s="516"/>
      <c r="E13" s="516"/>
      <c r="F13" s="516"/>
      <c r="G13" s="516"/>
    </row>
    <row r="14" spans="1:7" ht="15.75" x14ac:dyDescent="0.25">
      <c r="A14" s="380"/>
      <c r="B14" s="380"/>
      <c r="C14" s="380"/>
      <c r="D14" s="380"/>
      <c r="E14" s="21"/>
      <c r="F14" s="380"/>
      <c r="G14" s="380"/>
    </row>
    <row r="15" spans="1:7" ht="48" customHeight="1" x14ac:dyDescent="0.25">
      <c r="A15" s="517"/>
      <c r="B15" s="517"/>
      <c r="C15" s="517"/>
      <c r="D15" s="517"/>
      <c r="E15" s="517"/>
      <c r="F15" s="517"/>
      <c r="G15" s="517"/>
    </row>
    <row r="16" spans="1:7" ht="15.75" x14ac:dyDescent="0.25">
      <c r="A16" s="380" t="str">
        <f>CONCATENATE("Le hacemos llegar la cotizacion y facturacion detallada por la ejecucion de"," ",HOJA_DE_TRABAJO!I11)</f>
        <v>Le hacemos llegar la cotizacion y facturacion detallada por la ejecucion de PERSONAL FEICOBOL</v>
      </c>
      <c r="B16" s="380"/>
      <c r="C16" s="380"/>
      <c r="D16" s="380"/>
      <c r="E16" s="21"/>
      <c r="F16" s="380"/>
      <c r="G16" s="380"/>
    </row>
    <row r="17" spans="1:7" ht="15.75" x14ac:dyDescent="0.25">
      <c r="A17" s="518" t="s">
        <v>1422</v>
      </c>
      <c r="B17" s="519"/>
      <c r="C17" s="519"/>
      <c r="D17" s="519"/>
      <c r="E17" s="519"/>
      <c r="F17" s="519"/>
      <c r="G17" s="519"/>
    </row>
    <row r="18" spans="1:7" ht="9.75" customHeight="1" x14ac:dyDescent="0.25">
      <c r="A18" s="380"/>
      <c r="B18" s="53"/>
      <c r="C18" s="53"/>
      <c r="D18" s="53"/>
      <c r="E18" s="58"/>
      <c r="F18" s="53"/>
      <c r="G18" s="380"/>
    </row>
    <row r="19" spans="1:7" ht="30.75" customHeight="1" x14ac:dyDescent="0.25">
      <c r="A19" s="380"/>
      <c r="B19" s="390" t="s">
        <v>3</v>
      </c>
      <c r="C19" s="390" t="s">
        <v>2</v>
      </c>
      <c r="D19" s="390" t="s">
        <v>1423</v>
      </c>
      <c r="E19" s="399" t="s">
        <v>1418</v>
      </c>
      <c r="F19" s="390" t="s">
        <v>1402</v>
      </c>
      <c r="G19" s="291" t="s">
        <v>1612</v>
      </c>
    </row>
    <row r="20" spans="1:7" s="49" customFormat="1" ht="20.25" customHeight="1" x14ac:dyDescent="0.25">
      <c r="A20" s="22"/>
      <c r="B20" s="221"/>
      <c r="C20" s="222"/>
      <c r="D20" s="223"/>
      <c r="E20" s="395"/>
      <c r="F20" s="398" t="str">
        <f>IF(B20="","",C20*D20*E20)</f>
        <v/>
      </c>
      <c r="G20" s="396"/>
    </row>
    <row r="21" spans="1:7" s="49" customFormat="1" ht="20.25" customHeight="1" x14ac:dyDescent="0.25">
      <c r="A21" s="22"/>
      <c r="B21" s="221"/>
      <c r="C21" s="222"/>
      <c r="D21" s="223"/>
      <c r="E21" s="395"/>
      <c r="F21" s="398" t="str">
        <f t="shared" ref="F21:F54" si="0">IF(B21="","",C21*D21*E21)</f>
        <v/>
      </c>
      <c r="G21" s="396"/>
    </row>
    <row r="22" spans="1:7" s="49" customFormat="1" ht="20.25" customHeight="1" x14ac:dyDescent="0.25">
      <c r="A22" s="22"/>
      <c r="B22" s="221"/>
      <c r="C22" s="222"/>
      <c r="D22" s="223"/>
      <c r="E22" s="395"/>
      <c r="F22" s="398" t="str">
        <f t="shared" si="0"/>
        <v/>
      </c>
      <c r="G22" s="396"/>
    </row>
    <row r="23" spans="1:7" s="49" customFormat="1" ht="20.25" customHeight="1" x14ac:dyDescent="0.25">
      <c r="A23" s="22"/>
      <c r="B23" s="221"/>
      <c r="C23" s="222"/>
      <c r="D23" s="223"/>
      <c r="E23" s="395"/>
      <c r="F23" s="398" t="str">
        <f t="shared" si="0"/>
        <v/>
      </c>
      <c r="G23" s="396"/>
    </row>
    <row r="24" spans="1:7" s="49" customFormat="1" ht="20.25" customHeight="1" x14ac:dyDescent="0.25">
      <c r="A24" s="22"/>
      <c r="B24" s="221"/>
      <c r="C24" s="222"/>
      <c r="D24" s="223"/>
      <c r="E24" s="395"/>
      <c r="F24" s="398" t="str">
        <f t="shared" si="0"/>
        <v/>
      </c>
      <c r="G24" s="396"/>
    </row>
    <row r="25" spans="1:7" s="49" customFormat="1" ht="20.25" customHeight="1" x14ac:dyDescent="0.25">
      <c r="A25" s="22"/>
      <c r="B25" s="243"/>
      <c r="C25" s="244"/>
      <c r="D25" s="245"/>
      <c r="E25" s="395"/>
      <c r="F25" s="398" t="str">
        <f t="shared" si="0"/>
        <v/>
      </c>
      <c r="G25" s="396"/>
    </row>
    <row r="26" spans="1:7" s="49" customFormat="1" ht="20.25" customHeight="1" x14ac:dyDescent="0.25">
      <c r="A26" s="22"/>
      <c r="B26" s="243"/>
      <c r="C26" s="244"/>
      <c r="D26" s="245"/>
      <c r="E26" s="395"/>
      <c r="F26" s="398" t="str">
        <f t="shared" si="0"/>
        <v/>
      </c>
      <c r="G26" s="396"/>
    </row>
    <row r="27" spans="1:7" s="49" customFormat="1" ht="20.25" customHeight="1" x14ac:dyDescent="0.25">
      <c r="A27" s="22"/>
      <c r="B27" s="221"/>
      <c r="C27" s="222"/>
      <c r="D27" s="223"/>
      <c r="E27" s="395"/>
      <c r="F27" s="398" t="str">
        <f t="shared" si="0"/>
        <v/>
      </c>
      <c r="G27" s="396"/>
    </row>
    <row r="28" spans="1:7" s="49" customFormat="1" ht="20.25" customHeight="1" x14ac:dyDescent="0.25">
      <c r="A28" s="22"/>
      <c r="B28" s="221"/>
      <c r="C28" s="222"/>
      <c r="D28" s="223"/>
      <c r="E28" s="395"/>
      <c r="F28" s="398" t="str">
        <f t="shared" si="0"/>
        <v/>
      </c>
      <c r="G28" s="396"/>
    </row>
    <row r="29" spans="1:7" s="49" customFormat="1" ht="20.25" customHeight="1" x14ac:dyDescent="0.25">
      <c r="A29" s="22"/>
      <c r="B29" s="243"/>
      <c r="C29" s="244"/>
      <c r="D29" s="244"/>
      <c r="E29" s="395"/>
      <c r="F29" s="398" t="str">
        <f t="shared" si="0"/>
        <v/>
      </c>
      <c r="G29" s="396"/>
    </row>
    <row r="30" spans="1:7" s="49" customFormat="1" ht="20.25" customHeight="1" x14ac:dyDescent="0.25">
      <c r="A30" s="22"/>
      <c r="B30" s="243"/>
      <c r="C30" s="244"/>
      <c r="D30" s="244"/>
      <c r="E30" s="395"/>
      <c r="F30" s="398" t="str">
        <f t="shared" si="0"/>
        <v/>
      </c>
      <c r="G30" s="396"/>
    </row>
    <row r="31" spans="1:7" s="49" customFormat="1" ht="20.25" customHeight="1" x14ac:dyDescent="0.25">
      <c r="A31" s="22"/>
      <c r="B31" s="221"/>
      <c r="C31" s="222"/>
      <c r="D31" s="222"/>
      <c r="E31" s="395"/>
      <c r="F31" s="398" t="str">
        <f t="shared" si="0"/>
        <v/>
      </c>
      <c r="G31" s="396"/>
    </row>
    <row r="32" spans="1:7" s="49" customFormat="1" ht="20.25" customHeight="1" x14ac:dyDescent="0.25">
      <c r="A32" s="22"/>
      <c r="B32" s="221"/>
      <c r="C32" s="222"/>
      <c r="D32" s="222"/>
      <c r="E32" s="395"/>
      <c r="F32" s="398" t="str">
        <f t="shared" si="0"/>
        <v/>
      </c>
      <c r="G32" s="396"/>
    </row>
    <row r="33" spans="1:7" s="49" customFormat="1" ht="20.25" customHeight="1" x14ac:dyDescent="0.25">
      <c r="A33" s="22"/>
      <c r="B33" s="221"/>
      <c r="C33" s="222"/>
      <c r="D33" s="222"/>
      <c r="E33" s="395"/>
      <c r="F33" s="398" t="str">
        <f t="shared" si="0"/>
        <v/>
      </c>
      <c r="G33" s="396"/>
    </row>
    <row r="34" spans="1:7" s="49" customFormat="1" ht="20.25" customHeight="1" x14ac:dyDescent="0.25">
      <c r="A34" s="22"/>
      <c r="B34" s="221"/>
      <c r="C34" s="222"/>
      <c r="D34" s="222"/>
      <c r="E34" s="395"/>
      <c r="F34" s="398" t="str">
        <f t="shared" si="0"/>
        <v/>
      </c>
      <c r="G34" s="396"/>
    </row>
    <row r="35" spans="1:7" s="49" customFormat="1" ht="20.25" customHeight="1" x14ac:dyDescent="0.25">
      <c r="A35" s="22"/>
      <c r="B35" s="221"/>
      <c r="C35" s="222"/>
      <c r="D35" s="222"/>
      <c r="E35" s="395"/>
      <c r="F35" s="398" t="str">
        <f t="shared" si="0"/>
        <v/>
      </c>
      <c r="G35" s="396"/>
    </row>
    <row r="36" spans="1:7" s="49" customFormat="1" ht="20.25" customHeight="1" x14ac:dyDescent="0.25">
      <c r="A36" s="22"/>
      <c r="B36" s="221"/>
      <c r="C36" s="222"/>
      <c r="D36" s="222"/>
      <c r="E36" s="395"/>
      <c r="F36" s="398" t="str">
        <f t="shared" si="0"/>
        <v/>
      </c>
      <c r="G36" s="396"/>
    </row>
    <row r="37" spans="1:7" s="49" customFormat="1" ht="20.25" customHeight="1" x14ac:dyDescent="0.25">
      <c r="A37" s="22"/>
      <c r="B37" s="221"/>
      <c r="C37" s="222"/>
      <c r="D37" s="222"/>
      <c r="E37" s="395"/>
      <c r="F37" s="398" t="str">
        <f t="shared" si="0"/>
        <v/>
      </c>
      <c r="G37" s="396"/>
    </row>
    <row r="38" spans="1:7" s="49" customFormat="1" ht="20.25" customHeight="1" x14ac:dyDescent="0.25">
      <c r="A38" s="22"/>
      <c r="B38" s="221"/>
      <c r="C38" s="222"/>
      <c r="D38" s="222"/>
      <c r="E38" s="395"/>
      <c r="F38" s="398" t="str">
        <f t="shared" si="0"/>
        <v/>
      </c>
      <c r="G38" s="396"/>
    </row>
    <row r="39" spans="1:7" s="49" customFormat="1" ht="20.25" customHeight="1" x14ac:dyDescent="0.25">
      <c r="A39" s="22"/>
      <c r="B39" s="221"/>
      <c r="C39" s="222"/>
      <c r="D39" s="223"/>
      <c r="E39" s="395"/>
      <c r="F39" s="398" t="str">
        <f t="shared" si="0"/>
        <v/>
      </c>
      <c r="G39" s="396"/>
    </row>
    <row r="40" spans="1:7" s="49" customFormat="1" ht="20.25" customHeight="1" x14ac:dyDescent="0.25">
      <c r="A40" s="22"/>
      <c r="B40" s="221"/>
      <c r="C40" s="222"/>
      <c r="D40" s="223"/>
      <c r="E40" s="395"/>
      <c r="F40" s="398" t="str">
        <f t="shared" si="0"/>
        <v/>
      </c>
      <c r="G40" s="396"/>
    </row>
    <row r="41" spans="1:7" s="49" customFormat="1" ht="20.25" customHeight="1" x14ac:dyDescent="0.25">
      <c r="A41" s="22"/>
      <c r="B41" s="221"/>
      <c r="C41" s="222"/>
      <c r="D41" s="223"/>
      <c r="E41" s="395"/>
      <c r="F41" s="398" t="str">
        <f t="shared" si="0"/>
        <v/>
      </c>
      <c r="G41" s="396"/>
    </row>
    <row r="42" spans="1:7" s="49" customFormat="1" ht="20.25" customHeight="1" x14ac:dyDescent="0.25">
      <c r="A42" s="22"/>
      <c r="B42" s="221"/>
      <c r="C42" s="222"/>
      <c r="D42" s="223"/>
      <c r="E42" s="395"/>
      <c r="F42" s="398" t="str">
        <f t="shared" si="0"/>
        <v/>
      </c>
      <c r="G42" s="396"/>
    </row>
    <row r="43" spans="1:7" s="49" customFormat="1" ht="20.25" customHeight="1" x14ac:dyDescent="0.25">
      <c r="A43" s="22"/>
      <c r="B43" s="221"/>
      <c r="C43" s="222"/>
      <c r="D43" s="223"/>
      <c r="E43" s="395"/>
      <c r="F43" s="398" t="str">
        <f t="shared" si="0"/>
        <v/>
      </c>
      <c r="G43" s="396"/>
    </row>
    <row r="44" spans="1:7" s="49" customFormat="1" ht="20.25" customHeight="1" x14ac:dyDescent="0.25">
      <c r="A44" s="22"/>
      <c r="B44" s="221"/>
      <c r="C44" s="222"/>
      <c r="D44" s="223"/>
      <c r="E44" s="395"/>
      <c r="F44" s="398" t="str">
        <f t="shared" si="0"/>
        <v/>
      </c>
      <c r="G44" s="396"/>
    </row>
    <row r="45" spans="1:7" s="49" customFormat="1" ht="20.25" customHeight="1" x14ac:dyDescent="0.25">
      <c r="A45" s="22"/>
      <c r="B45" s="221"/>
      <c r="C45" s="222"/>
      <c r="D45" s="223"/>
      <c r="E45" s="395"/>
      <c r="F45" s="398" t="str">
        <f t="shared" si="0"/>
        <v/>
      </c>
      <c r="G45" s="396"/>
    </row>
    <row r="46" spans="1:7" s="49" customFormat="1" ht="20.25" customHeight="1" x14ac:dyDescent="0.25">
      <c r="A46" s="22"/>
      <c r="B46" s="221"/>
      <c r="C46" s="222"/>
      <c r="D46" s="223"/>
      <c r="E46" s="395"/>
      <c r="F46" s="398" t="str">
        <f t="shared" si="0"/>
        <v/>
      </c>
      <c r="G46" s="396"/>
    </row>
    <row r="47" spans="1:7" s="49" customFormat="1" ht="20.25" customHeight="1" x14ac:dyDescent="0.25">
      <c r="A47" s="22"/>
      <c r="B47" s="221"/>
      <c r="C47" s="222"/>
      <c r="D47" s="223"/>
      <c r="E47" s="395"/>
      <c r="F47" s="398" t="str">
        <f t="shared" si="0"/>
        <v/>
      </c>
      <c r="G47" s="396"/>
    </row>
    <row r="48" spans="1:7" s="49" customFormat="1" ht="20.25" customHeight="1" x14ac:dyDescent="0.25">
      <c r="A48" s="22"/>
      <c r="B48" s="221"/>
      <c r="C48" s="222"/>
      <c r="D48" s="223"/>
      <c r="E48" s="395"/>
      <c r="F48" s="398" t="str">
        <f t="shared" si="0"/>
        <v/>
      </c>
      <c r="G48" s="396"/>
    </row>
    <row r="49" spans="1:7" s="49" customFormat="1" ht="20.25" customHeight="1" x14ac:dyDescent="0.25">
      <c r="A49" s="22"/>
      <c r="B49" s="221"/>
      <c r="C49" s="222"/>
      <c r="D49" s="223"/>
      <c r="E49" s="395" t="s">
        <v>1613</v>
      </c>
      <c r="F49" s="398" t="str">
        <f t="shared" si="0"/>
        <v/>
      </c>
      <c r="G49" s="396"/>
    </row>
    <row r="50" spans="1:7" s="49" customFormat="1" ht="20.25" customHeight="1" x14ac:dyDescent="0.25">
      <c r="A50" s="22"/>
      <c r="B50" s="221"/>
      <c r="C50" s="222"/>
      <c r="D50" s="223"/>
      <c r="E50" s="395" t="s">
        <v>1613</v>
      </c>
      <c r="F50" s="398" t="str">
        <f t="shared" si="0"/>
        <v/>
      </c>
      <c r="G50" s="396"/>
    </row>
    <row r="51" spans="1:7" s="49" customFormat="1" ht="20.25" customHeight="1" x14ac:dyDescent="0.25">
      <c r="A51" s="22"/>
      <c r="B51" s="221"/>
      <c r="C51" s="222"/>
      <c r="D51" s="223"/>
      <c r="E51" s="395" t="s">
        <v>1613</v>
      </c>
      <c r="F51" s="398" t="str">
        <f t="shared" si="0"/>
        <v/>
      </c>
      <c r="G51" s="396"/>
    </row>
    <row r="52" spans="1:7" s="49" customFormat="1" ht="20.25" customHeight="1" x14ac:dyDescent="0.25">
      <c r="A52" s="22"/>
      <c r="B52" s="221"/>
      <c r="C52" s="222"/>
      <c r="D52" s="223"/>
      <c r="E52" s="395" t="s">
        <v>1613</v>
      </c>
      <c r="F52" s="398" t="str">
        <f t="shared" si="0"/>
        <v/>
      </c>
      <c r="G52" s="396"/>
    </row>
    <row r="53" spans="1:7" s="49" customFormat="1" ht="20.25" customHeight="1" x14ac:dyDescent="0.25">
      <c r="A53" s="22"/>
      <c r="B53" s="221"/>
      <c r="C53" s="222"/>
      <c r="D53" s="223"/>
      <c r="E53" s="395" t="s">
        <v>1613</v>
      </c>
      <c r="F53" s="398" t="str">
        <f t="shared" si="0"/>
        <v/>
      </c>
      <c r="G53" s="396"/>
    </row>
    <row r="54" spans="1:7" s="49" customFormat="1" ht="20.25" customHeight="1" x14ac:dyDescent="0.25">
      <c r="A54" s="22"/>
      <c r="B54" s="221"/>
      <c r="C54" s="222"/>
      <c r="D54" s="223"/>
      <c r="E54" s="395" t="s">
        <v>1613</v>
      </c>
      <c r="F54" s="398" t="str">
        <f t="shared" si="0"/>
        <v/>
      </c>
      <c r="G54" s="396"/>
    </row>
    <row r="55" spans="1:7" ht="15.75" x14ac:dyDescent="0.25">
      <c r="A55" s="380"/>
      <c r="B55" s="391" t="s">
        <v>1367</v>
      </c>
      <c r="C55" s="392">
        <f>SUM(C20:C54)</f>
        <v>0</v>
      </c>
      <c r="D55" s="393">
        <f>SUM(D20:D54)</f>
        <v>0</v>
      </c>
      <c r="E55" s="394">
        <f>SUM(E20:E54)</f>
        <v>0</v>
      </c>
      <c r="F55" s="394">
        <f>SUM(F20:F54)</f>
        <v>0</v>
      </c>
      <c r="G55" s="397"/>
    </row>
    <row r="56" spans="1:7" ht="15.75" x14ac:dyDescent="0.25">
      <c r="A56" s="512" t="str">
        <f>CONCATENATE("El costo total por el personal es de ",F55)</f>
        <v>El costo total por el personal es de 0</v>
      </c>
      <c r="B56" s="512"/>
      <c r="C56" s="512"/>
      <c r="D56" s="512"/>
      <c r="E56" s="512"/>
      <c r="F56" s="512"/>
      <c r="G56" s="512"/>
    </row>
    <row r="57" spans="1:7" ht="15.75" x14ac:dyDescent="0.25">
      <c r="A57" s="380"/>
      <c r="B57" s="380"/>
      <c r="C57" s="380"/>
      <c r="D57" s="380"/>
      <c r="E57" s="21"/>
      <c r="F57" s="380"/>
      <c r="G57" s="380"/>
    </row>
    <row r="58" spans="1:7" ht="15.75" x14ac:dyDescent="0.25">
      <c r="A58" s="518" t="s">
        <v>1425</v>
      </c>
      <c r="B58" s="519"/>
      <c r="C58" s="519"/>
      <c r="D58" s="519"/>
      <c r="E58" s="519"/>
      <c r="F58" s="519"/>
      <c r="G58" s="380"/>
    </row>
    <row r="59" spans="1:7" ht="15.75" x14ac:dyDescent="0.25">
      <c r="A59" s="380"/>
      <c r="B59" s="380"/>
      <c r="C59" s="380"/>
      <c r="D59" s="380"/>
      <c r="E59" s="21"/>
      <c r="F59" s="380"/>
      <c r="G59" s="380"/>
    </row>
    <row r="60" spans="1:7" ht="15.75" x14ac:dyDescent="0.25">
      <c r="A60" s="380"/>
      <c r="B60" s="291" t="s">
        <v>3</v>
      </c>
      <c r="C60" s="291" t="s">
        <v>2</v>
      </c>
      <c r="D60" s="291" t="s">
        <v>1426</v>
      </c>
      <c r="E60" s="292" t="s">
        <v>1427</v>
      </c>
      <c r="F60" s="380"/>
      <c r="G60" s="380"/>
    </row>
    <row r="61" spans="1:7" ht="15.75" x14ac:dyDescent="0.25">
      <c r="A61" s="380"/>
      <c r="B61" s="299" t="s">
        <v>1567</v>
      </c>
      <c r="C61" s="300">
        <v>7200</v>
      </c>
      <c r="D61" s="300">
        <v>0.4</v>
      </c>
      <c r="E61" s="301">
        <f>+D61*C61</f>
        <v>2880</v>
      </c>
      <c r="F61" s="380"/>
      <c r="G61" s="380"/>
    </row>
    <row r="62" spans="1:7" ht="15.75" x14ac:dyDescent="0.25">
      <c r="A62" s="380"/>
      <c r="B62" s="299" t="s">
        <v>1569</v>
      </c>
      <c r="C62" s="300">
        <v>1</v>
      </c>
      <c r="D62" s="300">
        <v>1173.9130434782608</v>
      </c>
      <c r="E62" s="301">
        <f>+D62*C62</f>
        <v>1173.9130434782608</v>
      </c>
      <c r="F62" s="380"/>
      <c r="G62" s="380"/>
    </row>
    <row r="63" spans="1:7" ht="15.75" x14ac:dyDescent="0.25">
      <c r="A63" s="380"/>
      <c r="B63" s="299">
        <v>0</v>
      </c>
      <c r="C63" s="300">
        <v>0</v>
      </c>
      <c r="D63" s="300">
        <v>0</v>
      </c>
      <c r="E63" s="301">
        <f>+D63*C63</f>
        <v>0</v>
      </c>
      <c r="F63" s="380"/>
      <c r="G63" s="380"/>
    </row>
    <row r="64" spans="1:7" ht="15.75" x14ac:dyDescent="0.25">
      <c r="A64" s="380"/>
      <c r="B64" s="299">
        <v>0</v>
      </c>
      <c r="C64" s="300">
        <v>0</v>
      </c>
      <c r="D64" s="300">
        <v>0</v>
      </c>
      <c r="E64" s="301">
        <f>+D64*C64</f>
        <v>0</v>
      </c>
      <c r="F64" s="380"/>
      <c r="G64" s="380"/>
    </row>
    <row r="65" spans="1:7" ht="15.75" x14ac:dyDescent="0.25">
      <c r="A65" s="382"/>
      <c r="B65" s="299"/>
      <c r="C65" s="300"/>
      <c r="D65" s="300"/>
      <c r="E65" s="301"/>
      <c r="F65" s="382"/>
      <c r="G65" s="382"/>
    </row>
    <row r="66" spans="1:7" ht="15.75" x14ac:dyDescent="0.25">
      <c r="A66" s="382"/>
      <c r="B66" s="299"/>
      <c r="C66" s="300"/>
      <c r="D66" s="300"/>
      <c r="E66" s="301"/>
      <c r="F66" s="382"/>
      <c r="G66" s="382"/>
    </row>
    <row r="67" spans="1:7" ht="15.75" x14ac:dyDescent="0.25">
      <c r="A67" s="382"/>
      <c r="B67" s="299"/>
      <c r="C67" s="300"/>
      <c r="D67" s="300"/>
      <c r="E67" s="301"/>
      <c r="F67" s="382"/>
      <c r="G67" s="382"/>
    </row>
    <row r="68" spans="1:7" ht="15.75" x14ac:dyDescent="0.25">
      <c r="A68" s="382"/>
      <c r="B68" s="299"/>
      <c r="C68" s="300"/>
      <c r="D68" s="300"/>
      <c r="E68" s="301"/>
      <c r="F68" s="382"/>
      <c r="G68" s="382"/>
    </row>
    <row r="69" spans="1:7" ht="15.75" x14ac:dyDescent="0.25">
      <c r="A69" s="382"/>
      <c r="B69" s="299"/>
      <c r="C69" s="300"/>
      <c r="D69" s="300"/>
      <c r="E69" s="301"/>
      <c r="F69" s="382"/>
      <c r="G69" s="382"/>
    </row>
    <row r="70" spans="1:7" ht="15.75" x14ac:dyDescent="0.25">
      <c r="A70" s="382"/>
      <c r="B70" s="299"/>
      <c r="C70" s="300"/>
      <c r="D70" s="300"/>
      <c r="E70" s="301"/>
      <c r="F70" s="382"/>
      <c r="G70" s="382"/>
    </row>
    <row r="71" spans="1:7" ht="15.75" x14ac:dyDescent="0.25">
      <c r="A71" s="382"/>
      <c r="B71" s="299"/>
      <c r="C71" s="300"/>
      <c r="D71" s="300"/>
      <c r="E71" s="301"/>
      <c r="F71" s="382"/>
      <c r="G71" s="382"/>
    </row>
    <row r="72" spans="1:7" ht="15.75" x14ac:dyDescent="0.25">
      <c r="A72" s="382"/>
      <c r="B72" s="299"/>
      <c r="C72" s="300"/>
      <c r="D72" s="300"/>
      <c r="E72" s="301"/>
      <c r="F72" s="382"/>
      <c r="G72" s="382"/>
    </row>
    <row r="73" spans="1:7" ht="15.75" x14ac:dyDescent="0.25">
      <c r="A73" s="382"/>
      <c r="B73" s="299"/>
      <c r="C73" s="300"/>
      <c r="D73" s="300"/>
      <c r="E73" s="301"/>
      <c r="F73" s="382"/>
      <c r="G73" s="382"/>
    </row>
    <row r="74" spans="1:7" ht="15.75" x14ac:dyDescent="0.25">
      <c r="A74" s="382"/>
      <c r="B74" s="299"/>
      <c r="C74" s="300"/>
      <c r="D74" s="300"/>
      <c r="E74" s="301"/>
      <c r="F74" s="382"/>
      <c r="G74" s="382"/>
    </row>
    <row r="75" spans="1:7" ht="15.75" x14ac:dyDescent="0.25">
      <c r="A75" s="382"/>
      <c r="B75" s="299"/>
      <c r="C75" s="300"/>
      <c r="D75" s="300"/>
      <c r="E75" s="301"/>
      <c r="F75" s="382"/>
      <c r="G75" s="382"/>
    </row>
    <row r="76" spans="1:7" ht="15.75" x14ac:dyDescent="0.25">
      <c r="A76" s="382"/>
      <c r="B76" s="299"/>
      <c r="C76" s="300"/>
      <c r="D76" s="300"/>
      <c r="E76" s="301"/>
      <c r="F76" s="382"/>
      <c r="G76" s="382"/>
    </row>
    <row r="77" spans="1:7" ht="15.75" x14ac:dyDescent="0.25">
      <c r="A77" s="382"/>
      <c r="B77" s="299"/>
      <c r="C77" s="300"/>
      <c r="D77" s="300"/>
      <c r="E77" s="301"/>
      <c r="F77" s="382"/>
      <c r="G77" s="382"/>
    </row>
    <row r="78" spans="1:7" ht="15.75" x14ac:dyDescent="0.25">
      <c r="A78" s="382"/>
      <c r="B78" s="299"/>
      <c r="C78" s="300"/>
      <c r="D78" s="300"/>
      <c r="E78" s="301"/>
      <c r="F78" s="382"/>
      <c r="G78" s="382"/>
    </row>
    <row r="79" spans="1:7" ht="15.75" x14ac:dyDescent="0.25">
      <c r="A79" s="382"/>
      <c r="B79" s="299"/>
      <c r="C79" s="300"/>
      <c r="D79" s="300"/>
      <c r="E79" s="301"/>
      <c r="F79" s="382"/>
      <c r="G79" s="382"/>
    </row>
    <row r="80" spans="1:7" ht="15.75" x14ac:dyDescent="0.25">
      <c r="A80" s="382"/>
      <c r="B80" s="299"/>
      <c r="C80" s="300"/>
      <c r="D80" s="300"/>
      <c r="E80" s="301"/>
      <c r="F80" s="382"/>
      <c r="G80" s="382"/>
    </row>
    <row r="81" spans="1:7" ht="15.75" x14ac:dyDescent="0.25">
      <c r="A81" s="382"/>
      <c r="B81" s="299"/>
      <c r="C81" s="300"/>
      <c r="D81" s="300"/>
      <c r="E81" s="301"/>
      <c r="F81" s="382"/>
      <c r="G81" s="382"/>
    </row>
    <row r="82" spans="1:7" ht="15.75" x14ac:dyDescent="0.25">
      <c r="A82" s="382"/>
      <c r="B82" s="299"/>
      <c r="C82" s="300"/>
      <c r="D82" s="300"/>
      <c r="E82" s="301"/>
      <c r="F82" s="382"/>
      <c r="G82" s="382"/>
    </row>
    <row r="83" spans="1:7" ht="15.75" x14ac:dyDescent="0.25">
      <c r="A83" s="380"/>
      <c r="B83" s="299">
        <v>0</v>
      </c>
      <c r="C83" s="300">
        <v>0</v>
      </c>
      <c r="D83" s="300">
        <v>0</v>
      </c>
      <c r="E83" s="301">
        <f t="shared" ref="E83:E90" si="1">+D83*C83</f>
        <v>0</v>
      </c>
      <c r="F83" s="380"/>
      <c r="G83" s="380"/>
    </row>
    <row r="84" spans="1:7" ht="15.75" x14ac:dyDescent="0.25">
      <c r="A84" s="380"/>
      <c r="B84" s="299">
        <v>0</v>
      </c>
      <c r="C84" s="300">
        <v>0</v>
      </c>
      <c r="D84" s="300">
        <v>0</v>
      </c>
      <c r="E84" s="301">
        <f t="shared" si="1"/>
        <v>0</v>
      </c>
      <c r="F84" s="380"/>
      <c r="G84" s="380"/>
    </row>
    <row r="85" spans="1:7" ht="15.75" x14ac:dyDescent="0.25">
      <c r="A85" s="380"/>
      <c r="B85" s="299">
        <v>0</v>
      </c>
      <c r="C85" s="300">
        <v>0</v>
      </c>
      <c r="D85" s="300">
        <v>0</v>
      </c>
      <c r="E85" s="301">
        <f t="shared" si="1"/>
        <v>0</v>
      </c>
      <c r="F85" s="380"/>
      <c r="G85" s="380"/>
    </row>
    <row r="86" spans="1:7" ht="15.75" x14ac:dyDescent="0.25">
      <c r="A86" s="380"/>
      <c r="B86" s="299">
        <v>0</v>
      </c>
      <c r="C86" s="300">
        <v>0</v>
      </c>
      <c r="D86" s="300">
        <v>0</v>
      </c>
      <c r="E86" s="301">
        <f t="shared" si="1"/>
        <v>0</v>
      </c>
      <c r="F86" s="380"/>
      <c r="G86" s="380"/>
    </row>
    <row r="87" spans="1:7" ht="15.75" x14ac:dyDescent="0.25">
      <c r="A87" s="380"/>
      <c r="B87" s="299">
        <v>0</v>
      </c>
      <c r="C87" s="300">
        <v>0</v>
      </c>
      <c r="D87" s="300">
        <v>0</v>
      </c>
      <c r="E87" s="301">
        <f t="shared" si="1"/>
        <v>0</v>
      </c>
      <c r="F87" s="380"/>
      <c r="G87" s="380"/>
    </row>
    <row r="88" spans="1:7" ht="15.75" x14ac:dyDescent="0.25">
      <c r="A88" s="380"/>
      <c r="B88" s="299">
        <v>0</v>
      </c>
      <c r="C88" s="300">
        <v>0</v>
      </c>
      <c r="D88" s="300">
        <v>0</v>
      </c>
      <c r="E88" s="301">
        <f t="shared" si="1"/>
        <v>0</v>
      </c>
      <c r="F88" s="380"/>
      <c r="G88" s="380"/>
    </row>
    <row r="89" spans="1:7" ht="15.75" x14ac:dyDescent="0.25">
      <c r="A89" s="380"/>
      <c r="B89" s="299">
        <v>0</v>
      </c>
      <c r="C89" s="300">
        <v>0</v>
      </c>
      <c r="D89" s="300">
        <v>0</v>
      </c>
      <c r="E89" s="301">
        <f t="shared" si="1"/>
        <v>0</v>
      </c>
      <c r="F89" s="380"/>
      <c r="G89" s="380"/>
    </row>
    <row r="90" spans="1:7" ht="15.75" x14ac:dyDescent="0.25">
      <c r="A90" s="380"/>
      <c r="B90" s="299">
        <v>0</v>
      </c>
      <c r="C90" s="300">
        <v>0</v>
      </c>
      <c r="D90" s="300">
        <v>0</v>
      </c>
      <c r="E90" s="301">
        <f t="shared" si="1"/>
        <v>0</v>
      </c>
      <c r="F90" s="380"/>
      <c r="G90" s="380"/>
    </row>
    <row r="91" spans="1:7" ht="15.75" x14ac:dyDescent="0.25">
      <c r="A91" s="380"/>
      <c r="B91" s="302">
        <v>0</v>
      </c>
      <c r="C91" s="300">
        <v>0</v>
      </c>
      <c r="D91" s="303">
        <f>IFERROR((E91/C91),0)</f>
        <v>0</v>
      </c>
      <c r="E91" s="304">
        <v>0</v>
      </c>
      <c r="F91" s="380"/>
      <c r="G91" s="380"/>
    </row>
    <row r="92" spans="1:7" ht="15.75" x14ac:dyDescent="0.25">
      <c r="A92" s="380"/>
      <c r="B92" s="380"/>
      <c r="C92" s="380"/>
      <c r="D92" s="305" t="s">
        <v>1428</v>
      </c>
      <c r="E92" s="306">
        <f>SUM(E61:E91)</f>
        <v>4053.913043478261</v>
      </c>
      <c r="F92" s="21"/>
      <c r="G92" s="380"/>
    </row>
    <row r="93" spans="1:7" ht="15.75" x14ac:dyDescent="0.25">
      <c r="A93" s="380"/>
      <c r="B93" s="380"/>
      <c r="C93" s="380"/>
      <c r="D93" s="305" t="s">
        <v>1429</v>
      </c>
      <c r="E93" s="306">
        <v>608.08695652173913</v>
      </c>
      <c r="F93" s="380"/>
      <c r="G93" s="380"/>
    </row>
    <row r="94" spans="1:7" ht="15.75" x14ac:dyDescent="0.25">
      <c r="A94" s="380"/>
      <c r="B94" s="380"/>
      <c r="C94" s="380"/>
      <c r="D94" s="307" t="s">
        <v>1446</v>
      </c>
      <c r="E94" s="306">
        <f>+E95-E92-E93</f>
        <v>887.99999999999989</v>
      </c>
      <c r="F94" s="380"/>
      <c r="G94" s="380"/>
    </row>
    <row r="95" spans="1:7" ht="15.75" x14ac:dyDescent="0.25">
      <c r="A95" s="380"/>
      <c r="B95" s="380"/>
      <c r="C95" s="380"/>
      <c r="D95" s="305" t="s">
        <v>1430</v>
      </c>
      <c r="E95" s="306">
        <f>(E92+E93)/0.84</f>
        <v>5550</v>
      </c>
      <c r="F95" s="59"/>
      <c r="G95" s="380"/>
    </row>
    <row r="96" spans="1:7" ht="15.75" customHeight="1" x14ac:dyDescent="0.25">
      <c r="A96" s="520" t="s">
        <v>1613</v>
      </c>
      <c r="B96" s="520"/>
      <c r="C96" s="520"/>
      <c r="D96" s="520"/>
      <c r="E96" s="520"/>
      <c r="F96" s="520"/>
      <c r="G96" s="520"/>
    </row>
    <row r="97" spans="1:7" ht="15.75" customHeight="1" x14ac:dyDescent="0.25">
      <c r="A97" s="520"/>
      <c r="B97" s="520"/>
      <c r="C97" s="520"/>
      <c r="D97" s="520"/>
      <c r="E97" s="520"/>
      <c r="F97" s="520"/>
      <c r="G97" s="520"/>
    </row>
    <row r="98" spans="1:7" ht="15.75" customHeight="1" x14ac:dyDescent="0.25">
      <c r="A98" s="520"/>
      <c r="B98" s="520"/>
      <c r="C98" s="520"/>
      <c r="D98" s="520"/>
      <c r="E98" s="520"/>
      <c r="F98" s="520"/>
      <c r="G98" s="520"/>
    </row>
    <row r="99" spans="1:7" ht="15.75" x14ac:dyDescent="0.25">
      <c r="A99" s="512" t="s">
        <v>1431</v>
      </c>
      <c r="B99" s="512"/>
      <c r="C99" s="512"/>
      <c r="D99" s="512"/>
      <c r="E99" s="512"/>
      <c r="F99" s="512"/>
      <c r="G99" s="512"/>
    </row>
    <row r="100" spans="1:7" ht="15.75" x14ac:dyDescent="0.25">
      <c r="A100" s="522" t="s">
        <v>1432</v>
      </c>
      <c r="B100" s="522"/>
      <c r="C100" s="522"/>
      <c r="D100" s="522"/>
      <c r="E100" s="522"/>
      <c r="F100" s="522"/>
      <c r="G100" s="522"/>
    </row>
    <row r="101" spans="1:7" ht="15.75" x14ac:dyDescent="0.25">
      <c r="A101" s="512" t="s">
        <v>1433</v>
      </c>
      <c r="B101" s="512"/>
      <c r="C101" s="512"/>
      <c r="D101" s="512"/>
      <c r="E101" s="512"/>
      <c r="F101" s="512"/>
      <c r="G101" s="512"/>
    </row>
    <row r="102" spans="1:7" ht="15.75" x14ac:dyDescent="0.25">
      <c r="A102" s="380"/>
      <c r="B102" s="512" t="s">
        <v>1434</v>
      </c>
      <c r="C102" s="512"/>
      <c r="D102" s="512"/>
      <c r="E102" s="512"/>
      <c r="F102" s="512"/>
      <c r="G102" s="512"/>
    </row>
    <row r="103" spans="1:7" ht="14.25" customHeight="1" x14ac:dyDescent="0.25">
      <c r="A103" s="380"/>
      <c r="B103" s="523" t="s">
        <v>1435</v>
      </c>
      <c r="C103" s="523"/>
      <c r="D103" s="523"/>
      <c r="E103" s="523"/>
      <c r="F103" s="523"/>
      <c r="G103" s="523"/>
    </row>
    <row r="104" spans="1:7" ht="15.75" x14ac:dyDescent="0.25">
      <c r="A104" s="380"/>
      <c r="B104" s="512" t="s">
        <v>1436</v>
      </c>
      <c r="C104" s="512"/>
      <c r="D104" s="512"/>
      <c r="E104" s="512"/>
      <c r="F104" s="512"/>
      <c r="G104" s="512"/>
    </row>
    <row r="105" spans="1:7" ht="15.75" x14ac:dyDescent="0.25">
      <c r="A105" s="380"/>
      <c r="B105" s="514" t="s">
        <v>1437</v>
      </c>
      <c r="C105" s="514"/>
      <c r="D105" s="514"/>
      <c r="E105" s="514"/>
      <c r="F105" s="514"/>
      <c r="G105" s="514"/>
    </row>
    <row r="106" spans="1:7" ht="15.75" x14ac:dyDescent="0.25">
      <c r="A106" s="380"/>
      <c r="B106" s="514" t="s">
        <v>1438</v>
      </c>
      <c r="C106" s="514"/>
      <c r="D106" s="514"/>
      <c r="E106" s="514"/>
      <c r="F106" s="514"/>
      <c r="G106" s="514"/>
    </row>
    <row r="107" spans="1:7" ht="15.75" x14ac:dyDescent="0.25">
      <c r="A107" s="380"/>
      <c r="B107" s="514" t="s">
        <v>1439</v>
      </c>
      <c r="C107" s="514"/>
      <c r="D107" s="514"/>
      <c r="E107" s="514"/>
      <c r="F107" s="514"/>
      <c r="G107" s="514"/>
    </row>
    <row r="108" spans="1:7" ht="15.75" x14ac:dyDescent="0.25">
      <c r="A108" s="380"/>
      <c r="B108" s="512" t="s">
        <v>1440</v>
      </c>
      <c r="C108" s="512"/>
      <c r="D108" s="512"/>
      <c r="E108" s="512"/>
      <c r="F108" s="512"/>
      <c r="G108" s="380"/>
    </row>
    <row r="109" spans="1:7" ht="15.75" x14ac:dyDescent="0.25">
      <c r="A109" s="380"/>
      <c r="B109" s="514" t="s">
        <v>1441</v>
      </c>
      <c r="C109" s="514"/>
      <c r="D109" s="514"/>
      <c r="E109" s="514"/>
      <c r="F109" s="514"/>
      <c r="G109" s="514"/>
    </row>
    <row r="110" spans="1:7" ht="15.75" x14ac:dyDescent="0.25">
      <c r="A110" s="380"/>
      <c r="B110" s="521" t="s">
        <v>1442</v>
      </c>
      <c r="C110" s="521"/>
      <c r="D110" s="521"/>
      <c r="E110" s="521"/>
      <c r="F110" s="521"/>
      <c r="G110" s="521"/>
    </row>
    <row r="111" spans="1:7" ht="15" customHeight="1" x14ac:dyDescent="0.25">
      <c r="A111" s="380"/>
      <c r="B111" s="521" t="s">
        <v>1443</v>
      </c>
      <c r="C111" s="521"/>
      <c r="D111" s="521"/>
      <c r="E111" s="521"/>
      <c r="F111" s="521"/>
      <c r="G111" s="521"/>
    </row>
    <row r="112" spans="1:7" ht="15.75" x14ac:dyDescent="0.25">
      <c r="A112" s="380"/>
      <c r="B112" s="521" t="s">
        <v>1444</v>
      </c>
      <c r="C112" s="521"/>
      <c r="D112" s="521"/>
      <c r="E112" s="521"/>
      <c r="F112" s="521"/>
      <c r="G112" s="521"/>
    </row>
    <row r="113" spans="1:7" ht="15.75" x14ac:dyDescent="0.25">
      <c r="A113" s="380"/>
      <c r="B113" s="512" t="s">
        <v>1445</v>
      </c>
      <c r="C113" s="512"/>
      <c r="D113" s="512"/>
      <c r="E113" s="512"/>
      <c r="F113" s="512"/>
      <c r="G113" s="512"/>
    </row>
    <row r="114" spans="1:7" ht="15.75" x14ac:dyDescent="0.25">
      <c r="A114" s="380"/>
      <c r="B114" s="380"/>
      <c r="C114" s="380"/>
      <c r="D114" s="380"/>
      <c r="E114" s="21"/>
      <c r="F114" s="380"/>
      <c r="G114" s="380"/>
    </row>
    <row r="115" spans="1:7" ht="15.75" x14ac:dyDescent="0.25">
      <c r="A115" s="380"/>
      <c r="B115" s="380"/>
      <c r="C115" s="380"/>
      <c r="D115" s="380"/>
      <c r="E115" s="21"/>
      <c r="F115" s="380"/>
      <c r="G115" s="380"/>
    </row>
    <row r="116" spans="1:7" ht="15" customHeight="1" x14ac:dyDescent="0.25">
      <c r="A116" s="525" t="s">
        <v>1410</v>
      </c>
      <c r="B116" s="525"/>
      <c r="C116" s="525"/>
      <c r="D116" s="525"/>
      <c r="E116" s="525"/>
      <c r="F116" s="525"/>
      <c r="G116" s="525"/>
    </row>
    <row r="117" spans="1:7" x14ac:dyDescent="0.25">
      <c r="A117" s="525"/>
      <c r="B117" s="525"/>
      <c r="C117" s="525"/>
      <c r="D117" s="525"/>
      <c r="E117" s="525"/>
      <c r="F117" s="525"/>
      <c r="G117" s="525"/>
    </row>
    <row r="118" spans="1:7" ht="15.75" x14ac:dyDescent="0.25">
      <c r="A118" s="380"/>
      <c r="B118" s="380"/>
      <c r="C118" s="380"/>
      <c r="D118" s="380"/>
      <c r="E118" s="21"/>
      <c r="F118" s="380"/>
      <c r="G118" s="380"/>
    </row>
    <row r="119" spans="1:7" ht="15.75" x14ac:dyDescent="0.25">
      <c r="A119" s="380"/>
      <c r="B119" s="380"/>
      <c r="C119" s="380"/>
      <c r="D119" s="380"/>
      <c r="E119" s="21"/>
      <c r="F119" s="380"/>
      <c r="G119" s="380"/>
    </row>
    <row r="120" spans="1:7" ht="15.75" x14ac:dyDescent="0.25">
      <c r="A120" s="380"/>
      <c r="B120" s="380"/>
      <c r="C120" s="380"/>
      <c r="D120" s="380"/>
      <c r="E120" s="21"/>
      <c r="F120" s="380"/>
      <c r="G120" s="380"/>
    </row>
    <row r="121" spans="1:7" ht="15.75" x14ac:dyDescent="0.25">
      <c r="A121" s="380"/>
      <c r="B121" s="380"/>
      <c r="C121" s="380"/>
      <c r="D121" s="380"/>
      <c r="E121" s="21"/>
      <c r="F121" s="380"/>
      <c r="G121" s="380"/>
    </row>
    <row r="122" spans="1:7" ht="15.75" x14ac:dyDescent="0.25">
      <c r="A122" s="380"/>
      <c r="B122" s="380"/>
      <c r="C122" s="380"/>
      <c r="D122" s="380"/>
      <c r="E122" s="21"/>
      <c r="F122" s="380"/>
      <c r="G122" s="380"/>
    </row>
    <row r="123" spans="1:7" ht="15.75" x14ac:dyDescent="0.25">
      <c r="A123" s="380"/>
      <c r="B123" s="380"/>
      <c r="C123" s="380"/>
      <c r="D123" s="380"/>
      <c r="E123" s="21"/>
      <c r="F123" s="380"/>
      <c r="G123" s="380"/>
    </row>
    <row r="124" spans="1:7" ht="15.75" x14ac:dyDescent="0.25">
      <c r="A124" s="380"/>
      <c r="B124" s="380"/>
      <c r="C124" s="380"/>
      <c r="D124" s="380"/>
      <c r="E124" s="21"/>
      <c r="F124" s="380"/>
      <c r="G124" s="380"/>
    </row>
    <row r="125" spans="1:7" ht="15.75" x14ac:dyDescent="0.25">
      <c r="A125" s="380"/>
      <c r="B125" s="380"/>
      <c r="C125" s="380"/>
      <c r="D125" s="380"/>
      <c r="E125" s="21"/>
      <c r="F125" s="380"/>
      <c r="G125" s="380"/>
    </row>
    <row r="126" spans="1:7" ht="15" customHeight="1" x14ac:dyDescent="0.25">
      <c r="B126" s="365"/>
      <c r="C126" s="365"/>
      <c r="D126" s="381" t="s">
        <v>1574</v>
      </c>
      <c r="E126" s="365"/>
      <c r="F126" s="365"/>
      <c r="G126" s="365"/>
    </row>
    <row r="127" spans="1:7" ht="15" customHeight="1" x14ac:dyDescent="0.25">
      <c r="A127" s="365"/>
      <c r="B127" s="365"/>
      <c r="C127" s="526" t="s">
        <v>1552</v>
      </c>
      <c r="D127" s="526"/>
      <c r="E127" s="526"/>
      <c r="F127" s="365"/>
      <c r="G127" s="365"/>
    </row>
    <row r="128" spans="1:7" ht="15" customHeight="1" x14ac:dyDescent="0.25">
      <c r="A128" s="365"/>
      <c r="B128" s="365"/>
      <c r="C128" s="527" t="str">
        <f>+IF(C127="ALVARO Vega","Jefe Nacional de Activaciones Btl",IF(C127="XIMENA CASSAB","Ejecutiva de Cuentas Activaciones Btl"))</f>
        <v>Jefe Nacional de Activaciones Btl</v>
      </c>
      <c r="D128" s="527"/>
      <c r="E128" s="527"/>
      <c r="F128" s="365"/>
      <c r="G128" s="365"/>
    </row>
    <row r="129" spans="1:7" ht="15" customHeight="1" x14ac:dyDescent="0.25">
      <c r="A129" s="365"/>
      <c r="B129" s="365"/>
      <c r="C129" s="528" t="str">
        <f>+IF(C127="alvaro vega","alvarovega@gruporegional.com",IF(C127="ximena cassab","ximenacassab@gruporegional.com",))</f>
        <v>alvarovega@gruporegional.com</v>
      </c>
      <c r="D129" s="528"/>
      <c r="E129" s="528"/>
      <c r="F129" s="365"/>
      <c r="G129" s="365"/>
    </row>
    <row r="130" spans="1:7" ht="15" customHeight="1" x14ac:dyDescent="0.35">
      <c r="A130" s="365"/>
      <c r="B130" s="365"/>
      <c r="C130" s="524" t="s">
        <v>1573</v>
      </c>
      <c r="D130" s="524"/>
      <c r="E130" s="524"/>
      <c r="F130" s="365"/>
      <c r="G130" s="365"/>
    </row>
    <row r="133" spans="1:7" ht="15" customHeight="1" x14ac:dyDescent="0.25"/>
  </sheetData>
  <protectedRanges>
    <protectedRange sqref="B39:B43 D39:D43" name="Rango3_4"/>
    <protectedRange sqref="C39:C43" name="Rango4_3"/>
    <protectedRange sqref="D44:D55 B44:B55" name="Rango3_7"/>
    <protectedRange sqref="C44:C55" name="Rango4_6"/>
    <protectedRange sqref="E21:E22" name="Rango3_18"/>
    <protectedRange sqref="E23:E24" name="Rango3_19"/>
    <protectedRange sqref="E25:E26" name="Rango3_20"/>
    <protectedRange sqref="E27:E28" name="Rango3_21"/>
    <protectedRange sqref="E29:E30" name="Rango3_22"/>
    <protectedRange sqref="E31:E32" name="Rango3_23"/>
    <protectedRange sqref="E33:E34" name="Rango3_24"/>
    <protectedRange sqref="E35:E36" name="Rango3_25"/>
    <protectedRange sqref="E37:E38" name="Rango3_26"/>
    <protectedRange sqref="D20:D22 B20:B22" name="Rango3_18_1"/>
    <protectedRange sqref="C20:C22" name="Rango4_18"/>
    <protectedRange sqref="B23:B24 D23:D24" name="Rango3_19_1"/>
    <protectedRange sqref="C23:C24" name="Rango4_19"/>
    <protectedRange sqref="B25:B26 D25:D26" name="Rango3_20_1"/>
    <protectedRange sqref="C25:C26" name="Rango4_20"/>
    <protectedRange sqref="B27:B28 D27:D28" name="Rango3_21_1"/>
    <protectedRange sqref="C27:C28" name="Rango4_21"/>
    <protectedRange sqref="B29:B30" name="Rango3_22_1"/>
    <protectedRange sqref="C29:D30" name="Rango4_22"/>
    <protectedRange sqref="B31:B32" name="Rango3_23_1"/>
    <protectedRange sqref="C31:D32" name="Rango4_23"/>
    <protectedRange sqref="B33:B34" name="Rango3_24_1"/>
    <protectedRange sqref="C33:D34" name="Rango4_24"/>
    <protectedRange sqref="B35:B36" name="Rango3_25_1"/>
    <protectedRange sqref="C35:D36" name="Rango4_25"/>
    <protectedRange sqref="B37:B38" name="Rango3_26_1"/>
    <protectedRange sqref="C37:D38" name="Rango4_26"/>
  </protectedRanges>
  <mergeCells count="31">
    <mergeCell ref="C130:E130"/>
    <mergeCell ref="B112:G112"/>
    <mergeCell ref="B113:G113"/>
    <mergeCell ref="A116:G117"/>
    <mergeCell ref="C127:E127"/>
    <mergeCell ref="C128:E128"/>
    <mergeCell ref="C129:E129"/>
    <mergeCell ref="B111:G111"/>
    <mergeCell ref="A100:G100"/>
    <mergeCell ref="A101:G101"/>
    <mergeCell ref="B102:G102"/>
    <mergeCell ref="B103:G103"/>
    <mergeCell ref="B104:G104"/>
    <mergeCell ref="B105:G105"/>
    <mergeCell ref="B106:G106"/>
    <mergeCell ref="B107:G107"/>
    <mergeCell ref="B108:F108"/>
    <mergeCell ref="B109:G109"/>
    <mergeCell ref="B110:G110"/>
    <mergeCell ref="A99:G99"/>
    <mergeCell ref="A5:G5"/>
    <mergeCell ref="A7:G7"/>
    <mergeCell ref="A8:G8"/>
    <mergeCell ref="A9:G9"/>
    <mergeCell ref="B11:G11"/>
    <mergeCell ref="A13:G13"/>
    <mergeCell ref="A15:G15"/>
    <mergeCell ref="A17:G17"/>
    <mergeCell ref="A56:G56"/>
    <mergeCell ref="A58:F58"/>
    <mergeCell ref="A96:G98"/>
  </mergeCells>
  <hyperlinks>
    <hyperlink ref="C130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rowBreaks count="1" manualBreakCount="1">
    <brk id="56" max="16383" man="1"/>
  </rowBreaks>
  <drawing r:id="rId3"/>
  <legacyDrawing r:id="rId4"/>
  <legacyDrawingHF r:id="rId5"/>
  <controls>
    <mc:AlternateContent xmlns:mc="http://schemas.openxmlformats.org/markup-compatibility/2006">
      <mc:Choice Requires="x14">
        <control shapeId="23554" r:id="rId6" name="CommandButton1">
          <controlPr defaultSize="0" autoLine="0" r:id="rId7">
            <anchor moveWithCells="1">
              <from>
                <xdr:col>5</xdr:col>
                <xdr:colOff>238125</xdr:colOff>
                <xdr:row>8</xdr:row>
                <xdr:rowOff>0</xdr:rowOff>
              </from>
              <to>
                <xdr:col>6</xdr:col>
                <xdr:colOff>142875</xdr:colOff>
                <xdr:row>10</xdr:row>
                <xdr:rowOff>142875</xdr:rowOff>
              </to>
            </anchor>
          </controlPr>
        </control>
      </mc:Choice>
      <mc:Fallback>
        <control shapeId="23554" r:id="rId6" name="CommandButton1"/>
      </mc:Fallback>
    </mc:AlternateContent>
    <mc:AlternateContent xmlns:mc="http://schemas.openxmlformats.org/markup-compatibility/2006">
      <mc:Choice Requires="x14">
        <control shapeId="23553" r:id="rId8" name="Button 1">
          <controlPr defaultSize="0" print="0" autoFill="0" autoPict="0">
            <anchor moveWithCells="1">
              <from>
                <xdr:col>4</xdr:col>
                <xdr:colOff>238125</xdr:colOff>
                <xdr:row>8</xdr:row>
                <xdr:rowOff>142875</xdr:rowOff>
              </from>
              <to>
                <xdr:col>4</xdr:col>
                <xdr:colOff>1323975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122"/>
  <sheetViews>
    <sheetView showGridLines="0" view="pageLayout" topLeftCell="A4" zoomScale="80" zoomScaleNormal="100" zoomScaleSheetLayoutView="106" zoomScalePageLayoutView="80" workbookViewId="0">
      <selection activeCell="B20" sqref="B20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3.28515625" bestFit="1" customWidth="1"/>
    <col min="4" max="4" width="27.140625" bestFit="1" customWidth="1"/>
    <col min="5" max="5" width="30.7109375" style="10" bestFit="1" customWidth="1"/>
    <col min="6" max="6" width="14.7109375" customWidth="1"/>
    <col min="7" max="7" width="15.85546875" customWidth="1"/>
  </cols>
  <sheetData>
    <row r="3" spans="1:7" ht="15.75" x14ac:dyDescent="0.25">
      <c r="A3" s="48"/>
      <c r="B3" s="48"/>
      <c r="C3" s="48"/>
      <c r="D3" s="48"/>
      <c r="E3" s="21"/>
      <c r="F3" s="48"/>
      <c r="G3" s="48"/>
    </row>
    <row r="4" spans="1:7" ht="15.75" x14ac:dyDescent="0.25">
      <c r="A4" s="48"/>
      <c r="B4" s="48"/>
      <c r="C4" s="48"/>
      <c r="D4" s="48"/>
      <c r="E4" s="21"/>
      <c r="F4" s="48"/>
      <c r="G4" s="48"/>
    </row>
    <row r="5" spans="1:7" ht="15.75" x14ac:dyDescent="0.25">
      <c r="A5" s="513">
        <f ca="1">TODAY()</f>
        <v>43472</v>
      </c>
      <c r="B5" s="513"/>
      <c r="C5" s="513"/>
      <c r="D5" s="513"/>
      <c r="E5" s="513"/>
      <c r="F5" s="513"/>
      <c r="G5" s="513"/>
    </row>
    <row r="6" spans="1:7" ht="15.75" x14ac:dyDescent="0.25">
      <c r="A6" s="48"/>
      <c r="B6" s="48"/>
      <c r="C6" s="48"/>
      <c r="D6" s="48"/>
      <c r="E6" s="21"/>
      <c r="F6" s="48"/>
      <c r="G6" s="48"/>
    </row>
    <row r="7" spans="1:7" ht="15.75" x14ac:dyDescent="0.25">
      <c r="A7" s="514" t="s">
        <v>1408</v>
      </c>
      <c r="B7" s="514"/>
      <c r="C7" s="514"/>
      <c r="D7" s="514"/>
      <c r="E7" s="514"/>
      <c r="F7" s="514"/>
      <c r="G7" s="514"/>
    </row>
    <row r="8" spans="1:7" ht="15.75" x14ac:dyDescent="0.25">
      <c r="A8" s="514" t="str">
        <f>IF(HOJA_DE_TRABAJO!I15="EXTERNO",HOJA_DE_TRABAJO!C9,IF(HOJA_DE_TRABAJO!I15="INTERNO","GRUPO REGIONAL SRL "))</f>
        <v>CERVEZERIA BOLIVIANA NACIONAL</v>
      </c>
      <c r="B8" s="514"/>
      <c r="C8" s="514"/>
      <c r="D8" s="514"/>
      <c r="E8" s="514"/>
      <c r="F8" s="514"/>
      <c r="G8" s="514"/>
    </row>
    <row r="9" spans="1:7" ht="15.75" x14ac:dyDescent="0.25">
      <c r="A9" s="514" t="s">
        <v>1409</v>
      </c>
      <c r="B9" s="514"/>
      <c r="C9" s="514"/>
      <c r="D9" s="514"/>
      <c r="E9" s="514"/>
      <c r="F9" s="514"/>
      <c r="G9" s="514"/>
    </row>
    <row r="10" spans="1:7" ht="15.75" x14ac:dyDescent="0.25">
      <c r="A10" s="48"/>
      <c r="B10" s="48"/>
      <c r="C10" s="48"/>
      <c r="D10" s="48"/>
      <c r="E10" s="21"/>
      <c r="F10" s="48"/>
      <c r="G10" s="48"/>
    </row>
    <row r="11" spans="1:7" ht="15.75" x14ac:dyDescent="0.25">
      <c r="A11" s="48"/>
      <c r="B11" s="515" t="str">
        <f>CONCATENATE("REF: ",HOJA_DE_TRABAJO!I11)</f>
        <v>REF: PERSONAL FEICOBOL</v>
      </c>
      <c r="C11" s="515"/>
      <c r="D11" s="515"/>
      <c r="E11" s="515"/>
      <c r="F11" s="515"/>
      <c r="G11" s="515"/>
    </row>
    <row r="12" spans="1:7" ht="15.75" x14ac:dyDescent="0.25">
      <c r="A12" s="48"/>
      <c r="B12" s="48"/>
      <c r="C12" s="48"/>
      <c r="D12" s="48"/>
      <c r="E12" s="21"/>
      <c r="F12" s="48"/>
      <c r="G12" s="48"/>
    </row>
    <row r="13" spans="1:7" ht="15.75" x14ac:dyDescent="0.25">
      <c r="A13" s="516" t="s">
        <v>1420</v>
      </c>
      <c r="B13" s="516"/>
      <c r="C13" s="516"/>
      <c r="D13" s="516"/>
      <c r="E13" s="516"/>
      <c r="F13" s="516"/>
      <c r="G13" s="516"/>
    </row>
    <row r="14" spans="1:7" ht="15.75" x14ac:dyDescent="0.25">
      <c r="A14" s="48"/>
      <c r="B14" s="48"/>
      <c r="C14" s="48"/>
      <c r="D14" s="48"/>
      <c r="E14" s="21"/>
      <c r="F14" s="48"/>
      <c r="G14" s="48"/>
    </row>
    <row r="15" spans="1:7" ht="48" customHeight="1" x14ac:dyDescent="0.25">
      <c r="A15" s="517" t="s">
        <v>1421</v>
      </c>
      <c r="B15" s="517"/>
      <c r="C15" s="517"/>
      <c r="D15" s="517"/>
      <c r="E15" s="517"/>
      <c r="F15" s="517"/>
      <c r="G15" s="517"/>
    </row>
    <row r="16" spans="1:7" ht="15.75" x14ac:dyDescent="0.25">
      <c r="A16" s="48"/>
      <c r="B16" s="48"/>
      <c r="C16" s="48"/>
      <c r="D16" s="48"/>
      <c r="E16" s="21"/>
      <c r="F16" s="48"/>
      <c r="G16" s="48"/>
    </row>
    <row r="17" spans="1:7" ht="15.75" x14ac:dyDescent="0.25">
      <c r="A17" s="518" t="s">
        <v>1422</v>
      </c>
      <c r="B17" s="519"/>
      <c r="C17" s="519"/>
      <c r="D17" s="519"/>
      <c r="E17" s="519"/>
      <c r="F17" s="519"/>
      <c r="G17" s="519"/>
    </row>
    <row r="18" spans="1:7" ht="15.75" x14ac:dyDescent="0.25">
      <c r="A18" s="48"/>
      <c r="B18" s="53"/>
      <c r="C18" s="53"/>
      <c r="D18" s="53"/>
      <c r="E18" s="58"/>
      <c r="F18" s="53"/>
      <c r="G18" s="48"/>
    </row>
    <row r="19" spans="1:7" ht="15.75" x14ac:dyDescent="0.25">
      <c r="A19" s="48"/>
      <c r="B19" s="291" t="s">
        <v>3</v>
      </c>
      <c r="C19" s="291" t="s">
        <v>2</v>
      </c>
      <c r="D19" s="291" t="s">
        <v>1423</v>
      </c>
      <c r="E19" s="292" t="s">
        <v>1418</v>
      </c>
      <c r="F19" s="291" t="s">
        <v>1402</v>
      </c>
      <c r="G19" s="48"/>
    </row>
    <row r="20" spans="1:7" s="49" customFormat="1" ht="20.25" customHeight="1" x14ac:dyDescent="0.25">
      <c r="A20" s="22"/>
      <c r="B20" s="293" t="str">
        <f>+HOJA_DE_TRABAJO!B29&amp;" "&amp;HOJA_DE_TRABAJO!$D$27</f>
        <v xml:space="preserve">a COCHABAMBA </v>
      </c>
      <c r="C20" s="294">
        <f>+HOJA_DE_TRABAJO!C29</f>
        <v>2</v>
      </c>
      <c r="D20" s="294">
        <f>+'HOJA 1 AUX'!G6</f>
        <v>1</v>
      </c>
      <c r="E20" s="295">
        <f>IF(HOJA_DE_TRABAJO!$I$15="EXTERNO",'HOJA 1 AUX'!$G$21,IF(HOJA_DE_TRABAJO!$I$15="INTERNO",SUM('HOJA 1 AUX'!$G$11:$G$15)))</f>
        <v>2059.2600431828605</v>
      </c>
      <c r="F20" s="295">
        <f>+(C20*D20)*E20</f>
        <v>4118.520086365721</v>
      </c>
      <c r="G20" s="19"/>
    </row>
    <row r="21" spans="1:7" s="49" customFormat="1" ht="20.25" customHeight="1" x14ac:dyDescent="0.25">
      <c r="A21" s="22"/>
      <c r="B21" s="293" t="str">
        <f>+HOJA_DE_TRABAJO!B30&amp;" "&amp;HOJA_DE_TRABAJO!$D$27</f>
        <v xml:space="preserve">b COCHABAMBA </v>
      </c>
      <c r="C21" s="294">
        <f>+HOJA_DE_TRABAJO!C30</f>
        <v>1</v>
      </c>
      <c r="D21" s="294">
        <f>+'HOJA 1 AUX'!O6</f>
        <v>1</v>
      </c>
      <c r="E21" s="295">
        <f>IF(HOJA_DE_TRABAJO!$I$15="EXTERNO",'HOJA 1 AUX'!$O$21,IF(HOJA_DE_TRABAJO!$I$15="INTERNO",SUM('HOJA 1 AUX'!$O$11:$O$15)))</f>
        <v>5148.1501079571508</v>
      </c>
      <c r="F21" s="295">
        <f>+(C21*D21)*E21</f>
        <v>5148.1501079571508</v>
      </c>
      <c r="G21" s="19"/>
    </row>
    <row r="22" spans="1:7" s="49" customFormat="1" ht="20.25" customHeight="1" x14ac:dyDescent="0.25">
      <c r="A22" s="22"/>
      <c r="B22" s="293"/>
      <c r="C22" s="294"/>
      <c r="D22" s="294"/>
      <c r="E22" s="295"/>
      <c r="F22" s="295"/>
      <c r="G22" s="19"/>
    </row>
    <row r="23" spans="1:7" s="49" customFormat="1" ht="20.25" customHeight="1" x14ac:dyDescent="0.25">
      <c r="A23" s="22"/>
      <c r="B23" s="293"/>
      <c r="C23" s="294"/>
      <c r="D23" s="294"/>
      <c r="E23" s="295"/>
      <c r="F23" s="295"/>
      <c r="G23" s="19"/>
    </row>
    <row r="24" spans="1:7" s="49" customFormat="1" ht="20.25" customHeight="1" x14ac:dyDescent="0.25">
      <c r="A24" s="22"/>
      <c r="B24" s="293"/>
      <c r="C24" s="294"/>
      <c r="D24" s="294"/>
      <c r="E24" s="295"/>
      <c r="F24" s="295"/>
      <c r="G24" s="19"/>
    </row>
    <row r="25" spans="1:7" s="49" customFormat="1" ht="20.25" customHeight="1" x14ac:dyDescent="0.25">
      <c r="A25" s="22"/>
      <c r="B25" s="293"/>
      <c r="C25" s="294"/>
      <c r="D25" s="294"/>
      <c r="E25" s="295"/>
      <c r="F25" s="295"/>
      <c r="G25" s="19"/>
    </row>
    <row r="26" spans="1:7" s="49" customFormat="1" ht="20.25" customHeight="1" x14ac:dyDescent="0.25">
      <c r="A26" s="22"/>
      <c r="B26" s="293"/>
      <c r="C26" s="294"/>
      <c r="D26" s="294"/>
      <c r="E26" s="295"/>
      <c r="F26" s="295"/>
      <c r="G26" s="19"/>
    </row>
    <row r="27" spans="1:7" s="49" customFormat="1" ht="20.25" customHeight="1" x14ac:dyDescent="0.25">
      <c r="A27" s="22"/>
      <c r="B27" s="293"/>
      <c r="C27" s="294"/>
      <c r="D27" s="294"/>
      <c r="E27" s="295"/>
      <c r="F27" s="295"/>
      <c r="G27" s="19"/>
    </row>
    <row r="28" spans="1:7" s="49" customFormat="1" ht="20.25" customHeight="1" x14ac:dyDescent="0.25">
      <c r="A28" s="22"/>
      <c r="B28" s="293"/>
      <c r="C28" s="294"/>
      <c r="D28" s="294"/>
      <c r="E28" s="295"/>
      <c r="F28" s="295"/>
      <c r="G28" s="19"/>
    </row>
    <row r="29" spans="1:7" s="49" customFormat="1" ht="20.25" customHeight="1" x14ac:dyDescent="0.25">
      <c r="A29" s="22"/>
      <c r="B29" s="293"/>
      <c r="C29" s="294"/>
      <c r="D29" s="294"/>
      <c r="E29" s="295"/>
      <c r="F29" s="295"/>
      <c r="G29" s="19"/>
    </row>
    <row r="30" spans="1:7" s="49" customFormat="1" ht="20.25" customHeight="1" x14ac:dyDescent="0.25">
      <c r="A30" s="22"/>
      <c r="B30" s="293"/>
      <c r="C30" s="294"/>
      <c r="D30" s="294"/>
      <c r="E30" s="295"/>
      <c r="F30" s="295"/>
      <c r="G30" s="19"/>
    </row>
    <row r="31" spans="1:7" s="49" customFormat="1" ht="20.25" customHeight="1" x14ac:dyDescent="0.25">
      <c r="A31" s="22"/>
      <c r="B31" s="293"/>
      <c r="C31" s="294"/>
      <c r="D31" s="294"/>
      <c r="E31" s="295"/>
      <c r="F31" s="295"/>
      <c r="G31" s="19"/>
    </row>
    <row r="32" spans="1:7" s="49" customFormat="1" ht="20.25" customHeight="1" x14ac:dyDescent="0.25">
      <c r="A32" s="22"/>
      <c r="B32" s="293"/>
      <c r="C32" s="294"/>
      <c r="D32" s="294"/>
      <c r="E32" s="295"/>
      <c r="F32" s="295"/>
      <c r="G32" s="19"/>
    </row>
    <row r="33" spans="1:7" s="49" customFormat="1" ht="20.25" customHeight="1" x14ac:dyDescent="0.25">
      <c r="A33" s="22"/>
      <c r="B33" s="293"/>
      <c r="C33" s="294"/>
      <c r="D33" s="294"/>
      <c r="E33" s="295"/>
      <c r="F33" s="295"/>
      <c r="G33" s="19"/>
    </row>
    <row r="34" spans="1:7" s="49" customFormat="1" ht="20.25" customHeight="1" x14ac:dyDescent="0.25">
      <c r="A34" s="22"/>
      <c r="B34" s="293"/>
      <c r="C34" s="294"/>
      <c r="D34" s="294"/>
      <c r="E34" s="295"/>
      <c r="F34" s="295"/>
      <c r="G34" s="19"/>
    </row>
    <row r="35" spans="1:7" s="49" customFormat="1" ht="20.25" customHeight="1" x14ac:dyDescent="0.25">
      <c r="A35" s="22"/>
      <c r="B35" s="293"/>
      <c r="C35" s="294"/>
      <c r="D35" s="294"/>
      <c r="E35" s="295"/>
      <c r="F35" s="295"/>
      <c r="G35" s="19"/>
    </row>
    <row r="36" spans="1:7" s="49" customFormat="1" ht="20.25" customHeight="1" x14ac:dyDescent="0.25">
      <c r="A36" s="22"/>
      <c r="B36" s="293"/>
      <c r="C36" s="294"/>
      <c r="D36" s="294"/>
      <c r="E36" s="295"/>
      <c r="F36" s="295"/>
      <c r="G36" s="19"/>
    </row>
    <row r="37" spans="1:7" s="49" customFormat="1" ht="20.25" customHeight="1" x14ac:dyDescent="0.25">
      <c r="A37" s="22"/>
      <c r="B37" s="293"/>
      <c r="C37" s="294"/>
      <c r="D37" s="294"/>
      <c r="E37" s="295"/>
      <c r="F37" s="295"/>
      <c r="G37" s="19"/>
    </row>
    <row r="38" spans="1:7" s="49" customFormat="1" ht="20.25" customHeight="1" x14ac:dyDescent="0.25">
      <c r="A38" s="22"/>
      <c r="B38" s="293"/>
      <c r="C38" s="294"/>
      <c r="D38" s="294"/>
      <c r="E38" s="295"/>
      <c r="F38" s="295"/>
      <c r="G38" s="19"/>
    </row>
    <row r="39" spans="1:7" s="49" customFormat="1" ht="20.25" customHeight="1" x14ac:dyDescent="0.25">
      <c r="A39" s="22"/>
      <c r="B39" s="293"/>
      <c r="C39" s="294"/>
      <c r="D39" s="294"/>
      <c r="E39" s="295"/>
      <c r="F39" s="295"/>
      <c r="G39" s="19"/>
    </row>
    <row r="40" spans="1:7" ht="15.75" x14ac:dyDescent="0.25">
      <c r="A40" s="48"/>
      <c r="B40" s="291" t="s">
        <v>1367</v>
      </c>
      <c r="C40" s="296">
        <f>SUM(C20:C21)</f>
        <v>3</v>
      </c>
      <c r="D40" s="297">
        <f>SUM(D20:D21)</f>
        <v>2</v>
      </c>
      <c r="E40" s="298">
        <f>SUM(E20:E21)</f>
        <v>7207.4101511400113</v>
      </c>
      <c r="F40" s="298">
        <f>SUM(F20:F21)</f>
        <v>9266.6701943228727</v>
      </c>
      <c r="G40" s="48"/>
    </row>
    <row r="41" spans="1:7" ht="15.75" x14ac:dyDescent="0.25">
      <c r="A41" s="512" t="s">
        <v>1424</v>
      </c>
      <c r="B41" s="512"/>
      <c r="C41" s="512"/>
      <c r="D41" s="512"/>
      <c r="E41" s="512"/>
      <c r="F41" s="512"/>
      <c r="G41" s="512"/>
    </row>
    <row r="42" spans="1:7" ht="15.75" x14ac:dyDescent="0.25">
      <c r="A42" s="48"/>
      <c r="B42" s="48"/>
      <c r="C42" s="48"/>
      <c r="D42" s="48"/>
      <c r="E42" s="21"/>
      <c r="F42" s="48"/>
      <c r="G42" s="48"/>
    </row>
    <row r="43" spans="1:7" ht="15.75" x14ac:dyDescent="0.25">
      <c r="A43" s="518" t="s">
        <v>1425</v>
      </c>
      <c r="B43" s="519"/>
      <c r="C43" s="519"/>
      <c r="D43" s="519"/>
      <c r="E43" s="519"/>
      <c r="F43" s="519"/>
      <c r="G43" s="48"/>
    </row>
    <row r="44" spans="1:7" ht="15.75" x14ac:dyDescent="0.25">
      <c r="A44" s="48"/>
      <c r="B44" s="48"/>
      <c r="C44" s="48"/>
      <c r="D44" s="48"/>
      <c r="E44" s="21"/>
      <c r="F44" s="48"/>
      <c r="G44" s="48"/>
    </row>
    <row r="45" spans="1:7" ht="15.75" x14ac:dyDescent="0.25">
      <c r="A45" s="48"/>
      <c r="B45" s="291" t="s">
        <v>3</v>
      </c>
      <c r="C45" s="291" t="s">
        <v>2</v>
      </c>
      <c r="D45" s="291" t="s">
        <v>1426</v>
      </c>
      <c r="E45" s="292" t="s">
        <v>1427</v>
      </c>
      <c r="F45" s="48"/>
      <c r="G45" s="48"/>
    </row>
    <row r="46" spans="1:7" ht="15.75" x14ac:dyDescent="0.25">
      <c r="A46" s="48"/>
      <c r="B46" s="299" t="str">
        <f>+HOJA_DE_TRABAJO!B190:C190</f>
        <v>IMPRESIÓN FACTURAS</v>
      </c>
      <c r="C46" s="300">
        <f>+HOJA_DE_TRABAJO!E190</f>
        <v>7200</v>
      </c>
      <c r="D46" s="300">
        <f>IFERROR((HOJA_DE_TRABAJO!K190/HOJA_DE_TRABAJO!E190),0)</f>
        <v>0.4</v>
      </c>
      <c r="E46" s="301">
        <f>+D46*C46</f>
        <v>2880</v>
      </c>
      <c r="F46" s="48"/>
      <c r="G46" s="48"/>
    </row>
    <row r="47" spans="1:7" s="56" customFormat="1" ht="15.75" x14ac:dyDescent="0.25">
      <c r="A47" s="48"/>
      <c r="B47" s="299" t="str">
        <f>+HOJA_DE_TRABAJO!B191:C191</f>
        <v>COSTO DE IT</v>
      </c>
      <c r="C47" s="300">
        <f>+HOJA_DE_TRABAJO!E191</f>
        <v>1</v>
      </c>
      <c r="D47" s="300">
        <f>IFERROR((HOJA_DE_TRABAJO!K191/HOJA_DE_TRABAJO!E191),0)</f>
        <v>1173.9130434782608</v>
      </c>
      <c r="E47" s="301">
        <f t="shared" ref="E47:E59" si="0">+D47*C47</f>
        <v>1173.9130434782608</v>
      </c>
      <c r="F47" s="48"/>
      <c r="G47" s="48"/>
    </row>
    <row r="48" spans="1:7" s="56" customFormat="1" ht="15.75" x14ac:dyDescent="0.25">
      <c r="A48" s="48"/>
      <c r="B48" s="299">
        <f>+HOJA_DE_TRABAJO!B192:C192</f>
        <v>0</v>
      </c>
      <c r="C48" s="300">
        <f>+HOJA_DE_TRABAJO!E192</f>
        <v>0</v>
      </c>
      <c r="D48" s="300">
        <f>IFERROR((HOJA_DE_TRABAJO!K192/HOJA_DE_TRABAJO!E192),0)</f>
        <v>0</v>
      </c>
      <c r="E48" s="301">
        <f t="shared" si="0"/>
        <v>0</v>
      </c>
      <c r="F48" s="48"/>
      <c r="G48" s="48"/>
    </row>
    <row r="49" spans="1:7" s="56" customFormat="1" ht="15.75" x14ac:dyDescent="0.25">
      <c r="A49" s="48"/>
      <c r="B49" s="299">
        <f>+HOJA_DE_TRABAJO!B193:C193</f>
        <v>0</v>
      </c>
      <c r="C49" s="300">
        <f>+HOJA_DE_TRABAJO!E193</f>
        <v>0</v>
      </c>
      <c r="D49" s="300">
        <f>IFERROR((HOJA_DE_TRABAJO!K193/HOJA_DE_TRABAJO!E193),0)</f>
        <v>0</v>
      </c>
      <c r="E49" s="301">
        <f t="shared" si="0"/>
        <v>0</v>
      </c>
      <c r="F49" s="48"/>
      <c r="G49" s="48"/>
    </row>
    <row r="50" spans="1:7" s="56" customFormat="1" ht="15.75" x14ac:dyDescent="0.25">
      <c r="A50" s="48"/>
      <c r="B50" s="299">
        <f>+HOJA_DE_TRABAJO!B194:C194</f>
        <v>0</v>
      </c>
      <c r="C50" s="300">
        <f>+HOJA_DE_TRABAJO!E194</f>
        <v>0</v>
      </c>
      <c r="D50" s="300">
        <f>IFERROR((HOJA_DE_TRABAJO!K194/HOJA_DE_TRABAJO!E194),0)</f>
        <v>0</v>
      </c>
      <c r="E50" s="301">
        <f t="shared" si="0"/>
        <v>0</v>
      </c>
      <c r="F50" s="48"/>
      <c r="G50" s="48"/>
    </row>
    <row r="51" spans="1:7" s="56" customFormat="1" ht="15.75" x14ac:dyDescent="0.25">
      <c r="A51" s="48"/>
      <c r="B51" s="299">
        <f>+HOJA_DE_TRABAJO!B195:C195</f>
        <v>0</v>
      </c>
      <c r="C51" s="300">
        <f>+HOJA_DE_TRABAJO!E195</f>
        <v>0</v>
      </c>
      <c r="D51" s="300">
        <f>IFERROR((HOJA_DE_TRABAJO!K195/HOJA_DE_TRABAJO!E195),0)</f>
        <v>0</v>
      </c>
      <c r="E51" s="301">
        <f t="shared" si="0"/>
        <v>0</v>
      </c>
      <c r="F51" s="48"/>
      <c r="G51" s="48"/>
    </row>
    <row r="52" spans="1:7" s="56" customFormat="1" ht="15.75" x14ac:dyDescent="0.25">
      <c r="A52" s="48"/>
      <c r="B52" s="299">
        <f>+HOJA_DE_TRABAJO!B196:C196</f>
        <v>0</v>
      </c>
      <c r="C52" s="300">
        <f>+HOJA_DE_TRABAJO!E196</f>
        <v>0</v>
      </c>
      <c r="D52" s="300">
        <f>IFERROR((HOJA_DE_TRABAJO!K196/HOJA_DE_TRABAJO!E196),0)</f>
        <v>0</v>
      </c>
      <c r="E52" s="301">
        <f t="shared" si="0"/>
        <v>0</v>
      </c>
      <c r="F52" s="48"/>
      <c r="G52" s="48"/>
    </row>
    <row r="53" spans="1:7" s="56" customFormat="1" ht="15.75" x14ac:dyDescent="0.25">
      <c r="A53" s="48"/>
      <c r="B53" s="299">
        <f>+HOJA_DE_TRABAJO!B197:C197</f>
        <v>0</v>
      </c>
      <c r="C53" s="300">
        <f>+HOJA_DE_TRABAJO!E197</f>
        <v>0</v>
      </c>
      <c r="D53" s="300">
        <f>IFERROR((HOJA_DE_TRABAJO!K197/HOJA_DE_TRABAJO!E197),0)</f>
        <v>0</v>
      </c>
      <c r="E53" s="301">
        <f t="shared" si="0"/>
        <v>0</v>
      </c>
      <c r="F53" s="48"/>
      <c r="G53" s="48"/>
    </row>
    <row r="54" spans="1:7" s="56" customFormat="1" ht="15.75" x14ac:dyDescent="0.25">
      <c r="A54" s="48"/>
      <c r="B54" s="299">
        <f>+HOJA_DE_TRABAJO!B198:C198</f>
        <v>0</v>
      </c>
      <c r="C54" s="300">
        <f>+HOJA_DE_TRABAJO!E198</f>
        <v>0</v>
      </c>
      <c r="D54" s="300">
        <f>IFERROR((HOJA_DE_TRABAJO!K198/HOJA_DE_TRABAJO!E198),0)</f>
        <v>0</v>
      </c>
      <c r="E54" s="301">
        <f t="shared" si="0"/>
        <v>0</v>
      </c>
      <c r="F54" s="48"/>
      <c r="G54" s="48"/>
    </row>
    <row r="55" spans="1:7" s="56" customFormat="1" ht="15.75" x14ac:dyDescent="0.25">
      <c r="A55" s="48"/>
      <c r="B55" s="299">
        <f>+HOJA_DE_TRABAJO!B199:C199</f>
        <v>0</v>
      </c>
      <c r="C55" s="300">
        <f>+HOJA_DE_TRABAJO!E199</f>
        <v>0</v>
      </c>
      <c r="D55" s="300">
        <f>IFERROR((HOJA_DE_TRABAJO!K199/HOJA_DE_TRABAJO!E199),0)</f>
        <v>0</v>
      </c>
      <c r="E55" s="301">
        <f t="shared" si="0"/>
        <v>0</v>
      </c>
      <c r="F55" s="48"/>
      <c r="G55" s="48"/>
    </row>
    <row r="56" spans="1:7" s="56" customFormat="1" ht="15.75" x14ac:dyDescent="0.25">
      <c r="A56" s="48"/>
      <c r="B56" s="299">
        <f>+HOJA_DE_TRABAJO!B200:C200</f>
        <v>0</v>
      </c>
      <c r="C56" s="300">
        <f>+HOJA_DE_TRABAJO!E200</f>
        <v>0</v>
      </c>
      <c r="D56" s="300">
        <f>IFERROR((HOJA_DE_TRABAJO!K200/HOJA_DE_TRABAJO!E200),0)</f>
        <v>0</v>
      </c>
      <c r="E56" s="301">
        <f t="shared" si="0"/>
        <v>0</v>
      </c>
      <c r="F56" s="48"/>
      <c r="G56" s="48"/>
    </row>
    <row r="57" spans="1:7" s="56" customFormat="1" ht="15.75" x14ac:dyDescent="0.25">
      <c r="A57" s="48"/>
      <c r="B57" s="299">
        <f>+HOJA_DE_TRABAJO!B201:C201</f>
        <v>0</v>
      </c>
      <c r="C57" s="300">
        <f>+HOJA_DE_TRABAJO!E201</f>
        <v>0</v>
      </c>
      <c r="D57" s="300">
        <f>IFERROR((HOJA_DE_TRABAJO!K201/HOJA_DE_TRABAJO!E201),0)</f>
        <v>0</v>
      </c>
      <c r="E57" s="301">
        <f t="shared" si="0"/>
        <v>0</v>
      </c>
      <c r="F57" s="48"/>
      <c r="G57" s="48"/>
    </row>
    <row r="58" spans="1:7" s="56" customFormat="1" ht="15.75" x14ac:dyDescent="0.25">
      <c r="A58" s="48"/>
      <c r="B58" s="299">
        <f>+HOJA_DE_TRABAJO!B202:C202</f>
        <v>0</v>
      </c>
      <c r="C58" s="300">
        <f>+HOJA_DE_TRABAJO!E202</f>
        <v>0</v>
      </c>
      <c r="D58" s="300">
        <f>IFERROR((HOJA_DE_TRABAJO!K202/HOJA_DE_TRABAJO!E202),0)</f>
        <v>0</v>
      </c>
      <c r="E58" s="301">
        <f t="shared" si="0"/>
        <v>0</v>
      </c>
      <c r="F58" s="48"/>
      <c r="G58" s="48"/>
    </row>
    <row r="59" spans="1:7" s="56" customFormat="1" ht="15.75" x14ac:dyDescent="0.25">
      <c r="A59" s="48"/>
      <c r="B59" s="299">
        <f>+HOJA_DE_TRABAJO!B203:C203</f>
        <v>0</v>
      </c>
      <c r="C59" s="300">
        <f>+HOJA_DE_TRABAJO!E203</f>
        <v>0</v>
      </c>
      <c r="D59" s="300">
        <f>IFERROR((HOJA_DE_TRABAJO!K203/HOJA_DE_TRABAJO!E203),0)</f>
        <v>0</v>
      </c>
      <c r="E59" s="301">
        <f t="shared" si="0"/>
        <v>0</v>
      </c>
      <c r="F59" s="48"/>
      <c r="G59" s="48"/>
    </row>
    <row r="60" spans="1:7" s="56" customFormat="1" ht="15.75" x14ac:dyDescent="0.25">
      <c r="A60" s="48"/>
      <c r="B60" s="299">
        <f>+HOJA_DE_TRABAJO!B212:C212</f>
        <v>0</v>
      </c>
      <c r="C60" s="300">
        <f>+HOJA_DE_TRABAJO!E212</f>
        <v>0</v>
      </c>
      <c r="D60" s="300">
        <f>IFERROR((HOJA_DE_TRABAJO!K212/HOJA_DE_TRABAJO!E212),0)</f>
        <v>0</v>
      </c>
      <c r="E60" s="301">
        <f>+D60*C60</f>
        <v>0</v>
      </c>
      <c r="F60" s="48"/>
      <c r="G60" s="48"/>
    </row>
    <row r="61" spans="1:7" s="56" customFormat="1" ht="15.75" x14ac:dyDescent="0.25">
      <c r="A61" s="48"/>
      <c r="B61" s="299">
        <f>+HOJA_DE_TRABAJO!B213:C213</f>
        <v>0</v>
      </c>
      <c r="C61" s="300">
        <f>+HOJA_DE_TRABAJO!E213</f>
        <v>0</v>
      </c>
      <c r="D61" s="300">
        <f>IFERROR((HOJA_DE_TRABAJO!K213/HOJA_DE_TRABAJO!E213),0)</f>
        <v>0</v>
      </c>
      <c r="E61" s="301">
        <f t="shared" ref="E61:E74" si="1">+D61*C61</f>
        <v>0</v>
      </c>
      <c r="F61" s="48"/>
      <c r="G61" s="48"/>
    </row>
    <row r="62" spans="1:7" s="56" customFormat="1" ht="15.75" x14ac:dyDescent="0.25">
      <c r="A62" s="48"/>
      <c r="B62" s="299">
        <f>+HOJA_DE_TRABAJO!B214:C214</f>
        <v>0</v>
      </c>
      <c r="C62" s="300">
        <f>+HOJA_DE_TRABAJO!E214</f>
        <v>0</v>
      </c>
      <c r="D62" s="300">
        <f>IFERROR((HOJA_DE_TRABAJO!K214/HOJA_DE_TRABAJO!E214),0)</f>
        <v>0</v>
      </c>
      <c r="E62" s="301">
        <f t="shared" si="1"/>
        <v>0</v>
      </c>
      <c r="F62" s="48"/>
      <c r="G62" s="48"/>
    </row>
    <row r="63" spans="1:7" s="56" customFormat="1" ht="15.75" x14ac:dyDescent="0.25">
      <c r="A63" s="48"/>
      <c r="B63" s="299">
        <f>+HOJA_DE_TRABAJO!B215:C215</f>
        <v>0</v>
      </c>
      <c r="C63" s="300">
        <f>+HOJA_DE_TRABAJO!E215</f>
        <v>0</v>
      </c>
      <c r="D63" s="300">
        <f>IFERROR((HOJA_DE_TRABAJO!K215/HOJA_DE_TRABAJO!E215),0)</f>
        <v>0</v>
      </c>
      <c r="E63" s="301">
        <f t="shared" si="1"/>
        <v>0</v>
      </c>
      <c r="F63" s="48"/>
      <c r="G63" s="48"/>
    </row>
    <row r="64" spans="1:7" s="56" customFormat="1" ht="15.75" x14ac:dyDescent="0.25">
      <c r="A64" s="48"/>
      <c r="B64" s="299">
        <f>+HOJA_DE_TRABAJO!B216:C216</f>
        <v>0</v>
      </c>
      <c r="C64" s="300">
        <f>+HOJA_DE_TRABAJO!E216</f>
        <v>0</v>
      </c>
      <c r="D64" s="300">
        <f>IFERROR((HOJA_DE_TRABAJO!K216/HOJA_DE_TRABAJO!E216),0)</f>
        <v>0</v>
      </c>
      <c r="E64" s="301">
        <f t="shared" si="1"/>
        <v>0</v>
      </c>
      <c r="F64" s="48"/>
      <c r="G64" s="48"/>
    </row>
    <row r="65" spans="1:7" s="56" customFormat="1" ht="15.75" x14ac:dyDescent="0.25">
      <c r="A65" s="48"/>
      <c r="B65" s="299">
        <f>+HOJA_DE_TRABAJO!B217:C217</f>
        <v>0</v>
      </c>
      <c r="C65" s="300">
        <f>+HOJA_DE_TRABAJO!E217</f>
        <v>0</v>
      </c>
      <c r="D65" s="300">
        <f>IFERROR((HOJA_DE_TRABAJO!K217/HOJA_DE_TRABAJO!E217),0)</f>
        <v>0</v>
      </c>
      <c r="E65" s="301">
        <f t="shared" si="1"/>
        <v>0</v>
      </c>
      <c r="F65" s="48"/>
      <c r="G65" s="48"/>
    </row>
    <row r="66" spans="1:7" s="56" customFormat="1" ht="15.75" x14ac:dyDescent="0.25">
      <c r="A66" s="48"/>
      <c r="B66" s="299">
        <f>+HOJA_DE_TRABAJO!B218:C218</f>
        <v>0</v>
      </c>
      <c r="C66" s="300">
        <f>+HOJA_DE_TRABAJO!E218</f>
        <v>0</v>
      </c>
      <c r="D66" s="300">
        <f>IFERROR((HOJA_DE_TRABAJO!K218/HOJA_DE_TRABAJO!E218),0)</f>
        <v>0</v>
      </c>
      <c r="E66" s="301">
        <f t="shared" si="1"/>
        <v>0</v>
      </c>
      <c r="F66" s="48"/>
      <c r="G66" s="48"/>
    </row>
    <row r="67" spans="1:7" s="56" customFormat="1" ht="15.75" x14ac:dyDescent="0.25">
      <c r="A67" s="48"/>
      <c r="B67" s="299">
        <f>+HOJA_DE_TRABAJO!B219:C219</f>
        <v>0</v>
      </c>
      <c r="C67" s="300">
        <f>+HOJA_DE_TRABAJO!E219</f>
        <v>0</v>
      </c>
      <c r="D67" s="300">
        <f>IFERROR((HOJA_DE_TRABAJO!K219/HOJA_DE_TRABAJO!E219),0)</f>
        <v>0</v>
      </c>
      <c r="E67" s="301">
        <f t="shared" si="1"/>
        <v>0</v>
      </c>
      <c r="F67" s="48"/>
      <c r="G67" s="48"/>
    </row>
    <row r="68" spans="1:7" s="56" customFormat="1" ht="15.75" x14ac:dyDescent="0.25">
      <c r="A68" s="48"/>
      <c r="B68" s="299">
        <f>+HOJA_DE_TRABAJO!B220:C220</f>
        <v>0</v>
      </c>
      <c r="C68" s="300">
        <f>+HOJA_DE_TRABAJO!E220</f>
        <v>0</v>
      </c>
      <c r="D68" s="300">
        <f>IFERROR((HOJA_DE_TRABAJO!K220/HOJA_DE_TRABAJO!E220),0)</f>
        <v>0</v>
      </c>
      <c r="E68" s="301">
        <f t="shared" si="1"/>
        <v>0</v>
      </c>
      <c r="F68" s="48"/>
      <c r="G68" s="48"/>
    </row>
    <row r="69" spans="1:7" s="56" customFormat="1" ht="15.75" x14ac:dyDescent="0.25">
      <c r="A69" s="48"/>
      <c r="B69" s="299">
        <f>+HOJA_DE_TRABAJO!B221:C221</f>
        <v>0</v>
      </c>
      <c r="C69" s="300">
        <f>+HOJA_DE_TRABAJO!E221</f>
        <v>0</v>
      </c>
      <c r="D69" s="300">
        <f>IFERROR((HOJA_DE_TRABAJO!K221/HOJA_DE_TRABAJO!E221),0)</f>
        <v>0</v>
      </c>
      <c r="E69" s="301">
        <f t="shared" si="1"/>
        <v>0</v>
      </c>
      <c r="F69" s="48"/>
      <c r="G69" s="48"/>
    </row>
    <row r="70" spans="1:7" s="56" customFormat="1" ht="15.75" x14ac:dyDescent="0.25">
      <c r="A70" s="48"/>
      <c r="B70" s="299">
        <f>+HOJA_DE_TRABAJO!B222:C222</f>
        <v>0</v>
      </c>
      <c r="C70" s="300">
        <f>+HOJA_DE_TRABAJO!E222</f>
        <v>0</v>
      </c>
      <c r="D70" s="300">
        <f>IFERROR((HOJA_DE_TRABAJO!K222/HOJA_DE_TRABAJO!E222),0)</f>
        <v>0</v>
      </c>
      <c r="E70" s="301">
        <f t="shared" si="1"/>
        <v>0</v>
      </c>
      <c r="F70" s="48"/>
      <c r="G70" s="48"/>
    </row>
    <row r="71" spans="1:7" s="56" customFormat="1" ht="15.75" x14ac:dyDescent="0.25">
      <c r="A71" s="48"/>
      <c r="B71" s="299">
        <f>+HOJA_DE_TRABAJO!B223:C223</f>
        <v>0</v>
      </c>
      <c r="C71" s="300">
        <f>+HOJA_DE_TRABAJO!E223</f>
        <v>0</v>
      </c>
      <c r="D71" s="300">
        <f>IFERROR((HOJA_DE_TRABAJO!K223/HOJA_DE_TRABAJO!E223),0)</f>
        <v>0</v>
      </c>
      <c r="E71" s="301">
        <f t="shared" si="1"/>
        <v>0</v>
      </c>
      <c r="F71" s="48"/>
      <c r="G71" s="48"/>
    </row>
    <row r="72" spans="1:7" s="56" customFormat="1" ht="15.75" x14ac:dyDescent="0.25">
      <c r="A72" s="48"/>
      <c r="B72" s="299">
        <f>+HOJA_DE_TRABAJO!B224:C224</f>
        <v>0</v>
      </c>
      <c r="C72" s="300">
        <f>+HOJA_DE_TRABAJO!E224</f>
        <v>0</v>
      </c>
      <c r="D72" s="300">
        <f>IFERROR((HOJA_DE_TRABAJO!K224/HOJA_DE_TRABAJO!E224),0)</f>
        <v>0</v>
      </c>
      <c r="E72" s="301">
        <f t="shared" si="1"/>
        <v>0</v>
      </c>
      <c r="F72" s="48"/>
      <c r="G72" s="48"/>
    </row>
    <row r="73" spans="1:7" s="56" customFormat="1" ht="15.75" x14ac:dyDescent="0.25">
      <c r="A73" s="48"/>
      <c r="B73" s="299">
        <f>+HOJA_DE_TRABAJO!B225:C225</f>
        <v>0</v>
      </c>
      <c r="C73" s="300">
        <f>+HOJA_DE_TRABAJO!E225</f>
        <v>0</v>
      </c>
      <c r="D73" s="300">
        <f>IFERROR((HOJA_DE_TRABAJO!K225/HOJA_DE_TRABAJO!E225),0)</f>
        <v>0</v>
      </c>
      <c r="E73" s="301">
        <f t="shared" si="1"/>
        <v>0</v>
      </c>
      <c r="F73" s="48"/>
      <c r="G73" s="48"/>
    </row>
    <row r="74" spans="1:7" s="56" customFormat="1" ht="15.75" x14ac:dyDescent="0.25">
      <c r="A74" s="48"/>
      <c r="B74" s="299">
        <f>+HOJA_DE_TRABAJO!B226:C226</f>
        <v>0</v>
      </c>
      <c r="C74" s="300">
        <f>+HOJA_DE_TRABAJO!E226</f>
        <v>0</v>
      </c>
      <c r="D74" s="300">
        <f>IFERROR((HOJA_DE_TRABAJO!K226/HOJA_DE_TRABAJO!E226),0)</f>
        <v>0</v>
      </c>
      <c r="E74" s="301">
        <f t="shared" si="1"/>
        <v>0</v>
      </c>
      <c r="F74" s="48"/>
      <c r="G74" s="48"/>
    </row>
    <row r="75" spans="1:7" s="57" customFormat="1" ht="15.75" x14ac:dyDescent="0.25">
      <c r="A75" s="95"/>
      <c r="B75" s="302">
        <f>+HOJA_DE_TRABAJO!B235</f>
        <v>0</v>
      </c>
      <c r="C75" s="300">
        <f>+HOJA_DE_TRABAJO!H235</f>
        <v>0</v>
      </c>
      <c r="D75" s="300">
        <f t="shared" ref="D75:D80" si="2">IFERROR((E75/C75),0)</f>
        <v>0</v>
      </c>
      <c r="E75" s="301">
        <f>+HOJA_DE_TRABAJO!K235</f>
        <v>0</v>
      </c>
      <c r="F75" s="95"/>
      <c r="G75" s="95"/>
    </row>
    <row r="76" spans="1:7" s="57" customFormat="1" ht="15.75" x14ac:dyDescent="0.25">
      <c r="A76" s="95"/>
      <c r="B76" s="302">
        <f>+HOJA_DE_TRABAJO!B236</f>
        <v>0</v>
      </c>
      <c r="C76" s="300">
        <f>+HOJA_DE_TRABAJO!H236</f>
        <v>0</v>
      </c>
      <c r="D76" s="300">
        <f t="shared" si="2"/>
        <v>0</v>
      </c>
      <c r="E76" s="301">
        <f>+HOJA_DE_TRABAJO!K236</f>
        <v>0</v>
      </c>
      <c r="F76" s="95"/>
      <c r="G76" s="95"/>
    </row>
    <row r="77" spans="1:7" s="57" customFormat="1" ht="15.75" x14ac:dyDescent="0.25">
      <c r="A77" s="95"/>
      <c r="B77" s="302">
        <f>+HOJA_DE_TRABAJO!B242</f>
        <v>0</v>
      </c>
      <c r="C77" s="300">
        <f>+HOJA_DE_TRABAJO!H242</f>
        <v>0</v>
      </c>
      <c r="D77" s="300">
        <f t="shared" si="2"/>
        <v>0</v>
      </c>
      <c r="E77" s="301">
        <f>+HOJA_DE_TRABAJO!K242</f>
        <v>0</v>
      </c>
      <c r="F77" s="95"/>
      <c r="G77" s="95"/>
    </row>
    <row r="78" spans="1:7" s="57" customFormat="1" ht="15.75" x14ac:dyDescent="0.25">
      <c r="A78" s="146"/>
      <c r="B78" s="302">
        <f>+HOJA_DE_TRABAJO!B243</f>
        <v>0</v>
      </c>
      <c r="C78" s="300">
        <f>+HOJA_DE_TRABAJO!H243</f>
        <v>0</v>
      </c>
      <c r="D78" s="300">
        <f t="shared" si="2"/>
        <v>0</v>
      </c>
      <c r="E78" s="301">
        <f>+HOJA_DE_TRABAJO!K243</f>
        <v>0</v>
      </c>
      <c r="F78" s="146"/>
      <c r="G78" s="146"/>
    </row>
    <row r="79" spans="1:7" s="57" customFormat="1" ht="15.75" x14ac:dyDescent="0.25">
      <c r="A79" s="146"/>
      <c r="B79" s="302">
        <f>+HOJA_DE_TRABAJO!$B$249</f>
        <v>0</v>
      </c>
      <c r="C79" s="300">
        <f>+HOJA_DE_TRABAJO!H249</f>
        <v>0</v>
      </c>
      <c r="D79" s="300">
        <f t="shared" si="2"/>
        <v>0</v>
      </c>
      <c r="E79" s="301">
        <f>+HOJA_DE_TRABAJO!K249</f>
        <v>0</v>
      </c>
      <c r="F79" s="146"/>
      <c r="G79" s="146"/>
    </row>
    <row r="80" spans="1:7" s="57" customFormat="1" ht="15.75" x14ac:dyDescent="0.25">
      <c r="A80" s="146"/>
      <c r="B80" s="302">
        <f>+HOJA_DE_TRABAJO!$B$250</f>
        <v>0</v>
      </c>
      <c r="C80" s="300">
        <f>+HOJA_DE_TRABAJO!H250</f>
        <v>0</v>
      </c>
      <c r="D80" s="303">
        <f t="shared" si="2"/>
        <v>0</v>
      </c>
      <c r="E80" s="304">
        <f>+HOJA_DE_TRABAJO!K250</f>
        <v>0</v>
      </c>
      <c r="F80" s="146"/>
      <c r="G80" s="146"/>
    </row>
    <row r="81" spans="1:7" ht="15.75" x14ac:dyDescent="0.25">
      <c r="A81" s="48"/>
      <c r="B81" s="48"/>
      <c r="C81" s="48"/>
      <c r="D81" s="305" t="s">
        <v>1428</v>
      </c>
      <c r="E81" s="306">
        <f>SUM(E46:E80)</f>
        <v>4053.913043478261</v>
      </c>
      <c r="F81" s="21"/>
      <c r="G81" s="48"/>
    </row>
    <row r="82" spans="1:7" ht="15.75" x14ac:dyDescent="0.25">
      <c r="A82" s="48"/>
      <c r="B82" s="48"/>
      <c r="C82" s="48"/>
      <c r="D82" s="305" t="s">
        <v>1429</v>
      </c>
      <c r="E82" s="306">
        <f>IF(ISBLANK(HOJA_DE_TRABAJO!I262),HOJA_DE_TRABAJO!C262*'Carta PDF'!E81,HOJA_DE_TRABAJO!I262*'Carta PDF'!E81)</f>
        <v>608.08695652173913</v>
      </c>
      <c r="F82" s="48"/>
      <c r="G82" s="48"/>
    </row>
    <row r="83" spans="1:7" ht="15.75" x14ac:dyDescent="0.25">
      <c r="A83" s="48"/>
      <c r="B83" s="48"/>
      <c r="C83" s="48"/>
      <c r="D83" s="307" t="s">
        <v>1446</v>
      </c>
      <c r="E83" s="306">
        <f>+E84-E81-E82</f>
        <v>887.99999999999989</v>
      </c>
      <c r="F83" s="48"/>
      <c r="G83" s="48"/>
    </row>
    <row r="84" spans="1:7" ht="15.75" x14ac:dyDescent="0.25">
      <c r="A84" s="48"/>
      <c r="B84" s="48"/>
      <c r="C84" s="48"/>
      <c r="D84" s="305" t="s">
        <v>1430</v>
      </c>
      <c r="E84" s="306">
        <f>(E81+E82)/0.84</f>
        <v>5550</v>
      </c>
      <c r="F84" s="59"/>
      <c r="G84" s="48"/>
    </row>
    <row r="85" spans="1:7" s="57" customFormat="1" ht="15.75" customHeight="1" x14ac:dyDescent="0.25">
      <c r="A85" s="520" t="str">
        <f>IF(HOJA_DE_TRABAJO!I15="EXTERNO","",IF(HOJA_DE_TRABAJO!I15="INTERNO","ESTE PRECIO COTIZADO ES SOLO PARA UNIDADES INTERNAS DE GRUPO REGIONAL SRL"))</f>
        <v/>
      </c>
      <c r="B85" s="520"/>
      <c r="C85" s="520"/>
      <c r="D85" s="520"/>
      <c r="E85" s="520"/>
      <c r="F85" s="520"/>
      <c r="G85" s="520"/>
    </row>
    <row r="86" spans="1:7" s="57" customFormat="1" ht="15.75" customHeight="1" x14ac:dyDescent="0.25">
      <c r="A86" s="520"/>
      <c r="B86" s="520"/>
      <c r="C86" s="520"/>
      <c r="D86" s="520"/>
      <c r="E86" s="520"/>
      <c r="F86" s="520"/>
      <c r="G86" s="520"/>
    </row>
    <row r="87" spans="1:7" s="57" customFormat="1" ht="15.75" customHeight="1" x14ac:dyDescent="0.25">
      <c r="A87" s="520"/>
      <c r="B87" s="520"/>
      <c r="C87" s="520"/>
      <c r="D87" s="520"/>
      <c r="E87" s="520"/>
      <c r="F87" s="520"/>
      <c r="G87" s="520"/>
    </row>
    <row r="88" spans="1:7" ht="15.75" x14ac:dyDescent="0.25">
      <c r="A88" s="512" t="s">
        <v>1431</v>
      </c>
      <c r="B88" s="512"/>
      <c r="C88" s="512"/>
      <c r="D88" s="512"/>
      <c r="E88" s="512"/>
      <c r="F88" s="512"/>
      <c r="G88" s="512"/>
    </row>
    <row r="89" spans="1:7" ht="15.75" x14ac:dyDescent="0.25">
      <c r="A89" s="522" t="s">
        <v>1432</v>
      </c>
      <c r="B89" s="522"/>
      <c r="C89" s="522"/>
      <c r="D89" s="522"/>
      <c r="E89" s="522"/>
      <c r="F89" s="522"/>
      <c r="G89" s="522"/>
    </row>
    <row r="90" spans="1:7" ht="15.75" x14ac:dyDescent="0.25">
      <c r="A90" s="512" t="s">
        <v>1433</v>
      </c>
      <c r="B90" s="512"/>
      <c r="C90" s="512"/>
      <c r="D90" s="512"/>
      <c r="E90" s="512"/>
      <c r="F90" s="512"/>
      <c r="G90" s="512"/>
    </row>
    <row r="91" spans="1:7" ht="15.75" x14ac:dyDescent="0.25">
      <c r="A91" s="48"/>
      <c r="B91" s="512" t="s">
        <v>1434</v>
      </c>
      <c r="C91" s="512"/>
      <c r="D91" s="512"/>
      <c r="E91" s="512"/>
      <c r="F91" s="512"/>
      <c r="G91" s="512"/>
    </row>
    <row r="92" spans="1:7" ht="14.25" customHeight="1" x14ac:dyDescent="0.25">
      <c r="A92" s="48"/>
      <c r="B92" s="523" t="s">
        <v>1435</v>
      </c>
      <c r="C92" s="523"/>
      <c r="D92" s="523"/>
      <c r="E92" s="523"/>
      <c r="F92" s="523"/>
      <c r="G92" s="523"/>
    </row>
    <row r="93" spans="1:7" ht="15.75" x14ac:dyDescent="0.25">
      <c r="A93" s="48"/>
      <c r="B93" s="512" t="s">
        <v>1436</v>
      </c>
      <c r="C93" s="512"/>
      <c r="D93" s="512"/>
      <c r="E93" s="512"/>
      <c r="F93" s="512"/>
      <c r="G93" s="512"/>
    </row>
    <row r="94" spans="1:7" ht="15.75" x14ac:dyDescent="0.25">
      <c r="A94" s="48"/>
      <c r="B94" s="514" t="s">
        <v>1437</v>
      </c>
      <c r="C94" s="514"/>
      <c r="D94" s="514"/>
      <c r="E94" s="514"/>
      <c r="F94" s="514"/>
      <c r="G94" s="514"/>
    </row>
    <row r="95" spans="1:7" ht="15.75" x14ac:dyDescent="0.25">
      <c r="A95" s="48"/>
      <c r="B95" s="514" t="s">
        <v>1438</v>
      </c>
      <c r="C95" s="514"/>
      <c r="D95" s="514"/>
      <c r="E95" s="514"/>
      <c r="F95" s="514"/>
      <c r="G95" s="514"/>
    </row>
    <row r="96" spans="1:7" ht="15.75" x14ac:dyDescent="0.25">
      <c r="A96" s="48"/>
      <c r="B96" s="514" t="s">
        <v>1439</v>
      </c>
      <c r="C96" s="514"/>
      <c r="D96" s="514"/>
      <c r="E96" s="514"/>
      <c r="F96" s="514"/>
      <c r="G96" s="514"/>
    </row>
    <row r="97" spans="1:7" ht="15.75" x14ac:dyDescent="0.25">
      <c r="A97" s="48"/>
      <c r="B97" s="512" t="s">
        <v>1440</v>
      </c>
      <c r="C97" s="512"/>
      <c r="D97" s="512"/>
      <c r="E97" s="512"/>
      <c r="F97" s="512"/>
      <c r="G97" s="48"/>
    </row>
    <row r="98" spans="1:7" ht="15.75" x14ac:dyDescent="0.25">
      <c r="A98" s="48"/>
      <c r="B98" s="514" t="s">
        <v>1441</v>
      </c>
      <c r="C98" s="514"/>
      <c r="D98" s="514"/>
      <c r="E98" s="514"/>
      <c r="F98" s="514"/>
      <c r="G98" s="514"/>
    </row>
    <row r="99" spans="1:7" ht="15.75" x14ac:dyDescent="0.25">
      <c r="A99" s="48"/>
      <c r="B99" s="521" t="s">
        <v>1442</v>
      </c>
      <c r="C99" s="521"/>
      <c r="D99" s="521"/>
      <c r="E99" s="521"/>
      <c r="F99" s="521"/>
      <c r="G99" s="521"/>
    </row>
    <row r="100" spans="1:7" ht="15" customHeight="1" x14ac:dyDescent="0.25">
      <c r="A100" s="48"/>
      <c r="B100" s="521" t="s">
        <v>1443</v>
      </c>
      <c r="C100" s="521"/>
      <c r="D100" s="521"/>
      <c r="E100" s="521"/>
      <c r="F100" s="521"/>
      <c r="G100" s="521"/>
    </row>
    <row r="101" spans="1:7" ht="15.75" x14ac:dyDescent="0.25">
      <c r="A101" s="48"/>
      <c r="B101" s="521" t="s">
        <v>1444</v>
      </c>
      <c r="C101" s="521"/>
      <c r="D101" s="521"/>
      <c r="E101" s="521"/>
      <c r="F101" s="521"/>
      <c r="G101" s="521"/>
    </row>
    <row r="102" spans="1:7" ht="15.75" x14ac:dyDescent="0.25">
      <c r="A102" s="48"/>
      <c r="B102" s="512" t="s">
        <v>1445</v>
      </c>
      <c r="C102" s="512"/>
      <c r="D102" s="512"/>
      <c r="E102" s="512"/>
      <c r="F102" s="512"/>
      <c r="G102" s="512"/>
    </row>
    <row r="103" spans="1:7" ht="15.75" x14ac:dyDescent="0.25">
      <c r="A103" s="48"/>
      <c r="B103" s="48"/>
      <c r="C103" s="48"/>
      <c r="D103" s="48"/>
      <c r="E103" s="21"/>
      <c r="F103" s="48"/>
      <c r="G103" s="48"/>
    </row>
    <row r="104" spans="1:7" ht="15.75" x14ac:dyDescent="0.25">
      <c r="A104" s="48"/>
      <c r="B104" s="48"/>
      <c r="C104" s="48"/>
      <c r="D104" s="48"/>
      <c r="E104" s="21"/>
      <c r="F104" s="48"/>
      <c r="G104" s="48"/>
    </row>
    <row r="105" spans="1:7" ht="15" customHeight="1" x14ac:dyDescent="0.25">
      <c r="A105" s="525" t="s">
        <v>1410</v>
      </c>
      <c r="B105" s="525"/>
      <c r="C105" s="525"/>
      <c r="D105" s="525"/>
      <c r="E105" s="525"/>
      <c r="F105" s="525"/>
      <c r="G105" s="525"/>
    </row>
    <row r="106" spans="1:7" x14ac:dyDescent="0.25">
      <c r="A106" s="525"/>
      <c r="B106" s="525"/>
      <c r="C106" s="525"/>
      <c r="D106" s="525"/>
      <c r="E106" s="525"/>
      <c r="F106" s="525"/>
      <c r="G106" s="525"/>
    </row>
    <row r="107" spans="1:7" ht="15.75" x14ac:dyDescent="0.25">
      <c r="A107" s="48"/>
      <c r="B107" s="48"/>
      <c r="C107" s="48"/>
      <c r="D107" s="48"/>
      <c r="E107" s="21"/>
      <c r="F107" s="48"/>
      <c r="G107" s="48"/>
    </row>
    <row r="108" spans="1:7" ht="15.75" x14ac:dyDescent="0.25">
      <c r="A108" s="48"/>
      <c r="B108" s="48"/>
      <c r="C108" s="48"/>
      <c r="D108" s="48"/>
      <c r="E108" s="21"/>
      <c r="F108" s="48"/>
      <c r="G108" s="48"/>
    </row>
    <row r="109" spans="1:7" ht="15.75" x14ac:dyDescent="0.25">
      <c r="A109" s="48"/>
      <c r="B109" s="48"/>
      <c r="C109" s="48"/>
      <c r="D109" s="48"/>
      <c r="E109" s="21"/>
      <c r="F109" s="48"/>
      <c r="G109" s="48"/>
    </row>
    <row r="110" spans="1:7" ht="15.75" x14ac:dyDescent="0.25">
      <c r="A110" s="48"/>
      <c r="B110" s="48"/>
      <c r="C110" s="48"/>
      <c r="D110" s="48"/>
      <c r="E110" s="21"/>
      <c r="F110" s="48"/>
      <c r="G110" s="48"/>
    </row>
    <row r="111" spans="1:7" ht="15.75" x14ac:dyDescent="0.25">
      <c r="A111" s="48"/>
      <c r="B111" s="48"/>
      <c r="C111" s="48"/>
      <c r="D111" s="48"/>
      <c r="E111" s="21"/>
      <c r="F111" s="48"/>
      <c r="G111" s="48"/>
    </row>
    <row r="112" spans="1:7" ht="15.75" x14ac:dyDescent="0.25">
      <c r="A112" s="48"/>
      <c r="B112" s="48"/>
      <c r="C112" s="48"/>
      <c r="D112" s="48"/>
      <c r="E112" s="21"/>
      <c r="F112" s="48"/>
      <c r="G112" s="48"/>
    </row>
    <row r="113" spans="1:7" ht="15.75" x14ac:dyDescent="0.25">
      <c r="A113" s="48"/>
      <c r="B113" s="48"/>
      <c r="C113" s="48"/>
      <c r="D113" s="48"/>
      <c r="E113" s="21"/>
      <c r="F113" s="48"/>
      <c r="G113" s="48"/>
    </row>
    <row r="114" spans="1:7" ht="15.75" x14ac:dyDescent="0.25">
      <c r="A114" s="48"/>
      <c r="B114" s="48"/>
      <c r="C114" s="48"/>
      <c r="D114" s="48"/>
      <c r="E114" s="21"/>
      <c r="F114" s="48"/>
      <c r="G114" s="48"/>
    </row>
    <row r="115" spans="1:7" ht="15" customHeight="1" x14ac:dyDescent="0.25">
      <c r="B115" s="365"/>
      <c r="C115" s="365"/>
      <c r="D115" s="366" t="s">
        <v>1574</v>
      </c>
      <c r="E115" s="365"/>
      <c r="F115" s="365"/>
      <c r="G115" s="365"/>
    </row>
    <row r="116" spans="1:7" ht="15" customHeight="1" x14ac:dyDescent="0.25">
      <c r="A116" s="365"/>
      <c r="B116" s="365"/>
      <c r="C116" s="526" t="str">
        <f>+HOJA_DE_TRABAJO!C17</f>
        <v>ALVARO VEGA</v>
      </c>
      <c r="D116" s="526"/>
      <c r="E116" s="526"/>
      <c r="F116" s="365"/>
      <c r="G116" s="365"/>
    </row>
    <row r="117" spans="1:7" ht="15" customHeight="1" x14ac:dyDescent="0.25">
      <c r="A117" s="365"/>
      <c r="B117" s="365"/>
      <c r="C117" s="527" t="str">
        <f>+IF(C116="ALVARO Vega","Jefe Nacional de Activaciones Btl",IF(C116="XIMENA CASSAB","Ejecutiva de Cuentas Activaciones Btl"))</f>
        <v>Jefe Nacional de Activaciones Btl</v>
      </c>
      <c r="D117" s="527"/>
      <c r="E117" s="527"/>
      <c r="F117" s="365"/>
      <c r="G117" s="365"/>
    </row>
    <row r="118" spans="1:7" ht="15" customHeight="1" x14ac:dyDescent="0.25">
      <c r="A118" s="365"/>
      <c r="B118" s="365"/>
      <c r="C118" s="528" t="str">
        <f>+IF(C116="alvaro vega","alvarovega@gruporegional.com",IF(C116="ximena cassab","ximenacassab@gruporegional.com",))</f>
        <v>alvarovega@gruporegional.com</v>
      </c>
      <c r="D118" s="528"/>
      <c r="E118" s="528"/>
      <c r="F118" s="365"/>
      <c r="G118" s="365"/>
    </row>
    <row r="119" spans="1:7" ht="15" customHeight="1" x14ac:dyDescent="0.35">
      <c r="A119" s="365"/>
      <c r="B119" s="365"/>
      <c r="C119" s="524" t="s">
        <v>1573</v>
      </c>
      <c r="D119" s="524"/>
      <c r="E119" s="524"/>
      <c r="F119" s="365"/>
      <c r="G119" s="365"/>
    </row>
    <row r="122" spans="1:7" ht="15" customHeight="1" x14ac:dyDescent="0.25"/>
  </sheetData>
  <mergeCells count="31">
    <mergeCell ref="B94:G94"/>
    <mergeCell ref="A85:G87"/>
    <mergeCell ref="B102:G102"/>
    <mergeCell ref="A105:G106"/>
    <mergeCell ref="B96:G96"/>
    <mergeCell ref="B97:F97"/>
    <mergeCell ref="B98:G98"/>
    <mergeCell ref="B99:G99"/>
    <mergeCell ref="B100:G100"/>
    <mergeCell ref="B101:G101"/>
    <mergeCell ref="A5:G5"/>
    <mergeCell ref="A7:G7"/>
    <mergeCell ref="A8:G8"/>
    <mergeCell ref="A9:G9"/>
    <mergeCell ref="B11:G11"/>
    <mergeCell ref="C119:E119"/>
    <mergeCell ref="C118:E118"/>
    <mergeCell ref="C117:E117"/>
    <mergeCell ref="C116:E116"/>
    <mergeCell ref="A13:G13"/>
    <mergeCell ref="B95:G95"/>
    <mergeCell ref="A15:G15"/>
    <mergeCell ref="A17:G17"/>
    <mergeCell ref="A41:G41"/>
    <mergeCell ref="A43:F43"/>
    <mergeCell ref="A88:G88"/>
    <mergeCell ref="A89:G89"/>
    <mergeCell ref="A90:G90"/>
    <mergeCell ref="B91:G91"/>
    <mergeCell ref="B92:G92"/>
    <mergeCell ref="B93:G93"/>
  </mergeCells>
  <hyperlinks>
    <hyperlink ref="C119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exportar">
                <anchor moveWithCells="1">
                  <from>
                    <xdr:col>4</xdr:col>
                    <xdr:colOff>962025</xdr:colOff>
                    <xdr:row>1</xdr:row>
                    <xdr:rowOff>152400</xdr:rowOff>
                  </from>
                  <to>
                    <xdr:col>4</xdr:col>
                    <xdr:colOff>2038350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topLeftCell="C25" workbookViewId="0">
      <selection activeCell="F27" sqref="F27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2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6"/>
      <c r="D3">
        <v>120</v>
      </c>
      <c r="E3">
        <v>30</v>
      </c>
      <c r="H3" t="s">
        <v>1353</v>
      </c>
      <c r="J3" t="s">
        <v>30</v>
      </c>
      <c r="L3" s="2">
        <v>0.05</v>
      </c>
      <c r="N3" t="s">
        <v>33</v>
      </c>
      <c r="O3">
        <v>1.5</v>
      </c>
    </row>
    <row r="4" spans="2:16" x14ac:dyDescent="0.25">
      <c r="C4" s="17"/>
      <c r="E4">
        <v>45</v>
      </c>
      <c r="H4" t="s">
        <v>18</v>
      </c>
      <c r="L4" s="2">
        <v>0.1</v>
      </c>
      <c r="O4">
        <v>2</v>
      </c>
    </row>
    <row r="5" spans="2:16" x14ac:dyDescent="0.25">
      <c r="E5">
        <v>60</v>
      </c>
      <c r="L5" s="2">
        <v>0.15</v>
      </c>
      <c r="O5">
        <v>2.5</v>
      </c>
    </row>
    <row r="6" spans="2:16" x14ac:dyDescent="0.25">
      <c r="E6">
        <v>75</v>
      </c>
      <c r="L6" s="2">
        <v>0.2</v>
      </c>
      <c r="O6">
        <v>3</v>
      </c>
    </row>
    <row r="7" spans="2:16" x14ac:dyDescent="0.25">
      <c r="E7">
        <v>90</v>
      </c>
      <c r="H7" t="s">
        <v>14</v>
      </c>
      <c r="L7" s="2">
        <v>0.25</v>
      </c>
      <c r="O7">
        <v>3.5</v>
      </c>
    </row>
    <row r="8" spans="2:16" x14ac:dyDescent="0.25">
      <c r="E8">
        <v>120</v>
      </c>
      <c r="H8" t="s">
        <v>1353</v>
      </c>
      <c r="L8" s="2">
        <v>0.3</v>
      </c>
      <c r="O8">
        <v>4</v>
      </c>
    </row>
    <row r="9" spans="2:16" x14ac:dyDescent="0.25">
      <c r="H9" t="s">
        <v>1354</v>
      </c>
      <c r="L9" s="2">
        <v>0.35</v>
      </c>
      <c r="O9">
        <v>4.5</v>
      </c>
    </row>
    <row r="10" spans="2:16" x14ac:dyDescent="0.25">
      <c r="H10" t="s">
        <v>1357</v>
      </c>
      <c r="L10" s="2">
        <v>0.4</v>
      </c>
      <c r="O10">
        <v>5</v>
      </c>
    </row>
    <row r="11" spans="2:16" x14ac:dyDescent="0.25">
      <c r="C11" t="s">
        <v>33</v>
      </c>
      <c r="D11" s="379" t="s">
        <v>13</v>
      </c>
      <c r="H11" t="s">
        <v>1356</v>
      </c>
      <c r="L11" s="2">
        <v>0.5</v>
      </c>
      <c r="O11">
        <v>5.5</v>
      </c>
    </row>
    <row r="12" spans="2:16" s="57" customFormat="1" x14ac:dyDescent="0.25">
      <c r="B12" s="57" t="s">
        <v>1508</v>
      </c>
      <c r="C12" s="57">
        <v>26</v>
      </c>
      <c r="D12" s="57">
        <f>+C12*8</f>
        <v>208</v>
      </c>
      <c r="L12" s="2"/>
    </row>
    <row r="13" spans="2:16" s="57" customFormat="1" x14ac:dyDescent="0.25">
      <c r="L13" s="2"/>
    </row>
    <row r="14" spans="2:16" s="57" customFormat="1" x14ac:dyDescent="0.25">
      <c r="L14" s="2"/>
    </row>
    <row r="15" spans="2:16" s="57" customFormat="1" x14ac:dyDescent="0.25">
      <c r="L15" s="2"/>
    </row>
    <row r="16" spans="2:16" s="57" customFormat="1" x14ac:dyDescent="0.25">
      <c r="L16" s="2"/>
    </row>
    <row r="19" spans="2:13" ht="45" x14ac:dyDescent="0.25">
      <c r="B19" s="3" t="s">
        <v>1363</v>
      </c>
      <c r="C19" s="4"/>
      <c r="D19" s="4" t="s">
        <v>1364</v>
      </c>
      <c r="E19" s="4"/>
      <c r="F19" s="4" t="s">
        <v>1365</v>
      </c>
      <c r="G19" s="4" t="s">
        <v>1366</v>
      </c>
      <c r="H19" s="4"/>
      <c r="I19" s="4"/>
      <c r="J19" s="4"/>
      <c r="K19" s="4"/>
    </row>
    <row r="21" spans="2:13" ht="36.75" customHeight="1" x14ac:dyDescent="0.25">
      <c r="B21" s="18">
        <v>12810942.899442106</v>
      </c>
      <c r="C21" s="1"/>
      <c r="D21" s="1">
        <v>2179769.7994421064</v>
      </c>
      <c r="E21" s="18">
        <f>+D21+B21</f>
        <v>14990712.698884213</v>
      </c>
      <c r="F21" s="1">
        <f>+D21/B21</f>
        <v>0.17014905277089568</v>
      </c>
      <c r="G21" s="1">
        <v>0.2</v>
      </c>
      <c r="H21" s="1"/>
      <c r="I21" s="1"/>
      <c r="J21" s="1"/>
      <c r="K21" s="1"/>
    </row>
    <row r="26" spans="2:13" ht="42.75" customHeight="1" x14ac:dyDescent="0.25">
      <c r="B26" s="7" t="s">
        <v>20</v>
      </c>
      <c r="C26" s="7" t="s">
        <v>21</v>
      </c>
      <c r="D26" s="7" t="s">
        <v>22</v>
      </c>
      <c r="E26" s="7" t="s">
        <v>23</v>
      </c>
      <c r="F26" s="7" t="s">
        <v>24</v>
      </c>
    </row>
    <row r="27" spans="2:13" ht="24.75" customHeight="1" x14ac:dyDescent="0.25">
      <c r="B27" s="6">
        <v>0.17</v>
      </c>
      <c r="C27" s="5">
        <v>208</v>
      </c>
      <c r="D27" s="5">
        <f>+C27*12</f>
        <v>2496</v>
      </c>
      <c r="E27" s="9">
        <f>+B27/D27</f>
        <v>6.8108974358974369E-5</v>
      </c>
      <c r="F27" s="8">
        <f>+E27*8</f>
        <v>5.4487179487179495E-4</v>
      </c>
    </row>
    <row r="30" spans="2:13" x14ac:dyDescent="0.25">
      <c r="B30" s="10"/>
      <c r="F30" s="10"/>
    </row>
    <row r="32" spans="2:13" x14ac:dyDescent="0.25">
      <c r="B32" t="str">
        <f>CONCATENATE(C32,"*",D32)</f>
        <v>01*TIGO</v>
      </c>
      <c r="C32" s="11" t="s">
        <v>34</v>
      </c>
      <c r="D32" s="12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1" t="s">
        <v>36</v>
      </c>
      <c r="D33" s="12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1" t="s">
        <v>38</v>
      </c>
      <c r="D34" s="12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1" t="s">
        <v>40</v>
      </c>
      <c r="D35" s="12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1" t="s">
        <v>42</v>
      </c>
      <c r="D36" s="12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1" t="s">
        <v>44</v>
      </c>
      <c r="D37" s="12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1" t="s">
        <v>46</v>
      </c>
      <c r="D38" s="12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1" t="s">
        <v>48</v>
      </c>
      <c r="D39" s="12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1" t="s">
        <v>50</v>
      </c>
      <c r="D40" s="12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1" t="s">
        <v>52</v>
      </c>
      <c r="D41" s="12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1" t="s">
        <v>54</v>
      </c>
      <c r="D42" s="12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1" t="s">
        <v>56</v>
      </c>
      <c r="D43" s="12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1" t="s">
        <v>58</v>
      </c>
      <c r="D44" s="12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1" t="s">
        <v>60</v>
      </c>
      <c r="D45" s="12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1" t="s">
        <v>62</v>
      </c>
      <c r="D46" s="12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1" t="s">
        <v>64</v>
      </c>
      <c r="D47" s="12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1" t="s">
        <v>66</v>
      </c>
      <c r="D48" s="12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1" t="s">
        <v>68</v>
      </c>
      <c r="D49" s="12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1" t="s">
        <v>70</v>
      </c>
      <c r="D50" s="12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1" t="s">
        <v>72</v>
      </c>
      <c r="D51" s="12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1" t="s">
        <v>74</v>
      </c>
      <c r="D52" s="12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1" t="s">
        <v>76</v>
      </c>
      <c r="D53" s="12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1" t="s">
        <v>78</v>
      </c>
      <c r="D54" s="12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1" t="s">
        <v>80</v>
      </c>
      <c r="D55" s="12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1" t="s">
        <v>82</v>
      </c>
      <c r="D56" s="12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1" t="s">
        <v>84</v>
      </c>
      <c r="D57" s="12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1" t="s">
        <v>86</v>
      </c>
      <c r="D58" s="12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1" t="s">
        <v>88</v>
      </c>
      <c r="D59" s="12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1" t="s">
        <v>90</v>
      </c>
      <c r="D60" s="12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1" t="s">
        <v>92</v>
      </c>
      <c r="D61" s="12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1" t="s">
        <v>94</v>
      </c>
      <c r="D62" s="12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1" t="s">
        <v>96</v>
      </c>
      <c r="D63" s="12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1" t="s">
        <v>98</v>
      </c>
      <c r="D64" s="12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1" t="s">
        <v>100</v>
      </c>
      <c r="D65" s="12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1" t="s">
        <v>102</v>
      </c>
      <c r="D66" s="13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1" t="s">
        <v>104</v>
      </c>
      <c r="D67" s="13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1" t="s">
        <v>106</v>
      </c>
      <c r="D68" s="13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1" t="s">
        <v>108</v>
      </c>
      <c r="D69" s="13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1" t="s">
        <v>109</v>
      </c>
      <c r="D70" s="13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1" t="s">
        <v>111</v>
      </c>
      <c r="D71" s="13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1" t="s">
        <v>113</v>
      </c>
      <c r="D72" s="13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1" t="s">
        <v>115</v>
      </c>
      <c r="D73" s="13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1" t="s">
        <v>116</v>
      </c>
      <c r="D74" s="13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1" t="s">
        <v>118</v>
      </c>
      <c r="D75" s="13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1" t="s">
        <v>120</v>
      </c>
      <c r="D76" s="13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1" t="s">
        <v>122</v>
      </c>
      <c r="D77" s="13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1" t="s">
        <v>124</v>
      </c>
      <c r="D78" s="13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1" t="s">
        <v>126</v>
      </c>
      <c r="D79" s="13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1" t="s">
        <v>128</v>
      </c>
      <c r="D80" s="13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1" t="s">
        <v>130</v>
      </c>
      <c r="D81" s="13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1" t="s">
        <v>132</v>
      </c>
      <c r="D82" s="13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1" t="s">
        <v>134</v>
      </c>
      <c r="D83" s="13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1" t="s">
        <v>136</v>
      </c>
      <c r="D84" s="13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1" t="s">
        <v>138</v>
      </c>
      <c r="D85" s="13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1" t="s">
        <v>140</v>
      </c>
      <c r="D86" s="13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1" t="s">
        <v>142</v>
      </c>
      <c r="D87" s="14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1" t="s">
        <v>143</v>
      </c>
      <c r="D88" s="14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1" t="s">
        <v>144</v>
      </c>
      <c r="D89" s="14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1" t="s">
        <v>145</v>
      </c>
      <c r="D90" s="14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1" t="s">
        <v>146</v>
      </c>
      <c r="D91" s="14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1" t="s">
        <v>147</v>
      </c>
      <c r="D92" s="14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1" t="s">
        <v>148</v>
      </c>
      <c r="D93" s="14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1" t="s">
        <v>149</v>
      </c>
      <c r="D94" s="14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1" t="s">
        <v>150</v>
      </c>
      <c r="D95" s="14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1" t="s">
        <v>151</v>
      </c>
      <c r="D96" s="14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1" t="s">
        <v>152</v>
      </c>
      <c r="D97" s="14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1" t="s">
        <v>153</v>
      </c>
      <c r="D98" s="14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1" t="s">
        <v>154</v>
      </c>
      <c r="D99" s="14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1" t="s">
        <v>155</v>
      </c>
      <c r="D100" s="14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1" t="s">
        <v>156</v>
      </c>
      <c r="D101" s="14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1" t="s">
        <v>157</v>
      </c>
      <c r="D102" s="14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1" t="s">
        <v>158</v>
      </c>
      <c r="D103" s="14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1" t="s">
        <v>159</v>
      </c>
      <c r="D104" s="14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1" t="s">
        <v>160</v>
      </c>
      <c r="D105" s="14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1" t="s">
        <v>161</v>
      </c>
      <c r="D106" s="14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1" t="s">
        <v>162</v>
      </c>
      <c r="D107" s="14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1" t="s">
        <v>163</v>
      </c>
      <c r="D108" s="14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1" t="s">
        <v>164</v>
      </c>
      <c r="D109" s="14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1" t="s">
        <v>165</v>
      </c>
      <c r="D110" s="14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1" t="s">
        <v>166</v>
      </c>
      <c r="D111" s="14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1" t="s">
        <v>167</v>
      </c>
      <c r="D112" s="14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1" t="s">
        <v>168</v>
      </c>
      <c r="D113" s="14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1" t="s">
        <v>169</v>
      </c>
      <c r="D114" s="14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1" t="s">
        <v>170</v>
      </c>
      <c r="D115" s="14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1" t="s">
        <v>171</v>
      </c>
      <c r="D116" s="14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1" t="s">
        <v>172</v>
      </c>
      <c r="D117" s="14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1" t="s">
        <v>173</v>
      </c>
      <c r="D118" s="14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1" t="s">
        <v>174</v>
      </c>
      <c r="D119" s="14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1" t="s">
        <v>175</v>
      </c>
      <c r="D120" s="14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1" t="s">
        <v>176</v>
      </c>
      <c r="D121" s="14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1" t="s">
        <v>177</v>
      </c>
      <c r="D122" s="14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1" t="s">
        <v>178</v>
      </c>
      <c r="D123" s="14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1" t="s">
        <v>179</v>
      </c>
      <c r="D124" s="14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1" t="s">
        <v>180</v>
      </c>
      <c r="D125" s="14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1" t="s">
        <v>181</v>
      </c>
      <c r="D126" s="14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1" t="s">
        <v>182</v>
      </c>
      <c r="D127" s="14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1" t="s">
        <v>183</v>
      </c>
      <c r="D128" s="14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1" t="s">
        <v>184</v>
      </c>
      <c r="D129" s="14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1" t="s">
        <v>185</v>
      </c>
      <c r="D130" s="14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1" t="s">
        <v>186</v>
      </c>
      <c r="D131" s="14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5" t="s">
        <v>187</v>
      </c>
      <c r="D132" s="15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1339</v>
      </c>
      <c r="D139" t="b">
        <v>1</v>
      </c>
      <c r="E139" t="s">
        <v>1352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1340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1341</v>
      </c>
      <c r="L141" t="s">
        <v>422</v>
      </c>
      <c r="M141" t="s">
        <v>423</v>
      </c>
    </row>
    <row r="142" spans="2:13" x14ac:dyDescent="0.25">
      <c r="B142" t="s">
        <v>1342</v>
      </c>
      <c r="L142" t="s">
        <v>424</v>
      </c>
      <c r="M142" t="s">
        <v>425</v>
      </c>
    </row>
    <row r="143" spans="2:13" x14ac:dyDescent="0.25">
      <c r="B143" t="s">
        <v>1343</v>
      </c>
      <c r="L143" t="s">
        <v>426</v>
      </c>
      <c r="M143" t="s">
        <v>427</v>
      </c>
    </row>
    <row r="144" spans="2:13" x14ac:dyDescent="0.25">
      <c r="B144" t="s">
        <v>1344</v>
      </c>
      <c r="L144" t="s">
        <v>428</v>
      </c>
      <c r="M144" t="s">
        <v>429</v>
      </c>
    </row>
    <row r="145" spans="2:13" x14ac:dyDescent="0.25">
      <c r="B145" t="s">
        <v>1345</v>
      </c>
      <c r="L145" t="s">
        <v>430</v>
      </c>
      <c r="M145" t="s">
        <v>431</v>
      </c>
    </row>
    <row r="146" spans="2:13" x14ac:dyDescent="0.25">
      <c r="B146" t="s">
        <v>1346</v>
      </c>
      <c r="L146" t="s">
        <v>432</v>
      </c>
      <c r="M146" t="s">
        <v>433</v>
      </c>
    </row>
    <row r="147" spans="2:13" x14ac:dyDescent="0.25">
      <c r="B147" t="s">
        <v>1347</v>
      </c>
      <c r="L147" t="s">
        <v>434</v>
      </c>
      <c r="M147" t="s">
        <v>435</v>
      </c>
    </row>
    <row r="148" spans="2:13" x14ac:dyDescent="0.25">
      <c r="B148" t="s">
        <v>1348</v>
      </c>
      <c r="L148" t="s">
        <v>436</v>
      </c>
      <c r="M148" t="s">
        <v>437</v>
      </c>
    </row>
    <row r="149" spans="2:13" x14ac:dyDescent="0.25">
      <c r="B149" t="s">
        <v>1349</v>
      </c>
      <c r="L149" t="s">
        <v>438</v>
      </c>
      <c r="M149" t="s">
        <v>439</v>
      </c>
    </row>
    <row r="150" spans="2:13" x14ac:dyDescent="0.25">
      <c r="B150" t="s">
        <v>1350</v>
      </c>
      <c r="L150" t="s">
        <v>440</v>
      </c>
      <c r="M150" t="s">
        <v>441</v>
      </c>
    </row>
    <row r="151" spans="2:13" x14ac:dyDescent="0.25">
      <c r="B151" t="s">
        <v>1351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00"/>
  <sheetViews>
    <sheetView topLeftCell="A176" workbookViewId="0">
      <selection activeCell="C11" sqref="C11"/>
    </sheetView>
  </sheetViews>
  <sheetFormatPr baseColWidth="10" defaultRowHeight="15" x14ac:dyDescent="0.25"/>
  <cols>
    <col min="2" max="2" width="30" customWidth="1"/>
    <col min="5" max="5" width="11.42578125" style="57"/>
    <col min="6" max="6" width="18.28515625" customWidth="1"/>
    <col min="7" max="7" width="13.42578125" style="49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1493</v>
      </c>
    </row>
    <row r="4" spans="1:9" ht="28.5" x14ac:dyDescent="0.45">
      <c r="B4" s="532" t="s">
        <v>1495</v>
      </c>
      <c r="C4" s="532"/>
      <c r="D4" s="532"/>
      <c r="E4" s="532"/>
      <c r="F4" s="532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27" t="s">
        <v>1447</v>
      </c>
      <c r="B7" s="328" t="s">
        <v>1448</v>
      </c>
      <c r="C7" s="328" t="s">
        <v>4</v>
      </c>
      <c r="D7" s="329" t="s">
        <v>7</v>
      </c>
      <c r="E7" s="329" t="s">
        <v>5</v>
      </c>
      <c r="F7" s="329" t="s">
        <v>1492</v>
      </c>
      <c r="G7" s="329" t="s">
        <v>1449</v>
      </c>
    </row>
    <row r="8" spans="1:9" ht="15.75" thickBot="1" x14ac:dyDescent="0.3">
      <c r="A8" s="336">
        <v>1</v>
      </c>
      <c r="B8" s="529" t="s">
        <v>1450</v>
      </c>
      <c r="C8" s="530"/>
      <c r="D8" s="530"/>
      <c r="E8" s="530"/>
      <c r="F8" s="531"/>
      <c r="G8" s="330">
        <f>G9</f>
        <v>2750</v>
      </c>
    </row>
    <row r="9" spans="1:9" ht="15.75" thickBot="1" x14ac:dyDescent="0.3">
      <c r="A9" s="337">
        <v>1.2</v>
      </c>
      <c r="B9" s="533" t="s">
        <v>1451</v>
      </c>
      <c r="C9" s="534"/>
      <c r="D9" s="534"/>
      <c r="E9" s="534"/>
      <c r="F9" s="535"/>
      <c r="G9" s="331">
        <f>SUM(G10:G14)</f>
        <v>2750</v>
      </c>
    </row>
    <row r="10" spans="1:9" x14ac:dyDescent="0.25">
      <c r="A10" s="339"/>
      <c r="B10" s="340" t="s">
        <v>1342</v>
      </c>
      <c r="C10" s="341">
        <v>11</v>
      </c>
      <c r="D10" s="342">
        <v>250</v>
      </c>
      <c r="E10" s="343">
        <f t="shared" ref="E10:E74" si="0">+D10*C10</f>
        <v>2750</v>
      </c>
      <c r="F10" s="344" t="s">
        <v>14</v>
      </c>
      <c r="G10" s="332">
        <f>IF(F10="FACTURA",E10*1,IF(F10=$I$3,E10/0.845,))</f>
        <v>2750</v>
      </c>
    </row>
    <row r="11" spans="1:9" x14ac:dyDescent="0.25">
      <c r="A11" s="339"/>
      <c r="B11" s="340"/>
      <c r="C11" s="341"/>
      <c r="D11" s="342"/>
      <c r="E11" s="343">
        <f t="shared" si="0"/>
        <v>0</v>
      </c>
      <c r="F11" s="345" t="s">
        <v>1493</v>
      </c>
      <c r="G11" s="332">
        <f>IF(F11="FACTURA",E11*1,IF(F11=$I$3,E11/0.845,))</f>
        <v>0</v>
      </c>
    </row>
    <row r="12" spans="1:9" x14ac:dyDescent="0.25">
      <c r="A12" s="339"/>
      <c r="B12" s="340"/>
      <c r="C12" s="341"/>
      <c r="D12" s="342"/>
      <c r="E12" s="343">
        <f t="shared" si="0"/>
        <v>0</v>
      </c>
      <c r="F12" s="345" t="s">
        <v>1493</v>
      </c>
      <c r="G12" s="332">
        <f>IF(F12="FACTURA",E12*1,IF(F12=$I$3,E12/0.845,))</f>
        <v>0</v>
      </c>
    </row>
    <row r="13" spans="1:9" x14ac:dyDescent="0.25">
      <c r="A13" s="339"/>
      <c r="B13" s="340"/>
      <c r="C13" s="341"/>
      <c r="D13" s="342"/>
      <c r="E13" s="343">
        <f t="shared" si="0"/>
        <v>0</v>
      </c>
      <c r="F13" s="345" t="s">
        <v>1493</v>
      </c>
      <c r="G13" s="332">
        <f>IF(F13="FACTURA",E13*1,IF(F13=$I$3,E13/0.845,))</f>
        <v>0</v>
      </c>
    </row>
    <row r="14" spans="1:9" ht="15.75" thickBot="1" x14ac:dyDescent="0.3">
      <c r="A14" s="346"/>
      <c r="B14" s="347"/>
      <c r="C14" s="341"/>
      <c r="D14" s="342"/>
      <c r="E14" s="348">
        <f t="shared" si="0"/>
        <v>0</v>
      </c>
      <c r="F14" s="349" t="s">
        <v>1493</v>
      </c>
      <c r="G14" s="332">
        <f>IF(F14="FACTURA",E14*1,IF(F14=$I$3,E14/0.845,))</f>
        <v>0</v>
      </c>
    </row>
    <row r="15" spans="1:9" ht="15.75" thickBot="1" x14ac:dyDescent="0.3">
      <c r="A15" s="336">
        <v>2</v>
      </c>
      <c r="B15" s="529" t="s">
        <v>1342</v>
      </c>
      <c r="C15" s="530"/>
      <c r="D15" s="530"/>
      <c r="E15" s="530"/>
      <c r="F15" s="531"/>
      <c r="G15" s="330">
        <f>G16+G22+G28</f>
        <v>0</v>
      </c>
    </row>
    <row r="16" spans="1:9" ht="15.75" thickBot="1" x14ac:dyDescent="0.3">
      <c r="A16" s="338">
        <v>2.1</v>
      </c>
      <c r="B16" s="533" t="s">
        <v>1452</v>
      </c>
      <c r="C16" s="534"/>
      <c r="D16" s="534"/>
      <c r="E16" s="534"/>
      <c r="F16" s="535"/>
      <c r="G16" s="330">
        <f>SUM(G17:G21)</f>
        <v>0</v>
      </c>
    </row>
    <row r="17" spans="1:7" x14ac:dyDescent="0.25">
      <c r="A17" s="339"/>
      <c r="B17" s="340" t="s">
        <v>1453</v>
      </c>
      <c r="C17" s="341"/>
      <c r="D17" s="342"/>
      <c r="E17" s="342">
        <f t="shared" si="0"/>
        <v>0</v>
      </c>
      <c r="F17" s="344" t="s">
        <v>1493</v>
      </c>
      <c r="G17" s="332">
        <f>IF(F17="FACTURA",E17*1,IF(F17=$I$3,E17/0.845,))</f>
        <v>0</v>
      </c>
    </row>
    <row r="18" spans="1:7" x14ac:dyDescent="0.25">
      <c r="A18" s="350"/>
      <c r="B18" s="340"/>
      <c r="C18" s="341"/>
      <c r="D18" s="342"/>
      <c r="E18" s="343">
        <f t="shared" si="0"/>
        <v>0</v>
      </c>
      <c r="F18" s="345" t="s">
        <v>1493</v>
      </c>
      <c r="G18" s="332">
        <f>IF(F18="FACTURA",E18*1,IF(F18=$I$3,E18/0.845,))</f>
        <v>0</v>
      </c>
    </row>
    <row r="19" spans="1:7" x14ac:dyDescent="0.25">
      <c r="A19" s="350"/>
      <c r="B19" s="340"/>
      <c r="C19" s="341"/>
      <c r="D19" s="342"/>
      <c r="E19" s="343">
        <f t="shared" si="0"/>
        <v>0</v>
      </c>
      <c r="F19" s="345" t="s">
        <v>1493</v>
      </c>
      <c r="G19" s="332">
        <f>IF(F19="FACTURA",E19*1,IF(F19=$I$3,E19/0.845,))</f>
        <v>0</v>
      </c>
    </row>
    <row r="20" spans="1:7" x14ac:dyDescent="0.25">
      <c r="A20" s="350"/>
      <c r="B20" s="340"/>
      <c r="C20" s="341"/>
      <c r="D20" s="342"/>
      <c r="E20" s="343">
        <f t="shared" si="0"/>
        <v>0</v>
      </c>
      <c r="F20" s="345" t="s">
        <v>1493</v>
      </c>
      <c r="G20" s="332">
        <f>IF(F20="FACTURA",E20*1,IF(F20=$I$3,E20/0.845,))</f>
        <v>0</v>
      </c>
    </row>
    <row r="21" spans="1:7" ht="15.75" thickBot="1" x14ac:dyDescent="0.3">
      <c r="A21" s="351"/>
      <c r="B21" s="347"/>
      <c r="C21" s="341"/>
      <c r="D21" s="342"/>
      <c r="E21" s="348">
        <f t="shared" si="0"/>
        <v>0</v>
      </c>
      <c r="F21" s="349" t="s">
        <v>1493</v>
      </c>
      <c r="G21" s="332">
        <f>IF(F21="FACTURA",E21*1,IF(F21=$I$3,E21/0.845,))</f>
        <v>0</v>
      </c>
    </row>
    <row r="22" spans="1:7" ht="15.75" thickBot="1" x14ac:dyDescent="0.3">
      <c r="A22" s="338">
        <v>2.2000000000000002</v>
      </c>
      <c r="B22" s="533" t="s">
        <v>1454</v>
      </c>
      <c r="C22" s="534"/>
      <c r="D22" s="534"/>
      <c r="E22" s="534"/>
      <c r="F22" s="535"/>
      <c r="G22" s="333">
        <f>SUM(G23:G27)</f>
        <v>0</v>
      </c>
    </row>
    <row r="23" spans="1:7" x14ac:dyDescent="0.25">
      <c r="A23" s="339"/>
      <c r="B23" s="340" t="s">
        <v>1455</v>
      </c>
      <c r="C23" s="341"/>
      <c r="D23" s="342"/>
      <c r="E23" s="342">
        <f t="shared" si="0"/>
        <v>0</v>
      </c>
      <c r="F23" s="344" t="s">
        <v>1493</v>
      </c>
      <c r="G23" s="334">
        <f>IF(F23="FACTURA",E23*0.1,IF(F23=$I$3,E23/0.845,))</f>
        <v>0</v>
      </c>
    </row>
    <row r="24" spans="1:7" x14ac:dyDescent="0.25">
      <c r="A24" s="350"/>
      <c r="B24" s="340"/>
      <c r="C24" s="341"/>
      <c r="D24" s="342"/>
      <c r="E24" s="343">
        <f t="shared" si="0"/>
        <v>0</v>
      </c>
      <c r="F24" s="345" t="s">
        <v>1493</v>
      </c>
      <c r="G24" s="334">
        <f>IF(F24="FACTURA",E24*0.1,IF(F24=$I$3,E24/0.845,))</f>
        <v>0</v>
      </c>
    </row>
    <row r="25" spans="1:7" x14ac:dyDescent="0.25">
      <c r="A25" s="350"/>
      <c r="B25" s="340"/>
      <c r="C25" s="341"/>
      <c r="D25" s="342"/>
      <c r="E25" s="343">
        <f t="shared" si="0"/>
        <v>0</v>
      </c>
      <c r="F25" s="345" t="s">
        <v>1493</v>
      </c>
      <c r="G25" s="334">
        <f>IF(F25="FACTURA",E25*0.1,IF(F25=$I$3,E25/0.845,))</f>
        <v>0</v>
      </c>
    </row>
    <row r="26" spans="1:7" x14ac:dyDescent="0.25">
      <c r="A26" s="350"/>
      <c r="B26" s="340"/>
      <c r="C26" s="341"/>
      <c r="D26" s="342"/>
      <c r="E26" s="343">
        <f t="shared" si="0"/>
        <v>0</v>
      </c>
      <c r="F26" s="345" t="s">
        <v>1493</v>
      </c>
      <c r="G26" s="334">
        <f>IF(F26="FACTURA",E26*0.1,IF(F26=$I$3,E26/0.845,))</f>
        <v>0</v>
      </c>
    </row>
    <row r="27" spans="1:7" ht="15.75" thickBot="1" x14ac:dyDescent="0.3">
      <c r="A27" s="351"/>
      <c r="B27" s="347"/>
      <c r="C27" s="341"/>
      <c r="D27" s="342"/>
      <c r="E27" s="348">
        <f t="shared" si="0"/>
        <v>0</v>
      </c>
      <c r="F27" s="349" t="s">
        <v>1493</v>
      </c>
      <c r="G27" s="334">
        <f>IF(F27="FACTURA",E27*0.1,IF(F27=$I$3,E27/0.845,))</f>
        <v>0</v>
      </c>
    </row>
    <row r="28" spans="1:7" ht="15.75" thickBot="1" x14ac:dyDescent="0.3">
      <c r="A28" s="338">
        <v>2.2999999999999998</v>
      </c>
      <c r="B28" s="533" t="s">
        <v>1494</v>
      </c>
      <c r="C28" s="534"/>
      <c r="D28" s="534"/>
      <c r="E28" s="534"/>
      <c r="F28" s="535"/>
      <c r="G28" s="331">
        <f>SUM(G29:G33)</f>
        <v>0</v>
      </c>
    </row>
    <row r="29" spans="1:7" x14ac:dyDescent="0.25">
      <c r="A29" s="352"/>
      <c r="B29" s="340"/>
      <c r="C29" s="341"/>
      <c r="D29" s="342"/>
      <c r="E29" s="342">
        <f t="shared" si="0"/>
        <v>0</v>
      </c>
      <c r="F29" s="344" t="s">
        <v>1493</v>
      </c>
      <c r="G29" s="332">
        <f>IF(F29="FACTURA",E29*1,IF(F29=$I$3,E29/0.845,))</f>
        <v>0</v>
      </c>
    </row>
    <row r="30" spans="1:7" x14ac:dyDescent="0.25">
      <c r="A30" s="353"/>
      <c r="B30" s="340"/>
      <c r="C30" s="341"/>
      <c r="D30" s="342"/>
      <c r="E30" s="343">
        <f t="shared" si="0"/>
        <v>0</v>
      </c>
      <c r="F30" s="345" t="s">
        <v>1493</v>
      </c>
      <c r="G30" s="332">
        <f>IF(F30="FACTURA",E30*1,IF(F30=$I$3,E30/0.845,))</f>
        <v>0</v>
      </c>
    </row>
    <row r="31" spans="1:7" x14ac:dyDescent="0.25">
      <c r="A31" s="353"/>
      <c r="B31" s="340"/>
      <c r="C31" s="341"/>
      <c r="D31" s="342"/>
      <c r="E31" s="343">
        <f t="shared" si="0"/>
        <v>0</v>
      </c>
      <c r="F31" s="345" t="s">
        <v>1493</v>
      </c>
      <c r="G31" s="332">
        <f>IF(F31="FACTURA",E31*1,IF(F31=$I$3,E31/0.845,))</f>
        <v>0</v>
      </c>
    </row>
    <row r="32" spans="1:7" x14ac:dyDescent="0.25">
      <c r="A32" s="353"/>
      <c r="B32" s="340"/>
      <c r="C32" s="341"/>
      <c r="D32" s="342"/>
      <c r="E32" s="343">
        <f t="shared" si="0"/>
        <v>0</v>
      </c>
      <c r="F32" s="345" t="s">
        <v>1493</v>
      </c>
      <c r="G32" s="332">
        <f>IF(F32="FACTURA",E32*1,IF(F32=$I$3,E32/0.845,))</f>
        <v>0</v>
      </c>
    </row>
    <row r="33" spans="1:7" ht="15.75" thickBot="1" x14ac:dyDescent="0.3">
      <c r="A33" s="354"/>
      <c r="B33" s="347"/>
      <c r="C33" s="341"/>
      <c r="D33" s="342"/>
      <c r="E33" s="348">
        <f t="shared" si="0"/>
        <v>0</v>
      </c>
      <c r="F33" s="349" t="s">
        <v>1493</v>
      </c>
      <c r="G33" s="332">
        <f>IF(F33="FACTURA",E33*1,IF(F33=$I$3,E33/0.845,))</f>
        <v>0</v>
      </c>
    </row>
    <row r="34" spans="1:7" ht="15.75" thickBot="1" x14ac:dyDescent="0.3">
      <c r="A34" s="336">
        <v>3</v>
      </c>
      <c r="B34" s="529" t="s">
        <v>1356</v>
      </c>
      <c r="C34" s="530"/>
      <c r="D34" s="530"/>
      <c r="E34" s="530"/>
      <c r="F34" s="531"/>
      <c r="G34" s="330">
        <f>G35+G41+G47+G53</f>
        <v>847.54437869822482</v>
      </c>
    </row>
    <row r="35" spans="1:7" ht="15.75" thickBot="1" x14ac:dyDescent="0.3">
      <c r="A35" s="338">
        <v>3.1</v>
      </c>
      <c r="B35" s="533" t="s">
        <v>1456</v>
      </c>
      <c r="C35" s="534"/>
      <c r="D35" s="534"/>
      <c r="E35" s="534"/>
      <c r="F35" s="535"/>
      <c r="G35" s="330">
        <f>SUM(G36:G40)</f>
        <v>847.54437869822482</v>
      </c>
    </row>
    <row r="36" spans="1:7" x14ac:dyDescent="0.25">
      <c r="A36" s="339"/>
      <c r="B36" s="340" t="s">
        <v>1570</v>
      </c>
      <c r="C36" s="341">
        <v>9</v>
      </c>
      <c r="D36" s="342">
        <v>50</v>
      </c>
      <c r="E36" s="342">
        <f t="shared" si="0"/>
        <v>450</v>
      </c>
      <c r="F36" s="344" t="s">
        <v>1493</v>
      </c>
      <c r="G36" s="332">
        <f>IF(F36="FACTURA",E36*1,IF(F36=$I$3,E36/0.845,))</f>
        <v>532.54437869822482</v>
      </c>
    </row>
    <row r="37" spans="1:7" x14ac:dyDescent="0.25">
      <c r="A37" s="350"/>
      <c r="B37" s="340" t="s">
        <v>1571</v>
      </c>
      <c r="C37" s="341">
        <v>9</v>
      </c>
      <c r="D37" s="342">
        <v>35</v>
      </c>
      <c r="E37" s="343">
        <f t="shared" si="0"/>
        <v>315</v>
      </c>
      <c r="F37" s="345" t="s">
        <v>14</v>
      </c>
      <c r="G37" s="332">
        <f>IF(F37="FACTURA",E37*1,IF(F37=$I$3,E37/0.845,))</f>
        <v>315</v>
      </c>
    </row>
    <row r="38" spans="1:7" x14ac:dyDescent="0.25">
      <c r="A38" s="350"/>
      <c r="B38" s="340"/>
      <c r="C38" s="341"/>
      <c r="D38" s="342"/>
      <c r="E38" s="343">
        <f t="shared" si="0"/>
        <v>0</v>
      </c>
      <c r="F38" s="345" t="s">
        <v>14</v>
      </c>
      <c r="G38" s="332">
        <f>IF(F38="FACTURA",E38*1,IF(F38=$I$3,E38/0.845,))</f>
        <v>0</v>
      </c>
    </row>
    <row r="39" spans="1:7" x14ac:dyDescent="0.25">
      <c r="A39" s="350"/>
      <c r="B39" s="340"/>
      <c r="C39" s="341"/>
      <c r="D39" s="342"/>
      <c r="E39" s="343">
        <f t="shared" si="0"/>
        <v>0</v>
      </c>
      <c r="F39" s="345" t="s">
        <v>1493</v>
      </c>
      <c r="G39" s="332">
        <f>IF(F39="FACTURA",E39*1,IF(F39=$I$3,E39/0.845,))</f>
        <v>0</v>
      </c>
    </row>
    <row r="40" spans="1:7" ht="15.75" thickBot="1" x14ac:dyDescent="0.3">
      <c r="A40" s="351"/>
      <c r="B40" s="347"/>
      <c r="C40" s="341"/>
      <c r="D40" s="342"/>
      <c r="E40" s="348">
        <f t="shared" si="0"/>
        <v>0</v>
      </c>
      <c r="F40" s="349" t="s">
        <v>14</v>
      </c>
      <c r="G40" s="332">
        <f>IF(F40="FACTURA",E40*1,IF(F40=$I$3,E40/0.845,))</f>
        <v>0</v>
      </c>
    </row>
    <row r="41" spans="1:7" ht="15.75" thickBot="1" x14ac:dyDescent="0.3">
      <c r="A41" s="338">
        <v>3.2</v>
      </c>
      <c r="B41" s="533" t="s">
        <v>1457</v>
      </c>
      <c r="C41" s="534"/>
      <c r="D41" s="534"/>
      <c r="E41" s="534"/>
      <c r="F41" s="535"/>
      <c r="G41" s="330">
        <f>SUM(G42:G46)</f>
        <v>0</v>
      </c>
    </row>
    <row r="42" spans="1:7" x14ac:dyDescent="0.25">
      <c r="A42" s="339"/>
      <c r="B42" s="340"/>
      <c r="C42" s="341"/>
      <c r="D42" s="342"/>
      <c r="E42" s="342">
        <f t="shared" si="0"/>
        <v>0</v>
      </c>
      <c r="F42" s="344" t="s">
        <v>14</v>
      </c>
      <c r="G42" s="332">
        <f>IF(F42="FACTURA",E42*1,IF(F42=$I$3,E42/0.845,))</f>
        <v>0</v>
      </c>
    </row>
    <row r="43" spans="1:7" x14ac:dyDescent="0.25">
      <c r="A43" s="350"/>
      <c r="B43" s="340"/>
      <c r="C43" s="341"/>
      <c r="D43" s="342"/>
      <c r="E43" s="343">
        <f t="shared" si="0"/>
        <v>0</v>
      </c>
      <c r="F43" s="345" t="s">
        <v>14</v>
      </c>
      <c r="G43" s="332">
        <f>IF(F43="FACTURA",E43*1,IF(F43=$I$3,E43/0.845,))</f>
        <v>0</v>
      </c>
    </row>
    <row r="44" spans="1:7" x14ac:dyDescent="0.25">
      <c r="A44" s="350"/>
      <c r="B44" s="340"/>
      <c r="C44" s="341"/>
      <c r="D44" s="342"/>
      <c r="E44" s="343">
        <f t="shared" si="0"/>
        <v>0</v>
      </c>
      <c r="F44" s="345" t="s">
        <v>1493</v>
      </c>
      <c r="G44" s="332">
        <f>IF(F44="FACTURA",E44*1,IF(F44=$I$3,E44/0.845,))</f>
        <v>0</v>
      </c>
    </row>
    <row r="45" spans="1:7" x14ac:dyDescent="0.25">
      <c r="A45" s="350"/>
      <c r="B45" s="340"/>
      <c r="C45" s="341"/>
      <c r="D45" s="342"/>
      <c r="E45" s="343">
        <f t="shared" si="0"/>
        <v>0</v>
      </c>
      <c r="F45" s="345" t="s">
        <v>14</v>
      </c>
      <c r="G45" s="332">
        <f>IF(F45="FACTURA",E45*1,IF(F45=$I$3,E45/0.845,))</f>
        <v>0</v>
      </c>
    </row>
    <row r="46" spans="1:7" ht="15.75" thickBot="1" x14ac:dyDescent="0.3">
      <c r="A46" s="351"/>
      <c r="B46" s="347"/>
      <c r="C46" s="341"/>
      <c r="D46" s="342"/>
      <c r="E46" s="348">
        <f t="shared" si="0"/>
        <v>0</v>
      </c>
      <c r="F46" s="349" t="s">
        <v>14</v>
      </c>
      <c r="G46" s="332">
        <f>IF(F46="FACTURA",E46*1,IF(F46=$I$3,E46/0.845,))</f>
        <v>0</v>
      </c>
    </row>
    <row r="47" spans="1:7" ht="15.75" thickBot="1" x14ac:dyDescent="0.3">
      <c r="A47" s="338">
        <v>3.3</v>
      </c>
      <c r="B47" s="533" t="s">
        <v>1458</v>
      </c>
      <c r="C47" s="534"/>
      <c r="D47" s="534"/>
      <c r="E47" s="534"/>
      <c r="F47" s="535"/>
      <c r="G47" s="330">
        <f>SUM(G48:G52)</f>
        <v>0</v>
      </c>
    </row>
    <row r="48" spans="1:7" x14ac:dyDescent="0.25">
      <c r="A48" s="339"/>
      <c r="B48" s="340"/>
      <c r="C48" s="341"/>
      <c r="D48" s="342"/>
      <c r="E48" s="342">
        <f t="shared" si="0"/>
        <v>0</v>
      </c>
      <c r="F48" s="344" t="s">
        <v>14</v>
      </c>
      <c r="G48" s="332">
        <f>IF(F48="FACTURA",E48*1,IF(F48=$I$3,E48/0.845,))</f>
        <v>0</v>
      </c>
    </row>
    <row r="49" spans="1:7" x14ac:dyDescent="0.25">
      <c r="A49" s="350"/>
      <c r="B49" s="340"/>
      <c r="C49" s="341"/>
      <c r="D49" s="342"/>
      <c r="E49" s="343">
        <f t="shared" si="0"/>
        <v>0</v>
      </c>
      <c r="F49" s="345" t="s">
        <v>14</v>
      </c>
      <c r="G49" s="332">
        <f>IF(F49="FACTURA",E49*1,IF(F49=$I$3,E49/0.845,))</f>
        <v>0</v>
      </c>
    </row>
    <row r="50" spans="1:7" x14ac:dyDescent="0.25">
      <c r="A50" s="350"/>
      <c r="B50" s="340"/>
      <c r="C50" s="341"/>
      <c r="D50" s="342"/>
      <c r="E50" s="343">
        <f t="shared" si="0"/>
        <v>0</v>
      </c>
      <c r="F50" s="345" t="s">
        <v>1493</v>
      </c>
      <c r="G50" s="332">
        <f>IF(F50="FACTURA",E50*1,IF(F50=$I$3,E50/0.845,))</f>
        <v>0</v>
      </c>
    </row>
    <row r="51" spans="1:7" x14ac:dyDescent="0.25">
      <c r="A51" s="350"/>
      <c r="B51" s="340"/>
      <c r="C51" s="341"/>
      <c r="D51" s="342"/>
      <c r="E51" s="343">
        <f t="shared" si="0"/>
        <v>0</v>
      </c>
      <c r="F51" s="345" t="s">
        <v>14</v>
      </c>
      <c r="G51" s="332">
        <f>IF(F51="FACTURA",E51*1,IF(F51=$I$3,E51/0.845,))</f>
        <v>0</v>
      </c>
    </row>
    <row r="52" spans="1:7" ht="15.75" thickBot="1" x14ac:dyDescent="0.3">
      <c r="A52" s="351"/>
      <c r="B52" s="347"/>
      <c r="C52" s="341"/>
      <c r="D52" s="342"/>
      <c r="E52" s="348">
        <f t="shared" si="0"/>
        <v>0</v>
      </c>
      <c r="F52" s="349" t="s">
        <v>14</v>
      </c>
      <c r="G52" s="332">
        <f>IF(F52="FACTURA",E52*1,IF(F52=$I$3,E52/0.845,))</f>
        <v>0</v>
      </c>
    </row>
    <row r="53" spans="1:7" ht="15.75" thickBot="1" x14ac:dyDescent="0.3">
      <c r="A53" s="338">
        <v>3.4</v>
      </c>
      <c r="B53" s="533" t="s">
        <v>1459</v>
      </c>
      <c r="C53" s="534"/>
      <c r="D53" s="534"/>
      <c r="E53" s="534"/>
      <c r="F53" s="535"/>
      <c r="G53" s="330">
        <f>SUM(G54:G58)</f>
        <v>0</v>
      </c>
    </row>
    <row r="54" spans="1:7" x14ac:dyDescent="0.25">
      <c r="A54" s="352"/>
      <c r="B54" s="355" t="s">
        <v>1460</v>
      </c>
      <c r="C54" s="356"/>
      <c r="D54" s="357"/>
      <c r="E54" s="342">
        <f t="shared" si="0"/>
        <v>0</v>
      </c>
      <c r="F54" s="344" t="s">
        <v>14</v>
      </c>
      <c r="G54" s="332">
        <f>IF(F54="FACTURA",E54*1,IF(F54=$I$3,E54/0.845,))</f>
        <v>0</v>
      </c>
    </row>
    <row r="55" spans="1:7" x14ac:dyDescent="0.25">
      <c r="A55" s="353"/>
      <c r="B55" s="358" t="s">
        <v>1461</v>
      </c>
      <c r="C55" s="356"/>
      <c r="D55" s="357"/>
      <c r="E55" s="343">
        <f t="shared" si="0"/>
        <v>0</v>
      </c>
      <c r="F55" s="345" t="s">
        <v>1493</v>
      </c>
      <c r="G55" s="332">
        <f>IF(F55="FACTURA",E55*1,IF(F55=$I$3,E55/0.845,))</f>
        <v>0</v>
      </c>
    </row>
    <row r="56" spans="1:7" x14ac:dyDescent="0.25">
      <c r="A56" s="353"/>
      <c r="B56" s="358"/>
      <c r="C56" s="356"/>
      <c r="D56" s="357"/>
      <c r="E56" s="343">
        <f t="shared" si="0"/>
        <v>0</v>
      </c>
      <c r="F56" s="345" t="s">
        <v>14</v>
      </c>
      <c r="G56" s="332">
        <f>IF(F56="FACTURA",E56*1,IF(F56=$I$3,E56/0.845,))</f>
        <v>0</v>
      </c>
    </row>
    <row r="57" spans="1:7" x14ac:dyDescent="0.25">
      <c r="A57" s="353"/>
      <c r="B57" s="358"/>
      <c r="C57" s="356"/>
      <c r="D57" s="357"/>
      <c r="E57" s="343">
        <f t="shared" si="0"/>
        <v>0</v>
      </c>
      <c r="F57" s="345" t="s">
        <v>1493</v>
      </c>
      <c r="G57" s="332">
        <f>IF(F57="FACTURA",E57*1,IF(F57=$I$3,E57/0.845,))</f>
        <v>0</v>
      </c>
    </row>
    <row r="58" spans="1:7" ht="15.75" thickBot="1" x14ac:dyDescent="0.3">
      <c r="A58" s="354"/>
      <c r="B58" s="359"/>
      <c r="C58" s="356"/>
      <c r="D58" s="357"/>
      <c r="E58" s="348">
        <f t="shared" si="0"/>
        <v>0</v>
      </c>
      <c r="F58" s="349" t="s">
        <v>14</v>
      </c>
      <c r="G58" s="332">
        <f>IF(F58="FACTURA",E58*1,IF(F58=$I$3,E58/0.845,))</f>
        <v>0</v>
      </c>
    </row>
    <row r="59" spans="1:7" ht="15.75" thickBot="1" x14ac:dyDescent="0.3">
      <c r="A59" s="336">
        <v>4</v>
      </c>
      <c r="B59" s="529" t="s">
        <v>1462</v>
      </c>
      <c r="C59" s="530"/>
      <c r="D59" s="530"/>
      <c r="E59" s="530"/>
      <c r="F59" s="531"/>
      <c r="G59" s="330">
        <f>G60+G66+G72+G78+G84</f>
        <v>150</v>
      </c>
    </row>
    <row r="60" spans="1:7" ht="15.75" thickBot="1" x14ac:dyDescent="0.3">
      <c r="A60" s="338">
        <v>4.0999999999999996</v>
      </c>
      <c r="B60" s="533" t="s">
        <v>1463</v>
      </c>
      <c r="C60" s="534"/>
      <c r="D60" s="534"/>
      <c r="E60" s="534"/>
      <c r="F60" s="535"/>
      <c r="G60" s="330">
        <f>SUM(G61:G65)</f>
        <v>0</v>
      </c>
    </row>
    <row r="61" spans="1:7" x14ac:dyDescent="0.25">
      <c r="A61" s="339"/>
      <c r="B61" s="340"/>
      <c r="C61" s="341"/>
      <c r="D61" s="342"/>
      <c r="E61" s="342">
        <f t="shared" si="0"/>
        <v>0</v>
      </c>
      <c r="F61" s="344" t="s">
        <v>14</v>
      </c>
      <c r="G61" s="332">
        <f>IF(F61="FACTURA",E61*1,IF(F61=$I$3,E61/0.845,))</f>
        <v>0</v>
      </c>
    </row>
    <row r="62" spans="1:7" x14ac:dyDescent="0.25">
      <c r="A62" s="350"/>
      <c r="B62" s="340"/>
      <c r="C62" s="341"/>
      <c r="D62" s="342"/>
      <c r="E62" s="343">
        <f t="shared" si="0"/>
        <v>0</v>
      </c>
      <c r="F62" s="345" t="s">
        <v>14</v>
      </c>
      <c r="G62" s="332">
        <f>IF(F62="FACTURA",E62*1,IF(F62=$I$3,E62/0.845,))</f>
        <v>0</v>
      </c>
    </row>
    <row r="63" spans="1:7" x14ac:dyDescent="0.25">
      <c r="A63" s="350"/>
      <c r="B63" s="340"/>
      <c r="C63" s="341"/>
      <c r="D63" s="342"/>
      <c r="E63" s="343">
        <f t="shared" si="0"/>
        <v>0</v>
      </c>
      <c r="F63" s="345" t="s">
        <v>1493</v>
      </c>
      <c r="G63" s="332">
        <f>IF(F63="FACTURA",E63*1,IF(F63=$I$3,E63/0.845,))</f>
        <v>0</v>
      </c>
    </row>
    <row r="64" spans="1:7" x14ac:dyDescent="0.25">
      <c r="A64" s="350"/>
      <c r="B64" s="340"/>
      <c r="C64" s="341"/>
      <c r="D64" s="342"/>
      <c r="E64" s="343">
        <f t="shared" si="0"/>
        <v>0</v>
      </c>
      <c r="F64" s="345" t="s">
        <v>14</v>
      </c>
      <c r="G64" s="332">
        <f>IF(F64="FACTURA",E64*1,IF(F64=$I$3,E64/0.845,))</f>
        <v>0</v>
      </c>
    </row>
    <row r="65" spans="1:7" ht="15.75" thickBot="1" x14ac:dyDescent="0.3">
      <c r="A65" s="351"/>
      <c r="B65" s="347"/>
      <c r="C65" s="341"/>
      <c r="D65" s="342"/>
      <c r="E65" s="348">
        <f t="shared" si="0"/>
        <v>0</v>
      </c>
      <c r="F65" s="349" t="s">
        <v>14</v>
      </c>
      <c r="G65" s="332">
        <f>IF(F65="FACTURA",E65*1,IF(F65=$I$3,E65/0.845,))</f>
        <v>0</v>
      </c>
    </row>
    <row r="66" spans="1:7" ht="15.75" thickBot="1" x14ac:dyDescent="0.3">
      <c r="A66" s="338">
        <v>4.2</v>
      </c>
      <c r="B66" s="533" t="s">
        <v>1464</v>
      </c>
      <c r="C66" s="534"/>
      <c r="D66" s="534"/>
      <c r="E66" s="534"/>
      <c r="F66" s="535"/>
      <c r="G66" s="330">
        <f>SUM(G67:G71)</f>
        <v>0</v>
      </c>
    </row>
    <row r="67" spans="1:7" x14ac:dyDescent="0.25">
      <c r="A67" s="339"/>
      <c r="B67" s="340"/>
      <c r="C67" s="341"/>
      <c r="D67" s="342"/>
      <c r="E67" s="342">
        <f t="shared" si="0"/>
        <v>0</v>
      </c>
      <c r="F67" s="344" t="s">
        <v>14</v>
      </c>
      <c r="G67" s="332">
        <f>IF(F67="FACTURA",E67*1,IF(F67=$I$3,E67/0.845,))</f>
        <v>0</v>
      </c>
    </row>
    <row r="68" spans="1:7" x14ac:dyDescent="0.25">
      <c r="A68" s="350"/>
      <c r="B68" s="340"/>
      <c r="C68" s="341"/>
      <c r="D68" s="342"/>
      <c r="E68" s="343">
        <f t="shared" si="0"/>
        <v>0</v>
      </c>
      <c r="F68" s="345" t="s">
        <v>14</v>
      </c>
      <c r="G68" s="332">
        <f>IF(F68="FACTURA",E68*1,IF(F68=$I$3,E68/0.845,))</f>
        <v>0</v>
      </c>
    </row>
    <row r="69" spans="1:7" x14ac:dyDescent="0.25">
      <c r="A69" s="350"/>
      <c r="B69" s="340"/>
      <c r="C69" s="341"/>
      <c r="D69" s="342"/>
      <c r="E69" s="343">
        <f t="shared" si="0"/>
        <v>0</v>
      </c>
      <c r="F69" s="345" t="s">
        <v>1493</v>
      </c>
      <c r="G69" s="332">
        <f>IF(F69="FACTURA",E69*1,IF(F69=$I$3,E69/0.845,))</f>
        <v>0</v>
      </c>
    </row>
    <row r="70" spans="1:7" x14ac:dyDescent="0.25">
      <c r="A70" s="350"/>
      <c r="B70" s="340"/>
      <c r="C70" s="341"/>
      <c r="D70" s="342"/>
      <c r="E70" s="343">
        <f t="shared" si="0"/>
        <v>0</v>
      </c>
      <c r="F70" s="345" t="s">
        <v>14</v>
      </c>
      <c r="G70" s="332">
        <f>IF(F70="FACTURA",E70*1,IF(F70=$I$3,E70/0.845,))</f>
        <v>0</v>
      </c>
    </row>
    <row r="71" spans="1:7" ht="15.75" thickBot="1" x14ac:dyDescent="0.3">
      <c r="A71" s="351"/>
      <c r="B71" s="347"/>
      <c r="C71" s="341"/>
      <c r="D71" s="342"/>
      <c r="E71" s="348">
        <f t="shared" si="0"/>
        <v>0</v>
      </c>
      <c r="F71" s="349" t="s">
        <v>14</v>
      </c>
      <c r="G71" s="332">
        <f>IF(F71="FACTURA",E71*1,IF(F71=$I$3,E71/0.845,))</f>
        <v>0</v>
      </c>
    </row>
    <row r="72" spans="1:7" ht="15.75" thickBot="1" x14ac:dyDescent="0.3">
      <c r="A72" s="338">
        <v>4.3</v>
      </c>
      <c r="B72" s="533" t="s">
        <v>1465</v>
      </c>
      <c r="C72" s="534"/>
      <c r="D72" s="534"/>
      <c r="E72" s="534"/>
      <c r="F72" s="535"/>
      <c r="G72" s="330">
        <f>SUM(G73:G77)</f>
        <v>0</v>
      </c>
    </row>
    <row r="73" spans="1:7" x14ac:dyDescent="0.25">
      <c r="A73" s="339"/>
      <c r="B73" s="340"/>
      <c r="C73" s="341"/>
      <c r="D73" s="342"/>
      <c r="E73" s="342">
        <f t="shared" si="0"/>
        <v>0</v>
      </c>
      <c r="F73" s="344" t="s">
        <v>14</v>
      </c>
      <c r="G73" s="332">
        <f>IF(F73="FACTURA",E73*1,IF(F73=$I$3,E73/0.845,))</f>
        <v>0</v>
      </c>
    </row>
    <row r="74" spans="1:7" x14ac:dyDescent="0.25">
      <c r="A74" s="350"/>
      <c r="B74" s="340"/>
      <c r="C74" s="341"/>
      <c r="D74" s="342"/>
      <c r="E74" s="343">
        <f t="shared" si="0"/>
        <v>0</v>
      </c>
      <c r="F74" s="345" t="s">
        <v>1493</v>
      </c>
      <c r="G74" s="332">
        <f>IF(F74="FACTURA",E74*1,IF(F74=$I$3,E74/0.845,))</f>
        <v>0</v>
      </c>
    </row>
    <row r="75" spans="1:7" x14ac:dyDescent="0.25">
      <c r="A75" s="350"/>
      <c r="B75" s="340"/>
      <c r="C75" s="341"/>
      <c r="D75" s="342"/>
      <c r="E75" s="343">
        <f t="shared" ref="E75:E138" si="1">+D75*C75</f>
        <v>0</v>
      </c>
      <c r="F75" s="345" t="s">
        <v>14</v>
      </c>
      <c r="G75" s="332">
        <f>IF(F75="FACTURA",E75*1,IF(F75=$I$3,E75/0.845,))</f>
        <v>0</v>
      </c>
    </row>
    <row r="76" spans="1:7" x14ac:dyDescent="0.25">
      <c r="A76" s="350"/>
      <c r="B76" s="340"/>
      <c r="C76" s="341"/>
      <c r="D76" s="342"/>
      <c r="E76" s="343">
        <f t="shared" si="1"/>
        <v>0</v>
      </c>
      <c r="F76" s="345" t="s">
        <v>1493</v>
      </c>
      <c r="G76" s="332">
        <f>IF(F76="FACTURA",E76*1,IF(F76=$I$3,E76/0.845,))</f>
        <v>0</v>
      </c>
    </row>
    <row r="77" spans="1:7" ht="15.75" thickBot="1" x14ac:dyDescent="0.3">
      <c r="A77" s="351"/>
      <c r="B77" s="347"/>
      <c r="C77" s="341"/>
      <c r="D77" s="342"/>
      <c r="E77" s="348">
        <f t="shared" si="1"/>
        <v>0</v>
      </c>
      <c r="F77" s="349" t="s">
        <v>14</v>
      </c>
      <c r="G77" s="332">
        <f>IF(F77="FACTURA",E77*1,IF(F77=$I$3,E77/0.845,))</f>
        <v>0</v>
      </c>
    </row>
    <row r="78" spans="1:7" ht="15.75" thickBot="1" x14ac:dyDescent="0.3">
      <c r="A78" s="338">
        <v>4.4000000000000004</v>
      </c>
      <c r="B78" s="533" t="s">
        <v>1466</v>
      </c>
      <c r="C78" s="534"/>
      <c r="D78" s="534"/>
      <c r="E78" s="534"/>
      <c r="F78" s="535"/>
      <c r="G78" s="330">
        <f>SUM(G79:G83)</f>
        <v>0</v>
      </c>
    </row>
    <row r="79" spans="1:7" x14ac:dyDescent="0.25">
      <c r="A79" s="339"/>
      <c r="B79" s="340"/>
      <c r="C79" s="341"/>
      <c r="D79" s="342"/>
      <c r="E79" s="342">
        <f t="shared" si="1"/>
        <v>0</v>
      </c>
      <c r="F79" s="344" t="s">
        <v>1493</v>
      </c>
      <c r="G79" s="332">
        <f>IF(F79="FACTURA",E79*1,IF(F79=$I$3,E79/0.845,))</f>
        <v>0</v>
      </c>
    </row>
    <row r="80" spans="1:7" x14ac:dyDescent="0.25">
      <c r="A80" s="350"/>
      <c r="B80" s="340"/>
      <c r="C80" s="341"/>
      <c r="D80" s="342"/>
      <c r="E80" s="343">
        <f t="shared" si="1"/>
        <v>0</v>
      </c>
      <c r="F80" s="345" t="s">
        <v>14</v>
      </c>
      <c r="G80" s="332">
        <f>IF(F80="FACTURA",E80*1,IF(F80=$I$3,E80/0.845,))</f>
        <v>0</v>
      </c>
    </row>
    <row r="81" spans="1:7" x14ac:dyDescent="0.25">
      <c r="A81" s="350"/>
      <c r="B81" s="340"/>
      <c r="C81" s="341"/>
      <c r="D81" s="342"/>
      <c r="E81" s="343">
        <f t="shared" si="1"/>
        <v>0</v>
      </c>
      <c r="F81" s="345" t="s">
        <v>14</v>
      </c>
      <c r="G81" s="332">
        <f>IF(F81="FACTURA",E81*1,IF(F81=$I$3,E81/0.845,))</f>
        <v>0</v>
      </c>
    </row>
    <row r="82" spans="1:7" x14ac:dyDescent="0.25">
      <c r="A82" s="350"/>
      <c r="B82" s="340"/>
      <c r="C82" s="341"/>
      <c r="D82" s="342"/>
      <c r="E82" s="343">
        <f t="shared" si="1"/>
        <v>0</v>
      </c>
      <c r="F82" s="345" t="s">
        <v>1493</v>
      </c>
      <c r="G82" s="332">
        <f>IF(F82="FACTURA",E82*1,IF(F82=$I$3,E82/0.845,))</f>
        <v>0</v>
      </c>
    </row>
    <row r="83" spans="1:7" ht="15.75" thickBot="1" x14ac:dyDescent="0.3">
      <c r="A83" s="351"/>
      <c r="B83" s="347"/>
      <c r="C83" s="341"/>
      <c r="D83" s="342"/>
      <c r="E83" s="348">
        <f t="shared" si="1"/>
        <v>0</v>
      </c>
      <c r="F83" s="349" t="s">
        <v>14</v>
      </c>
      <c r="G83" s="332">
        <f>IF(F83="FACTURA",E83*1,IF(F83=$I$3,E83/0.845,))</f>
        <v>0</v>
      </c>
    </row>
    <row r="84" spans="1:7" ht="15.75" thickBot="1" x14ac:dyDescent="0.3">
      <c r="A84" s="338">
        <v>4.5</v>
      </c>
      <c r="B84" s="533" t="s">
        <v>1467</v>
      </c>
      <c r="C84" s="534"/>
      <c r="D84" s="534"/>
      <c r="E84" s="534"/>
      <c r="F84" s="535"/>
      <c r="G84" s="330">
        <f>SUM(G85:G89)</f>
        <v>150</v>
      </c>
    </row>
    <row r="85" spans="1:7" x14ac:dyDescent="0.25">
      <c r="A85" s="352"/>
      <c r="B85" s="340" t="s">
        <v>1572</v>
      </c>
      <c r="C85" s="341">
        <v>1</v>
      </c>
      <c r="D85" s="342">
        <v>150</v>
      </c>
      <c r="E85" s="342">
        <f t="shared" si="1"/>
        <v>150</v>
      </c>
      <c r="F85" s="344" t="s">
        <v>14</v>
      </c>
      <c r="G85" s="332">
        <f>IF(F85="FACTURA",E85*1,IF(F85=$I$3,E85/0.845,))</f>
        <v>150</v>
      </c>
    </row>
    <row r="86" spans="1:7" x14ac:dyDescent="0.25">
      <c r="A86" s="353"/>
      <c r="B86" s="340"/>
      <c r="C86" s="341"/>
      <c r="D86" s="342"/>
      <c r="E86" s="343">
        <f t="shared" si="1"/>
        <v>0</v>
      </c>
      <c r="F86" s="345" t="s">
        <v>1493</v>
      </c>
      <c r="G86" s="332">
        <f>IF(F86="FACTURA",E86*1,IF(F86=$I$3,E86/0.845,))</f>
        <v>0</v>
      </c>
    </row>
    <row r="87" spans="1:7" x14ac:dyDescent="0.25">
      <c r="A87" s="353"/>
      <c r="B87" s="340"/>
      <c r="C87" s="341"/>
      <c r="D87" s="342"/>
      <c r="E87" s="343">
        <f t="shared" si="1"/>
        <v>0</v>
      </c>
      <c r="F87" s="345" t="s">
        <v>14</v>
      </c>
      <c r="G87" s="332">
        <f>IF(F87="FACTURA",E87*1,IF(F87=$I$3,E87/0.845,))</f>
        <v>0</v>
      </c>
    </row>
    <row r="88" spans="1:7" x14ac:dyDescent="0.25">
      <c r="A88" s="353"/>
      <c r="B88" s="340"/>
      <c r="C88" s="341"/>
      <c r="D88" s="342"/>
      <c r="E88" s="343">
        <f t="shared" si="1"/>
        <v>0</v>
      </c>
      <c r="F88" s="345" t="s">
        <v>1493</v>
      </c>
      <c r="G88" s="332">
        <f>IF(F88="FACTURA",E88*1,IF(F88=$I$3,E88/0.845,))</f>
        <v>0</v>
      </c>
    </row>
    <row r="89" spans="1:7" ht="15.75" thickBot="1" x14ac:dyDescent="0.3">
      <c r="A89" s="354"/>
      <c r="B89" s="347"/>
      <c r="C89" s="341"/>
      <c r="D89" s="342"/>
      <c r="E89" s="348">
        <f t="shared" si="1"/>
        <v>0</v>
      </c>
      <c r="F89" s="349" t="s">
        <v>14</v>
      </c>
      <c r="G89" s="332">
        <f>IF(F89="FACTURA",E89*1,IF(F89=$I$3,E89/0.845,))</f>
        <v>0</v>
      </c>
    </row>
    <row r="90" spans="1:7" ht="15.75" thickBot="1" x14ac:dyDescent="0.3">
      <c r="A90" s="336">
        <v>5</v>
      </c>
      <c r="B90" s="529" t="s">
        <v>1468</v>
      </c>
      <c r="C90" s="530"/>
      <c r="D90" s="530"/>
      <c r="E90" s="530"/>
      <c r="F90" s="531"/>
      <c r="G90" s="330">
        <f>G91</f>
        <v>0</v>
      </c>
    </row>
    <row r="91" spans="1:7" ht="15.75" thickBot="1" x14ac:dyDescent="0.3">
      <c r="A91" s="338">
        <v>5.0999999999999996</v>
      </c>
      <c r="B91" s="533" t="s">
        <v>1469</v>
      </c>
      <c r="C91" s="534"/>
      <c r="D91" s="534"/>
      <c r="E91" s="534"/>
      <c r="F91" s="535"/>
      <c r="G91" s="330">
        <f>SUM(G92:G96)</f>
        <v>0</v>
      </c>
    </row>
    <row r="92" spans="1:7" x14ac:dyDescent="0.25">
      <c r="A92" s="352"/>
      <c r="B92" s="340"/>
      <c r="C92" s="341"/>
      <c r="D92" s="342"/>
      <c r="E92" s="342">
        <f t="shared" si="1"/>
        <v>0</v>
      </c>
      <c r="F92" s="344" t="s">
        <v>14</v>
      </c>
      <c r="G92" s="332">
        <f>IF(F92="FACTURA",E92*1,IF(F92=$I$3,E92/0.845,))</f>
        <v>0</v>
      </c>
    </row>
    <row r="93" spans="1:7" x14ac:dyDescent="0.25">
      <c r="A93" s="353"/>
      <c r="B93" s="340"/>
      <c r="C93" s="341"/>
      <c r="D93" s="342"/>
      <c r="E93" s="343">
        <f t="shared" si="1"/>
        <v>0</v>
      </c>
      <c r="F93" s="345" t="s">
        <v>14</v>
      </c>
      <c r="G93" s="332">
        <f>IF(F93="FACTURA",E93*1,IF(F93=$I$3,E93/0.845,))</f>
        <v>0</v>
      </c>
    </row>
    <row r="94" spans="1:7" x14ac:dyDescent="0.25">
      <c r="A94" s="353"/>
      <c r="B94" s="340"/>
      <c r="C94" s="341"/>
      <c r="D94" s="342"/>
      <c r="E94" s="343">
        <f t="shared" si="1"/>
        <v>0</v>
      </c>
      <c r="F94" s="345" t="s">
        <v>1493</v>
      </c>
      <c r="G94" s="332">
        <f>IF(F94="FACTURA",E94*1,IF(F94=$I$3,E94/0.845,))</f>
        <v>0</v>
      </c>
    </row>
    <row r="95" spans="1:7" x14ac:dyDescent="0.25">
      <c r="A95" s="353"/>
      <c r="B95" s="340"/>
      <c r="C95" s="341"/>
      <c r="D95" s="342"/>
      <c r="E95" s="343">
        <f t="shared" si="1"/>
        <v>0</v>
      </c>
      <c r="F95" s="345" t="s">
        <v>14</v>
      </c>
      <c r="G95" s="332">
        <f>IF(F95="FACTURA",E95*1,IF(F95=$I$3,E95/0.845,))</f>
        <v>0</v>
      </c>
    </row>
    <row r="96" spans="1:7" ht="15.75" thickBot="1" x14ac:dyDescent="0.3">
      <c r="A96" s="354"/>
      <c r="B96" s="347"/>
      <c r="C96" s="341"/>
      <c r="D96" s="342"/>
      <c r="E96" s="348">
        <f t="shared" si="1"/>
        <v>0</v>
      </c>
      <c r="F96" s="349" t="s">
        <v>14</v>
      </c>
      <c r="G96" s="332">
        <f>IF(F96="FACTURA",E96*1,IF(F96=$I$3,E96/0.845,))</f>
        <v>0</v>
      </c>
    </row>
    <row r="97" spans="1:7" ht="15.75" thickBot="1" x14ac:dyDescent="0.3">
      <c r="A97" s="336">
        <v>6</v>
      </c>
      <c r="B97" s="529" t="s">
        <v>1</v>
      </c>
      <c r="C97" s="530"/>
      <c r="D97" s="530"/>
      <c r="E97" s="530"/>
      <c r="F97" s="531"/>
      <c r="G97" s="330">
        <f>G98+G104+G110+G116+G122+G128+G134</f>
        <v>0</v>
      </c>
    </row>
    <row r="98" spans="1:7" ht="15.75" thickBot="1" x14ac:dyDescent="0.3">
      <c r="A98" s="338">
        <v>6.1</v>
      </c>
      <c r="B98" s="533" t="s">
        <v>1470</v>
      </c>
      <c r="C98" s="534"/>
      <c r="D98" s="534"/>
      <c r="E98" s="534"/>
      <c r="F98" s="535"/>
      <c r="G98" s="330">
        <f>SUM(G99:G103)</f>
        <v>0</v>
      </c>
    </row>
    <row r="99" spans="1:7" x14ac:dyDescent="0.25">
      <c r="A99" s="339"/>
      <c r="B99" s="340"/>
      <c r="C99" s="341"/>
      <c r="D99" s="342"/>
      <c r="E99" s="342">
        <f t="shared" si="1"/>
        <v>0</v>
      </c>
      <c r="F99" s="344" t="s">
        <v>14</v>
      </c>
      <c r="G99" s="332">
        <f>IF(F99="FACTURA",E99*1,IF(F99=$I$3,E99/0.92,))</f>
        <v>0</v>
      </c>
    </row>
    <row r="100" spans="1:7" x14ac:dyDescent="0.25">
      <c r="A100" s="350"/>
      <c r="B100" s="340"/>
      <c r="C100" s="341"/>
      <c r="D100" s="342"/>
      <c r="E100" s="343">
        <f t="shared" si="1"/>
        <v>0</v>
      </c>
      <c r="F100" s="345" t="s">
        <v>14</v>
      </c>
      <c r="G100" s="332">
        <f>IF(F100="FACTURA",E100*1,IF(F100=$I$3,E100/0.92,))</f>
        <v>0</v>
      </c>
    </row>
    <row r="101" spans="1:7" x14ac:dyDescent="0.25">
      <c r="A101" s="350"/>
      <c r="B101" s="340"/>
      <c r="C101" s="341"/>
      <c r="D101" s="342"/>
      <c r="E101" s="343">
        <f t="shared" si="1"/>
        <v>0</v>
      </c>
      <c r="F101" s="345" t="s">
        <v>1493</v>
      </c>
      <c r="G101" s="332">
        <f>IF(F101="FACTURA",E101*1,IF(F101=$I$3,E101/0.92,))</f>
        <v>0</v>
      </c>
    </row>
    <row r="102" spans="1:7" x14ac:dyDescent="0.25">
      <c r="A102" s="350"/>
      <c r="B102" s="340"/>
      <c r="C102" s="341"/>
      <c r="D102" s="342"/>
      <c r="E102" s="343">
        <f t="shared" si="1"/>
        <v>0</v>
      </c>
      <c r="F102" s="345" t="s">
        <v>14</v>
      </c>
      <c r="G102" s="332">
        <f>IF(F102="FACTURA",E102*1,IF(F102=$I$3,E102/0.92,))</f>
        <v>0</v>
      </c>
    </row>
    <row r="103" spans="1:7" ht="15.75" thickBot="1" x14ac:dyDescent="0.3">
      <c r="A103" s="351"/>
      <c r="B103" s="347"/>
      <c r="C103" s="341"/>
      <c r="D103" s="342"/>
      <c r="E103" s="348">
        <f t="shared" si="1"/>
        <v>0</v>
      </c>
      <c r="F103" s="349" t="s">
        <v>14</v>
      </c>
      <c r="G103" s="332">
        <f>IF(F103="FACTURA",E103*1,IF(F103=$I$3,E103/0.92,))</f>
        <v>0</v>
      </c>
    </row>
    <row r="104" spans="1:7" ht="15.75" thickBot="1" x14ac:dyDescent="0.3">
      <c r="A104" s="338">
        <v>6.2</v>
      </c>
      <c r="B104" s="533" t="s">
        <v>1471</v>
      </c>
      <c r="C104" s="534"/>
      <c r="D104" s="534"/>
      <c r="E104" s="534"/>
      <c r="F104" s="535"/>
      <c r="G104" s="330">
        <f>SUM(G105:G109)</f>
        <v>0</v>
      </c>
    </row>
    <row r="105" spans="1:7" x14ac:dyDescent="0.25">
      <c r="A105" s="339"/>
      <c r="B105" s="340" t="s">
        <v>1472</v>
      </c>
      <c r="C105" s="341"/>
      <c r="D105" s="342"/>
      <c r="E105" s="342">
        <f t="shared" si="1"/>
        <v>0</v>
      </c>
      <c r="F105" s="344" t="s">
        <v>14</v>
      </c>
      <c r="G105" s="332">
        <f>IF(F105="FACTURA",E105*1,IF(F105=$I$3,E105/0.92,))</f>
        <v>0</v>
      </c>
    </row>
    <row r="106" spans="1:7" x14ac:dyDescent="0.25">
      <c r="A106" s="350"/>
      <c r="B106" s="340"/>
      <c r="C106" s="341"/>
      <c r="D106" s="342"/>
      <c r="E106" s="343">
        <f t="shared" si="1"/>
        <v>0</v>
      </c>
      <c r="F106" s="345" t="s">
        <v>14</v>
      </c>
      <c r="G106" s="332">
        <f>IF(F106="FACTURA",E106*1,IF(F106=$I$3,E106/0.92,))</f>
        <v>0</v>
      </c>
    </row>
    <row r="107" spans="1:7" x14ac:dyDescent="0.25">
      <c r="A107" s="350"/>
      <c r="B107" s="340"/>
      <c r="C107" s="341"/>
      <c r="D107" s="342"/>
      <c r="E107" s="343">
        <f t="shared" si="1"/>
        <v>0</v>
      </c>
      <c r="F107" s="345" t="s">
        <v>14</v>
      </c>
      <c r="G107" s="332">
        <f>IF(F107="FACTURA",E107*1,IF(F107=$I$3,E107/0.92,))</f>
        <v>0</v>
      </c>
    </row>
    <row r="108" spans="1:7" x14ac:dyDescent="0.25">
      <c r="A108" s="350"/>
      <c r="B108" s="340"/>
      <c r="C108" s="341"/>
      <c r="D108" s="342"/>
      <c r="E108" s="343">
        <f t="shared" si="1"/>
        <v>0</v>
      </c>
      <c r="F108" s="345" t="s">
        <v>1493</v>
      </c>
      <c r="G108" s="332">
        <f>IF(F108="FACTURA",E108*1,IF(F108=$I$3,E108/0.92,))</f>
        <v>0</v>
      </c>
    </row>
    <row r="109" spans="1:7" ht="15.75" thickBot="1" x14ac:dyDescent="0.3">
      <c r="A109" s="351"/>
      <c r="B109" s="347"/>
      <c r="C109" s="341"/>
      <c r="D109" s="342"/>
      <c r="E109" s="348">
        <f t="shared" si="1"/>
        <v>0</v>
      </c>
      <c r="F109" s="349" t="s">
        <v>14</v>
      </c>
      <c r="G109" s="332">
        <f>IF(F109="FACTURA",E109*1,IF(F109=$I$3,E109/0.92,))</f>
        <v>0</v>
      </c>
    </row>
    <row r="110" spans="1:7" ht="15.75" thickBot="1" x14ac:dyDescent="0.3">
      <c r="A110" s="338">
        <v>6.3</v>
      </c>
      <c r="B110" s="533" t="s">
        <v>1400</v>
      </c>
      <c r="C110" s="534"/>
      <c r="D110" s="534"/>
      <c r="E110" s="534"/>
      <c r="F110" s="535"/>
      <c r="G110" s="330">
        <f>SUM(G111:G115)</f>
        <v>0</v>
      </c>
    </row>
    <row r="111" spans="1:7" x14ac:dyDescent="0.25">
      <c r="A111" s="339"/>
      <c r="B111" s="340"/>
      <c r="C111" s="341"/>
      <c r="D111" s="342"/>
      <c r="E111" s="342">
        <f t="shared" si="1"/>
        <v>0</v>
      </c>
      <c r="F111" s="344" t="s">
        <v>14</v>
      </c>
      <c r="G111" s="332">
        <f>IF(F111="FACTURA",E111*1,IF(F111=$I$3,E111/0.92,))</f>
        <v>0</v>
      </c>
    </row>
    <row r="112" spans="1:7" x14ac:dyDescent="0.25">
      <c r="A112" s="350"/>
      <c r="B112" s="340"/>
      <c r="C112" s="341"/>
      <c r="D112" s="342"/>
      <c r="E112" s="343">
        <f t="shared" si="1"/>
        <v>0</v>
      </c>
      <c r="F112" s="345" t="s">
        <v>14</v>
      </c>
      <c r="G112" s="332">
        <f>IF(F112="FACTURA",E112*1,IF(F112=$I$3,E112/0.92,))</f>
        <v>0</v>
      </c>
    </row>
    <row r="113" spans="1:7" x14ac:dyDescent="0.25">
      <c r="A113" s="350"/>
      <c r="B113" s="340"/>
      <c r="C113" s="341"/>
      <c r="D113" s="342"/>
      <c r="E113" s="343">
        <f t="shared" si="1"/>
        <v>0</v>
      </c>
      <c r="F113" s="345" t="s">
        <v>1493</v>
      </c>
      <c r="G113" s="332">
        <f>IF(F113="FACTURA",E113*1,IF(F113=$I$3,E113/0.92,))</f>
        <v>0</v>
      </c>
    </row>
    <row r="114" spans="1:7" x14ac:dyDescent="0.25">
      <c r="A114" s="350"/>
      <c r="B114" s="340"/>
      <c r="C114" s="341"/>
      <c r="D114" s="342"/>
      <c r="E114" s="343">
        <f t="shared" si="1"/>
        <v>0</v>
      </c>
      <c r="F114" s="345" t="s">
        <v>14</v>
      </c>
      <c r="G114" s="332">
        <f>IF(F114="FACTURA",E114*1,IF(F114=$I$3,E114/0.92,))</f>
        <v>0</v>
      </c>
    </row>
    <row r="115" spans="1:7" ht="15.75" thickBot="1" x14ac:dyDescent="0.3">
      <c r="A115" s="351"/>
      <c r="B115" s="347"/>
      <c r="C115" s="341"/>
      <c r="D115" s="342"/>
      <c r="E115" s="348">
        <f t="shared" si="1"/>
        <v>0</v>
      </c>
      <c r="F115" s="349" t="s">
        <v>14</v>
      </c>
      <c r="G115" s="332">
        <f>IF(F115="FACTURA",E115*1,IF(F115=$I$3,E115/0.92,))</f>
        <v>0</v>
      </c>
    </row>
    <row r="116" spans="1:7" ht="15.75" thickBot="1" x14ac:dyDescent="0.3">
      <c r="A116" s="338">
        <v>6.4</v>
      </c>
      <c r="B116" s="533" t="s">
        <v>1473</v>
      </c>
      <c r="C116" s="534"/>
      <c r="D116" s="534"/>
      <c r="E116" s="534"/>
      <c r="F116" s="535"/>
      <c r="G116" s="330">
        <f>SUM(G117:G121)</f>
        <v>0</v>
      </c>
    </row>
    <row r="117" spans="1:7" x14ac:dyDescent="0.25">
      <c r="A117" s="339"/>
      <c r="B117" s="340"/>
      <c r="C117" s="341"/>
      <c r="D117" s="342"/>
      <c r="E117" s="342">
        <f t="shared" si="1"/>
        <v>0</v>
      </c>
      <c r="F117" s="344" t="s">
        <v>14</v>
      </c>
      <c r="G117" s="332">
        <f>IF(F117="FACTURA",E117*1,IF(F117=$I$3,E117/0.92,))</f>
        <v>0</v>
      </c>
    </row>
    <row r="118" spans="1:7" x14ac:dyDescent="0.25">
      <c r="A118" s="350"/>
      <c r="B118" s="340"/>
      <c r="C118" s="341"/>
      <c r="D118" s="342"/>
      <c r="E118" s="343">
        <f t="shared" si="1"/>
        <v>0</v>
      </c>
      <c r="F118" s="345" t="s">
        <v>14</v>
      </c>
      <c r="G118" s="332">
        <f>IF(F118="FACTURA",E118*1,IF(F118=$I$3,E118/0.92,))</f>
        <v>0</v>
      </c>
    </row>
    <row r="119" spans="1:7" x14ac:dyDescent="0.25">
      <c r="A119" s="350"/>
      <c r="B119" s="340"/>
      <c r="C119" s="341"/>
      <c r="D119" s="342"/>
      <c r="E119" s="343">
        <f t="shared" si="1"/>
        <v>0</v>
      </c>
      <c r="F119" s="345" t="s">
        <v>1493</v>
      </c>
      <c r="G119" s="332">
        <f>IF(F119="FACTURA",E119*1,IF(F119=$I$3,E119/0.92,))</f>
        <v>0</v>
      </c>
    </row>
    <row r="120" spans="1:7" x14ac:dyDescent="0.25">
      <c r="A120" s="350"/>
      <c r="B120" s="340"/>
      <c r="C120" s="341"/>
      <c r="D120" s="342"/>
      <c r="E120" s="343">
        <f t="shared" si="1"/>
        <v>0</v>
      </c>
      <c r="F120" s="345" t="s">
        <v>14</v>
      </c>
      <c r="G120" s="332">
        <f>IF(F120="FACTURA",E120*1,IF(F120=$I$3,E120/0.92,))</f>
        <v>0</v>
      </c>
    </row>
    <row r="121" spans="1:7" ht="15.75" thickBot="1" x14ac:dyDescent="0.3">
      <c r="A121" s="351"/>
      <c r="B121" s="347"/>
      <c r="C121" s="360"/>
      <c r="D121" s="342"/>
      <c r="E121" s="348">
        <f t="shared" si="1"/>
        <v>0</v>
      </c>
      <c r="F121" s="349" t="s">
        <v>14</v>
      </c>
      <c r="G121" s="332">
        <f>IF(F121="FACTURA",E121*1,IF(F121=$I$3,E121/0.92,))</f>
        <v>0</v>
      </c>
    </row>
    <row r="122" spans="1:7" ht="15.75" thickBot="1" x14ac:dyDescent="0.3">
      <c r="A122" s="338">
        <v>6.5</v>
      </c>
      <c r="B122" s="533" t="s">
        <v>1474</v>
      </c>
      <c r="C122" s="534"/>
      <c r="D122" s="534"/>
      <c r="E122" s="534"/>
      <c r="F122" s="535"/>
      <c r="G122" s="330">
        <f>SUM(G123:G127)</f>
        <v>0</v>
      </c>
    </row>
    <row r="123" spans="1:7" x14ac:dyDescent="0.25">
      <c r="A123" s="339"/>
      <c r="B123" s="340" t="s">
        <v>1475</v>
      </c>
      <c r="C123" s="341"/>
      <c r="D123" s="342"/>
      <c r="E123" s="342">
        <f t="shared" si="1"/>
        <v>0</v>
      </c>
      <c r="F123" s="344" t="s">
        <v>14</v>
      </c>
      <c r="G123" s="332">
        <f>IF(F123="FACTURA",E123*1,IF(F123=$I$3,E123/0.92,))</f>
        <v>0</v>
      </c>
    </row>
    <row r="124" spans="1:7" x14ac:dyDescent="0.25">
      <c r="A124" s="350"/>
      <c r="B124" s="340"/>
      <c r="C124" s="341"/>
      <c r="D124" s="342"/>
      <c r="E124" s="343">
        <f t="shared" si="1"/>
        <v>0</v>
      </c>
      <c r="F124" s="345" t="s">
        <v>14</v>
      </c>
      <c r="G124" s="332">
        <f>IF(F124="FACTURA",E124*1,IF(F124=$I$3,E124/0.92,))</f>
        <v>0</v>
      </c>
    </row>
    <row r="125" spans="1:7" x14ac:dyDescent="0.25">
      <c r="A125" s="350"/>
      <c r="B125" s="340"/>
      <c r="C125" s="341"/>
      <c r="D125" s="342"/>
      <c r="E125" s="343">
        <f t="shared" si="1"/>
        <v>0</v>
      </c>
      <c r="F125" s="345" t="s">
        <v>1493</v>
      </c>
      <c r="G125" s="332">
        <f>IF(F125="FACTURA",E125*1,IF(F125=$I$3,E125/0.92,))</f>
        <v>0</v>
      </c>
    </row>
    <row r="126" spans="1:7" x14ac:dyDescent="0.25">
      <c r="A126" s="350"/>
      <c r="B126" s="340"/>
      <c r="C126" s="341"/>
      <c r="D126" s="342"/>
      <c r="E126" s="343">
        <f t="shared" si="1"/>
        <v>0</v>
      </c>
      <c r="F126" s="345" t="s">
        <v>14</v>
      </c>
      <c r="G126" s="332">
        <f>IF(F126="FACTURA",E126*1,IF(F126=$I$3,E126/0.92,))</f>
        <v>0</v>
      </c>
    </row>
    <row r="127" spans="1:7" ht="15.75" thickBot="1" x14ac:dyDescent="0.3">
      <c r="A127" s="351"/>
      <c r="B127" s="347"/>
      <c r="C127" s="341"/>
      <c r="D127" s="342"/>
      <c r="E127" s="348">
        <f t="shared" si="1"/>
        <v>0</v>
      </c>
      <c r="F127" s="349" t="s">
        <v>14</v>
      </c>
      <c r="G127" s="332">
        <f>IF(F127="FACTURA",E127*1,IF(F127=$I$3,E127/0.92,))</f>
        <v>0</v>
      </c>
    </row>
    <row r="128" spans="1:7" ht="15.75" thickBot="1" x14ac:dyDescent="0.3">
      <c r="A128" s="338">
        <v>6.6</v>
      </c>
      <c r="B128" s="533" t="s">
        <v>1476</v>
      </c>
      <c r="C128" s="534"/>
      <c r="D128" s="534"/>
      <c r="E128" s="534"/>
      <c r="F128" s="535"/>
      <c r="G128" s="330">
        <f>SUM(G129:G133)</f>
        <v>0</v>
      </c>
    </row>
    <row r="129" spans="1:7" x14ac:dyDescent="0.25">
      <c r="A129" s="339"/>
      <c r="B129" s="340"/>
      <c r="C129" s="341"/>
      <c r="D129" s="342"/>
      <c r="E129" s="342">
        <f t="shared" si="1"/>
        <v>0</v>
      </c>
      <c r="F129" s="344" t="s">
        <v>14</v>
      </c>
      <c r="G129" s="332">
        <f>IF(F129="FACTURA",E129*1,IF(F129=$I$3,E129/0.92,))</f>
        <v>0</v>
      </c>
    </row>
    <row r="130" spans="1:7" x14ac:dyDescent="0.25">
      <c r="A130" s="350"/>
      <c r="B130" s="340"/>
      <c r="C130" s="341"/>
      <c r="D130" s="342"/>
      <c r="E130" s="343">
        <f t="shared" si="1"/>
        <v>0</v>
      </c>
      <c r="F130" s="345" t="s">
        <v>14</v>
      </c>
      <c r="G130" s="332">
        <f>IF(F130="FACTURA",E130*1,IF(F130=$I$3,E130/0.92,))</f>
        <v>0</v>
      </c>
    </row>
    <row r="131" spans="1:7" x14ac:dyDescent="0.25">
      <c r="A131" s="350"/>
      <c r="B131" s="340"/>
      <c r="C131" s="341"/>
      <c r="D131" s="342"/>
      <c r="E131" s="343">
        <f t="shared" si="1"/>
        <v>0</v>
      </c>
      <c r="F131" s="345" t="s">
        <v>1493</v>
      </c>
      <c r="G131" s="332">
        <f>IF(F131="FACTURA",E131*1,IF(F131=$I$3,E131/0.92,))</f>
        <v>0</v>
      </c>
    </row>
    <row r="132" spans="1:7" x14ac:dyDescent="0.25">
      <c r="A132" s="350"/>
      <c r="B132" s="340"/>
      <c r="C132" s="341"/>
      <c r="D132" s="342"/>
      <c r="E132" s="343">
        <f t="shared" si="1"/>
        <v>0</v>
      </c>
      <c r="F132" s="345" t="s">
        <v>14</v>
      </c>
      <c r="G132" s="332">
        <f>IF(F132="FACTURA",E132*1,IF(F132=$I$3,E132/0.92,))</f>
        <v>0</v>
      </c>
    </row>
    <row r="133" spans="1:7" ht="15.75" thickBot="1" x14ac:dyDescent="0.3">
      <c r="A133" s="351"/>
      <c r="B133" s="347"/>
      <c r="C133" s="341"/>
      <c r="D133" s="342"/>
      <c r="E133" s="348">
        <f t="shared" si="1"/>
        <v>0</v>
      </c>
      <c r="F133" s="349" t="s">
        <v>14</v>
      </c>
      <c r="G133" s="332">
        <f>IF(F133="FACTURA",E133*1,IF(F133=$I$3,E133/0.92,))</f>
        <v>0</v>
      </c>
    </row>
    <row r="134" spans="1:7" ht="15.75" thickBot="1" x14ac:dyDescent="0.3">
      <c r="A134" s="338">
        <v>6.7</v>
      </c>
      <c r="B134" s="533" t="s">
        <v>1477</v>
      </c>
      <c r="C134" s="534"/>
      <c r="D134" s="534"/>
      <c r="E134" s="534"/>
      <c r="F134" s="535"/>
      <c r="G134" s="330">
        <f>SUM(G135:G139)</f>
        <v>0</v>
      </c>
    </row>
    <row r="135" spans="1:7" x14ac:dyDescent="0.25">
      <c r="A135" s="352"/>
      <c r="B135" s="340"/>
      <c r="C135" s="341"/>
      <c r="D135" s="342"/>
      <c r="E135" s="342">
        <f t="shared" si="1"/>
        <v>0</v>
      </c>
      <c r="F135" s="344" t="s">
        <v>14</v>
      </c>
      <c r="G135" s="332">
        <f>IF(F135="FACTURA",E135*1,IF(F135=$I$3,E135/0.92,))</f>
        <v>0</v>
      </c>
    </row>
    <row r="136" spans="1:7" x14ac:dyDescent="0.25">
      <c r="A136" s="353"/>
      <c r="B136" s="340"/>
      <c r="C136" s="341"/>
      <c r="D136" s="342"/>
      <c r="E136" s="343">
        <f t="shared" si="1"/>
        <v>0</v>
      </c>
      <c r="F136" s="345" t="s">
        <v>1493</v>
      </c>
      <c r="G136" s="332">
        <f>IF(F136="FACTURA",E136*1,IF(F136=$I$3,E136/0.92,))</f>
        <v>0</v>
      </c>
    </row>
    <row r="137" spans="1:7" x14ac:dyDescent="0.25">
      <c r="A137" s="353"/>
      <c r="B137" s="340"/>
      <c r="C137" s="341"/>
      <c r="D137" s="342"/>
      <c r="E137" s="343">
        <f t="shared" si="1"/>
        <v>0</v>
      </c>
      <c r="F137" s="345" t="s">
        <v>14</v>
      </c>
      <c r="G137" s="332">
        <f>IF(F137="FACTURA",E137*1,IF(F137=$I$3,E137/0.92,))</f>
        <v>0</v>
      </c>
    </row>
    <row r="138" spans="1:7" x14ac:dyDescent="0.25">
      <c r="A138" s="353"/>
      <c r="B138" s="340"/>
      <c r="C138" s="341"/>
      <c r="D138" s="342"/>
      <c r="E138" s="343">
        <f t="shared" si="1"/>
        <v>0</v>
      </c>
      <c r="F138" s="345" t="s">
        <v>14</v>
      </c>
      <c r="G138" s="332">
        <f>IF(F138="FACTURA",E138*1,IF(F138=$I$3,E138/0.92,))</f>
        <v>0</v>
      </c>
    </row>
    <row r="139" spans="1:7" ht="15.75" thickBot="1" x14ac:dyDescent="0.3">
      <c r="A139" s="354"/>
      <c r="B139" s="347"/>
      <c r="C139" s="341"/>
      <c r="D139" s="342"/>
      <c r="E139" s="348">
        <f t="shared" ref="E139:E194" si="2">+D139*C139</f>
        <v>0</v>
      </c>
      <c r="F139" s="349" t="s">
        <v>14</v>
      </c>
      <c r="G139" s="332">
        <f>IF(F139="FACTURA",E139*1,IF(F139=$I$3,E139/0.92,))</f>
        <v>0</v>
      </c>
    </row>
    <row r="140" spans="1:7" ht="15.75" thickBot="1" x14ac:dyDescent="0.3">
      <c r="A140" s="336">
        <v>7</v>
      </c>
      <c r="B140" s="529" t="s">
        <v>1478</v>
      </c>
      <c r="C140" s="530"/>
      <c r="D140" s="530"/>
      <c r="E140" s="530"/>
      <c r="F140" s="531"/>
      <c r="G140" s="330">
        <f>G141+G147+G153+G159+G165+G171+G177+G183+G189</f>
        <v>0</v>
      </c>
    </row>
    <row r="141" spans="1:7" ht="15.75" thickBot="1" x14ac:dyDescent="0.3">
      <c r="A141" s="338">
        <v>7.1</v>
      </c>
      <c r="B141" s="533" t="s">
        <v>1479</v>
      </c>
      <c r="C141" s="534"/>
      <c r="D141" s="534"/>
      <c r="E141" s="534"/>
      <c r="F141" s="535"/>
      <c r="G141" s="330">
        <f>SUM(G142:G146)</f>
        <v>0</v>
      </c>
    </row>
    <row r="142" spans="1:7" x14ac:dyDescent="0.25">
      <c r="A142" s="339"/>
      <c r="B142" s="340"/>
      <c r="C142" s="341"/>
      <c r="D142" s="342"/>
      <c r="E142" s="342">
        <f t="shared" si="2"/>
        <v>0</v>
      </c>
      <c r="F142" s="344" t="s">
        <v>14</v>
      </c>
      <c r="G142" s="332">
        <f>IF(F142="FACTURA",E142*1,IF(F142=$I$3,E142/0.845,))</f>
        <v>0</v>
      </c>
    </row>
    <row r="143" spans="1:7" x14ac:dyDescent="0.25">
      <c r="A143" s="350"/>
      <c r="B143" s="340"/>
      <c r="C143" s="341"/>
      <c r="D143" s="342"/>
      <c r="E143" s="343">
        <f t="shared" si="2"/>
        <v>0</v>
      </c>
      <c r="F143" s="345" t="s">
        <v>14</v>
      </c>
      <c r="G143" s="332">
        <f>IF(F143="FACTURA",E143*1,IF(F143=$I$3,E143/0.845,))</f>
        <v>0</v>
      </c>
    </row>
    <row r="144" spans="1:7" x14ac:dyDescent="0.25">
      <c r="A144" s="350"/>
      <c r="B144" s="340"/>
      <c r="C144" s="341"/>
      <c r="D144" s="342"/>
      <c r="E144" s="343">
        <f t="shared" si="2"/>
        <v>0</v>
      </c>
      <c r="F144" s="345" t="s">
        <v>1493</v>
      </c>
      <c r="G144" s="332">
        <f>IF(F144="FACTURA",E144*1,IF(F144=$I$3,E144/0.845,))</f>
        <v>0</v>
      </c>
    </row>
    <row r="145" spans="1:7" x14ac:dyDescent="0.25">
      <c r="A145" s="350"/>
      <c r="B145" s="340"/>
      <c r="C145" s="341"/>
      <c r="D145" s="342"/>
      <c r="E145" s="343">
        <f t="shared" si="2"/>
        <v>0</v>
      </c>
      <c r="F145" s="345" t="s">
        <v>14</v>
      </c>
      <c r="G145" s="332">
        <f>IF(F145="FACTURA",E145*1,IF(F145=$I$3,E145/0.845,))</f>
        <v>0</v>
      </c>
    </row>
    <row r="146" spans="1:7" ht="15.75" thickBot="1" x14ac:dyDescent="0.3">
      <c r="A146" s="351"/>
      <c r="B146" s="347"/>
      <c r="C146" s="341"/>
      <c r="D146" s="342"/>
      <c r="E146" s="348">
        <f t="shared" si="2"/>
        <v>0</v>
      </c>
      <c r="F146" s="349" t="s">
        <v>14</v>
      </c>
      <c r="G146" s="332">
        <f>IF(F146="FACTURA",E146*1,IF(F146=$I$3,E146/0.845,))</f>
        <v>0</v>
      </c>
    </row>
    <row r="147" spans="1:7" ht="15.75" thickBot="1" x14ac:dyDescent="0.3">
      <c r="A147" s="338">
        <v>7.2</v>
      </c>
      <c r="B147" s="533" t="s">
        <v>1480</v>
      </c>
      <c r="C147" s="534"/>
      <c r="D147" s="534"/>
      <c r="E147" s="534"/>
      <c r="F147" s="535"/>
      <c r="G147" s="330">
        <f>SUM(G148:G152)</f>
        <v>0</v>
      </c>
    </row>
    <row r="148" spans="1:7" x14ac:dyDescent="0.25">
      <c r="A148" s="339"/>
      <c r="B148" s="340"/>
      <c r="C148" s="341"/>
      <c r="D148" s="342"/>
      <c r="E148" s="342">
        <f t="shared" si="2"/>
        <v>0</v>
      </c>
      <c r="F148" s="344" t="s">
        <v>14</v>
      </c>
      <c r="G148" s="332">
        <f>IF(F148="FACTURA",E148*1,IF(F148=$I$3,E148/0.845,))</f>
        <v>0</v>
      </c>
    </row>
    <row r="149" spans="1:7" x14ac:dyDescent="0.25">
      <c r="A149" s="350"/>
      <c r="B149" s="340"/>
      <c r="C149" s="341"/>
      <c r="D149" s="342"/>
      <c r="E149" s="343">
        <f t="shared" si="2"/>
        <v>0</v>
      </c>
      <c r="F149" s="345" t="s">
        <v>14</v>
      </c>
      <c r="G149" s="332">
        <f>IF(F149="FACTURA",E149*1,IF(F149=$I$3,E149/0.845,))</f>
        <v>0</v>
      </c>
    </row>
    <row r="150" spans="1:7" x14ac:dyDescent="0.25">
      <c r="A150" s="350"/>
      <c r="B150" s="340"/>
      <c r="C150" s="341"/>
      <c r="D150" s="342"/>
      <c r="E150" s="343">
        <f t="shared" si="2"/>
        <v>0</v>
      </c>
      <c r="F150" s="345" t="s">
        <v>14</v>
      </c>
      <c r="G150" s="332">
        <f>IF(F150="FACTURA",E150*1,IF(F150=$I$3,E150/0.845,))</f>
        <v>0</v>
      </c>
    </row>
    <row r="151" spans="1:7" x14ac:dyDescent="0.25">
      <c r="A151" s="350"/>
      <c r="B151" s="340"/>
      <c r="C151" s="341"/>
      <c r="D151" s="342"/>
      <c r="E151" s="343">
        <f t="shared" si="2"/>
        <v>0</v>
      </c>
      <c r="F151" s="345" t="s">
        <v>1493</v>
      </c>
      <c r="G151" s="332">
        <f>IF(F151="FACTURA",E151*1,IF(F151=$I$3,E151/0.845,))</f>
        <v>0</v>
      </c>
    </row>
    <row r="152" spans="1:7" ht="15.75" thickBot="1" x14ac:dyDescent="0.3">
      <c r="A152" s="351"/>
      <c r="B152" s="347"/>
      <c r="C152" s="341"/>
      <c r="D152" s="342"/>
      <c r="E152" s="348">
        <f t="shared" si="2"/>
        <v>0</v>
      </c>
      <c r="F152" s="349" t="s">
        <v>14</v>
      </c>
      <c r="G152" s="332">
        <f>IF(F152="FACTURA",E152*1,IF(F152=$I$3,E152/0.845,))</f>
        <v>0</v>
      </c>
    </row>
    <row r="153" spans="1:7" ht="15.75" thickBot="1" x14ac:dyDescent="0.3">
      <c r="A153" s="338">
        <v>7.3</v>
      </c>
      <c r="B153" s="533" t="s">
        <v>1481</v>
      </c>
      <c r="C153" s="534"/>
      <c r="D153" s="534"/>
      <c r="E153" s="534"/>
      <c r="F153" s="535"/>
      <c r="G153" s="330">
        <f>SUM(G154:G158)</f>
        <v>0</v>
      </c>
    </row>
    <row r="154" spans="1:7" x14ac:dyDescent="0.25">
      <c r="A154" s="339"/>
      <c r="B154" s="340"/>
      <c r="C154" s="341"/>
      <c r="D154" s="342"/>
      <c r="E154" s="342">
        <f t="shared" si="2"/>
        <v>0</v>
      </c>
      <c r="F154" s="344" t="s">
        <v>14</v>
      </c>
      <c r="G154" s="332">
        <f>IF(F154="FACTURA",E154*1,IF(F154=$I$3,E154/0.845,))</f>
        <v>0</v>
      </c>
    </row>
    <row r="155" spans="1:7" x14ac:dyDescent="0.25">
      <c r="A155" s="350"/>
      <c r="B155" s="340"/>
      <c r="C155" s="341"/>
      <c r="D155" s="342"/>
      <c r="E155" s="343">
        <f t="shared" si="2"/>
        <v>0</v>
      </c>
      <c r="F155" s="345" t="s">
        <v>14</v>
      </c>
      <c r="G155" s="332">
        <f>IF(F155="FACTURA",E155*1,IF(F155=$I$3,E155/0.845,))</f>
        <v>0</v>
      </c>
    </row>
    <row r="156" spans="1:7" x14ac:dyDescent="0.25">
      <c r="A156" s="350"/>
      <c r="B156" s="340"/>
      <c r="C156" s="341"/>
      <c r="D156" s="342"/>
      <c r="E156" s="343">
        <f t="shared" si="2"/>
        <v>0</v>
      </c>
      <c r="F156" s="345" t="s">
        <v>1493</v>
      </c>
      <c r="G156" s="332">
        <f>IF(F156="FACTURA",E156*1,IF(F156=$I$3,E156/0.845,))</f>
        <v>0</v>
      </c>
    </row>
    <row r="157" spans="1:7" x14ac:dyDescent="0.25">
      <c r="A157" s="350"/>
      <c r="B157" s="340"/>
      <c r="C157" s="341"/>
      <c r="D157" s="342"/>
      <c r="E157" s="343">
        <f t="shared" si="2"/>
        <v>0</v>
      </c>
      <c r="F157" s="345" t="s">
        <v>14</v>
      </c>
      <c r="G157" s="332">
        <f>IF(F157="FACTURA",E157*1,IF(F157=$I$3,E157/0.845,))</f>
        <v>0</v>
      </c>
    </row>
    <row r="158" spans="1:7" ht="15.75" thickBot="1" x14ac:dyDescent="0.3">
      <c r="A158" s="351"/>
      <c r="B158" s="347"/>
      <c r="C158" s="341"/>
      <c r="D158" s="342"/>
      <c r="E158" s="348">
        <f t="shared" si="2"/>
        <v>0</v>
      </c>
      <c r="F158" s="349" t="s">
        <v>14</v>
      </c>
      <c r="G158" s="332">
        <f>IF(F158="FACTURA",E158*1,IF(F158=$I$3,E158/0.845,))</f>
        <v>0</v>
      </c>
    </row>
    <row r="159" spans="1:7" ht="15.75" thickBot="1" x14ac:dyDescent="0.3">
      <c r="A159" s="338">
        <v>7.4</v>
      </c>
      <c r="B159" s="533" t="s">
        <v>1482</v>
      </c>
      <c r="C159" s="534"/>
      <c r="D159" s="534"/>
      <c r="E159" s="534"/>
      <c r="F159" s="535"/>
      <c r="G159" s="330">
        <f>SUM(G160:G164)</f>
        <v>0</v>
      </c>
    </row>
    <row r="160" spans="1:7" x14ac:dyDescent="0.25">
      <c r="A160" s="339"/>
      <c r="B160" s="340"/>
      <c r="C160" s="341"/>
      <c r="D160" s="342"/>
      <c r="E160" s="342">
        <f t="shared" si="2"/>
        <v>0</v>
      </c>
      <c r="F160" s="344" t="s">
        <v>14</v>
      </c>
      <c r="G160" s="332">
        <f>IF(F160="FACTURA",E160*1,IF(F160=$I$3,E160/0.845,))</f>
        <v>0</v>
      </c>
    </row>
    <row r="161" spans="1:7" x14ac:dyDescent="0.25">
      <c r="A161" s="350"/>
      <c r="B161" s="340"/>
      <c r="C161" s="341"/>
      <c r="D161" s="342"/>
      <c r="E161" s="343">
        <f t="shared" si="2"/>
        <v>0</v>
      </c>
      <c r="F161" s="345" t="s">
        <v>14</v>
      </c>
      <c r="G161" s="332">
        <f>IF(F161="FACTURA",E161*1,IF(F161=$I$3,E161/0.845,))</f>
        <v>0</v>
      </c>
    </row>
    <row r="162" spans="1:7" x14ac:dyDescent="0.25">
      <c r="A162" s="350"/>
      <c r="B162" s="340"/>
      <c r="C162" s="341"/>
      <c r="D162" s="342"/>
      <c r="E162" s="343">
        <f t="shared" si="2"/>
        <v>0</v>
      </c>
      <c r="F162" s="345" t="s">
        <v>14</v>
      </c>
      <c r="G162" s="332">
        <f>IF(F162="FACTURA",E162*1,IF(F162=$I$3,E162/0.845,))</f>
        <v>0</v>
      </c>
    </row>
    <row r="163" spans="1:7" x14ac:dyDescent="0.25">
      <c r="A163" s="350"/>
      <c r="B163" s="340"/>
      <c r="C163" s="341"/>
      <c r="D163" s="342"/>
      <c r="E163" s="343">
        <f t="shared" si="2"/>
        <v>0</v>
      </c>
      <c r="F163" s="345" t="s">
        <v>14</v>
      </c>
      <c r="G163" s="332">
        <f>IF(F163="FACTURA",E163*1,IF(F163=$I$3,E163/0.845,))</f>
        <v>0</v>
      </c>
    </row>
    <row r="164" spans="1:7" ht="15.75" thickBot="1" x14ac:dyDescent="0.3">
      <c r="A164" s="351"/>
      <c r="B164" s="347"/>
      <c r="C164" s="341"/>
      <c r="D164" s="342"/>
      <c r="E164" s="348">
        <f t="shared" si="2"/>
        <v>0</v>
      </c>
      <c r="F164" s="349" t="s">
        <v>1493</v>
      </c>
      <c r="G164" s="332">
        <f>IF(F164="FACTURA",E164*1,IF(F164=$I$3,E164/0.845,))</f>
        <v>0</v>
      </c>
    </row>
    <row r="165" spans="1:7" ht="15.75" thickBot="1" x14ac:dyDescent="0.3">
      <c r="A165" s="338">
        <v>7.5</v>
      </c>
      <c r="B165" s="533" t="s">
        <v>1483</v>
      </c>
      <c r="C165" s="534"/>
      <c r="D165" s="534"/>
      <c r="E165" s="534"/>
      <c r="F165" s="535"/>
      <c r="G165" s="330">
        <f>SUM(G166:G170)</f>
        <v>0</v>
      </c>
    </row>
    <row r="166" spans="1:7" x14ac:dyDescent="0.25">
      <c r="A166" s="339"/>
      <c r="B166" s="340"/>
      <c r="C166" s="341"/>
      <c r="D166" s="342"/>
      <c r="E166" s="342">
        <f t="shared" si="2"/>
        <v>0</v>
      </c>
      <c r="F166" s="344" t="s">
        <v>14</v>
      </c>
      <c r="G166" s="332">
        <f>IF(F166="FACTURA",E166*1,IF(F166=$I$3,E166/0.845,))</f>
        <v>0</v>
      </c>
    </row>
    <row r="167" spans="1:7" x14ac:dyDescent="0.25">
      <c r="A167" s="350"/>
      <c r="B167" s="340"/>
      <c r="C167" s="341"/>
      <c r="D167" s="342"/>
      <c r="E167" s="343">
        <f t="shared" si="2"/>
        <v>0</v>
      </c>
      <c r="F167" s="345" t="s">
        <v>14</v>
      </c>
      <c r="G167" s="332">
        <f>IF(F167="FACTURA",E167*1,IF(F167=$I$3,E167/0.845,))</f>
        <v>0</v>
      </c>
    </row>
    <row r="168" spans="1:7" x14ac:dyDescent="0.25">
      <c r="A168" s="350"/>
      <c r="B168" s="340"/>
      <c r="C168" s="341"/>
      <c r="D168" s="342"/>
      <c r="E168" s="343">
        <f t="shared" si="2"/>
        <v>0</v>
      </c>
      <c r="F168" s="345" t="s">
        <v>1493</v>
      </c>
      <c r="G168" s="332">
        <f>IF(F168="FACTURA",E168*1,IF(F168=$I$3,E168/0.845,))</f>
        <v>0</v>
      </c>
    </row>
    <row r="169" spans="1:7" x14ac:dyDescent="0.25">
      <c r="A169" s="350"/>
      <c r="B169" s="340"/>
      <c r="C169" s="341"/>
      <c r="D169" s="342"/>
      <c r="E169" s="343">
        <f t="shared" si="2"/>
        <v>0</v>
      </c>
      <c r="F169" s="345" t="s">
        <v>14</v>
      </c>
      <c r="G169" s="332">
        <f>IF(F169="FACTURA",E169*1,IF(F169=$I$3,E169/0.845,))</f>
        <v>0</v>
      </c>
    </row>
    <row r="170" spans="1:7" ht="15.75" thickBot="1" x14ac:dyDescent="0.3">
      <c r="A170" s="351"/>
      <c r="B170" s="347"/>
      <c r="C170" s="341"/>
      <c r="D170" s="342"/>
      <c r="E170" s="348">
        <f t="shared" si="2"/>
        <v>0</v>
      </c>
      <c r="F170" s="349" t="s">
        <v>14</v>
      </c>
      <c r="G170" s="332">
        <f>IF(F170="FACTURA",E170*1,IF(F170=$I$3,E170/0.845,))</f>
        <v>0</v>
      </c>
    </row>
    <row r="171" spans="1:7" ht="15.75" thickBot="1" x14ac:dyDescent="0.3">
      <c r="A171" s="338">
        <v>7.6</v>
      </c>
      <c r="B171" s="533" t="s">
        <v>1484</v>
      </c>
      <c r="C171" s="534"/>
      <c r="D171" s="534"/>
      <c r="E171" s="534"/>
      <c r="F171" s="535"/>
      <c r="G171" s="330">
        <f>SUM(G172:G176)</f>
        <v>0</v>
      </c>
    </row>
    <row r="172" spans="1:7" x14ac:dyDescent="0.25">
      <c r="A172" s="339"/>
      <c r="B172" s="340"/>
      <c r="C172" s="341"/>
      <c r="D172" s="342"/>
      <c r="E172" s="342">
        <f t="shared" si="2"/>
        <v>0</v>
      </c>
      <c r="F172" s="344" t="s">
        <v>14</v>
      </c>
      <c r="G172" s="332">
        <f>IF(F172="FACTURA",E172*1,IF(F172=$I$3,E172/0.845,))</f>
        <v>0</v>
      </c>
    </row>
    <row r="173" spans="1:7" x14ac:dyDescent="0.25">
      <c r="A173" s="350"/>
      <c r="B173" s="340"/>
      <c r="C173" s="341"/>
      <c r="D173" s="342"/>
      <c r="E173" s="343">
        <f t="shared" si="2"/>
        <v>0</v>
      </c>
      <c r="F173" s="345" t="s">
        <v>14</v>
      </c>
      <c r="G173" s="332">
        <f>IF(F173="FACTURA",E173*1,IF(F173=$I$3,E173/0.845,))</f>
        <v>0</v>
      </c>
    </row>
    <row r="174" spans="1:7" x14ac:dyDescent="0.25">
      <c r="A174" s="350"/>
      <c r="B174" s="340"/>
      <c r="C174" s="341"/>
      <c r="D174" s="342"/>
      <c r="E174" s="343">
        <f t="shared" si="2"/>
        <v>0</v>
      </c>
      <c r="F174" s="345" t="s">
        <v>1493</v>
      </c>
      <c r="G174" s="332">
        <f>IF(F174="FACTURA",E174*1,IF(F174=$I$3,E174/0.845,))</f>
        <v>0</v>
      </c>
    </row>
    <row r="175" spans="1:7" x14ac:dyDescent="0.25">
      <c r="A175" s="350"/>
      <c r="B175" s="340"/>
      <c r="C175" s="341"/>
      <c r="D175" s="342"/>
      <c r="E175" s="343">
        <f t="shared" si="2"/>
        <v>0</v>
      </c>
      <c r="F175" s="345" t="s">
        <v>14</v>
      </c>
      <c r="G175" s="332">
        <f>IF(F175="FACTURA",E175*1,IF(F175=$I$3,E175/0.845,))</f>
        <v>0</v>
      </c>
    </row>
    <row r="176" spans="1:7" ht="15.75" thickBot="1" x14ac:dyDescent="0.3">
      <c r="A176" s="351"/>
      <c r="B176" s="347"/>
      <c r="C176" s="341"/>
      <c r="D176" s="342"/>
      <c r="E176" s="348">
        <f t="shared" si="2"/>
        <v>0</v>
      </c>
      <c r="F176" s="349" t="s">
        <v>14</v>
      </c>
      <c r="G176" s="332">
        <f>IF(F176="FACTURA",E176*1,IF(F176=$I$3,E176/0.845,))</f>
        <v>0</v>
      </c>
    </row>
    <row r="177" spans="1:7" ht="15.75" thickBot="1" x14ac:dyDescent="0.3">
      <c r="A177" s="338">
        <v>7.7</v>
      </c>
      <c r="B177" s="533" t="s">
        <v>1485</v>
      </c>
      <c r="C177" s="534"/>
      <c r="D177" s="534"/>
      <c r="E177" s="534"/>
      <c r="F177" s="535"/>
      <c r="G177" s="330">
        <f>SUM(G178:G182)</f>
        <v>0</v>
      </c>
    </row>
    <row r="178" spans="1:7" x14ac:dyDescent="0.25">
      <c r="A178" s="339"/>
      <c r="B178" s="340"/>
      <c r="C178" s="341"/>
      <c r="D178" s="342"/>
      <c r="E178" s="342">
        <f t="shared" si="2"/>
        <v>0</v>
      </c>
      <c r="F178" s="344" t="s">
        <v>14</v>
      </c>
      <c r="G178" s="332">
        <f>IF(F178="FACTURA",E178*1,IF(F178=$I$3,E178/0.845,))</f>
        <v>0</v>
      </c>
    </row>
    <row r="179" spans="1:7" x14ac:dyDescent="0.25">
      <c r="A179" s="350"/>
      <c r="B179" s="340"/>
      <c r="C179" s="341"/>
      <c r="D179" s="342"/>
      <c r="E179" s="343">
        <f t="shared" si="2"/>
        <v>0</v>
      </c>
      <c r="F179" s="345" t="s">
        <v>14</v>
      </c>
      <c r="G179" s="332">
        <f>IF(F179="FACTURA",E179*1,IF(F179=$I$3,E179/0.845,))</f>
        <v>0</v>
      </c>
    </row>
    <row r="180" spans="1:7" x14ac:dyDescent="0.25">
      <c r="A180" s="350"/>
      <c r="B180" s="340"/>
      <c r="C180" s="341"/>
      <c r="D180" s="342"/>
      <c r="E180" s="343">
        <f t="shared" si="2"/>
        <v>0</v>
      </c>
      <c r="F180" s="345" t="s">
        <v>1493</v>
      </c>
      <c r="G180" s="332">
        <f>IF(F180="FACTURA",E180*1,IF(F180=$I$3,E180/0.845,))</f>
        <v>0</v>
      </c>
    </row>
    <row r="181" spans="1:7" x14ac:dyDescent="0.25">
      <c r="A181" s="350"/>
      <c r="B181" s="340"/>
      <c r="C181" s="341"/>
      <c r="D181" s="342"/>
      <c r="E181" s="343">
        <f t="shared" si="2"/>
        <v>0</v>
      </c>
      <c r="F181" s="345" t="s">
        <v>14</v>
      </c>
      <c r="G181" s="332">
        <f>IF(F181="FACTURA",E181*1,IF(F181=$I$3,E181/0.845,))</f>
        <v>0</v>
      </c>
    </row>
    <row r="182" spans="1:7" ht="15.75" thickBot="1" x14ac:dyDescent="0.3">
      <c r="A182" s="351"/>
      <c r="B182" s="347"/>
      <c r="C182" s="341"/>
      <c r="D182" s="342"/>
      <c r="E182" s="348">
        <f t="shared" si="2"/>
        <v>0</v>
      </c>
      <c r="F182" s="349" t="s">
        <v>14</v>
      </c>
      <c r="G182" s="332">
        <f>IF(F182="FACTURA",E182*1,IF(F182=$I$3,E182/0.845,))</f>
        <v>0</v>
      </c>
    </row>
    <row r="183" spans="1:7" ht="15.75" thickBot="1" x14ac:dyDescent="0.3">
      <c r="A183" s="338">
        <v>7.8</v>
      </c>
      <c r="B183" s="533" t="s">
        <v>1486</v>
      </c>
      <c r="C183" s="534"/>
      <c r="D183" s="534"/>
      <c r="E183" s="534"/>
      <c r="F183" s="535"/>
      <c r="G183" s="330">
        <f>SUM(G184:G188)</f>
        <v>0</v>
      </c>
    </row>
    <row r="184" spans="1:7" x14ac:dyDescent="0.25">
      <c r="A184" s="339"/>
      <c r="B184" s="340"/>
      <c r="C184" s="341"/>
      <c r="D184" s="342"/>
      <c r="E184" s="342">
        <f t="shared" si="2"/>
        <v>0</v>
      </c>
      <c r="F184" s="344" t="s">
        <v>14</v>
      </c>
      <c r="G184" s="332">
        <f>IF(F184="FACTURA",E184*1,IF(F184=$I$3,E184/0.845,))</f>
        <v>0</v>
      </c>
    </row>
    <row r="185" spans="1:7" x14ac:dyDescent="0.25">
      <c r="A185" s="350"/>
      <c r="B185" s="340"/>
      <c r="C185" s="341"/>
      <c r="D185" s="342"/>
      <c r="E185" s="343">
        <f t="shared" si="2"/>
        <v>0</v>
      </c>
      <c r="F185" s="345" t="s">
        <v>14</v>
      </c>
      <c r="G185" s="332">
        <f>IF(F185="FACTURA",E185*1,IF(F185=$I$3,E185/0.845,))</f>
        <v>0</v>
      </c>
    </row>
    <row r="186" spans="1:7" x14ac:dyDescent="0.25">
      <c r="A186" s="350"/>
      <c r="B186" s="340"/>
      <c r="C186" s="341"/>
      <c r="D186" s="342"/>
      <c r="E186" s="343">
        <f t="shared" si="2"/>
        <v>0</v>
      </c>
      <c r="F186" s="345" t="s">
        <v>1493</v>
      </c>
      <c r="G186" s="332">
        <f>IF(F186="FACTURA",E186*1,IF(F186=$I$3,E186/0.845,))</f>
        <v>0</v>
      </c>
    </row>
    <row r="187" spans="1:7" x14ac:dyDescent="0.25">
      <c r="A187" s="350"/>
      <c r="B187" s="340"/>
      <c r="C187" s="341"/>
      <c r="D187" s="342"/>
      <c r="E187" s="343">
        <f t="shared" si="2"/>
        <v>0</v>
      </c>
      <c r="F187" s="345" t="s">
        <v>14</v>
      </c>
      <c r="G187" s="332">
        <f>IF(F187="FACTURA",E187*1,IF(F187=$I$3,E187/0.845,))</f>
        <v>0</v>
      </c>
    </row>
    <row r="188" spans="1:7" ht="15.75" thickBot="1" x14ac:dyDescent="0.3">
      <c r="A188" s="351"/>
      <c r="B188" s="347"/>
      <c r="C188" s="341"/>
      <c r="D188" s="342"/>
      <c r="E188" s="348">
        <f t="shared" si="2"/>
        <v>0</v>
      </c>
      <c r="F188" s="349" t="s">
        <v>14</v>
      </c>
      <c r="G188" s="332">
        <f>IF(F188="FACTURA",E188*1,IF(F188=$I$3,E188/0.845,))</f>
        <v>0</v>
      </c>
    </row>
    <row r="189" spans="1:7" ht="15.75" thickBot="1" x14ac:dyDescent="0.3">
      <c r="A189" s="338">
        <v>1</v>
      </c>
      <c r="B189" s="533" t="s">
        <v>1487</v>
      </c>
      <c r="C189" s="534"/>
      <c r="D189" s="534"/>
      <c r="E189" s="534"/>
      <c r="F189" s="535"/>
      <c r="G189" s="330">
        <f>SUM(G190:G194)</f>
        <v>0</v>
      </c>
    </row>
    <row r="190" spans="1:7" x14ac:dyDescent="0.25">
      <c r="A190" s="339"/>
      <c r="B190" s="340"/>
      <c r="C190" s="341"/>
      <c r="D190" s="342"/>
      <c r="E190" s="342">
        <f t="shared" si="2"/>
        <v>0</v>
      </c>
      <c r="F190" s="344" t="s">
        <v>14</v>
      </c>
      <c r="G190" s="332">
        <f>IF(F190="FACTURA",E190*1,IF(F190=$I$3,E190/0.845,))</f>
        <v>0</v>
      </c>
    </row>
    <row r="191" spans="1:7" x14ac:dyDescent="0.25">
      <c r="A191" s="350"/>
      <c r="B191" s="340"/>
      <c r="C191" s="341"/>
      <c r="D191" s="342"/>
      <c r="E191" s="343">
        <f t="shared" si="2"/>
        <v>0</v>
      </c>
      <c r="F191" s="345" t="s">
        <v>14</v>
      </c>
      <c r="G191" s="332">
        <f>IF(F191="FACTURA",E191*1,IF(F191=$I$3,E191/0.845,))</f>
        <v>0</v>
      </c>
    </row>
    <row r="192" spans="1:7" x14ac:dyDescent="0.25">
      <c r="A192" s="350"/>
      <c r="B192" s="340"/>
      <c r="C192" s="341"/>
      <c r="D192" s="342"/>
      <c r="E192" s="343">
        <f t="shared" si="2"/>
        <v>0</v>
      </c>
      <c r="F192" s="345" t="s">
        <v>1493</v>
      </c>
      <c r="G192" s="332">
        <f>IF(F192="FACTURA",E192*1,IF(F192=$I$3,E192/0.845,))</f>
        <v>0</v>
      </c>
    </row>
    <row r="193" spans="1:7" x14ac:dyDescent="0.25">
      <c r="A193" s="350"/>
      <c r="B193" s="340"/>
      <c r="C193" s="341"/>
      <c r="D193" s="342"/>
      <c r="E193" s="343">
        <f t="shared" si="2"/>
        <v>0</v>
      </c>
      <c r="F193" s="345" t="s">
        <v>14</v>
      </c>
      <c r="G193" s="332">
        <f>IF(F193="FACTURA",E193*1,IF(F193=$I$3,E193/0.845,))</f>
        <v>0</v>
      </c>
    </row>
    <row r="194" spans="1:7" ht="15.75" thickBot="1" x14ac:dyDescent="0.3">
      <c r="A194" s="362"/>
      <c r="B194" s="363"/>
      <c r="C194" s="364"/>
      <c r="D194" s="342"/>
      <c r="E194" s="343">
        <f t="shared" si="2"/>
        <v>0</v>
      </c>
      <c r="F194" s="345" t="s">
        <v>14</v>
      </c>
      <c r="G194" s="332">
        <f>IF(F194="FACTURA",E194*1,IF(F194=$I$3,E194/0.845,))</f>
        <v>0</v>
      </c>
    </row>
    <row r="195" spans="1:7" ht="15.75" thickBot="1" x14ac:dyDescent="0.3">
      <c r="G195" s="335">
        <f>G8+G15+G34+G59+G90+G97+G140</f>
        <v>3747.544378698225</v>
      </c>
    </row>
    <row r="197" spans="1:7" hidden="1" x14ac:dyDescent="0.25">
      <c r="G197" s="49">
        <f>+HOJA_DE_TRABAJO!D256</f>
        <v>0.13</v>
      </c>
    </row>
    <row r="198" spans="1:7" hidden="1" x14ac:dyDescent="0.25">
      <c r="G198" s="49">
        <f>+G195*G197</f>
        <v>487.18076923076927</v>
      </c>
    </row>
    <row r="199" spans="1:7" hidden="1" x14ac:dyDescent="0.25">
      <c r="G199" s="93">
        <f>+G195+G198</f>
        <v>4234.7251479289944</v>
      </c>
    </row>
    <row r="200" spans="1:7" x14ac:dyDescent="0.25">
      <c r="A200" s="361"/>
    </row>
  </sheetData>
  <mergeCells count="38"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  <mergeCell ref="B122:F122"/>
    <mergeCell ref="B116:F116"/>
    <mergeCell ref="B110:F110"/>
    <mergeCell ref="B104:F104"/>
    <mergeCell ref="B97:F97"/>
    <mergeCell ref="B98:F98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8:F8"/>
    <mergeCell ref="B4:F4"/>
    <mergeCell ref="B34:F34"/>
    <mergeCell ref="B28:F28"/>
    <mergeCell ref="B22:F22"/>
    <mergeCell ref="B16:F16"/>
    <mergeCell ref="B15:F15"/>
    <mergeCell ref="B9:F9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HOJA_DE_TRABAJO</vt:lpstr>
      <vt:lpstr>HOJA 1 AUX</vt:lpstr>
      <vt:lpstr>calc_hoja_de_trabajo</vt:lpstr>
      <vt:lpstr>Carta_PDF</vt:lpstr>
      <vt:lpstr>Carta PDF</vt:lpstr>
      <vt:lpstr>Hoja2</vt:lpstr>
      <vt:lpstr>GASTO AUX </vt:lpstr>
      <vt:lpstr>'HOJA 1 AUX'!Área_de_impresión</vt:lpstr>
      <vt:lpstr>HOJA_DE_TRABAJO!Área_de_impresión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2018-12-26T16:00:30Z</cp:lastPrinted>
  <dcterms:created xsi:type="dcterms:W3CDTF">2016-10-17T20:34:40Z</dcterms:created>
  <dcterms:modified xsi:type="dcterms:W3CDTF">2019-01-07T22:26:07Z</dcterms:modified>
</cp:coreProperties>
</file>