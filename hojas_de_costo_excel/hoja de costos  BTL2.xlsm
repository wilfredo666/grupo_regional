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grupo_regional\hojas_de_costo_excel\"/>
    </mc:Choice>
  </mc:AlternateContent>
  <bookViews>
    <workbookView xWindow="0" yWindow="0" windowWidth="16095" windowHeight="3360" firstSheet="4" activeTab="8"/>
  </bookViews>
  <sheets>
    <sheet name="PARA FOTOS" sheetId="1" state="hidden" r:id="rId1"/>
    <sheet name="FORMATO DE COTIZACION1" sheetId="2" state="hidden" r:id="rId2"/>
    <sheet name="NOTA DE ENTREGA " sheetId="3" state="hidden" r:id="rId3"/>
    <sheet name="H. PRESENT." sheetId="16" state="hidden" r:id="rId4"/>
    <sheet name="HOJA DE TRABAJO" sheetId="5" r:id="rId5"/>
    <sheet name="Hoja2" sheetId="7" state="hidden" r:id="rId6"/>
    <sheet name="Carta PDF" sheetId="18" r:id="rId7"/>
    <sheet name="GASTO AUX " sheetId="17" r:id="rId8"/>
    <sheet name="HOJA 1 aux" sheetId="6" r:id="rId9"/>
    <sheet name="HOJA 2 aux" sheetId="8" r:id="rId10"/>
    <sheet name="HOJA 3 aux" sheetId="9" r:id="rId11"/>
    <sheet name="HOJA 4 aux " sheetId="10" r:id="rId12"/>
    <sheet name="HOJA 5 aux" sheetId="11" r:id="rId13"/>
    <sheet name="HOJA 6 aux" sheetId="12" r:id="rId14"/>
    <sheet name="HOJA 7 aux" sheetId="13" r:id="rId15"/>
    <sheet name="HOJA 8 aux" sheetId="14" r:id="rId16"/>
    <sheet name="HOJA 9 aux" sheetId="15" r:id="rId17"/>
  </sheets>
  <externalReferences>
    <externalReference r:id="rId18"/>
    <externalReference r:id="rId19"/>
  </externalReferences>
  <definedNames>
    <definedName name="_xlnm._FilterDatabase">#REF!</definedName>
    <definedName name="_xlnm.Print_Area" localSheetId="8">'HOJA 1 aux'!$A$2:$O$34</definedName>
    <definedName name="_xlnm.Print_Area" localSheetId="4">'HOJA DE TRABAJO'!$A$6:$BB$44</definedName>
    <definedName name="_xlnm.Print_Area" localSheetId="0">'PARA FOTOS'!$A$1:$O$49</definedName>
    <definedName name="Carga">#REF!</definedName>
    <definedName name="DEPENDE">[1]Hoja3!$A$2:$A$4</definedName>
    <definedName name="Z_D98A1565_B6EB_4D88_8DB8_23EB436D0197_.wvu.Cols" localSheetId="4" hidden="1">'HOJA DE TRABAJO'!$G:$G,'HOJA DE TRABAJO'!$I:$I,'HOJA DE TRABAJO'!$K:$K,'HOJA DE TRABAJO'!$N:$N,'HOJA DE TRABAJO'!$P:$P,'HOJA DE TRABAJO'!$S:$T,'HOJA DE TRABAJO'!$V:$V,'HOJA DE TRABAJO'!$Y:$Y,'HOJA DE TRABAJO'!$AA:$AA,'HOJA DE TRABAJO'!$AD:$AD,'HOJA DE TRABAJO'!$AF:$AF,'HOJA DE TRABAJO'!$AI:$AI,'HOJA DE TRABAJO'!$AK:$AK,'HOJA DE TRABAJO'!$AN:$AN,'HOJA DE TRABAJO'!$AP:$AP,'HOJA DE TRABAJO'!$AS:$AS,'HOJA DE TRABAJO'!$AU:$AU,'HOJA DE TRABAJO'!$AX:$AX,'HOJA DE TRABAJO'!$AZ:$AZ</definedName>
    <definedName name="Z_D98A1565_B6EB_4D88_8DB8_23EB436D0197_.wvu.PrintArea" localSheetId="0" hidden="1">'PARA FOTOS'!$A$1:$O$49</definedName>
  </definedNames>
  <calcPr calcId="162913"/>
  <customWorkbookViews>
    <customWorkbookView name="VICTOR - Vista personalizada" guid="{D98A1565-B6EB-4D88-8DB8-23EB436D0197}" mergeInterval="0" personalView="1" maximized="1" xWindow="-8" yWindow="-8" windowWidth="1382" windowHeight="744" activeSheetId="8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6" i="6" l="1"/>
  <c r="I26" i="6"/>
  <c r="E26" i="6"/>
  <c r="G26" i="6" s="1"/>
  <c r="A26" i="6"/>
  <c r="M88" i="15" l="1"/>
  <c r="M87" i="15"/>
  <c r="E88" i="15"/>
  <c r="E87" i="15"/>
  <c r="M54" i="15"/>
  <c r="M53" i="15"/>
  <c r="E54" i="15"/>
  <c r="E53" i="15"/>
  <c r="M21" i="15"/>
  <c r="M20" i="15"/>
  <c r="E21" i="15"/>
  <c r="E20" i="15"/>
  <c r="M88" i="14"/>
  <c r="M87" i="14"/>
  <c r="E88" i="14"/>
  <c r="E87" i="14"/>
  <c r="M54" i="14"/>
  <c r="M53" i="14"/>
  <c r="E54" i="14"/>
  <c r="E53" i="14"/>
  <c r="M21" i="14"/>
  <c r="M20" i="14"/>
  <c r="E21" i="14"/>
  <c r="E20" i="14"/>
  <c r="M88" i="13"/>
  <c r="M87" i="13"/>
  <c r="E88" i="13"/>
  <c r="E87" i="13"/>
  <c r="E54" i="13"/>
  <c r="E53" i="13"/>
  <c r="M54" i="13"/>
  <c r="M53" i="13"/>
  <c r="M21" i="13"/>
  <c r="M20" i="13"/>
  <c r="E21" i="13"/>
  <c r="E20" i="13"/>
  <c r="M88" i="12"/>
  <c r="M87" i="12"/>
  <c r="E88" i="12"/>
  <c r="E87" i="12"/>
  <c r="E54" i="12"/>
  <c r="E53" i="12"/>
  <c r="M54" i="12"/>
  <c r="M53" i="12"/>
  <c r="M21" i="12"/>
  <c r="M20" i="12"/>
  <c r="E21" i="12"/>
  <c r="E20" i="12"/>
  <c r="M88" i="11"/>
  <c r="M87" i="11"/>
  <c r="E88" i="11"/>
  <c r="E87" i="11"/>
  <c r="M54" i="11"/>
  <c r="M53" i="11"/>
  <c r="E54" i="11"/>
  <c r="E53" i="11"/>
  <c r="M21" i="11"/>
  <c r="M20" i="11"/>
  <c r="E21" i="11"/>
  <c r="E20" i="11"/>
  <c r="M88" i="10"/>
  <c r="M87" i="10"/>
  <c r="E88" i="10"/>
  <c r="E87" i="10"/>
  <c r="E54" i="10"/>
  <c r="E53" i="10"/>
  <c r="M54" i="10"/>
  <c r="M53" i="10"/>
  <c r="M21" i="10"/>
  <c r="M20" i="10"/>
  <c r="E21" i="10"/>
  <c r="E20" i="10"/>
  <c r="M88" i="9"/>
  <c r="M87" i="9"/>
  <c r="E88" i="9"/>
  <c r="E87" i="9"/>
  <c r="M54" i="9"/>
  <c r="M53" i="9"/>
  <c r="E54" i="9"/>
  <c r="E53" i="9"/>
  <c r="M21" i="9"/>
  <c r="M20" i="9"/>
  <c r="E21" i="9"/>
  <c r="E20" i="9"/>
  <c r="M88" i="8"/>
  <c r="M87" i="8"/>
  <c r="E88" i="8"/>
  <c r="E87" i="8"/>
  <c r="M54" i="8"/>
  <c r="M53" i="8"/>
  <c r="E54" i="8"/>
  <c r="E53" i="8"/>
  <c r="M21" i="8"/>
  <c r="M20" i="8"/>
  <c r="E21" i="8"/>
  <c r="E20" i="8"/>
  <c r="M88" i="6"/>
  <c r="E88" i="6"/>
  <c r="M87" i="6"/>
  <c r="E87" i="6"/>
  <c r="M54" i="6"/>
  <c r="M53" i="6"/>
  <c r="E54" i="6"/>
  <c r="E53" i="6"/>
  <c r="M21" i="6"/>
  <c r="M20" i="6"/>
  <c r="E21" i="6"/>
  <c r="E20" i="6"/>
  <c r="B95" i="18" l="1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94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80" i="18"/>
  <c r="C73" i="18" l="1"/>
  <c r="C72" i="18"/>
  <c r="C71" i="18"/>
  <c r="C70" i="18"/>
  <c r="C69" i="18"/>
  <c r="C68" i="18"/>
  <c r="C67" i="18"/>
  <c r="C66" i="18"/>
  <c r="C65" i="18"/>
  <c r="C61" i="18"/>
  <c r="C60" i="18"/>
  <c r="C59" i="18"/>
  <c r="C58" i="18"/>
  <c r="C57" i="18"/>
  <c r="C56" i="18"/>
  <c r="C64" i="18"/>
  <c r="C63" i="18"/>
  <c r="C62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A59" i="9"/>
  <c r="E59" i="9"/>
  <c r="I59" i="9"/>
  <c r="M59" i="9"/>
  <c r="C95" i="18"/>
  <c r="C96" i="18"/>
  <c r="C97" i="18"/>
  <c r="C98" i="18"/>
  <c r="C99" i="18"/>
  <c r="C100" i="18"/>
  <c r="C101" i="18"/>
  <c r="C102" i="18"/>
  <c r="C103" i="18"/>
  <c r="C104" i="18"/>
  <c r="C105" i="18"/>
  <c r="C106" i="18"/>
  <c r="C107" i="18"/>
  <c r="C108" i="18"/>
  <c r="C94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80" i="18"/>
  <c r="E194" i="17"/>
  <c r="G194" i="17" s="1"/>
  <c r="E193" i="17"/>
  <c r="G193" i="17" s="1"/>
  <c r="E192" i="17"/>
  <c r="G192" i="17" s="1"/>
  <c r="E191" i="17"/>
  <c r="G191" i="17" s="1"/>
  <c r="E190" i="17"/>
  <c r="G190" i="17" s="1"/>
  <c r="E188" i="17"/>
  <c r="G188" i="17" s="1"/>
  <c r="E187" i="17"/>
  <c r="G187" i="17" s="1"/>
  <c r="E186" i="17"/>
  <c r="G186" i="17" s="1"/>
  <c r="E185" i="17"/>
  <c r="G185" i="17" s="1"/>
  <c r="E184" i="17"/>
  <c r="G184" i="17" s="1"/>
  <c r="E182" i="17"/>
  <c r="G182" i="17" s="1"/>
  <c r="E181" i="17"/>
  <c r="G181" i="17" s="1"/>
  <c r="E180" i="17"/>
  <c r="G180" i="17" s="1"/>
  <c r="E179" i="17"/>
  <c r="G179" i="17" s="1"/>
  <c r="G178" i="17"/>
  <c r="E178" i="17"/>
  <c r="E176" i="17"/>
  <c r="G176" i="17" s="1"/>
  <c r="E175" i="17"/>
  <c r="G175" i="17" s="1"/>
  <c r="G174" i="17"/>
  <c r="E174" i="17"/>
  <c r="E173" i="17"/>
  <c r="G173" i="17" s="1"/>
  <c r="E172" i="17"/>
  <c r="G172" i="17" s="1"/>
  <c r="E170" i="17"/>
  <c r="G170" i="17" s="1"/>
  <c r="E169" i="17"/>
  <c r="G169" i="17" s="1"/>
  <c r="E168" i="17"/>
  <c r="G168" i="17" s="1"/>
  <c r="E167" i="17"/>
  <c r="G167" i="17" s="1"/>
  <c r="E166" i="17"/>
  <c r="G166" i="17" s="1"/>
  <c r="E164" i="17"/>
  <c r="G164" i="17" s="1"/>
  <c r="E163" i="17"/>
  <c r="G163" i="17" s="1"/>
  <c r="E162" i="17"/>
  <c r="G162" i="17" s="1"/>
  <c r="E161" i="17"/>
  <c r="G161" i="17" s="1"/>
  <c r="E160" i="17"/>
  <c r="G160" i="17" s="1"/>
  <c r="E158" i="17"/>
  <c r="G158" i="17" s="1"/>
  <c r="E157" i="17"/>
  <c r="G157" i="17" s="1"/>
  <c r="E156" i="17"/>
  <c r="G156" i="17" s="1"/>
  <c r="E155" i="17"/>
  <c r="G155" i="17" s="1"/>
  <c r="E154" i="17"/>
  <c r="G154" i="17" s="1"/>
  <c r="E152" i="17"/>
  <c r="G152" i="17" s="1"/>
  <c r="E151" i="17"/>
  <c r="G151" i="17" s="1"/>
  <c r="E150" i="17"/>
  <c r="G150" i="17" s="1"/>
  <c r="E149" i="17"/>
  <c r="G149" i="17" s="1"/>
  <c r="E148" i="17"/>
  <c r="G148" i="17" s="1"/>
  <c r="E146" i="17"/>
  <c r="G146" i="17" s="1"/>
  <c r="E145" i="17"/>
  <c r="G145" i="17" s="1"/>
  <c r="E144" i="17"/>
  <c r="G144" i="17" s="1"/>
  <c r="E143" i="17"/>
  <c r="G143" i="17" s="1"/>
  <c r="E142" i="17"/>
  <c r="G142" i="17" s="1"/>
  <c r="E139" i="17"/>
  <c r="G139" i="17" s="1"/>
  <c r="E138" i="17"/>
  <c r="G138" i="17" s="1"/>
  <c r="E137" i="17"/>
  <c r="G137" i="17" s="1"/>
  <c r="E136" i="17"/>
  <c r="G136" i="17" s="1"/>
  <c r="E135" i="17"/>
  <c r="G135" i="17" s="1"/>
  <c r="E133" i="17"/>
  <c r="G133" i="17" s="1"/>
  <c r="E132" i="17"/>
  <c r="G132" i="17" s="1"/>
  <c r="E131" i="17"/>
  <c r="G131" i="17" s="1"/>
  <c r="E130" i="17"/>
  <c r="G130" i="17" s="1"/>
  <c r="E129" i="17"/>
  <c r="G129" i="17" s="1"/>
  <c r="E127" i="17"/>
  <c r="G127" i="17" s="1"/>
  <c r="E126" i="17"/>
  <c r="G126" i="17" s="1"/>
  <c r="E125" i="17"/>
  <c r="G125" i="17" s="1"/>
  <c r="E124" i="17"/>
  <c r="G124" i="17" s="1"/>
  <c r="E123" i="17"/>
  <c r="G123" i="17" s="1"/>
  <c r="E121" i="17"/>
  <c r="G121" i="17" s="1"/>
  <c r="E120" i="17"/>
  <c r="G120" i="17" s="1"/>
  <c r="E119" i="17"/>
  <c r="G119" i="17" s="1"/>
  <c r="E118" i="17"/>
  <c r="G118" i="17" s="1"/>
  <c r="E117" i="17"/>
  <c r="G117" i="17" s="1"/>
  <c r="E115" i="17"/>
  <c r="G115" i="17" s="1"/>
  <c r="E114" i="17"/>
  <c r="G114" i="17" s="1"/>
  <c r="E113" i="17"/>
  <c r="G113" i="17" s="1"/>
  <c r="E112" i="17"/>
  <c r="G112" i="17" s="1"/>
  <c r="E111" i="17"/>
  <c r="G111" i="17" s="1"/>
  <c r="E109" i="17"/>
  <c r="G109" i="17" s="1"/>
  <c r="E108" i="17"/>
  <c r="G108" i="17" s="1"/>
  <c r="E107" i="17"/>
  <c r="G107" i="17" s="1"/>
  <c r="E106" i="17"/>
  <c r="G106" i="17" s="1"/>
  <c r="E105" i="17"/>
  <c r="G105" i="17" s="1"/>
  <c r="E103" i="17"/>
  <c r="G103" i="17" s="1"/>
  <c r="E102" i="17"/>
  <c r="G102" i="17" s="1"/>
  <c r="E101" i="17"/>
  <c r="G101" i="17" s="1"/>
  <c r="E100" i="17"/>
  <c r="G100" i="17" s="1"/>
  <c r="E99" i="17"/>
  <c r="G99" i="17" s="1"/>
  <c r="E96" i="17"/>
  <c r="G96" i="17" s="1"/>
  <c r="E95" i="17"/>
  <c r="G95" i="17" s="1"/>
  <c r="E94" i="17"/>
  <c r="G94" i="17" s="1"/>
  <c r="E93" i="17"/>
  <c r="G93" i="17" s="1"/>
  <c r="E92" i="17"/>
  <c r="G92" i="17" s="1"/>
  <c r="E89" i="17"/>
  <c r="G89" i="17" s="1"/>
  <c r="E88" i="17"/>
  <c r="G88" i="17" s="1"/>
  <c r="E87" i="17"/>
  <c r="G87" i="17" s="1"/>
  <c r="E86" i="17"/>
  <c r="G86" i="17" s="1"/>
  <c r="E85" i="17"/>
  <c r="G85" i="17" s="1"/>
  <c r="E83" i="17"/>
  <c r="G83" i="17" s="1"/>
  <c r="E82" i="17"/>
  <c r="G82" i="17" s="1"/>
  <c r="E81" i="17"/>
  <c r="G81" i="17" s="1"/>
  <c r="E80" i="17"/>
  <c r="G80" i="17" s="1"/>
  <c r="E79" i="17"/>
  <c r="G79" i="17" s="1"/>
  <c r="E77" i="17"/>
  <c r="G77" i="17" s="1"/>
  <c r="E76" i="17"/>
  <c r="G76" i="17" s="1"/>
  <c r="E75" i="17"/>
  <c r="G75" i="17" s="1"/>
  <c r="G74" i="17"/>
  <c r="E74" i="17"/>
  <c r="E73" i="17"/>
  <c r="G73" i="17" s="1"/>
  <c r="E71" i="17"/>
  <c r="G71" i="17" s="1"/>
  <c r="E70" i="17"/>
  <c r="G70" i="17" s="1"/>
  <c r="E69" i="17"/>
  <c r="G69" i="17" s="1"/>
  <c r="G68" i="17"/>
  <c r="E68" i="17"/>
  <c r="E67" i="17"/>
  <c r="G67" i="17" s="1"/>
  <c r="E65" i="17"/>
  <c r="G65" i="17" s="1"/>
  <c r="E64" i="17"/>
  <c r="G64" i="17" s="1"/>
  <c r="E63" i="17"/>
  <c r="G63" i="17" s="1"/>
  <c r="E62" i="17"/>
  <c r="G62" i="17" s="1"/>
  <c r="E61" i="17"/>
  <c r="G61" i="17" s="1"/>
  <c r="E58" i="17"/>
  <c r="G58" i="17" s="1"/>
  <c r="E57" i="17"/>
  <c r="G57" i="17" s="1"/>
  <c r="E56" i="17"/>
  <c r="G56" i="17" s="1"/>
  <c r="E55" i="17"/>
  <c r="G55" i="17" s="1"/>
  <c r="E54" i="17"/>
  <c r="G54" i="17" s="1"/>
  <c r="E52" i="17"/>
  <c r="G52" i="17" s="1"/>
  <c r="E51" i="17"/>
  <c r="G51" i="17" s="1"/>
  <c r="E50" i="17"/>
  <c r="G50" i="17" s="1"/>
  <c r="E49" i="17"/>
  <c r="G49" i="17" s="1"/>
  <c r="E48" i="17"/>
  <c r="G48" i="17" s="1"/>
  <c r="E46" i="17"/>
  <c r="G46" i="17" s="1"/>
  <c r="E45" i="17"/>
  <c r="G45" i="17" s="1"/>
  <c r="E44" i="17"/>
  <c r="G44" i="17" s="1"/>
  <c r="E43" i="17"/>
  <c r="G43" i="17" s="1"/>
  <c r="E42" i="17"/>
  <c r="G42" i="17" s="1"/>
  <c r="E40" i="17"/>
  <c r="G40" i="17" s="1"/>
  <c r="E39" i="17"/>
  <c r="G39" i="17" s="1"/>
  <c r="E38" i="17"/>
  <c r="G38" i="17" s="1"/>
  <c r="E37" i="17"/>
  <c r="G37" i="17" s="1"/>
  <c r="E36" i="17"/>
  <c r="G36" i="17" s="1"/>
  <c r="E33" i="17"/>
  <c r="G33" i="17" s="1"/>
  <c r="E32" i="17"/>
  <c r="G32" i="17" s="1"/>
  <c r="E31" i="17"/>
  <c r="G31" i="17" s="1"/>
  <c r="E30" i="17"/>
  <c r="G30" i="17" s="1"/>
  <c r="E29" i="17"/>
  <c r="G29" i="17" s="1"/>
  <c r="E27" i="17"/>
  <c r="G27" i="17" s="1"/>
  <c r="E26" i="17"/>
  <c r="G26" i="17" s="1"/>
  <c r="E25" i="17"/>
  <c r="G25" i="17" s="1"/>
  <c r="E24" i="17"/>
  <c r="G24" i="17" s="1"/>
  <c r="E23" i="17"/>
  <c r="G23" i="17" s="1"/>
  <c r="E21" i="17"/>
  <c r="G21" i="17" s="1"/>
  <c r="E20" i="17"/>
  <c r="G20" i="17" s="1"/>
  <c r="E19" i="17"/>
  <c r="G19" i="17" s="1"/>
  <c r="E18" i="17"/>
  <c r="G18" i="17" s="1"/>
  <c r="E17" i="17"/>
  <c r="G17" i="17" s="1"/>
  <c r="E14" i="17"/>
  <c r="G14" i="17" s="1"/>
  <c r="E13" i="17"/>
  <c r="G13" i="17" s="1"/>
  <c r="G12" i="17"/>
  <c r="G11" i="17"/>
  <c r="E10" i="17"/>
  <c r="G10" i="17" s="1"/>
  <c r="G66" i="17" l="1"/>
  <c r="G153" i="17"/>
  <c r="G122" i="17"/>
  <c r="G53" i="17"/>
  <c r="G35" i="17"/>
  <c r="G165" i="17"/>
  <c r="G110" i="17"/>
  <c r="G189" i="17"/>
  <c r="G72" i="17"/>
  <c r="G128" i="17"/>
  <c r="G141" i="17"/>
  <c r="G98" i="17"/>
  <c r="G177" i="17"/>
  <c r="G134" i="17"/>
  <c r="G22" i="17"/>
  <c r="C74" i="18"/>
  <c r="G41" i="17"/>
  <c r="G104" i="17"/>
  <c r="G183" i="17"/>
  <c r="G159" i="17"/>
  <c r="G16" i="17"/>
  <c r="G28" i="17"/>
  <c r="G78" i="17"/>
  <c r="G116" i="17"/>
  <c r="G91" i="17"/>
  <c r="G90" i="17" s="1"/>
  <c r="G9" i="17"/>
  <c r="G8" i="17" s="1"/>
  <c r="G47" i="17"/>
  <c r="G147" i="17"/>
  <c r="G140" i="17" s="1"/>
  <c r="G171" i="17"/>
  <c r="G60" i="17"/>
  <c r="G84" i="17"/>
  <c r="G34" i="17" l="1"/>
  <c r="G97" i="17"/>
  <c r="G15" i="17"/>
  <c r="G59" i="17"/>
  <c r="G195" i="17" l="1"/>
  <c r="BA39" i="5"/>
  <c r="BA40" i="5"/>
  <c r="BA41" i="5"/>
  <c r="BA42" i="5"/>
  <c r="BA43" i="5"/>
  <c r="BA38" i="5"/>
  <c r="BA44" i="5" l="1"/>
  <c r="M26" i="15"/>
  <c r="M25" i="15"/>
  <c r="M24" i="15"/>
  <c r="M23" i="15"/>
  <c r="M22" i="15"/>
  <c r="E26" i="15"/>
  <c r="E25" i="15"/>
  <c r="E24" i="15"/>
  <c r="E23" i="15"/>
  <c r="E22" i="15"/>
  <c r="E59" i="15"/>
  <c r="E58" i="15"/>
  <c r="E57" i="15"/>
  <c r="E56" i="15"/>
  <c r="E55" i="15"/>
  <c r="M59" i="15"/>
  <c r="M58" i="15"/>
  <c r="M57" i="15"/>
  <c r="M56" i="15"/>
  <c r="M55" i="15"/>
  <c r="M93" i="15"/>
  <c r="M92" i="15"/>
  <c r="M91" i="15"/>
  <c r="M90" i="15"/>
  <c r="M89" i="15"/>
  <c r="E93" i="15"/>
  <c r="E92" i="15"/>
  <c r="E91" i="15"/>
  <c r="E90" i="15"/>
  <c r="E89" i="15"/>
  <c r="M26" i="14"/>
  <c r="M25" i="14"/>
  <c r="M24" i="14"/>
  <c r="M23" i="14"/>
  <c r="M22" i="14"/>
  <c r="E26" i="14"/>
  <c r="E25" i="14"/>
  <c r="E24" i="14"/>
  <c r="E23" i="14"/>
  <c r="E22" i="14"/>
  <c r="E59" i="14"/>
  <c r="E58" i="14"/>
  <c r="E57" i="14"/>
  <c r="E56" i="14"/>
  <c r="E55" i="14"/>
  <c r="M59" i="14"/>
  <c r="M58" i="14"/>
  <c r="M57" i="14"/>
  <c r="M56" i="14"/>
  <c r="M55" i="14"/>
  <c r="M93" i="14"/>
  <c r="M92" i="14"/>
  <c r="M91" i="14"/>
  <c r="M90" i="14"/>
  <c r="M89" i="14"/>
  <c r="E93" i="14"/>
  <c r="E92" i="14"/>
  <c r="E91" i="14"/>
  <c r="E90" i="14"/>
  <c r="E89" i="14"/>
  <c r="M26" i="13"/>
  <c r="M25" i="13"/>
  <c r="M24" i="13"/>
  <c r="M23" i="13"/>
  <c r="M22" i="13"/>
  <c r="E26" i="13"/>
  <c r="E25" i="13"/>
  <c r="E24" i="13"/>
  <c r="E23" i="13"/>
  <c r="E22" i="13"/>
  <c r="E59" i="13"/>
  <c r="E58" i="13"/>
  <c r="E57" i="13"/>
  <c r="E56" i="13"/>
  <c r="E55" i="13"/>
  <c r="M59" i="13"/>
  <c r="M58" i="13"/>
  <c r="M57" i="13"/>
  <c r="M56" i="13"/>
  <c r="M55" i="13"/>
  <c r="M93" i="13"/>
  <c r="M92" i="13"/>
  <c r="M91" i="13"/>
  <c r="M90" i="13"/>
  <c r="M89" i="13"/>
  <c r="E93" i="13"/>
  <c r="E92" i="13"/>
  <c r="E91" i="13"/>
  <c r="E90" i="13"/>
  <c r="E89" i="13"/>
  <c r="M26" i="12"/>
  <c r="M25" i="12"/>
  <c r="M24" i="12"/>
  <c r="M23" i="12"/>
  <c r="M22" i="12"/>
  <c r="E26" i="12"/>
  <c r="E25" i="12"/>
  <c r="E24" i="12"/>
  <c r="E23" i="12"/>
  <c r="E22" i="12"/>
  <c r="E59" i="12"/>
  <c r="E58" i="12"/>
  <c r="E57" i="12"/>
  <c r="E56" i="12"/>
  <c r="E55" i="12"/>
  <c r="M59" i="12"/>
  <c r="M58" i="12"/>
  <c r="M57" i="12"/>
  <c r="M56" i="12"/>
  <c r="M55" i="12"/>
  <c r="M93" i="12"/>
  <c r="M92" i="12"/>
  <c r="M91" i="12"/>
  <c r="M90" i="12"/>
  <c r="M89" i="12"/>
  <c r="E93" i="12"/>
  <c r="E92" i="12"/>
  <c r="E91" i="12"/>
  <c r="E90" i="12"/>
  <c r="E89" i="12"/>
  <c r="M26" i="11"/>
  <c r="M25" i="11"/>
  <c r="M24" i="11"/>
  <c r="M23" i="11"/>
  <c r="M22" i="11"/>
  <c r="E26" i="11"/>
  <c r="E25" i="11"/>
  <c r="E24" i="11"/>
  <c r="E23" i="11"/>
  <c r="E22" i="11"/>
  <c r="E59" i="11"/>
  <c r="E58" i="11"/>
  <c r="E57" i="11"/>
  <c r="E56" i="11"/>
  <c r="E55" i="11"/>
  <c r="M59" i="11"/>
  <c r="M58" i="11"/>
  <c r="M57" i="11"/>
  <c r="M56" i="11"/>
  <c r="M55" i="11"/>
  <c r="M93" i="11"/>
  <c r="M92" i="11"/>
  <c r="M91" i="11"/>
  <c r="M90" i="11"/>
  <c r="M89" i="11"/>
  <c r="E93" i="11"/>
  <c r="E92" i="11"/>
  <c r="E91" i="11"/>
  <c r="E90" i="11"/>
  <c r="E89" i="11"/>
  <c r="M26" i="10"/>
  <c r="M25" i="10"/>
  <c r="M24" i="10"/>
  <c r="M23" i="10"/>
  <c r="M22" i="10"/>
  <c r="E26" i="10"/>
  <c r="E25" i="10"/>
  <c r="E24" i="10"/>
  <c r="E23" i="10"/>
  <c r="E22" i="10"/>
  <c r="E59" i="10"/>
  <c r="E58" i="10"/>
  <c r="E57" i="10"/>
  <c r="E56" i="10"/>
  <c r="E55" i="10"/>
  <c r="M59" i="10"/>
  <c r="M58" i="10"/>
  <c r="M57" i="10"/>
  <c r="M56" i="10"/>
  <c r="M55" i="10"/>
  <c r="M93" i="10"/>
  <c r="M92" i="10"/>
  <c r="M91" i="10"/>
  <c r="M90" i="10"/>
  <c r="M89" i="10"/>
  <c r="E93" i="10"/>
  <c r="E92" i="10"/>
  <c r="E91" i="10"/>
  <c r="E90" i="10"/>
  <c r="E89" i="10"/>
  <c r="M26" i="9"/>
  <c r="M25" i="9"/>
  <c r="M24" i="9"/>
  <c r="M23" i="9"/>
  <c r="M22" i="9"/>
  <c r="E26" i="9"/>
  <c r="E25" i="9"/>
  <c r="E24" i="9"/>
  <c r="E23" i="9"/>
  <c r="E22" i="9"/>
  <c r="E58" i="9"/>
  <c r="E57" i="9"/>
  <c r="E56" i="9"/>
  <c r="E55" i="9"/>
  <c r="M58" i="9"/>
  <c r="M57" i="9"/>
  <c r="M56" i="9"/>
  <c r="M55" i="9"/>
  <c r="M93" i="9"/>
  <c r="M92" i="9"/>
  <c r="M91" i="9"/>
  <c r="M90" i="9"/>
  <c r="M89" i="9"/>
  <c r="E93" i="9"/>
  <c r="E92" i="9"/>
  <c r="E91" i="9"/>
  <c r="E90" i="9"/>
  <c r="E89" i="9"/>
  <c r="M26" i="8"/>
  <c r="M25" i="8"/>
  <c r="M24" i="8"/>
  <c r="M23" i="8"/>
  <c r="M22" i="8"/>
  <c r="E26" i="8"/>
  <c r="E25" i="8"/>
  <c r="E24" i="8"/>
  <c r="E23" i="8"/>
  <c r="E22" i="8"/>
  <c r="E59" i="8"/>
  <c r="E58" i="8"/>
  <c r="E57" i="8"/>
  <c r="E56" i="8"/>
  <c r="E55" i="8"/>
  <c r="M59" i="8"/>
  <c r="M58" i="8"/>
  <c r="M57" i="8"/>
  <c r="M56" i="8"/>
  <c r="M55" i="8"/>
  <c r="M93" i="8"/>
  <c r="M92" i="8"/>
  <c r="M91" i="8"/>
  <c r="M90" i="8"/>
  <c r="M89" i="8"/>
  <c r="E93" i="8"/>
  <c r="E92" i="8"/>
  <c r="E91" i="8"/>
  <c r="E90" i="8"/>
  <c r="E89" i="8"/>
  <c r="E25" i="6"/>
  <c r="E24" i="6"/>
  <c r="E23" i="6"/>
  <c r="E22" i="6"/>
  <c r="M25" i="6"/>
  <c r="M24" i="6"/>
  <c r="M23" i="6"/>
  <c r="M22" i="6"/>
  <c r="M59" i="6"/>
  <c r="M58" i="6"/>
  <c r="M57" i="6"/>
  <c r="M56" i="6"/>
  <c r="M55" i="6"/>
  <c r="E59" i="6"/>
  <c r="E58" i="6"/>
  <c r="E57" i="6"/>
  <c r="E56" i="6"/>
  <c r="E55" i="6"/>
  <c r="M93" i="6"/>
  <c r="M92" i="6"/>
  <c r="M91" i="6"/>
  <c r="M90" i="6"/>
  <c r="M89" i="6"/>
  <c r="E93" i="6"/>
  <c r="E92" i="6"/>
  <c r="E91" i="6"/>
  <c r="E90" i="6"/>
  <c r="E89" i="6"/>
  <c r="A93" i="15"/>
  <c r="A92" i="15"/>
  <c r="A91" i="15"/>
  <c r="A90" i="15"/>
  <c r="A89" i="15"/>
  <c r="I93" i="15"/>
  <c r="I92" i="15"/>
  <c r="I91" i="15"/>
  <c r="I90" i="15"/>
  <c r="I89" i="15"/>
  <c r="I59" i="15"/>
  <c r="I58" i="15"/>
  <c r="I57" i="15"/>
  <c r="I56" i="15"/>
  <c r="I55" i="15"/>
  <c r="A59" i="15"/>
  <c r="A58" i="15"/>
  <c r="A57" i="15"/>
  <c r="A56" i="15"/>
  <c r="A55" i="15"/>
  <c r="I26" i="15"/>
  <c r="I25" i="15"/>
  <c r="I24" i="15"/>
  <c r="I23" i="15"/>
  <c r="I22" i="15"/>
  <c r="A26" i="15"/>
  <c r="A25" i="15"/>
  <c r="A24" i="15"/>
  <c r="A23" i="15"/>
  <c r="A22" i="15"/>
  <c r="I93" i="14"/>
  <c r="I92" i="14"/>
  <c r="I91" i="14"/>
  <c r="I90" i="14"/>
  <c r="I89" i="14"/>
  <c r="A93" i="14"/>
  <c r="A92" i="14"/>
  <c r="A91" i="14"/>
  <c r="A90" i="14"/>
  <c r="A89" i="14"/>
  <c r="A59" i="14"/>
  <c r="A58" i="14"/>
  <c r="A57" i="14"/>
  <c r="A56" i="14"/>
  <c r="A55" i="14"/>
  <c r="I59" i="14"/>
  <c r="I58" i="14"/>
  <c r="I57" i="14"/>
  <c r="I56" i="14"/>
  <c r="I55" i="14"/>
  <c r="I26" i="14"/>
  <c r="I25" i="14"/>
  <c r="I24" i="14"/>
  <c r="I23" i="14"/>
  <c r="I22" i="14"/>
  <c r="A26" i="14"/>
  <c r="A25" i="14"/>
  <c r="A24" i="14"/>
  <c r="A23" i="14"/>
  <c r="A22" i="14"/>
  <c r="I93" i="13"/>
  <c r="I92" i="13"/>
  <c r="I91" i="13"/>
  <c r="I90" i="13"/>
  <c r="I89" i="13"/>
  <c r="A93" i="13"/>
  <c r="A92" i="13"/>
  <c r="A91" i="13"/>
  <c r="A90" i="13"/>
  <c r="A89" i="13"/>
  <c r="I59" i="13"/>
  <c r="I58" i="13"/>
  <c r="I57" i="13"/>
  <c r="I56" i="13"/>
  <c r="I55" i="13"/>
  <c r="A59" i="13"/>
  <c r="A58" i="13"/>
  <c r="A57" i="13"/>
  <c r="A56" i="13"/>
  <c r="A55" i="13"/>
  <c r="I26" i="13"/>
  <c r="I25" i="13"/>
  <c r="I24" i="13"/>
  <c r="I23" i="13"/>
  <c r="I22" i="13"/>
  <c r="A26" i="13"/>
  <c r="A25" i="13"/>
  <c r="A24" i="13"/>
  <c r="A23" i="13"/>
  <c r="A22" i="13"/>
  <c r="A93" i="12"/>
  <c r="A92" i="12"/>
  <c r="A91" i="12"/>
  <c r="A90" i="12"/>
  <c r="A89" i="12"/>
  <c r="I93" i="12"/>
  <c r="I92" i="12"/>
  <c r="I91" i="12"/>
  <c r="I90" i="12"/>
  <c r="I89" i="12"/>
  <c r="I59" i="12"/>
  <c r="I58" i="12"/>
  <c r="I57" i="12"/>
  <c r="I56" i="12"/>
  <c r="I55" i="12"/>
  <c r="A59" i="12"/>
  <c r="A58" i="12"/>
  <c r="A57" i="12"/>
  <c r="A56" i="12"/>
  <c r="A55" i="12"/>
  <c r="I26" i="12"/>
  <c r="I25" i="12"/>
  <c r="I24" i="12"/>
  <c r="I23" i="12"/>
  <c r="I22" i="12"/>
  <c r="A26" i="12"/>
  <c r="A25" i="12"/>
  <c r="A24" i="12"/>
  <c r="A23" i="12"/>
  <c r="A22" i="12"/>
  <c r="I93" i="11"/>
  <c r="I92" i="11"/>
  <c r="I91" i="11"/>
  <c r="I90" i="11"/>
  <c r="I89" i="11"/>
  <c r="A93" i="11"/>
  <c r="A92" i="11"/>
  <c r="A91" i="11"/>
  <c r="A90" i="11"/>
  <c r="A89" i="11"/>
  <c r="A59" i="11"/>
  <c r="A58" i="11"/>
  <c r="A57" i="11"/>
  <c r="A56" i="11"/>
  <c r="A55" i="11"/>
  <c r="I59" i="11"/>
  <c r="I58" i="11"/>
  <c r="I57" i="11"/>
  <c r="I56" i="11"/>
  <c r="I55" i="11"/>
  <c r="I26" i="11"/>
  <c r="I25" i="11"/>
  <c r="I24" i="11"/>
  <c r="I23" i="11"/>
  <c r="I22" i="11"/>
  <c r="A26" i="11"/>
  <c r="A25" i="11"/>
  <c r="A24" i="11"/>
  <c r="A23" i="11"/>
  <c r="A22" i="11"/>
  <c r="I93" i="10"/>
  <c r="I92" i="10"/>
  <c r="I91" i="10"/>
  <c r="I90" i="10"/>
  <c r="I89" i="10"/>
  <c r="A93" i="10"/>
  <c r="A92" i="10"/>
  <c r="A91" i="10"/>
  <c r="A90" i="10"/>
  <c r="A89" i="10"/>
  <c r="I59" i="10"/>
  <c r="I58" i="10"/>
  <c r="I57" i="10"/>
  <c r="I56" i="10"/>
  <c r="I55" i="10"/>
  <c r="A59" i="10"/>
  <c r="A58" i="10"/>
  <c r="A57" i="10"/>
  <c r="A56" i="10"/>
  <c r="A55" i="10"/>
  <c r="I26" i="10"/>
  <c r="I25" i="10"/>
  <c r="I24" i="10"/>
  <c r="I23" i="10"/>
  <c r="I22" i="10"/>
  <c r="A26" i="10"/>
  <c r="A25" i="10"/>
  <c r="A24" i="10"/>
  <c r="A23" i="10"/>
  <c r="A22" i="10"/>
  <c r="I93" i="9"/>
  <c r="I92" i="9"/>
  <c r="I91" i="9"/>
  <c r="I90" i="9"/>
  <c r="I89" i="9"/>
  <c r="A93" i="9"/>
  <c r="A92" i="9"/>
  <c r="A91" i="9"/>
  <c r="A90" i="9"/>
  <c r="A89" i="9"/>
  <c r="I58" i="9"/>
  <c r="I57" i="9"/>
  <c r="I56" i="9"/>
  <c r="I55" i="9"/>
  <c r="A58" i="9"/>
  <c r="A57" i="9"/>
  <c r="A56" i="9"/>
  <c r="A55" i="9"/>
  <c r="I26" i="9"/>
  <c r="I25" i="9"/>
  <c r="I24" i="9"/>
  <c r="I23" i="9"/>
  <c r="I22" i="9"/>
  <c r="A26" i="9"/>
  <c r="A25" i="9"/>
  <c r="A24" i="9"/>
  <c r="A23" i="9"/>
  <c r="A22" i="9"/>
  <c r="I93" i="8"/>
  <c r="I92" i="8"/>
  <c r="I91" i="8"/>
  <c r="I90" i="8"/>
  <c r="I89" i="8"/>
  <c r="A93" i="8"/>
  <c r="A92" i="8"/>
  <c r="A91" i="8"/>
  <c r="A90" i="8"/>
  <c r="A89" i="8"/>
  <c r="I59" i="8"/>
  <c r="I58" i="8"/>
  <c r="I57" i="8"/>
  <c r="I56" i="8"/>
  <c r="I55" i="8"/>
  <c r="A59" i="8"/>
  <c r="A58" i="8"/>
  <c r="A57" i="8"/>
  <c r="A56" i="8"/>
  <c r="A55" i="8"/>
  <c r="I26" i="8"/>
  <c r="I25" i="8"/>
  <c r="I24" i="8"/>
  <c r="I23" i="8"/>
  <c r="I22" i="8"/>
  <c r="A26" i="8"/>
  <c r="A25" i="8"/>
  <c r="A24" i="8"/>
  <c r="A23" i="8"/>
  <c r="A22" i="8"/>
  <c r="I93" i="6"/>
  <c r="I92" i="6"/>
  <c r="I91" i="6"/>
  <c r="I90" i="6"/>
  <c r="I89" i="6"/>
  <c r="A93" i="6"/>
  <c r="A92" i="6"/>
  <c r="A91" i="6"/>
  <c r="A90" i="6"/>
  <c r="A89" i="6"/>
  <c r="I59" i="6"/>
  <c r="I58" i="6"/>
  <c r="I57" i="6"/>
  <c r="I56" i="6"/>
  <c r="I55" i="6"/>
  <c r="A59" i="6"/>
  <c r="A58" i="6"/>
  <c r="A57" i="6"/>
  <c r="A56" i="6"/>
  <c r="A55" i="6"/>
  <c r="I25" i="6"/>
  <c r="I24" i="6"/>
  <c r="I23" i="6"/>
  <c r="I22" i="6"/>
  <c r="A25" i="6"/>
  <c r="A24" i="6"/>
  <c r="A23" i="6"/>
  <c r="A22" i="6"/>
  <c r="N88" i="5" l="1"/>
  <c r="L73" i="5" l="1"/>
  <c r="O73" i="5" s="1"/>
  <c r="E95" i="18" s="1"/>
  <c r="F95" i="18" s="1"/>
  <c r="L74" i="5"/>
  <c r="O74" i="5" s="1"/>
  <c r="E96" i="18" s="1"/>
  <c r="F96" i="18" s="1"/>
  <c r="L75" i="5"/>
  <c r="O75" i="5" s="1"/>
  <c r="E97" i="18" s="1"/>
  <c r="F97" i="18" s="1"/>
  <c r="L76" i="5"/>
  <c r="O76" i="5" s="1"/>
  <c r="E98" i="18" s="1"/>
  <c r="F98" i="18" s="1"/>
  <c r="L77" i="5"/>
  <c r="O77" i="5" s="1"/>
  <c r="E99" i="18" s="1"/>
  <c r="F99" i="18" s="1"/>
  <c r="L78" i="5"/>
  <c r="O78" i="5" s="1"/>
  <c r="E100" i="18" s="1"/>
  <c r="F100" i="18" s="1"/>
  <c r="L79" i="5"/>
  <c r="O79" i="5" s="1"/>
  <c r="E101" i="18" s="1"/>
  <c r="F101" i="18" s="1"/>
  <c r="L80" i="5"/>
  <c r="O80" i="5" s="1"/>
  <c r="E102" i="18" s="1"/>
  <c r="L81" i="5"/>
  <c r="O81" i="5" s="1"/>
  <c r="E103" i="18" s="1"/>
  <c r="F103" i="18" s="1"/>
  <c r="L82" i="5"/>
  <c r="O82" i="5" s="1"/>
  <c r="E104" i="18" s="1"/>
  <c r="F104" i="18" s="1"/>
  <c r="L83" i="5"/>
  <c r="O83" i="5" s="1"/>
  <c r="E105" i="18" s="1"/>
  <c r="F105" i="18" s="1"/>
  <c r="L84" i="5"/>
  <c r="O84" i="5" s="1"/>
  <c r="E106" i="18" s="1"/>
  <c r="F106" i="18" s="1"/>
  <c r="L85" i="5"/>
  <c r="O85" i="5" s="1"/>
  <c r="E107" i="18" s="1"/>
  <c r="F107" i="18" s="1"/>
  <c r="L86" i="5"/>
  <c r="O86" i="5" s="1"/>
  <c r="E108" i="18" s="1"/>
  <c r="F108" i="18" s="1"/>
  <c r="L72" i="5"/>
  <c r="O72" i="5" s="1"/>
  <c r="F102" i="18" l="1"/>
  <c r="E94" i="18"/>
  <c r="L87" i="5"/>
  <c r="U107" i="5" l="1"/>
  <c r="H107" i="5"/>
  <c r="S107" i="5"/>
  <c r="E29" i="6" l="1"/>
  <c r="E96" i="6" s="1"/>
  <c r="E17" i="5" l="1"/>
  <c r="F17" i="5" s="1"/>
  <c r="H17" i="5" s="1"/>
  <c r="D81" i="18" l="1"/>
  <c r="D85" i="18"/>
  <c r="D89" i="18"/>
  <c r="D93" i="18"/>
  <c r="D97" i="18"/>
  <c r="D101" i="18"/>
  <c r="D105" i="18"/>
  <c r="D22" i="18"/>
  <c r="D26" i="18"/>
  <c r="D30" i="18"/>
  <c r="D34" i="18"/>
  <c r="D38" i="18"/>
  <c r="D42" i="18"/>
  <c r="D46" i="18"/>
  <c r="D50" i="18"/>
  <c r="D54" i="18"/>
  <c r="D58" i="18"/>
  <c r="D62" i="18"/>
  <c r="D66" i="18"/>
  <c r="D70" i="18"/>
  <c r="D20" i="18"/>
  <c r="D87" i="18"/>
  <c r="D95" i="18"/>
  <c r="D107" i="18"/>
  <c r="D28" i="18"/>
  <c r="D36" i="18"/>
  <c r="D44" i="18"/>
  <c r="D56" i="18"/>
  <c r="D68" i="18"/>
  <c r="D82" i="18"/>
  <c r="D86" i="18"/>
  <c r="D90" i="18"/>
  <c r="D94" i="18"/>
  <c r="D98" i="18"/>
  <c r="D102" i="18"/>
  <c r="D106" i="18"/>
  <c r="D23" i="18"/>
  <c r="D27" i="18"/>
  <c r="D31" i="18"/>
  <c r="D35" i="18"/>
  <c r="D39" i="18"/>
  <c r="D43" i="18"/>
  <c r="D47" i="18"/>
  <c r="D51" i="18"/>
  <c r="D55" i="18"/>
  <c r="D59" i="18"/>
  <c r="D63" i="18"/>
  <c r="D67" i="18"/>
  <c r="D71" i="18"/>
  <c r="D91" i="18"/>
  <c r="D48" i="18"/>
  <c r="D64" i="18"/>
  <c r="D84" i="18"/>
  <c r="D88" i="18"/>
  <c r="D92" i="18"/>
  <c r="D96" i="18"/>
  <c r="D100" i="18"/>
  <c r="D104" i="18"/>
  <c r="D108" i="18"/>
  <c r="D21" i="18"/>
  <c r="D25" i="18"/>
  <c r="D29" i="18"/>
  <c r="D33" i="18"/>
  <c r="D37" i="18"/>
  <c r="D41" i="18"/>
  <c r="D45" i="18"/>
  <c r="D49" i="18"/>
  <c r="D53" i="18"/>
  <c r="D57" i="18"/>
  <c r="D61" i="18"/>
  <c r="D65" i="18"/>
  <c r="D69" i="18"/>
  <c r="D73" i="18"/>
  <c r="D83" i="18"/>
  <c r="D99" i="18"/>
  <c r="D103" i="18"/>
  <c r="D24" i="18"/>
  <c r="D32" i="18"/>
  <c r="D40" i="18"/>
  <c r="D52" i="18"/>
  <c r="D60" i="18"/>
  <c r="D72" i="18"/>
  <c r="O37" i="6"/>
  <c r="C38" i="8" l="1"/>
  <c r="M62" i="6" l="1"/>
  <c r="E62" i="12" l="1"/>
  <c r="M29" i="12" s="1"/>
  <c r="E29" i="8"/>
  <c r="M62" i="8" s="1"/>
  <c r="E29" i="9"/>
  <c r="M29" i="9" s="1"/>
  <c r="E29" i="13"/>
  <c r="M29" i="6"/>
  <c r="M96" i="6"/>
  <c r="E29" i="11"/>
  <c r="E29" i="15"/>
  <c r="E62" i="6"/>
  <c r="E29" i="10"/>
  <c r="E29" i="14"/>
  <c r="E29" i="12" l="1"/>
  <c r="E62" i="8"/>
  <c r="E96" i="8" s="1"/>
  <c r="E62" i="9"/>
  <c r="E96" i="9" s="1"/>
  <c r="M96" i="9" s="1"/>
  <c r="E96" i="12"/>
  <c r="M96" i="12" s="1"/>
  <c r="M62" i="9"/>
  <c r="M62" i="12"/>
  <c r="M29" i="8"/>
  <c r="M29" i="13"/>
  <c r="E62" i="13"/>
  <c r="E62" i="11"/>
  <c r="M29" i="11"/>
  <c r="E62" i="15"/>
  <c r="M29" i="15"/>
  <c r="M29" i="14"/>
  <c r="E62" i="14"/>
  <c r="M29" i="10"/>
  <c r="M62" i="10"/>
  <c r="E62" i="10"/>
  <c r="H44" i="5"/>
  <c r="L44" i="5"/>
  <c r="M44" i="5"/>
  <c r="W44" i="5"/>
  <c r="X44" i="5"/>
  <c r="AB44" i="5"/>
  <c r="AC44" i="5"/>
  <c r="AG44" i="5"/>
  <c r="AH44" i="5"/>
  <c r="AL44" i="5"/>
  <c r="AM44" i="5"/>
  <c r="AQ44" i="5"/>
  <c r="AR44" i="5"/>
  <c r="AV44" i="5"/>
  <c r="AW44" i="5"/>
  <c r="F44" i="5"/>
  <c r="M96" i="8" l="1"/>
  <c r="E96" i="13"/>
  <c r="M96" i="13" s="1"/>
  <c r="M62" i="13"/>
  <c r="E96" i="14"/>
  <c r="M96" i="14" s="1"/>
  <c r="M62" i="14"/>
  <c r="M62" i="15"/>
  <c r="E96" i="15"/>
  <c r="M96" i="15" s="1"/>
  <c r="M96" i="10"/>
  <c r="E96" i="10"/>
  <c r="M62" i="11"/>
  <c r="M96" i="11"/>
  <c r="E96" i="11"/>
  <c r="M98" i="6"/>
  <c r="E98" i="6"/>
  <c r="M64" i="6"/>
  <c r="E64" i="6"/>
  <c r="M31" i="6"/>
  <c r="E31" i="6"/>
  <c r="M98" i="8"/>
  <c r="E98" i="8"/>
  <c r="M64" i="8"/>
  <c r="E64" i="8"/>
  <c r="M31" i="8"/>
  <c r="E31" i="8"/>
  <c r="M98" i="9"/>
  <c r="E98" i="9"/>
  <c r="M64" i="9"/>
  <c r="E64" i="9"/>
  <c r="M31" i="9"/>
  <c r="E31" i="9"/>
  <c r="M98" i="10"/>
  <c r="E98" i="10"/>
  <c r="M64" i="10"/>
  <c r="E64" i="10"/>
  <c r="M31" i="10"/>
  <c r="E31" i="10"/>
  <c r="M31" i="11"/>
  <c r="E31" i="11"/>
  <c r="M64" i="11"/>
  <c r="E64" i="11"/>
  <c r="M98" i="11"/>
  <c r="E98" i="11"/>
  <c r="M31" i="12"/>
  <c r="E31" i="12"/>
  <c r="M64" i="12"/>
  <c r="E64" i="12"/>
  <c r="M98" i="12"/>
  <c r="E98" i="12"/>
  <c r="M98" i="13"/>
  <c r="E98" i="13"/>
  <c r="M64" i="13"/>
  <c r="E64" i="13"/>
  <c r="M31" i="13"/>
  <c r="E31" i="13"/>
  <c r="M31" i="14"/>
  <c r="E31" i="14"/>
  <c r="M64" i="14"/>
  <c r="E64" i="14"/>
  <c r="M98" i="14"/>
  <c r="E98" i="14"/>
  <c r="M98" i="15"/>
  <c r="E98" i="15"/>
  <c r="M31" i="15"/>
  <c r="E31" i="15"/>
  <c r="M64" i="15"/>
  <c r="E64" i="15"/>
  <c r="K5" i="8" l="1"/>
  <c r="O75" i="15"/>
  <c r="O76" i="15" s="1"/>
  <c r="G75" i="15"/>
  <c r="G76" i="15" s="1"/>
  <c r="O40" i="15"/>
  <c r="G40" i="15"/>
  <c r="O8" i="15"/>
  <c r="O9" i="15" s="1"/>
  <c r="G8" i="15"/>
  <c r="G9" i="15" s="1"/>
  <c r="O71" i="15"/>
  <c r="G71" i="15"/>
  <c r="O37" i="15"/>
  <c r="G37" i="15"/>
  <c r="O4" i="15"/>
  <c r="G4" i="15"/>
  <c r="K72" i="15"/>
  <c r="K38" i="15"/>
  <c r="K5" i="15"/>
  <c r="C72" i="15"/>
  <c r="C38" i="15"/>
  <c r="C5" i="15"/>
  <c r="O75" i="14"/>
  <c r="O76" i="14" s="1"/>
  <c r="G75" i="14"/>
  <c r="G76" i="14" s="1"/>
  <c r="O40" i="14"/>
  <c r="G40" i="14"/>
  <c r="O8" i="14"/>
  <c r="O9" i="14" s="1"/>
  <c r="G8" i="14"/>
  <c r="G9" i="14" s="1"/>
  <c r="O71" i="14"/>
  <c r="G71" i="14"/>
  <c r="O37" i="14"/>
  <c r="G37" i="14"/>
  <c r="O4" i="14"/>
  <c r="G4" i="14"/>
  <c r="K72" i="14"/>
  <c r="K38" i="14"/>
  <c r="K5" i="14"/>
  <c r="C72" i="14"/>
  <c r="C38" i="14"/>
  <c r="C5" i="14"/>
  <c r="O75" i="13"/>
  <c r="O76" i="13" s="1"/>
  <c r="G75" i="13"/>
  <c r="G76" i="13" s="1"/>
  <c r="O40" i="13"/>
  <c r="G40" i="13"/>
  <c r="O8" i="13"/>
  <c r="O9" i="13" s="1"/>
  <c r="G8" i="13"/>
  <c r="G9" i="13" s="1"/>
  <c r="O71" i="13"/>
  <c r="G71" i="13"/>
  <c r="O37" i="13"/>
  <c r="G37" i="13"/>
  <c r="O4" i="13"/>
  <c r="G4" i="13"/>
  <c r="K72" i="13"/>
  <c r="K38" i="13"/>
  <c r="K5" i="13"/>
  <c r="C72" i="13"/>
  <c r="C38" i="13"/>
  <c r="C5" i="13"/>
  <c r="K72" i="12"/>
  <c r="K38" i="12"/>
  <c r="K5" i="12"/>
  <c r="G8" i="8"/>
  <c r="E2" i="15"/>
  <c r="E2" i="14"/>
  <c r="E2" i="13"/>
  <c r="O75" i="12"/>
  <c r="O76" i="12" s="1"/>
  <c r="G75" i="12"/>
  <c r="G76" i="12" s="1"/>
  <c r="O40" i="12"/>
  <c r="G40" i="12"/>
  <c r="O8" i="12"/>
  <c r="O9" i="12" s="1"/>
  <c r="G8" i="12"/>
  <c r="G9" i="12" s="1"/>
  <c r="O71" i="12"/>
  <c r="G71" i="12"/>
  <c r="O37" i="12"/>
  <c r="G37" i="12"/>
  <c r="O4" i="12"/>
  <c r="G4" i="12"/>
  <c r="C72" i="12"/>
  <c r="C38" i="12"/>
  <c r="C5" i="12"/>
  <c r="O75" i="11"/>
  <c r="O76" i="11" s="1"/>
  <c r="G75" i="11"/>
  <c r="G76" i="11" s="1"/>
  <c r="O40" i="11"/>
  <c r="G40" i="11"/>
  <c r="O8" i="11"/>
  <c r="O9" i="11" s="1"/>
  <c r="G8" i="11"/>
  <c r="G9" i="11" s="1"/>
  <c r="O71" i="11"/>
  <c r="G71" i="11"/>
  <c r="O37" i="11"/>
  <c r="G37" i="11"/>
  <c r="O4" i="11"/>
  <c r="G4" i="11"/>
  <c r="K72" i="11"/>
  <c r="K38" i="11"/>
  <c r="K5" i="11"/>
  <c r="C72" i="11"/>
  <c r="C38" i="11"/>
  <c r="C5" i="11"/>
  <c r="O75" i="10"/>
  <c r="O76" i="10" s="1"/>
  <c r="G75" i="10"/>
  <c r="G76" i="10" s="1"/>
  <c r="O40" i="10"/>
  <c r="G40" i="10"/>
  <c r="O8" i="10"/>
  <c r="O9" i="10" s="1"/>
  <c r="G8" i="10"/>
  <c r="G9" i="10" s="1"/>
  <c r="O71" i="10"/>
  <c r="G71" i="10"/>
  <c r="O37" i="10"/>
  <c r="G37" i="10"/>
  <c r="O4" i="10"/>
  <c r="G4" i="10"/>
  <c r="K72" i="10"/>
  <c r="K38" i="10"/>
  <c r="K5" i="10"/>
  <c r="C72" i="10"/>
  <c r="C38" i="10"/>
  <c r="C5" i="10"/>
  <c r="O75" i="9"/>
  <c r="G75" i="9"/>
  <c r="O40" i="9"/>
  <c r="G40" i="9"/>
  <c r="O8" i="9"/>
  <c r="O71" i="9"/>
  <c r="G71" i="9"/>
  <c r="O37" i="9"/>
  <c r="G37" i="9"/>
  <c r="O4" i="9"/>
  <c r="K5" i="9"/>
  <c r="K38" i="9"/>
  <c r="K72" i="9"/>
  <c r="C72" i="9"/>
  <c r="C38" i="9"/>
  <c r="C5" i="9"/>
  <c r="E2" i="12"/>
  <c r="E2" i="11"/>
  <c r="E2" i="10"/>
  <c r="E2" i="9"/>
  <c r="E2" i="8"/>
  <c r="O75" i="8"/>
  <c r="G75" i="8"/>
  <c r="O40" i="8"/>
  <c r="G40" i="8"/>
  <c r="O8" i="8"/>
  <c r="O71" i="8"/>
  <c r="G71" i="8"/>
  <c r="O37" i="8"/>
  <c r="G37" i="8"/>
  <c r="O4" i="8"/>
  <c r="G4" i="8"/>
  <c r="K38" i="8"/>
  <c r="K72" i="8"/>
  <c r="C72" i="8"/>
  <c r="C5" i="8"/>
  <c r="M82" i="15"/>
  <c r="N78" i="15" s="1"/>
  <c r="E82" i="15"/>
  <c r="F78" i="15" s="1"/>
  <c r="M47" i="15"/>
  <c r="N43" i="15" s="1"/>
  <c r="E47" i="15"/>
  <c r="F43" i="15" s="1"/>
  <c r="I40" i="15"/>
  <c r="M15" i="15"/>
  <c r="N11" i="15" s="1"/>
  <c r="E15" i="15"/>
  <c r="F11" i="15" s="1"/>
  <c r="I8" i="15"/>
  <c r="M82" i="14"/>
  <c r="N78" i="14" s="1"/>
  <c r="E82" i="14"/>
  <c r="F78" i="14" s="1"/>
  <c r="M47" i="14"/>
  <c r="N43" i="14" s="1"/>
  <c r="E47" i="14"/>
  <c r="F43" i="14" s="1"/>
  <c r="I40" i="14"/>
  <c r="M15" i="14"/>
  <c r="N11" i="14" s="1"/>
  <c r="E15" i="14"/>
  <c r="F11" i="14" s="1"/>
  <c r="I8" i="14"/>
  <c r="M82" i="13"/>
  <c r="N78" i="13" s="1"/>
  <c r="E82" i="13"/>
  <c r="F78" i="13" s="1"/>
  <c r="M47" i="13"/>
  <c r="N43" i="13" s="1"/>
  <c r="E47" i="13"/>
  <c r="F43" i="13" s="1"/>
  <c r="I40" i="13"/>
  <c r="M15" i="13"/>
  <c r="N11" i="13" s="1"/>
  <c r="E15" i="13"/>
  <c r="F11" i="13" s="1"/>
  <c r="I8" i="13"/>
  <c r="M82" i="12"/>
  <c r="N78" i="12" s="1"/>
  <c r="E82" i="12"/>
  <c r="F78" i="12" s="1"/>
  <c r="M47" i="12"/>
  <c r="N43" i="12" s="1"/>
  <c r="E47" i="12"/>
  <c r="F43" i="12" s="1"/>
  <c r="I40" i="12"/>
  <c r="M15" i="12"/>
  <c r="N11" i="12" s="1"/>
  <c r="E15" i="12"/>
  <c r="F11" i="12" s="1"/>
  <c r="I8" i="12"/>
  <c r="M82" i="11"/>
  <c r="N78" i="11" s="1"/>
  <c r="E82" i="11"/>
  <c r="F78" i="11" s="1"/>
  <c r="M47" i="11"/>
  <c r="N43" i="11" s="1"/>
  <c r="E47" i="11"/>
  <c r="F43" i="11" s="1"/>
  <c r="I40" i="11"/>
  <c r="M15" i="11"/>
  <c r="N11" i="11" s="1"/>
  <c r="E15" i="11"/>
  <c r="F11" i="11" s="1"/>
  <c r="I8" i="11"/>
  <c r="M82" i="10"/>
  <c r="N78" i="10" s="1"/>
  <c r="E82" i="10"/>
  <c r="F78" i="10" s="1"/>
  <c r="M47" i="10"/>
  <c r="N43" i="10" s="1"/>
  <c r="E47" i="10"/>
  <c r="F43" i="10" s="1"/>
  <c r="I40" i="10"/>
  <c r="M15" i="10"/>
  <c r="N11" i="10" s="1"/>
  <c r="E15" i="10"/>
  <c r="F11" i="10" s="1"/>
  <c r="I8" i="10"/>
  <c r="M82" i="9"/>
  <c r="N78" i="9" s="1"/>
  <c r="E82" i="9"/>
  <c r="F78" i="9" s="1"/>
  <c r="M47" i="9"/>
  <c r="N43" i="9" s="1"/>
  <c r="E47" i="9"/>
  <c r="F43" i="9" s="1"/>
  <c r="I40" i="9"/>
  <c r="M15" i="9"/>
  <c r="N11" i="9" s="1"/>
  <c r="E15" i="9"/>
  <c r="F11" i="9" s="1"/>
  <c r="I8" i="9"/>
  <c r="M82" i="8"/>
  <c r="N78" i="8" s="1"/>
  <c r="E82" i="8"/>
  <c r="F78" i="8" s="1"/>
  <c r="M47" i="8"/>
  <c r="N43" i="8" s="1"/>
  <c r="E47" i="8"/>
  <c r="F43" i="8" s="1"/>
  <c r="I40" i="8"/>
  <c r="M15" i="8"/>
  <c r="N11" i="8" s="1"/>
  <c r="E15" i="8"/>
  <c r="F11" i="8" s="1"/>
  <c r="I8" i="8"/>
  <c r="G8" i="6"/>
  <c r="O8" i="6"/>
  <c r="G40" i="6"/>
  <c r="O40" i="6"/>
  <c r="G75" i="6"/>
  <c r="O75" i="6"/>
  <c r="K72" i="6"/>
  <c r="O71" i="6"/>
  <c r="M82" i="6"/>
  <c r="N78" i="6" s="1"/>
  <c r="C72" i="6"/>
  <c r="G71" i="6"/>
  <c r="K38" i="6"/>
  <c r="C38" i="6"/>
  <c r="G37" i="6"/>
  <c r="K5" i="6"/>
  <c r="O4" i="6"/>
  <c r="C5" i="6"/>
  <c r="G4" i="6"/>
  <c r="G9" i="6" l="1"/>
  <c r="H9" i="6" s="1"/>
  <c r="O9" i="9"/>
  <c r="O11" i="9" s="1"/>
  <c r="O9" i="8"/>
  <c r="O11" i="8" s="1"/>
  <c r="G9" i="8"/>
  <c r="G11" i="8" s="1"/>
  <c r="G41" i="6"/>
  <c r="O76" i="6"/>
  <c r="O78" i="6" s="1"/>
  <c r="O9" i="6"/>
  <c r="O41" i="6"/>
  <c r="G76" i="6"/>
  <c r="G76" i="9"/>
  <c r="G78" i="9" s="1"/>
  <c r="G41" i="10"/>
  <c r="G43" i="10" s="1"/>
  <c r="G41" i="14"/>
  <c r="G43" i="14" s="1"/>
  <c r="O41" i="10"/>
  <c r="O43" i="10" s="1"/>
  <c r="G41" i="12"/>
  <c r="G43" i="12" s="1"/>
  <c r="O41" i="14"/>
  <c r="O43" i="14" s="1"/>
  <c r="O76" i="8"/>
  <c r="O78" i="8" s="1"/>
  <c r="O41" i="9"/>
  <c r="O43" i="9" s="1"/>
  <c r="O41" i="11"/>
  <c r="O43" i="11" s="1"/>
  <c r="O41" i="13"/>
  <c r="O43" i="13" s="1"/>
  <c r="O41" i="15"/>
  <c r="O43" i="15" s="1"/>
  <c r="G41" i="8"/>
  <c r="G43" i="8" s="1"/>
  <c r="O41" i="8"/>
  <c r="O43" i="8" s="1"/>
  <c r="O76" i="9"/>
  <c r="O78" i="9" s="1"/>
  <c r="G76" i="8"/>
  <c r="G78" i="8" s="1"/>
  <c r="G41" i="9"/>
  <c r="G43" i="9" s="1"/>
  <c r="G41" i="11"/>
  <c r="G43" i="11" s="1"/>
  <c r="O41" i="12"/>
  <c r="O43" i="12" s="1"/>
  <c r="G41" i="13"/>
  <c r="G43" i="13" s="1"/>
  <c r="G41" i="15"/>
  <c r="G43" i="15" s="1"/>
  <c r="N48" i="13"/>
  <c r="N48" i="15"/>
  <c r="O11" i="10"/>
  <c r="O78" i="14"/>
  <c r="G11" i="11"/>
  <c r="G78" i="11"/>
  <c r="O11" i="12"/>
  <c r="O78" i="12"/>
  <c r="G11" i="13"/>
  <c r="G78" i="13"/>
  <c r="G11" i="15"/>
  <c r="G78" i="15"/>
  <c r="N48" i="6"/>
  <c r="N16" i="8"/>
  <c r="N48" i="9"/>
  <c r="N83" i="10"/>
  <c r="N16" i="10"/>
  <c r="N48" i="11"/>
  <c r="N83" i="12"/>
  <c r="N16" i="12"/>
  <c r="N83" i="14"/>
  <c r="N16" i="14"/>
  <c r="O78" i="10"/>
  <c r="G11" i="12"/>
  <c r="G78" i="12"/>
  <c r="O11" i="14"/>
  <c r="F48" i="6"/>
  <c r="O11" i="11"/>
  <c r="O78" i="11"/>
  <c r="O11" i="13"/>
  <c r="O78" i="13"/>
  <c r="O11" i="15"/>
  <c r="O78" i="15"/>
  <c r="N16" i="9"/>
  <c r="N48" i="10"/>
  <c r="N16" i="11"/>
  <c r="G11" i="10"/>
  <c r="G78" i="10"/>
  <c r="G11" i="14"/>
  <c r="G78" i="14"/>
  <c r="N83" i="6"/>
  <c r="N48" i="8"/>
  <c r="N83" i="11"/>
  <c r="N83" i="13"/>
  <c r="N16" i="13"/>
  <c r="N83" i="15"/>
  <c r="N16" i="15"/>
  <c r="F16" i="15"/>
  <c r="F83" i="9"/>
  <c r="F48" i="11"/>
  <c r="F16" i="10"/>
  <c r="N83" i="9"/>
  <c r="F16" i="11"/>
  <c r="F83" i="8"/>
  <c r="N83" i="8"/>
  <c r="F83" i="10"/>
  <c r="F16" i="9"/>
  <c r="F48" i="12"/>
  <c r="F16" i="12"/>
  <c r="F48" i="8"/>
  <c r="F83" i="11"/>
  <c r="F16" i="13"/>
  <c r="F83" i="15"/>
  <c r="F16" i="8"/>
  <c r="F48" i="9"/>
  <c r="F83" i="12"/>
  <c r="F48" i="10"/>
  <c r="F83" i="13"/>
  <c r="F83" i="14"/>
  <c r="F16" i="14"/>
  <c r="F48" i="15"/>
  <c r="F48" i="14"/>
  <c r="N48" i="14"/>
  <c r="F48" i="13"/>
  <c r="N48" i="12"/>
  <c r="F83" i="6"/>
  <c r="E82" i="6"/>
  <c r="F78" i="6" s="1"/>
  <c r="G78" i="6" l="1"/>
  <c r="G83" i="6" s="1"/>
  <c r="G48" i="14"/>
  <c r="AT40" i="5" s="1"/>
  <c r="G83" i="8"/>
  <c r="O83" i="8"/>
  <c r="O48" i="12"/>
  <c r="AJ41" i="5" s="1"/>
  <c r="O83" i="9"/>
  <c r="U43" i="5" s="1"/>
  <c r="V43" i="5" s="1"/>
  <c r="O48" i="14"/>
  <c r="AT41" i="5" s="1"/>
  <c r="G48" i="12"/>
  <c r="AJ40" i="5" s="1"/>
  <c r="G83" i="9"/>
  <c r="U42" i="5" s="1"/>
  <c r="O16" i="9"/>
  <c r="O48" i="13"/>
  <c r="O48" i="9"/>
  <c r="O83" i="11"/>
  <c r="O16" i="8"/>
  <c r="O39" i="5" s="1"/>
  <c r="O48" i="15"/>
  <c r="AY41" i="5" s="1"/>
  <c r="G83" i="15"/>
  <c r="AY42" i="5" s="1"/>
  <c r="G16" i="14"/>
  <c r="O16" i="11"/>
  <c r="AE39" i="5" s="1"/>
  <c r="G48" i="15"/>
  <c r="O48" i="10"/>
  <c r="Z41" i="5" s="1"/>
  <c r="G83" i="14"/>
  <c r="AT42" i="5" s="1"/>
  <c r="O83" i="6"/>
  <c r="O16" i="13"/>
  <c r="AO39" i="5" s="1"/>
  <c r="G48" i="11"/>
  <c r="AE40" i="5" s="1"/>
  <c r="G16" i="10"/>
  <c r="Z38" i="5" s="1"/>
  <c r="O83" i="15"/>
  <c r="AY43" i="5" s="1"/>
  <c r="O16" i="14"/>
  <c r="G16" i="12"/>
  <c r="AJ38" i="5" s="1"/>
  <c r="O83" i="10"/>
  <c r="G83" i="13"/>
  <c r="G16" i="8"/>
  <c r="O16" i="12"/>
  <c r="G16" i="11"/>
  <c r="G48" i="13"/>
  <c r="AO40" i="5" s="1"/>
  <c r="O83" i="13"/>
  <c r="G16" i="15"/>
  <c r="AY38" i="5" s="1"/>
  <c r="O83" i="14"/>
  <c r="O16" i="10"/>
  <c r="Z39" i="5" s="1"/>
  <c r="G83" i="10"/>
  <c r="G48" i="9"/>
  <c r="U40" i="5" s="1"/>
  <c r="O16" i="15"/>
  <c r="AY39" i="5" s="1"/>
  <c r="O48" i="8"/>
  <c r="G83" i="12"/>
  <c r="AJ42" i="5" s="1"/>
  <c r="O48" i="11"/>
  <c r="AE41" i="5" s="1"/>
  <c r="G16" i="13"/>
  <c r="AO38" i="5" s="1"/>
  <c r="O83" i="12"/>
  <c r="G83" i="11"/>
  <c r="AE42" i="5" s="1"/>
  <c r="G48" i="10"/>
  <c r="G48" i="8"/>
  <c r="O40" i="5" s="1"/>
  <c r="O42" i="5" l="1"/>
  <c r="P42" i="5" s="1"/>
  <c r="O41" i="5"/>
  <c r="O43" i="5"/>
  <c r="O38" i="5"/>
  <c r="AO41" i="5"/>
  <c r="AP41" i="5" s="1"/>
  <c r="AK42" i="5"/>
  <c r="U39" i="5"/>
  <c r="V39" i="5" s="1"/>
  <c r="AU42" i="5"/>
  <c r="AJ39" i="5"/>
  <c r="AK39" i="5" s="1"/>
  <c r="AO43" i="5"/>
  <c r="AP43" i="5" s="1"/>
  <c r="AY40" i="5"/>
  <c r="AZ40" i="5" s="1"/>
  <c r="Z43" i="5"/>
  <c r="AA43" i="5" s="1"/>
  <c r="AT38" i="5"/>
  <c r="AU38" i="5" s="1"/>
  <c r="AJ43" i="5"/>
  <c r="AK43" i="5" s="1"/>
  <c r="AZ43" i="5"/>
  <c r="AP39" i="5"/>
  <c r="AZ41" i="5"/>
  <c r="AA38" i="5"/>
  <c r="AF39" i="5"/>
  <c r="Z40" i="5"/>
  <c r="AA40" i="5" s="1"/>
  <c r="AT43" i="5"/>
  <c r="AU43" i="5" s="1"/>
  <c r="J43" i="5"/>
  <c r="K43" i="5" s="1"/>
  <c r="Z42" i="5"/>
  <c r="AA42" i="5" s="1"/>
  <c r="AZ39" i="5"/>
  <c r="AA39" i="5"/>
  <c r="AP40" i="5"/>
  <c r="AA41" i="5"/>
  <c r="AZ42" i="5"/>
  <c r="J42" i="5"/>
  <c r="K42" i="5" s="1"/>
  <c r="AO42" i="5"/>
  <c r="AP42" i="5" s="1"/>
  <c r="U41" i="5"/>
  <c r="V41" i="5" s="1"/>
  <c r="AE38" i="5"/>
  <c r="AF38" i="5" s="1"/>
  <c r="AE43" i="5"/>
  <c r="AF43" i="5" s="1"/>
  <c r="AT39" i="5"/>
  <c r="AU39" i="5" s="1"/>
  <c r="V42" i="5"/>
  <c r="AF41" i="5"/>
  <c r="AZ38" i="5"/>
  <c r="AF42" i="5"/>
  <c r="AU40" i="5"/>
  <c r="AK40" i="5"/>
  <c r="AK41" i="5"/>
  <c r="V40" i="5"/>
  <c r="AF40" i="5"/>
  <c r="AU41" i="5"/>
  <c r="AP38" i="5"/>
  <c r="AK38" i="5"/>
  <c r="P39" i="5"/>
  <c r="P40" i="5"/>
  <c r="I8" i="6"/>
  <c r="E15" i="6"/>
  <c r="F11" i="6" s="1"/>
  <c r="G11" i="6" s="1"/>
  <c r="M15" i="6"/>
  <c r="N11" i="6" s="1"/>
  <c r="O11" i="6" s="1"/>
  <c r="F16" i="6"/>
  <c r="G16" i="6" s="1"/>
  <c r="N16" i="6"/>
  <c r="I40" i="6"/>
  <c r="E47" i="6"/>
  <c r="F43" i="6" s="1"/>
  <c r="G43" i="6" s="1"/>
  <c r="G48" i="6" s="1"/>
  <c r="J40" i="5" s="1"/>
  <c r="M47" i="6"/>
  <c r="N43" i="6" s="1"/>
  <c r="O43" i="6" s="1"/>
  <c r="O48" i="6" s="1"/>
  <c r="J38" i="5" l="1"/>
  <c r="K38" i="5" s="1"/>
  <c r="O16" i="6"/>
  <c r="J39" i="5" s="1"/>
  <c r="J41" i="5"/>
  <c r="P38" i="5"/>
  <c r="P41" i="5"/>
  <c r="P43" i="5"/>
  <c r="BB43" i="5" s="1"/>
  <c r="AA44" i="5"/>
  <c r="Z44" i="5"/>
  <c r="AZ44" i="5"/>
  <c r="AP44" i="5"/>
  <c r="AF44" i="5"/>
  <c r="AO44" i="5"/>
  <c r="AT44" i="5"/>
  <c r="AU44" i="5"/>
  <c r="AE44" i="5"/>
  <c r="AK44" i="5"/>
  <c r="AJ44" i="5"/>
  <c r="AY44" i="5"/>
  <c r="BB42" i="5"/>
  <c r="K40" i="5" l="1"/>
  <c r="BB40" i="5" s="1"/>
  <c r="K39" i="5"/>
  <c r="BB39" i="5" s="1"/>
  <c r="K41" i="5"/>
  <c r="BB41" i="5" s="1"/>
  <c r="J44" i="5"/>
  <c r="K44" i="5" l="1"/>
  <c r="F35" i="7" l="1"/>
  <c r="E35" i="7"/>
  <c r="Y62" i="5" l="1"/>
  <c r="Y61" i="5"/>
  <c r="Y60" i="5"/>
  <c r="Y59" i="5"/>
  <c r="L59" i="5"/>
  <c r="O59" i="5" s="1"/>
  <c r="E89" i="18" s="1"/>
  <c r="F89" i="18" s="1"/>
  <c r="L60" i="5"/>
  <c r="O60" i="5" s="1"/>
  <c r="E90" i="18" s="1"/>
  <c r="F90" i="18" s="1"/>
  <c r="L61" i="5"/>
  <c r="O61" i="5" s="1"/>
  <c r="E91" i="18" s="1"/>
  <c r="F91" i="18" s="1"/>
  <c r="L62" i="5"/>
  <c r="O62" i="5" s="1"/>
  <c r="E92" i="18" s="1"/>
  <c r="F92" i="18" s="1"/>
  <c r="L53" i="5"/>
  <c r="O53" i="5" s="1"/>
  <c r="E83" i="18" s="1"/>
  <c r="F83" i="18" s="1"/>
  <c r="L54" i="5"/>
  <c r="O54" i="5" s="1"/>
  <c r="E84" i="18" s="1"/>
  <c r="F84" i="18" s="1"/>
  <c r="L55" i="5"/>
  <c r="O55" i="5" s="1"/>
  <c r="E85" i="18" s="1"/>
  <c r="F85" i="18" s="1"/>
  <c r="L56" i="5"/>
  <c r="O56" i="5" s="1"/>
  <c r="E86" i="18" s="1"/>
  <c r="F86" i="18" s="1"/>
  <c r="L57" i="5"/>
  <c r="O57" i="5" s="1"/>
  <c r="E87" i="18" s="1"/>
  <c r="F87" i="18" s="1"/>
  <c r="L58" i="5"/>
  <c r="O58" i="5" s="1"/>
  <c r="E88" i="18" s="1"/>
  <c r="F88" i="18" s="1"/>
  <c r="L63" i="5"/>
  <c r="O63" i="5" s="1"/>
  <c r="E93" i="18" s="1"/>
  <c r="F93" i="18" s="1"/>
  <c r="I25" i="7" l="1"/>
  <c r="J25" i="7" s="1"/>
  <c r="K25" i="7" s="1"/>
  <c r="C29" i="7"/>
  <c r="C28" i="7"/>
  <c r="C27" i="7"/>
  <c r="C26" i="7"/>
  <c r="C25" i="7"/>
  <c r="M25" i="7" l="1"/>
  <c r="L25" i="7"/>
  <c r="N25" i="7" l="1"/>
  <c r="O25" i="7" s="1"/>
  <c r="L51" i="5" l="1"/>
  <c r="O51" i="5" s="1"/>
  <c r="E81" i="18" s="1"/>
  <c r="F81" i="18" s="1"/>
  <c r="L52" i="5"/>
  <c r="O52" i="5" s="1"/>
  <c r="E82" i="18" s="1"/>
  <c r="F82" i="18" s="1"/>
  <c r="L50" i="5"/>
  <c r="O50" i="5" s="1"/>
  <c r="F153" i="7"/>
  <c r="L64" i="5" l="1"/>
  <c r="L88" i="5" s="1"/>
  <c r="E80" i="18"/>
  <c r="F80" i="18" s="1"/>
  <c r="E26" i="7"/>
  <c r="E16" i="7" s="1"/>
  <c r="F16" i="7" s="1"/>
  <c r="E27" i="7"/>
  <c r="E17" i="7" s="1"/>
  <c r="F17" i="7" s="1"/>
  <c r="E28" i="7"/>
  <c r="E18" i="7" s="1"/>
  <c r="F18" i="7" s="1"/>
  <c r="E29" i="7"/>
  <c r="E19" i="7" s="1"/>
  <c r="F19" i="7" s="1"/>
  <c r="E25" i="7"/>
  <c r="F47" i="7" l="1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46" i="7"/>
  <c r="F24" i="5" l="1"/>
  <c r="Y73" i="5" l="1"/>
  <c r="Y74" i="5"/>
  <c r="Y76" i="5"/>
  <c r="Y78" i="5"/>
  <c r="Y82" i="5"/>
  <c r="Y84" i="5"/>
  <c r="Y86" i="5"/>
  <c r="Y75" i="5"/>
  <c r="Y77" i="5"/>
  <c r="Y79" i="5"/>
  <c r="Y81" i="5"/>
  <c r="Y83" i="5"/>
  <c r="Y85" i="5"/>
  <c r="Y72" i="5"/>
  <c r="Y80" i="5" l="1"/>
  <c r="O87" i="5"/>
  <c r="F116" i="5"/>
  <c r="Y87" i="5" l="1"/>
  <c r="D41" i="7"/>
  <c r="E41" i="7" s="1"/>
  <c r="F41" i="7" s="1"/>
  <c r="H116" i="5" s="1"/>
  <c r="M95" i="15" l="1"/>
  <c r="M28" i="15"/>
  <c r="M61" i="14"/>
  <c r="M95" i="13"/>
  <c r="M28" i="13"/>
  <c r="M61" i="12"/>
  <c r="M28" i="11"/>
  <c r="M61" i="11"/>
  <c r="M28" i="10"/>
  <c r="M28" i="9"/>
  <c r="M95" i="9"/>
  <c r="M61" i="8"/>
  <c r="M95" i="6"/>
  <c r="M28" i="6"/>
  <c r="E95" i="15"/>
  <c r="E28" i="15"/>
  <c r="E61" i="14"/>
  <c r="E95" i="13"/>
  <c r="E28" i="13"/>
  <c r="E61" i="12"/>
  <c r="E28" i="11"/>
  <c r="E61" i="11"/>
  <c r="E28" i="10"/>
  <c r="E28" i="9"/>
  <c r="E95" i="9"/>
  <c r="E61" i="8"/>
  <c r="E95" i="6"/>
  <c r="E28" i="6"/>
  <c r="M61" i="15"/>
  <c r="M95" i="14"/>
  <c r="M28" i="14"/>
  <c r="M61" i="13"/>
  <c r="M95" i="12"/>
  <c r="M28" i="12"/>
  <c r="M95" i="11"/>
  <c r="M95" i="10"/>
  <c r="M61" i="10"/>
  <c r="M61" i="9"/>
  <c r="M28" i="8"/>
  <c r="M95" i="8"/>
  <c r="M61" i="6"/>
  <c r="E61" i="15"/>
  <c r="E95" i="14"/>
  <c r="E28" i="14"/>
  <c r="E61" i="13"/>
  <c r="E95" i="12"/>
  <c r="E28" i="12"/>
  <c r="E95" i="11"/>
  <c r="E95" i="10"/>
  <c r="E61" i="10"/>
  <c r="E61" i="9"/>
  <c r="E28" i="8"/>
  <c r="E95" i="8"/>
  <c r="E61" i="6"/>
  <c r="C20" i="7"/>
  <c r="F20" i="7" l="1"/>
  <c r="G15" i="7" s="1"/>
  <c r="I15" i="7" l="1"/>
  <c r="H15" i="7"/>
  <c r="J15" i="7" l="1"/>
  <c r="L15" i="7" l="1"/>
  <c r="M15" i="7" s="1"/>
  <c r="N15" i="7" s="1"/>
  <c r="M17" i="7"/>
  <c r="Y55" i="5"/>
  <c r="Y56" i="5"/>
  <c r="Y57" i="5"/>
  <c r="Y58" i="5"/>
  <c r="Y63" i="5"/>
  <c r="Y51" i="5" l="1"/>
  <c r="Y52" i="5"/>
  <c r="Y53" i="5"/>
  <c r="Y54" i="5"/>
  <c r="Y50" i="5" l="1"/>
  <c r="O64" i="5" l="1"/>
  <c r="F94" i="18" s="1"/>
  <c r="I21" i="2"/>
  <c r="F109" i="18" l="1"/>
  <c r="O88" i="5"/>
  <c r="Y64" i="5"/>
  <c r="Y88" i="5" s="1"/>
  <c r="F110" i="18" l="1"/>
  <c r="F112" i="18" s="1"/>
  <c r="J119" i="5"/>
  <c r="P61" i="5"/>
  <c r="P60" i="5"/>
  <c r="P62" i="5"/>
  <c r="P59" i="5"/>
  <c r="P63" i="5"/>
  <c r="P55" i="5"/>
  <c r="P54" i="5"/>
  <c r="P58" i="5"/>
  <c r="P57" i="5"/>
  <c r="P56" i="5"/>
  <c r="P50" i="5"/>
  <c r="P51" i="5"/>
  <c r="P53" i="5"/>
  <c r="P52" i="5"/>
  <c r="P86" i="5"/>
  <c r="P81" i="5"/>
  <c r="P84" i="5"/>
  <c r="P85" i="5"/>
  <c r="P80" i="5"/>
  <c r="P76" i="5"/>
  <c r="P77" i="5"/>
  <c r="P78" i="5"/>
  <c r="P75" i="5"/>
  <c r="P82" i="5"/>
  <c r="P79" i="5"/>
  <c r="P83" i="5"/>
  <c r="P73" i="5"/>
  <c r="P74" i="5"/>
  <c r="P72" i="5"/>
  <c r="AB125" i="5" l="1"/>
  <c r="F111" i="18"/>
  <c r="P64" i="5"/>
  <c r="P88" i="5" s="1"/>
  <c r="P44" i="5"/>
  <c r="R44" i="5"/>
  <c r="G4" i="9"/>
  <c r="Q44" i="5"/>
  <c r="G8" i="9"/>
  <c r="O44" i="5"/>
  <c r="G9" i="9" l="1"/>
  <c r="G11" i="9" l="1"/>
  <c r="G16" i="9" s="1"/>
  <c r="U38" i="5" s="1"/>
  <c r="V38" i="5" s="1"/>
  <c r="V44" i="5" l="1"/>
  <c r="BB38" i="5"/>
  <c r="U44" i="5"/>
  <c r="BB44" i="5" l="1"/>
  <c r="F113" i="5" s="1"/>
  <c r="N40" i="5" l="1"/>
  <c r="N39" i="5"/>
  <c r="N42" i="5"/>
  <c r="N38" i="5"/>
  <c r="N43" i="5"/>
  <c r="N41" i="5"/>
  <c r="AN41" i="5"/>
  <c r="Y43" i="5"/>
  <c r="AD42" i="5"/>
  <c r="AI38" i="5"/>
  <c r="S42" i="5"/>
  <c r="Y38" i="5"/>
  <c r="AI39" i="5"/>
  <c r="I38" i="5"/>
  <c r="AS42" i="5"/>
  <c r="S38" i="5"/>
  <c r="S43" i="5"/>
  <c r="Y41" i="5"/>
  <c r="AD43" i="5"/>
  <c r="AD39" i="5"/>
  <c r="AI43" i="5"/>
  <c r="AN39" i="5"/>
  <c r="AN38" i="5"/>
  <c r="AS43" i="5"/>
  <c r="AS40" i="5"/>
  <c r="AX41" i="5"/>
  <c r="S40" i="5"/>
  <c r="S39" i="5"/>
  <c r="S41" i="5"/>
  <c r="Y40" i="5"/>
  <c r="Y39" i="5"/>
  <c r="Y42" i="5"/>
  <c r="AD41" i="5"/>
  <c r="AD38" i="5"/>
  <c r="AD40" i="5"/>
  <c r="AI41" i="5"/>
  <c r="AI40" i="5"/>
  <c r="AI42" i="5"/>
  <c r="AN43" i="5"/>
  <c r="AN40" i="5"/>
  <c r="AN42" i="5"/>
  <c r="AS38" i="5"/>
  <c r="AS39" i="5"/>
  <c r="AS41" i="5"/>
  <c r="I40" i="5"/>
  <c r="AX43" i="5"/>
  <c r="AX39" i="5"/>
  <c r="I41" i="5"/>
  <c r="AX38" i="5"/>
  <c r="AX42" i="5"/>
  <c r="AX40" i="5"/>
  <c r="I42" i="5"/>
  <c r="I43" i="5"/>
  <c r="I39" i="5"/>
  <c r="I44" i="5" l="1"/>
  <c r="O94" i="8" l="1"/>
  <c r="O95" i="8" s="1"/>
  <c r="G94" i="8"/>
  <c r="G95" i="8" s="1"/>
  <c r="O60" i="8"/>
  <c r="O61" i="8" s="1"/>
  <c r="G60" i="8"/>
  <c r="G61" i="8" s="1"/>
  <c r="O27" i="9"/>
  <c r="O28" i="9" s="1"/>
  <c r="G94" i="15"/>
  <c r="G95" i="15" s="1"/>
  <c r="O94" i="15"/>
  <c r="O95" i="15" s="1"/>
  <c r="G60" i="15"/>
  <c r="G61" i="15" s="1"/>
  <c r="O60" i="15"/>
  <c r="O61" i="15" s="1"/>
  <c r="O94" i="14"/>
  <c r="O95" i="14" s="1"/>
  <c r="O27" i="15"/>
  <c r="O28" i="15" s="1"/>
  <c r="O60" i="14"/>
  <c r="O61" i="14" s="1"/>
  <c r="G94" i="14"/>
  <c r="G95" i="14" s="1"/>
  <c r="O27" i="14"/>
  <c r="O28" i="14" s="1"/>
  <c r="G60" i="14"/>
  <c r="G94" i="13"/>
  <c r="G95" i="13" s="1"/>
  <c r="O94" i="13"/>
  <c r="O95" i="13" s="1"/>
  <c r="G60" i="13"/>
  <c r="G61" i="13" s="1"/>
  <c r="O60" i="13"/>
  <c r="O61" i="13" s="1"/>
  <c r="O94" i="12"/>
  <c r="O95" i="12" s="1"/>
  <c r="O27" i="13"/>
  <c r="O28" i="13" s="1"/>
  <c r="O60" i="12"/>
  <c r="O61" i="12" s="1"/>
  <c r="G94" i="12"/>
  <c r="G95" i="12" s="1"/>
  <c r="O27" i="12"/>
  <c r="O28" i="12" s="1"/>
  <c r="G60" i="12"/>
  <c r="G94" i="11"/>
  <c r="G95" i="11" s="1"/>
  <c r="O94" i="11"/>
  <c r="O95" i="11" s="1"/>
  <c r="G60" i="11"/>
  <c r="G61" i="11" s="1"/>
  <c r="O60" i="11"/>
  <c r="O61" i="11" s="1"/>
  <c r="O94" i="10"/>
  <c r="O95" i="10" s="1"/>
  <c r="O27" i="11"/>
  <c r="O28" i="11" s="1"/>
  <c r="O60" i="10"/>
  <c r="O61" i="10" s="1"/>
  <c r="G94" i="10"/>
  <c r="G95" i="10" s="1"/>
  <c r="O27" i="10"/>
  <c r="O28" i="10" s="1"/>
  <c r="G60" i="10"/>
  <c r="G61" i="10" s="1"/>
  <c r="G94" i="9"/>
  <c r="G95" i="9" s="1"/>
  <c r="O94" i="9"/>
  <c r="O95" i="9" s="1"/>
  <c r="G60" i="9"/>
  <c r="O60" i="9"/>
  <c r="O61" i="9" s="1"/>
  <c r="O27" i="8"/>
  <c r="O28" i="8" s="1"/>
  <c r="G27" i="15"/>
  <c r="G28" i="15" s="1"/>
  <c r="O60" i="6"/>
  <c r="O61" i="6" s="1"/>
  <c r="G94" i="6"/>
  <c r="G95" i="6" s="1"/>
  <c r="O94" i="6"/>
  <c r="O95" i="6" s="1"/>
  <c r="G27" i="13"/>
  <c r="G28" i="13" s="1"/>
  <c r="G27" i="14"/>
  <c r="G28" i="14" s="1"/>
  <c r="G27" i="11"/>
  <c r="G28" i="11" s="1"/>
  <c r="G27" i="12"/>
  <c r="G28" i="12" s="1"/>
  <c r="G27" i="10"/>
  <c r="G28" i="10" s="1"/>
  <c r="O27" i="6"/>
  <c r="O28" i="6" s="1"/>
  <c r="G60" i="6" l="1"/>
  <c r="G61" i="6" s="1"/>
  <c r="O62" i="8"/>
  <c r="O63" i="8" s="1"/>
  <c r="O67" i="8" s="1"/>
  <c r="E48" i="18" s="1"/>
  <c r="F48" i="18" s="1"/>
  <c r="G61" i="14"/>
  <c r="G62" i="14" s="1"/>
  <c r="G63" i="14" s="1"/>
  <c r="G67" i="14" s="1"/>
  <c r="G61" i="9"/>
  <c r="G62" i="9" s="1"/>
  <c r="G63" i="9" s="1"/>
  <c r="G67" i="9" s="1"/>
  <c r="G61" i="12"/>
  <c r="G62" i="12" s="1"/>
  <c r="G63" i="12" s="1"/>
  <c r="G67" i="12" s="1"/>
  <c r="O62" i="6"/>
  <c r="O63" i="6" s="1"/>
  <c r="O67" i="6" s="1"/>
  <c r="G29" i="15"/>
  <c r="G30" i="15" s="1"/>
  <c r="G34" i="15" s="1"/>
  <c r="O29" i="11"/>
  <c r="O30" i="11" s="1"/>
  <c r="O34" i="11" s="1"/>
  <c r="O96" i="13"/>
  <c r="O97" i="13" s="1"/>
  <c r="O101" i="13" s="1"/>
  <c r="G29" i="12"/>
  <c r="G30" i="12" s="1"/>
  <c r="G34" i="12" s="1"/>
  <c r="G96" i="9"/>
  <c r="G97" i="9" s="1"/>
  <c r="G101" i="9" s="1"/>
  <c r="G96" i="14"/>
  <c r="G97" i="14" s="1"/>
  <c r="G101" i="14" s="1"/>
  <c r="O96" i="14"/>
  <c r="O97" i="14" s="1"/>
  <c r="O101" i="14" s="1"/>
  <c r="O96" i="9"/>
  <c r="O97" i="9" s="1"/>
  <c r="O101" i="9" s="1"/>
  <c r="O62" i="12"/>
  <c r="O63" i="12" s="1"/>
  <c r="O67" i="12" s="1"/>
  <c r="O29" i="10"/>
  <c r="O30" i="10" s="1"/>
  <c r="O34" i="10" s="1"/>
  <c r="O96" i="8"/>
  <c r="O97" i="8" s="1"/>
  <c r="O101" i="8" s="1"/>
  <c r="E66" i="18" s="1"/>
  <c r="F66" i="18" s="1"/>
  <c r="G96" i="8"/>
  <c r="G97" i="8" s="1"/>
  <c r="G101" i="8" s="1"/>
  <c r="O96" i="11"/>
  <c r="O97" i="11" s="1"/>
  <c r="O101" i="11" s="1"/>
  <c r="G29" i="11"/>
  <c r="G30" i="11" s="1"/>
  <c r="G34" i="11" s="1"/>
  <c r="O29" i="14"/>
  <c r="O30" i="14" s="1"/>
  <c r="O34" i="14" s="1"/>
  <c r="G96" i="15"/>
  <c r="G97" i="15" s="1"/>
  <c r="G101" i="15" s="1"/>
  <c r="O62" i="9"/>
  <c r="O63" i="9" s="1"/>
  <c r="O67" i="9" s="1"/>
  <c r="G62" i="13"/>
  <c r="G63" i="13" s="1"/>
  <c r="G67" i="13" s="1"/>
  <c r="O29" i="15"/>
  <c r="O30" i="15" s="1"/>
  <c r="O34" i="15" s="1"/>
  <c r="G29" i="14"/>
  <c r="G30" i="14" s="1"/>
  <c r="G34" i="14" s="1"/>
  <c r="O29" i="13"/>
  <c r="O30" i="13" s="1"/>
  <c r="O34" i="13" s="1"/>
  <c r="G96" i="13"/>
  <c r="G97" i="13" s="1"/>
  <c r="G101" i="13" s="1"/>
  <c r="G96" i="10"/>
  <c r="G97" i="10" s="1"/>
  <c r="G101" i="10" s="1"/>
  <c r="O62" i="10"/>
  <c r="O63" i="10" s="1"/>
  <c r="O67" i="10" s="1"/>
  <c r="O96" i="15"/>
  <c r="O97" i="15" s="1"/>
  <c r="O101" i="15" s="1"/>
  <c r="O96" i="6"/>
  <c r="O97" i="6" s="1"/>
  <c r="O101" i="6" s="1"/>
  <c r="O62" i="15"/>
  <c r="O63" i="15" s="1"/>
  <c r="O67" i="15" s="1"/>
  <c r="G62" i="11"/>
  <c r="G63" i="11" s="1"/>
  <c r="G67" i="11" s="1"/>
  <c r="O62" i="14"/>
  <c r="O63" i="14" s="1"/>
  <c r="O67" i="14" s="1"/>
  <c r="O29" i="9"/>
  <c r="O30" i="9" s="1"/>
  <c r="O34" i="9" s="1"/>
  <c r="O62" i="11"/>
  <c r="O63" i="11" s="1"/>
  <c r="O67" i="11" s="1"/>
  <c r="G62" i="10"/>
  <c r="G63" i="10" s="1"/>
  <c r="G67" i="10" s="1"/>
  <c r="G96" i="6"/>
  <c r="G97" i="6" s="1"/>
  <c r="G101" i="6" s="1"/>
  <c r="G96" i="12"/>
  <c r="G97" i="12" s="1"/>
  <c r="G101" i="12" s="1"/>
  <c r="O96" i="12"/>
  <c r="O97" i="12" s="1"/>
  <c r="O101" i="12" s="1"/>
  <c r="G62" i="15"/>
  <c r="G63" i="15" s="1"/>
  <c r="G67" i="15" s="1"/>
  <c r="O62" i="13"/>
  <c r="O63" i="13" s="1"/>
  <c r="O67" i="13" s="1"/>
  <c r="G62" i="8"/>
  <c r="G63" i="8" s="1"/>
  <c r="G67" i="8" s="1"/>
  <c r="O29" i="12"/>
  <c r="O30" i="12" s="1"/>
  <c r="O34" i="12" s="1"/>
  <c r="G96" i="11"/>
  <c r="G97" i="11" s="1"/>
  <c r="G101" i="11" s="1"/>
  <c r="G29" i="13"/>
  <c r="G30" i="13" s="1"/>
  <c r="G34" i="13" s="1"/>
  <c r="O96" i="10"/>
  <c r="O97" i="10" s="1"/>
  <c r="O101" i="10" s="1"/>
  <c r="G29" i="10"/>
  <c r="G30" i="10" s="1"/>
  <c r="G34" i="10" s="1"/>
  <c r="E23" i="18" s="1"/>
  <c r="F23" i="18" s="1"/>
  <c r="O29" i="6"/>
  <c r="O30" i="6" s="1"/>
  <c r="O34" i="6" s="1"/>
  <c r="E29" i="18" s="1"/>
  <c r="F29" i="18" s="1"/>
  <c r="O29" i="8"/>
  <c r="O30" i="8" s="1"/>
  <c r="O34" i="8" s="1"/>
  <c r="G62" i="6" l="1"/>
  <c r="G63" i="6" s="1"/>
  <c r="G67" i="6" s="1"/>
  <c r="E38" i="18" s="1"/>
  <c r="F38" i="18" s="1"/>
  <c r="O64" i="8"/>
  <c r="E43" i="18"/>
  <c r="F43" i="18" s="1"/>
  <c r="G64" i="12"/>
  <c r="E40" i="18"/>
  <c r="F40" i="18" s="1"/>
  <c r="G64" i="9"/>
  <c r="E45" i="18"/>
  <c r="F45" i="18" s="1"/>
  <c r="G64" i="14"/>
  <c r="E47" i="18"/>
  <c r="F47" i="18" s="1"/>
  <c r="O64" i="6"/>
  <c r="O98" i="10"/>
  <c r="E68" i="18"/>
  <c r="F68" i="18" s="1"/>
  <c r="O98" i="6"/>
  <c r="E65" i="18"/>
  <c r="F65" i="18" s="1"/>
  <c r="G64" i="13"/>
  <c r="E44" i="18"/>
  <c r="F44" i="18" s="1"/>
  <c r="G98" i="14"/>
  <c r="E63" i="18"/>
  <c r="F63" i="18" s="1"/>
  <c r="O31" i="11"/>
  <c r="E33" i="18"/>
  <c r="F33" i="18" s="1"/>
  <c r="O64" i="13"/>
  <c r="E53" i="18"/>
  <c r="F53" i="18" s="1"/>
  <c r="O64" i="11"/>
  <c r="E51" i="18"/>
  <c r="F51" i="18" s="1"/>
  <c r="G64" i="11"/>
  <c r="E42" i="18"/>
  <c r="F42" i="18" s="1"/>
  <c r="O98" i="15"/>
  <c r="E73" i="18"/>
  <c r="F73" i="18" s="1"/>
  <c r="O31" i="13"/>
  <c r="E35" i="18"/>
  <c r="F35" i="18" s="1"/>
  <c r="O64" i="9"/>
  <c r="E49" i="18"/>
  <c r="F49" i="18" s="1"/>
  <c r="O98" i="11"/>
  <c r="E69" i="18"/>
  <c r="F69" i="18" s="1"/>
  <c r="O64" i="12"/>
  <c r="E52" i="18"/>
  <c r="F52" i="18" s="1"/>
  <c r="G98" i="9"/>
  <c r="E58" i="18"/>
  <c r="F58" i="18" s="1"/>
  <c r="G64" i="8"/>
  <c r="E39" i="18"/>
  <c r="F39" i="18" s="1"/>
  <c r="O64" i="14"/>
  <c r="E54" i="18"/>
  <c r="F54" i="18" s="1"/>
  <c r="G98" i="11"/>
  <c r="E60" i="18"/>
  <c r="F60" i="18" s="1"/>
  <c r="O64" i="10"/>
  <c r="E50" i="18"/>
  <c r="F50" i="18" s="1"/>
  <c r="G98" i="15"/>
  <c r="E64" i="18"/>
  <c r="F64" i="18" s="1"/>
  <c r="G98" i="8"/>
  <c r="E57" i="18"/>
  <c r="F57" i="18" s="1"/>
  <c r="O98" i="9"/>
  <c r="E67" i="18"/>
  <c r="F67" i="18" s="1"/>
  <c r="O98" i="12"/>
  <c r="E70" i="18"/>
  <c r="F70" i="18" s="1"/>
  <c r="G64" i="10"/>
  <c r="E41" i="18"/>
  <c r="F41" i="18" s="1"/>
  <c r="G98" i="13"/>
  <c r="E62" i="18"/>
  <c r="F62" i="18" s="1"/>
  <c r="O31" i="10"/>
  <c r="E32" i="18"/>
  <c r="F32" i="18" s="1"/>
  <c r="O31" i="8"/>
  <c r="E30" i="18"/>
  <c r="F30" i="18" s="1"/>
  <c r="O31" i="12"/>
  <c r="E34" i="18"/>
  <c r="F34" i="18" s="1"/>
  <c r="G64" i="15"/>
  <c r="E46" i="18"/>
  <c r="F46" i="18" s="1"/>
  <c r="G98" i="12"/>
  <c r="E61" i="18"/>
  <c r="F61" i="18" s="1"/>
  <c r="G98" i="6"/>
  <c r="E56" i="18"/>
  <c r="F56" i="18" s="1"/>
  <c r="O31" i="9"/>
  <c r="E31" i="18"/>
  <c r="F31" i="18" s="1"/>
  <c r="O64" i="15"/>
  <c r="E55" i="18"/>
  <c r="F55" i="18" s="1"/>
  <c r="G98" i="10"/>
  <c r="E59" i="18"/>
  <c r="F59" i="18" s="1"/>
  <c r="O31" i="15"/>
  <c r="E37" i="18"/>
  <c r="F37" i="18" s="1"/>
  <c r="O31" i="14"/>
  <c r="E36" i="18"/>
  <c r="F36" i="18" s="1"/>
  <c r="O98" i="8"/>
  <c r="O98" i="14"/>
  <c r="E72" i="18"/>
  <c r="F72" i="18" s="1"/>
  <c r="O98" i="13"/>
  <c r="E71" i="18"/>
  <c r="F71" i="18" s="1"/>
  <c r="G31" i="14"/>
  <c r="E27" i="18"/>
  <c r="F27" i="18" s="1"/>
  <c r="G31" i="12"/>
  <c r="E25" i="18"/>
  <c r="F25" i="18" s="1"/>
  <c r="G31" i="11"/>
  <c r="E24" i="18"/>
  <c r="F24" i="18" s="1"/>
  <c r="G31" i="13"/>
  <c r="E26" i="18"/>
  <c r="F26" i="18" s="1"/>
  <c r="G31" i="15"/>
  <c r="E28" i="18"/>
  <c r="F28" i="18" s="1"/>
  <c r="G31" i="10"/>
  <c r="AG131" i="11"/>
  <c r="O31" i="6"/>
  <c r="I113" i="5"/>
  <c r="J113" i="5"/>
  <c r="J102" i="5" s="1"/>
  <c r="G64" i="6" l="1"/>
  <c r="J98" i="5"/>
  <c r="W104" i="5"/>
  <c r="J100" i="5"/>
  <c r="J97" i="5"/>
  <c r="J99" i="5"/>
  <c r="W105" i="5"/>
  <c r="J101" i="5"/>
  <c r="W101" i="5"/>
  <c r="W103" i="5"/>
  <c r="W97" i="5"/>
  <c r="J103" i="5"/>
  <c r="W99" i="5"/>
  <c r="W100" i="5"/>
  <c r="W102" i="5"/>
  <c r="W106" i="5"/>
  <c r="J104" i="5"/>
  <c r="W98" i="5"/>
  <c r="J107" i="5" l="1"/>
  <c r="W107" i="5"/>
  <c r="U108" i="5" l="1"/>
  <c r="G27" i="8" s="1"/>
  <c r="G27" i="6" l="1"/>
  <c r="J116" i="5"/>
  <c r="R124" i="5" s="1"/>
  <c r="R125" i="5" s="1"/>
  <c r="G27" i="9"/>
  <c r="G28" i="9" s="1"/>
  <c r="G29" i="9" s="1"/>
  <c r="G30" i="9" s="1"/>
  <c r="G34" i="9" s="1"/>
  <c r="G28" i="8"/>
  <c r="G29" i="8" s="1"/>
  <c r="G30" i="8" s="1"/>
  <c r="G34" i="8" s="1"/>
  <c r="L106" i="5" l="1"/>
  <c r="G28" i="6"/>
  <c r="G29" i="6" s="1"/>
  <c r="G30" i="6" s="1"/>
  <c r="G34" i="6" s="1"/>
  <c r="G31" i="6" s="1"/>
  <c r="R126" i="5"/>
  <c r="R127" i="5" s="1"/>
  <c r="E22" i="18"/>
  <c r="F22" i="18" s="1"/>
  <c r="G31" i="9"/>
  <c r="E21" i="18"/>
  <c r="F21" i="18" s="1"/>
  <c r="G31" i="8"/>
  <c r="S131" i="5" l="1"/>
  <c r="E20" i="18" l="1"/>
  <c r="F20" i="18" s="1"/>
  <c r="F74" i="18" s="1"/>
  <c r="AB124" i="5" l="1"/>
  <c r="AB127" i="5" s="1"/>
  <c r="E74" i="18"/>
  <c r="H85" i="17"/>
</calcChain>
</file>

<file path=xl/comments1.xml><?xml version="1.0" encoding="utf-8"?>
<comments xmlns="http://schemas.openxmlformats.org/spreadsheetml/2006/main">
  <authors>
    <author>GRUPOREGIONAL</author>
  </authors>
  <commentList>
    <comment ref="E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A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E1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"CONTADO" CUANDO EL CLIENTE PAGUE AL MOMENTO DE LA ENTREGA  O "CREDITO" CUANDO PAGUE DESPUES DE LA ENTRGA DEL PRODUCTO </t>
        </r>
      </text>
    </comment>
    <comment ref="F1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EL TOTAL DE DIAS DE CREDITO </t>
        </r>
      </text>
    </comment>
    <comment ref="E22" authorId="0" shapeId="0">
      <text>
        <r>
          <rPr>
            <b/>
            <sz val="9"/>
            <color indexed="81"/>
            <rFont val="Tahoma"/>
            <family val="2"/>
          </rPr>
          <t xml:space="preserve">GRUPOREGIONAL:
SE DEBERA COLOCAR LA FECHA DE INICIO "REAL"  DE TRANAJO </t>
        </r>
      </text>
    </comment>
    <comment ref="AE22" authorId="0" shapeId="0">
      <text>
        <r>
          <rPr>
            <b/>
            <sz val="9"/>
            <color indexed="81"/>
            <rFont val="Tahoma"/>
            <family val="2"/>
          </rPr>
          <t>GRUPOREGIONAL:
SE DEBERA COLOCAR LA FECHA DE CONCLUSION "REAL" DEL TRABAJO</t>
        </r>
      </text>
    </comment>
    <comment ref="E24" authorId="0" shapeId="0">
      <text>
        <r>
          <rPr>
            <b/>
            <sz val="9"/>
            <color indexed="81"/>
            <rFont val="Tahoma"/>
            <family val="2"/>
          </rPr>
          <t xml:space="preserve">GRUPOREGIONAL:
SE DEBERA COLOCAR DIAS CUANDO EL TRABAJO ES EN DIAS O HRS CUANDO EL </t>
        </r>
        <r>
          <rPr>
            <sz val="9"/>
            <color indexed="81"/>
            <rFont val="Tahoma"/>
            <family val="2"/>
          </rPr>
          <t>TRABAJO ES EN HORAS</t>
        </r>
      </text>
    </comment>
    <comment ref="B4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F4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UNIDAD DE MEDIDA EN LA QUE SE PUEDA MEDIR EL MATERIA</t>
        </r>
        <r>
          <rPr>
            <sz val="9"/>
            <color indexed="81"/>
            <rFont val="Tahoma"/>
            <family val="2"/>
          </rPr>
          <t xml:space="preserve">L </t>
        </r>
      </text>
    </comment>
    <comment ref="H49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J49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Q4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CANTIDAD REAL  QUE SE UTILIZA PARA EL TRABAJO</t>
        </r>
      </text>
    </comment>
    <comment ref="S4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UNITARIO REAL   QUE SE  ADQUIRIO LOS MATERIALES</t>
        </r>
      </text>
    </comment>
    <comment ref="W49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7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7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H7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7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PRECIO UNITARIO QUE CUESTA CADA SERVICIO 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CANTIDAD REAL  QUE SE UTILIZA PARA EL TRABAJO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COSTO UNITARIO REAL DEL SERVICIO 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FORMA REAL  DE ADQUISICION DE L SERVICIO </t>
        </r>
      </text>
    </comment>
    <comment ref="F125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sharedStrings.xml><?xml version="1.0" encoding="utf-8"?>
<sst xmlns="http://schemas.openxmlformats.org/spreadsheetml/2006/main" count="3462" uniqueCount="1694">
  <si>
    <t>FECHA DE INICIO</t>
  </si>
  <si>
    <t>CLIENTE</t>
  </si>
  <si>
    <t>PRODUCTO</t>
  </si>
  <si>
    <t>TRABAJO</t>
  </si>
  <si>
    <t>DIMENSIONES</t>
  </si>
  <si>
    <t>ALTO</t>
  </si>
  <si>
    <t>ANCHO</t>
  </si>
  <si>
    <t>PROFUNDIDAD</t>
  </si>
  <si>
    <t>OBSERVACIONES</t>
  </si>
  <si>
    <t>FECHA DE ENTREGA</t>
  </si>
  <si>
    <t>MATERIALES</t>
  </si>
  <si>
    <t>CANTIDAD</t>
  </si>
  <si>
    <t>m</t>
  </si>
  <si>
    <t>FOTOGRAFIA POR:</t>
  </si>
  <si>
    <t>PRECIO</t>
  </si>
  <si>
    <t>PRECIO BS.</t>
  </si>
  <si>
    <t>CANT</t>
  </si>
  <si>
    <t>ENTREGADO A:</t>
  </si>
  <si>
    <t>COSTO TOTAL BS.</t>
  </si>
  <si>
    <t>FECHA:______________</t>
  </si>
  <si>
    <t>_____/______/20____</t>
  </si>
  <si>
    <t xml:space="preserve">FECHA: </t>
  </si>
  <si>
    <t>ITEM</t>
  </si>
  <si>
    <t xml:space="preserve">CANTIDAD </t>
  </si>
  <si>
    <t>PRECIO TOTAL</t>
  </si>
  <si>
    <t>DESCRIPCIÓN</t>
  </si>
  <si>
    <t xml:space="preserve">PRECIO UNITARIO </t>
  </si>
  <si>
    <t xml:space="preserve">Todos los precios incluyen impuestos por Ley </t>
  </si>
  <si>
    <t>Esta cotización está basada en información proporcionada por el cliente, cualquier reajuste requerirá una re - Cotizacion.</t>
  </si>
  <si>
    <t>de</t>
  </si>
  <si>
    <t xml:space="preserve">PROFORMA </t>
  </si>
  <si>
    <t xml:space="preserve">N°: </t>
  </si>
  <si>
    <r>
      <rPr>
        <b/>
        <sz val="11"/>
        <color theme="0" tint="-0.499984740745262"/>
        <rFont val="Calibri"/>
        <family val="2"/>
        <scheme val="minor"/>
      </rPr>
      <t>FORMA DE PAGO</t>
    </r>
    <r>
      <rPr>
        <sz val="11"/>
        <color theme="0" tint="-0.499984740745262"/>
        <rFont val="Calibri"/>
        <family val="2"/>
        <scheme val="minor"/>
      </rPr>
      <t>: 50% a la confirmacion de la proforma y 50% contra entrega</t>
    </r>
  </si>
  <si>
    <r>
      <rPr>
        <b/>
        <sz val="11"/>
        <color theme="0" tint="-0.499984740745262"/>
        <rFont val="Calibri"/>
        <family val="2"/>
        <scheme val="minor"/>
      </rPr>
      <t>VALIDEZ DE LA PROPUESTA</t>
    </r>
    <r>
      <rPr>
        <sz val="11"/>
        <color theme="0" tint="-0.499984740745262"/>
        <rFont val="Calibri"/>
        <family val="2"/>
        <scheme val="minor"/>
      </rPr>
      <t>: 15 Días</t>
    </r>
  </si>
  <si>
    <r>
      <rPr>
        <b/>
        <sz val="11"/>
        <color theme="0" tint="-0.499984740745262"/>
        <rFont val="Calibri"/>
        <family val="2"/>
        <scheme val="minor"/>
      </rPr>
      <t>TIEMPO DE ENTREGA:</t>
    </r>
    <r>
      <rPr>
        <sz val="11"/>
        <color theme="0" tint="-0.499984740745262"/>
        <rFont val="Calibri"/>
        <family val="2"/>
        <scheme val="minor"/>
      </rPr>
      <t xml:space="preserve"> A convenir una vez Aprobado los artes y la proforma por parte del Cliente.</t>
    </r>
  </si>
  <si>
    <t xml:space="preserve">Cliente: </t>
  </si>
  <si>
    <t>Trabajo:</t>
  </si>
  <si>
    <t>NOTA DE ENTREGA</t>
  </si>
  <si>
    <t xml:space="preserve">DESCRIPCIÓN </t>
  </si>
  <si>
    <t>MEDIDAS (m)</t>
  </si>
  <si>
    <t>Firma</t>
  </si>
  <si>
    <t>Entregado Por:</t>
  </si>
  <si>
    <t>Recibido Por:</t>
  </si>
  <si>
    <t>CI:</t>
  </si>
  <si>
    <t>CBBA:</t>
  </si>
  <si>
    <t>TOTAL Bs.-</t>
  </si>
  <si>
    <t>Enero</t>
  </si>
  <si>
    <t>de 2017</t>
  </si>
  <si>
    <r>
      <t xml:space="preserve">Cliente:  </t>
    </r>
    <r>
      <rPr>
        <sz val="11"/>
        <color theme="1"/>
        <rFont val="Calibri"/>
        <family val="2"/>
        <scheme val="minor"/>
      </rPr>
      <t xml:space="preserve">Banco PyME Fondo de la comunidad </t>
    </r>
  </si>
  <si>
    <r>
      <t>Servicio:</t>
    </r>
    <r>
      <rPr>
        <sz val="11"/>
        <color theme="1"/>
        <rFont val="Calibri"/>
        <family val="2"/>
        <scheme val="minor"/>
      </rPr>
      <t xml:space="preserve"> Elaboración de adhesivos</t>
    </r>
  </si>
  <si>
    <t xml:space="preserve">Impresión de adhesivo Arcla de 0,15m X 0,20m </t>
  </si>
  <si>
    <t>TOTAL</t>
  </si>
  <si>
    <t>FECHA DE INICIO PROGRAMADA</t>
  </si>
  <si>
    <t>FECHA DE CONCLUSION PROGRAMADA</t>
  </si>
  <si>
    <t>FECHA DE INICIO REAL</t>
  </si>
  <si>
    <t>FECHA DE CONCLUSION REAL</t>
  </si>
  <si>
    <t>UNIDAD MEDIDA</t>
  </si>
  <si>
    <t>COSTO UNITARIO</t>
  </si>
  <si>
    <t>TOTAL PRESUPUESTADO</t>
  </si>
  <si>
    <t>SERVICIOS CONTRATADOS</t>
  </si>
  <si>
    <t>MANO DE OBRA DIRECTA</t>
  </si>
  <si>
    <t>TIEMPO PROGRAMADO</t>
  </si>
  <si>
    <t>CANTIDAD ESTIMADA</t>
  </si>
  <si>
    <t xml:space="preserve">COSTO REAL </t>
  </si>
  <si>
    <t>DIAS</t>
  </si>
  <si>
    <t>TOTAL DIAS REALES</t>
  </si>
  <si>
    <t>FACTURA</t>
  </si>
  <si>
    <t>TOTAL GANADO</t>
  </si>
  <si>
    <t>CAJA SALUD+APORTE PATRONAL AFPS</t>
  </si>
  <si>
    <r>
      <t xml:space="preserve">TOTAL </t>
    </r>
    <r>
      <rPr>
        <strike/>
        <sz val="11"/>
        <color theme="1"/>
        <rFont val="Calibri"/>
        <family val="2"/>
        <scheme val="minor"/>
      </rPr>
      <t>%</t>
    </r>
  </si>
  <si>
    <t>HORAS DE TRABAJO AL MES</t>
  </si>
  <si>
    <t>TOTAL GANADO MAS +APORTE APORTE PATRONAL</t>
  </si>
  <si>
    <t>COSTO DE HORA DE TRABAJO</t>
  </si>
  <si>
    <t>COSTO DIARIO DE TRABAJO</t>
  </si>
  <si>
    <t>COSTO TOTAL DEL PROYECTO</t>
  </si>
  <si>
    <t>COSTO TOTAL DEL PROY.  MAS IMPUESTOS</t>
  </si>
  <si>
    <t>COSTO PROY. MAS F.E.E.</t>
  </si>
  <si>
    <t>ELABORADO POR:</t>
  </si>
  <si>
    <t>REVISADO POR:</t>
  </si>
  <si>
    <t>APROBADO  POR:</t>
  </si>
  <si>
    <t>FACTOR</t>
  </si>
  <si>
    <t>PREVICION AGUINALDO</t>
  </si>
  <si>
    <t>PROVICION INDEMIZACION</t>
  </si>
  <si>
    <t xml:space="preserve">PROMEDIO </t>
  </si>
  <si>
    <t>MESES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</si>
  <si>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</si>
  <si>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</si>
  <si>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</si>
  <si>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</si>
  <si>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</si>
  <si>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</si>
  <si>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</si>
  <si>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</si>
  <si>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</si>
  <si>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</si>
  <si>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</si>
  <si>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</si>
  <si>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SI,</t>
  </si>
  <si>
    <t>NO,</t>
  </si>
  <si>
    <t>COSTO DIARIO POR PERSONA ENTRE 8 PERSONAS</t>
  </si>
  <si>
    <t>COSTO REAL DEL SERVICIO</t>
  </si>
  <si>
    <t>TASA FINANCIERA</t>
  </si>
  <si>
    <t>ARCOR</t>
  </si>
  <si>
    <t>HRS</t>
  </si>
  <si>
    <t>01</t>
  </si>
  <si>
    <t>TIGO</t>
  </si>
  <si>
    <t>02</t>
  </si>
  <si>
    <t>UNILEVER</t>
  </si>
  <si>
    <t>03</t>
  </si>
  <si>
    <t>ESIKA</t>
  </si>
  <si>
    <t>04</t>
  </si>
  <si>
    <t>KIMBERLY</t>
  </si>
  <si>
    <t>05</t>
  </si>
  <si>
    <t>ROBERTO LICHTENFELD</t>
  </si>
  <si>
    <t>06</t>
  </si>
  <si>
    <t>TUA CASA</t>
  </si>
  <si>
    <t>07</t>
  </si>
  <si>
    <t>GRUPO REGIONAL S.R.L.</t>
  </si>
  <si>
    <t>08</t>
  </si>
  <si>
    <t>CGM</t>
  </si>
  <si>
    <t>09</t>
  </si>
  <si>
    <t>BV FISCALIZADORA</t>
  </si>
  <si>
    <t>10</t>
  </si>
  <si>
    <t>E-FECTIVO ESPM S.A.</t>
  </si>
  <si>
    <t>11</t>
  </si>
  <si>
    <t>FEDERACION BOLIVIANA DE GOLF</t>
  </si>
  <si>
    <t>12</t>
  </si>
  <si>
    <t>BASE POPULAR</t>
  </si>
  <si>
    <t>13</t>
  </si>
  <si>
    <t>CBN</t>
  </si>
  <si>
    <t>14</t>
  </si>
  <si>
    <t>IMCRUZ</t>
  </si>
  <si>
    <t>15</t>
  </si>
  <si>
    <t>MARIO KISEN</t>
  </si>
  <si>
    <t>16</t>
  </si>
  <si>
    <t>SOFIA LTDA.</t>
  </si>
  <si>
    <t>17</t>
  </si>
  <si>
    <t>ALICORP</t>
  </si>
  <si>
    <t>18</t>
  </si>
  <si>
    <t>D&amp;M</t>
  </si>
  <si>
    <t>19</t>
  </si>
  <si>
    <t>COMPANEX</t>
  </si>
  <si>
    <t>20</t>
  </si>
  <si>
    <t>COMERCIAL IPORRE</t>
  </si>
  <si>
    <t>21</t>
  </si>
  <si>
    <t>LUXOR AUTOMOTORS</t>
  </si>
  <si>
    <t>22</t>
  </si>
  <si>
    <t>ELIZABETH ZURCO</t>
  </si>
  <si>
    <t>23</t>
  </si>
  <si>
    <t>3 M</t>
  </si>
  <si>
    <t>24</t>
  </si>
  <si>
    <t>LA HERRADURA</t>
  </si>
  <si>
    <t>25</t>
  </si>
  <si>
    <t>RTC PERU</t>
  </si>
  <si>
    <t>26</t>
  </si>
  <si>
    <t>PUBLICARTE</t>
  </si>
  <si>
    <t>27</t>
  </si>
  <si>
    <t>SACI</t>
  </si>
  <si>
    <t>28</t>
  </si>
  <si>
    <t>MADISA</t>
  </si>
  <si>
    <t>29</t>
  </si>
  <si>
    <t>GUIDO SALVATIERRA ZABALA</t>
  </si>
  <si>
    <t>30</t>
  </si>
  <si>
    <t>CORPORACION HOTELERA TEKA S.A.</t>
  </si>
  <si>
    <t>31</t>
  </si>
  <si>
    <t>AUTOS CHERY</t>
  </si>
  <si>
    <t>32</t>
  </si>
  <si>
    <t>ASTRIX</t>
  </si>
  <si>
    <t>33</t>
  </si>
  <si>
    <t>NESTLE</t>
  </si>
  <si>
    <t>34</t>
  </si>
  <si>
    <t>IASA</t>
  </si>
  <si>
    <t>35</t>
  </si>
  <si>
    <t>FAGAL</t>
  </si>
  <si>
    <t>36</t>
  </si>
  <si>
    <t>FONDO DE LA COMUNIDAD</t>
  </si>
  <si>
    <t>37</t>
  </si>
  <si>
    <t>BATA</t>
  </si>
  <si>
    <t>38</t>
  </si>
  <si>
    <t>39</t>
  </si>
  <si>
    <t>CONSTRUCTORA COMERCIAL ARAUCARIA SRL</t>
  </si>
  <si>
    <t>40</t>
  </si>
  <si>
    <t>PROYECTOS INMOBILIARIOS EL DORAL S.A.</t>
  </si>
  <si>
    <t>41</t>
  </si>
  <si>
    <t>CIMAL</t>
  </si>
  <si>
    <t>42</t>
  </si>
  <si>
    <t>43</t>
  </si>
  <si>
    <t>FACTORY</t>
  </si>
  <si>
    <t>44</t>
  </si>
  <si>
    <t>QUALITAT Y CAVO</t>
  </si>
  <si>
    <t>45</t>
  </si>
  <si>
    <t>BELLCOS S.A.</t>
  </si>
  <si>
    <t>46</t>
  </si>
  <si>
    <t>FANABOL S.R.L</t>
  </si>
  <si>
    <t>47</t>
  </si>
  <si>
    <t>RELEVANT COMMS LTDA.</t>
  </si>
  <si>
    <t>48</t>
  </si>
  <si>
    <t>BNB</t>
  </si>
  <si>
    <t>49</t>
  </si>
  <si>
    <t>RIVERO</t>
  </si>
  <si>
    <t>50</t>
  </si>
  <si>
    <t>OLIVA</t>
  </si>
  <si>
    <t>51</t>
  </si>
  <si>
    <t>BUGGY</t>
  </si>
  <si>
    <t>52</t>
  </si>
  <si>
    <t>GALINDO</t>
  </si>
  <si>
    <t>53</t>
  </si>
  <si>
    <t>EL CORTIJO</t>
  </si>
  <si>
    <t>54</t>
  </si>
  <si>
    <t>ROJAS</t>
  </si>
  <si>
    <t>55</t>
  </si>
  <si>
    <t>TROPICAL TOURS LTDA.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</si>
  <si>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</si>
  <si>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</si>
  <si>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</si>
  <si>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</si>
  <si>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</si>
  <si>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</si>
  <si>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</si>
  <si>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</si>
  <si>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</si>
  <si>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</si>
  <si>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</si>
  <si>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</si>
  <si>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</si>
  <si>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</si>
  <si>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</si>
  <si>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</si>
  <si>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</si>
  <si>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</si>
  <si>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</si>
  <si>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</si>
  <si>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</si>
  <si>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</si>
  <si>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</si>
  <si>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</si>
  <si>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</si>
  <si>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</si>
  <si>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</si>
  <si>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</si>
  <si>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</si>
  <si>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</si>
  <si>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</si>
  <si>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</si>
  <si>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</si>
  <si>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</si>
  <si>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</si>
  <si>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</si>
  <si>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</si>
  <si>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</si>
  <si>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</si>
  <si>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</si>
  <si>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</si>
  <si>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</si>
  <si>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</si>
  <si>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</si>
  <si>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</si>
  <si>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XXX</t>
  </si>
  <si>
    <t>PRODUCTOS PUBLICITARIOS PARA CLIENTES</t>
  </si>
  <si>
    <t>EQUIPOS PARA VENTA A CLIENTES</t>
  </si>
  <si>
    <t>EVENTOS</t>
  </si>
  <si>
    <t>FERIAS Y EXPOSICIONES</t>
  </si>
  <si>
    <t>AUSPICIOS MENORES</t>
  </si>
  <si>
    <t>SERVICIO DE LOGISTICA Y ARMADO DE IMAGEN</t>
  </si>
  <si>
    <t>EVENTOS CINE POP</t>
  </si>
  <si>
    <t>SERVICIOS DE DISEÑO</t>
  </si>
  <si>
    <t>SERVICIOS DE PUBLICIDAD</t>
  </si>
  <si>
    <t>SERVICIO DE ALQUILER</t>
  </si>
  <si>
    <t>SERVICIOS VARIOS</t>
  </si>
  <si>
    <t xml:space="preserve">BTL IMPULSADORAS </t>
  </si>
  <si>
    <t xml:space="preserve">BTL REGISTRADORAS </t>
  </si>
  <si>
    <t>ADMINISTRACIÓN</t>
  </si>
  <si>
    <t>TERCERIZACION PERSONAL</t>
  </si>
  <si>
    <t>IMPORTACION PRODUCTOS</t>
  </si>
  <si>
    <t>VENTA DE COMIDA</t>
  </si>
  <si>
    <t>SERVICIO DE IMPRESIÓN</t>
  </si>
  <si>
    <t>001</t>
  </si>
  <si>
    <t>Ventura Mall</t>
  </si>
  <si>
    <t>002</t>
  </si>
  <si>
    <t>Maraton TIGO</t>
  </si>
  <si>
    <t>003</t>
  </si>
  <si>
    <t>Desayuno TIGO</t>
  </si>
  <si>
    <t>004</t>
  </si>
  <si>
    <t>Activación</t>
  </si>
  <si>
    <t>005</t>
  </si>
  <si>
    <t>Administración - Compra Activos</t>
  </si>
  <si>
    <t>006</t>
  </si>
  <si>
    <t>Administración - Gastos Administrativos</t>
  </si>
  <si>
    <t>007</t>
  </si>
  <si>
    <t>Administración - Comercialización</t>
  </si>
  <si>
    <t>008</t>
  </si>
  <si>
    <t>Campeonato de Cacho</t>
  </si>
  <si>
    <t>009</t>
  </si>
  <si>
    <t>Auspicios MenoresOruro</t>
  </si>
  <si>
    <t>010</t>
  </si>
  <si>
    <t>Auspicios Menores Cochabamba</t>
  </si>
  <si>
    <t>011</t>
  </si>
  <si>
    <t>BTL´S Cochabamba</t>
  </si>
  <si>
    <t>012</t>
  </si>
  <si>
    <t>BTL´S Santa Cruz</t>
  </si>
  <si>
    <t>013</t>
  </si>
  <si>
    <t>Logistica Eventos TIGO Cochabamba</t>
  </si>
  <si>
    <t>014</t>
  </si>
  <si>
    <t>Logistica Eventos TIGO Santa Cruz</t>
  </si>
  <si>
    <t>015</t>
  </si>
  <si>
    <t>Cumpleaños</t>
  </si>
  <si>
    <t>016</t>
  </si>
  <si>
    <t>Capacitadoras</t>
  </si>
  <si>
    <t>017</t>
  </si>
  <si>
    <t>Eventos CINE POP Tarija 2014</t>
  </si>
  <si>
    <t>018</t>
  </si>
  <si>
    <t>Campeonato de Golf Tigo Santa Cruz</t>
  </si>
  <si>
    <t>019</t>
  </si>
  <si>
    <t>Conferencia de prensa Lanzamiento LTE HS Cbba.</t>
  </si>
  <si>
    <t>020</t>
  </si>
  <si>
    <t>Dakar 2015</t>
  </si>
  <si>
    <t>021</t>
  </si>
  <si>
    <t>Capacitación Oruro Tigo</t>
  </si>
  <si>
    <t>022</t>
  </si>
  <si>
    <t>Campeonato de Golf Dove Mapaiso</t>
  </si>
  <si>
    <t>023</t>
  </si>
  <si>
    <t>Campeonato golf Dove las palmas</t>
  </si>
  <si>
    <t>024</t>
  </si>
  <si>
    <t>Life in Colors Santa Cruz</t>
  </si>
  <si>
    <t>025</t>
  </si>
  <si>
    <t>Fiesta de fin de año Unilever</t>
  </si>
  <si>
    <t>026</t>
  </si>
  <si>
    <t>Viaje plenitud</t>
  </si>
  <si>
    <t>027</t>
  </si>
  <si>
    <t>Conferencia  Tigo Money</t>
  </si>
  <si>
    <t>028</t>
  </si>
  <si>
    <t>Administración - Operaciones</t>
  </si>
  <si>
    <t>029</t>
  </si>
  <si>
    <t>Escuadron Foods Unilever</t>
  </si>
  <si>
    <t>030</t>
  </si>
  <si>
    <t>Valla 25 de Mayo</t>
  </si>
  <si>
    <t>031</t>
  </si>
  <si>
    <t>Valla Av. Pando</t>
  </si>
  <si>
    <t>032</t>
  </si>
  <si>
    <t>Reunión Unilever 02 y 03 Dic.</t>
  </si>
  <si>
    <t>033</t>
  </si>
  <si>
    <t>Auspicios menores Tarija</t>
  </si>
  <si>
    <t>034</t>
  </si>
  <si>
    <t>Actividades de diseño</t>
  </si>
  <si>
    <t>035</t>
  </si>
  <si>
    <t>Conferencia, Evento ATT</t>
  </si>
  <si>
    <t>036</t>
  </si>
  <si>
    <t>Alquiler Oficina Torre Duo</t>
  </si>
  <si>
    <t>037</t>
  </si>
  <si>
    <t>Auspicios menores Potosí</t>
  </si>
  <si>
    <t>038</t>
  </si>
  <si>
    <t>Fiesta de fin de año de Tigo</t>
  </si>
  <si>
    <t>039</t>
  </si>
  <si>
    <t>Desintalaciones</t>
  </si>
  <si>
    <t>040</t>
  </si>
  <si>
    <t>Servicio impulsadora migración LTE</t>
  </si>
  <si>
    <t>041</t>
  </si>
  <si>
    <t xml:space="preserve">conferencia de prensa Lanzamiento 4GLTE </t>
  </si>
  <si>
    <t>042</t>
  </si>
  <si>
    <t>Auspicios menores Sucre</t>
  </si>
  <si>
    <t>043</t>
  </si>
  <si>
    <t>Fiesta de Tarija</t>
  </si>
  <si>
    <t>044</t>
  </si>
  <si>
    <t>Logistica taller PTM</t>
  </si>
  <si>
    <t>045</t>
  </si>
  <si>
    <t>Fiesta SAC 11 de Diciembre</t>
  </si>
  <si>
    <t>046</t>
  </si>
  <si>
    <t>Armado de imagen Unilever</t>
  </si>
  <si>
    <t>047</t>
  </si>
  <si>
    <t>Desayuno TIGO 2014</t>
  </si>
  <si>
    <t>048</t>
  </si>
  <si>
    <t>Fiesta Año Nuevo Tigo 2014</t>
  </si>
  <si>
    <t>049</t>
  </si>
  <si>
    <t>Carnaval de Oruro 2015</t>
  </si>
  <si>
    <t>050</t>
  </si>
  <si>
    <t>Eventos Pasados Unilever</t>
  </si>
  <si>
    <t>051</t>
  </si>
  <si>
    <t>Eventos Pasados Belcorp</t>
  </si>
  <si>
    <t>052</t>
  </si>
  <si>
    <t>Eventos Pasados Cine Pop</t>
  </si>
  <si>
    <t>053</t>
  </si>
  <si>
    <t>Evento Campeonato Clausura Tigo</t>
  </si>
  <si>
    <t>054</t>
  </si>
  <si>
    <t>Evento Concierto Life In Colors Tigo</t>
  </si>
  <si>
    <t>055</t>
  </si>
  <si>
    <t>Cabina DJ y 2 Photobooths</t>
  </si>
  <si>
    <t>056</t>
  </si>
  <si>
    <t>Alquiler de equipo Bosse Tigo</t>
  </si>
  <si>
    <t>057</t>
  </si>
  <si>
    <t>Eventos Pasados Tigo</t>
  </si>
  <si>
    <t>058</t>
  </si>
  <si>
    <t>Almacenaje de mueble a ser aplicado a eventos Unilever</t>
  </si>
  <si>
    <t>059</t>
  </si>
  <si>
    <t>Activación de fin de año Tarija</t>
  </si>
  <si>
    <t>060</t>
  </si>
  <si>
    <t>Cine Pop Dakar 2015</t>
  </si>
  <si>
    <t>061</t>
  </si>
  <si>
    <t>Bolsas, tarjetas y transporte</t>
  </si>
  <si>
    <t>062</t>
  </si>
  <si>
    <t>Capacitadoras Cine Pop Dakar 2015</t>
  </si>
  <si>
    <t>063</t>
  </si>
  <si>
    <t>Eventos a ser aplicados en Santa Cruz</t>
  </si>
  <si>
    <t>064</t>
  </si>
  <si>
    <t>Activacion de fin de año Tarija</t>
  </si>
  <si>
    <t>065</t>
  </si>
  <si>
    <t>Activacion la Chiva Rumbera Tigo</t>
  </si>
  <si>
    <t>066</t>
  </si>
  <si>
    <t>Convención de Ventas Tigo Trinidad</t>
  </si>
  <si>
    <t>067</t>
  </si>
  <si>
    <t>Convencion de Ventas Tigo Potosí</t>
  </si>
  <si>
    <t>068</t>
  </si>
  <si>
    <t>Convencion de Ventas Tigo Sucre</t>
  </si>
  <si>
    <t>069</t>
  </si>
  <si>
    <t>Convencion de ventas Tigo Yacuiba</t>
  </si>
  <si>
    <t>070</t>
  </si>
  <si>
    <t>Inauguracion Tienda Tigo Quillacollo</t>
  </si>
  <si>
    <t>071</t>
  </si>
  <si>
    <t>Produccion Digital Dakar 2015</t>
  </si>
  <si>
    <t>072</t>
  </si>
  <si>
    <t>Convencion de ventas Tigo Cochabamba</t>
  </si>
  <si>
    <t>073</t>
  </si>
  <si>
    <t>Llegada de Gerentes Cbba.</t>
  </si>
  <si>
    <t>074</t>
  </si>
  <si>
    <t>CAMBIO Y MANTENIMIENTO DE CARGADORES CASA DE CAMPO</t>
  </si>
  <si>
    <t>075</t>
  </si>
  <si>
    <t>Convencion Work Shop Cbba., La Paz</t>
  </si>
  <si>
    <t>076</t>
  </si>
  <si>
    <t>Administración Base Popular</t>
  </si>
  <si>
    <t>077</t>
  </si>
  <si>
    <t>Convencion de ventas Tarija</t>
  </si>
  <si>
    <t>078</t>
  </si>
  <si>
    <t>Uniformes de Gatto Pardo</t>
  </si>
  <si>
    <t>079</t>
  </si>
  <si>
    <t>Vasos Choperos Tigo - Coronación Anabel 2015</t>
  </si>
  <si>
    <t>080</t>
  </si>
  <si>
    <t>Bienvenida del Chavo Salvatierra</t>
  </si>
  <si>
    <t>081</t>
  </si>
  <si>
    <t>Inauguracion Tigo Matic Cobija</t>
  </si>
  <si>
    <t>082</t>
  </si>
  <si>
    <t>Coronación Anabel 2015</t>
  </si>
  <si>
    <t>083</t>
  </si>
  <si>
    <t>Filmacion final de la llegada del Chavo</t>
  </si>
  <si>
    <t>084</t>
  </si>
  <si>
    <t>Carnaval Tigo 2015</t>
  </si>
  <si>
    <t>085</t>
  </si>
  <si>
    <t>Escuadron Scott</t>
  </si>
  <si>
    <t>086</t>
  </si>
  <si>
    <t>Decoracion salon Coronación Anabel 2015</t>
  </si>
  <si>
    <t>087</t>
  </si>
  <si>
    <t>Evento Camarote Tigo</t>
  </si>
  <si>
    <t>088</t>
  </si>
  <si>
    <t>Ades Premier Dino Terra</t>
  </si>
  <si>
    <t>089</t>
  </si>
  <si>
    <t>Inauguración tienda Tigo Sucre</t>
  </si>
  <si>
    <t>090</t>
  </si>
  <si>
    <t>Material publicitario</t>
  </si>
  <si>
    <t>091</t>
  </si>
  <si>
    <t>Previa Concierto Kjarkas en Studio</t>
  </si>
  <si>
    <t>092</t>
  </si>
  <si>
    <t>Activacion Partido de futbol</t>
  </si>
  <si>
    <t>093</t>
  </si>
  <si>
    <t>Activacion Sedal</t>
  </si>
  <si>
    <t>094</t>
  </si>
  <si>
    <t>Reunión CBN</t>
  </si>
  <si>
    <t>095</t>
  </si>
  <si>
    <t>Material Digital tigo, Video Dia del Padre</t>
  </si>
  <si>
    <t>096</t>
  </si>
  <si>
    <t>Coctel inauguración de Imcruz</t>
  </si>
  <si>
    <t>097</t>
  </si>
  <si>
    <t>Festival Exposur</t>
  </si>
  <si>
    <t>098</t>
  </si>
  <si>
    <t>CBN Nosso Bar</t>
  </si>
  <si>
    <t>099</t>
  </si>
  <si>
    <t>Activación Ponds</t>
  </si>
  <si>
    <t>Activación Ades (Colegios)</t>
  </si>
  <si>
    <t>101</t>
  </si>
  <si>
    <t>Poleras Personalizadas</t>
  </si>
  <si>
    <t>102</t>
  </si>
  <si>
    <t>Conferencia "Aula Digital - Tigo"</t>
  </si>
  <si>
    <t>103</t>
  </si>
  <si>
    <t>Concierto Kjarkas y Chila Jatun</t>
  </si>
  <si>
    <t>104</t>
  </si>
  <si>
    <t>105</t>
  </si>
  <si>
    <t>Golf Dove Men Care S.C.</t>
  </si>
  <si>
    <t>106</t>
  </si>
  <si>
    <t>Pasacalles</t>
  </si>
  <si>
    <t>107</t>
  </si>
  <si>
    <t>Concierto "Entre Padres e Hijos" - La Paz</t>
  </si>
  <si>
    <t>108</t>
  </si>
  <si>
    <t>Inauguracion Tienda Imcruz en Santa Cruz</t>
  </si>
  <si>
    <t>109</t>
  </si>
  <si>
    <t>Activacion con Packs Dermo Aclarant</t>
  </si>
  <si>
    <t>110</t>
  </si>
  <si>
    <t>Auspicio Rexona Ciclismo</t>
  </si>
  <si>
    <t>111</t>
  </si>
  <si>
    <t>Actividades Comerciales BTL Feicobol</t>
  </si>
  <si>
    <t>112</t>
  </si>
  <si>
    <t>Neceser, muestra sin tiro, con mango con sello Unilever</t>
  </si>
  <si>
    <t>113</t>
  </si>
  <si>
    <t>Bandera de Tarija</t>
  </si>
  <si>
    <t>114</t>
  </si>
  <si>
    <t>Feicobol 2015 Stand Tigo</t>
  </si>
  <si>
    <t>115</t>
  </si>
  <si>
    <t>Conferencia de prensa Tigo Music</t>
  </si>
  <si>
    <t>116</t>
  </si>
  <si>
    <t>Sell Sampling Nutregal</t>
  </si>
  <si>
    <t>117</t>
  </si>
  <si>
    <t>Poleras Tigo Fest Tarija</t>
  </si>
  <si>
    <t>118</t>
  </si>
  <si>
    <t>Consolas xbox 360</t>
  </si>
  <si>
    <t>119</t>
  </si>
  <si>
    <t>Filmación 3 Ciudades - Rally</t>
  </si>
  <si>
    <t>120</t>
  </si>
  <si>
    <t>Evento Rally Go To Car</t>
  </si>
  <si>
    <t>121</t>
  </si>
  <si>
    <t>Auspicio Allure 2015</t>
  </si>
  <si>
    <t>122</t>
  </si>
  <si>
    <t>Produccion Audiovisual Feicobol 2015 Taquiña</t>
  </si>
  <si>
    <t>123</t>
  </si>
  <si>
    <t>Evento Tigo Hotel Cortez</t>
  </si>
  <si>
    <t>124</t>
  </si>
  <si>
    <t>BTL´s Tigo Money Cbba.</t>
  </si>
  <si>
    <t>125</t>
  </si>
  <si>
    <t>Lanzamiento 4GLTE Cobija</t>
  </si>
  <si>
    <t>126</t>
  </si>
  <si>
    <t>Fiesta TIGO 1ro. De Mayo</t>
  </si>
  <si>
    <t>127</t>
  </si>
  <si>
    <t>Activacion maketing UPB</t>
  </si>
  <si>
    <t>128</t>
  </si>
  <si>
    <t>Mi teleferico Unilever</t>
  </si>
  <si>
    <t>129</t>
  </si>
  <si>
    <t>Activacion Omo Yo Me llamo</t>
  </si>
  <si>
    <t>130</t>
  </si>
  <si>
    <t>Vales Gift Cards Mejor vendedor Unilever</t>
  </si>
  <si>
    <t>131</t>
  </si>
  <si>
    <t>Agasajo dia de la madre TIGO MONEY</t>
  </si>
  <si>
    <t>132</t>
  </si>
  <si>
    <t>Extras Feicobol 2015</t>
  </si>
  <si>
    <t>133</t>
  </si>
  <si>
    <t>Evento Bolivia Moda Bomo</t>
  </si>
  <si>
    <t>134</t>
  </si>
  <si>
    <t>Caravana kotex La Paz</t>
  </si>
  <si>
    <t>135</t>
  </si>
  <si>
    <t>Vales de consumo</t>
  </si>
  <si>
    <t>136</t>
  </si>
  <si>
    <t>Remodelacion CBN</t>
  </si>
  <si>
    <t>137</t>
  </si>
  <si>
    <t>Supervisores a Nivel Nacional</t>
  </si>
  <si>
    <t>138</t>
  </si>
  <si>
    <t>Volanteo Imcruz</t>
  </si>
  <si>
    <t>139</t>
  </si>
  <si>
    <t>Evento Samaipata challenge</t>
  </si>
  <si>
    <t>140</t>
  </si>
  <si>
    <t>Feria Go Smart</t>
  </si>
  <si>
    <t>141</t>
  </si>
  <si>
    <t>Auspicios (Unilever)</t>
  </si>
  <si>
    <t>142</t>
  </si>
  <si>
    <t>Belleza Real</t>
  </si>
  <si>
    <t>143</t>
  </si>
  <si>
    <t>Carrera de Ciclismo Desafio Final</t>
  </si>
  <si>
    <t>144</t>
  </si>
  <si>
    <t>On Fire</t>
  </si>
  <si>
    <t>145</t>
  </si>
  <si>
    <t>Activacion Knorr</t>
  </si>
  <si>
    <t>146</t>
  </si>
  <si>
    <t>Piso</t>
  </si>
  <si>
    <t>147</t>
  </si>
  <si>
    <t>Impulsadores Canal Off</t>
  </si>
  <si>
    <t>148</t>
  </si>
  <si>
    <t>Activacion Lucky Strike</t>
  </si>
  <si>
    <t>149</t>
  </si>
  <si>
    <t>Vales Skip</t>
  </si>
  <si>
    <t>150</t>
  </si>
  <si>
    <t>Winter Fest Cbba.</t>
  </si>
  <si>
    <t>151</t>
  </si>
  <si>
    <t>Basureros Auspicio Unilever</t>
  </si>
  <si>
    <t>152</t>
  </si>
  <si>
    <t>Feria San Miguel</t>
  </si>
  <si>
    <t>153</t>
  </si>
  <si>
    <t>Muebles Corona</t>
  </si>
  <si>
    <t>154</t>
  </si>
  <si>
    <t>Capacitaciones Tigo SAC</t>
  </si>
  <si>
    <t>155</t>
  </si>
  <si>
    <t>Servicio Fotografia Tigo</t>
  </si>
  <si>
    <t>156</t>
  </si>
  <si>
    <t>Golf Dove Cbba.</t>
  </si>
  <si>
    <t>157</t>
  </si>
  <si>
    <t>Feria Tigo Visita Gerentes</t>
  </si>
  <si>
    <t>158</t>
  </si>
  <si>
    <t>Feria del Petroleo y Gas</t>
  </si>
  <si>
    <t>159</t>
  </si>
  <si>
    <t>Evento Urkupiña</t>
  </si>
  <si>
    <t>160</t>
  </si>
  <si>
    <t>Lanzamiento Twins</t>
  </si>
  <si>
    <t>161</t>
  </si>
  <si>
    <t>Conferencia FBG y Tigo</t>
  </si>
  <si>
    <t>162</t>
  </si>
  <si>
    <t>Conferencia Cyber Bulling Tigo</t>
  </si>
  <si>
    <t>163</t>
  </si>
  <si>
    <t>Feedback Nutregal</t>
  </si>
  <si>
    <t>164</t>
  </si>
  <si>
    <t>Campeonato de Golf Abierto del Valle</t>
  </si>
  <si>
    <t>165</t>
  </si>
  <si>
    <t>Filmación hoyos 16,17,18 Country Club Cbba.</t>
  </si>
  <si>
    <t>166</t>
  </si>
  <si>
    <t>Desayuno Lanzamiento FFVV Companex</t>
  </si>
  <si>
    <t>167</t>
  </si>
  <si>
    <t>Inauguración kabana</t>
  </si>
  <si>
    <t>168</t>
  </si>
  <si>
    <t>Cine Pop</t>
  </si>
  <si>
    <t>169</t>
  </si>
  <si>
    <t xml:space="preserve">Campaña YPFB Lubricantes </t>
  </si>
  <si>
    <t>170</t>
  </si>
  <si>
    <t>Lanzamiento llantas Michelin</t>
  </si>
  <si>
    <t>171</t>
  </si>
  <si>
    <t>Letrero Calle Esteban Arce</t>
  </si>
  <si>
    <t>172</t>
  </si>
  <si>
    <t>Activacion Dia del Peaton</t>
  </si>
  <si>
    <t>173</t>
  </si>
  <si>
    <t>Evento Cadexco</t>
  </si>
  <si>
    <t>174</t>
  </si>
  <si>
    <t>Convencion Nal. Tigo</t>
  </si>
  <si>
    <t>175</t>
  </si>
  <si>
    <t>Ambientacion torneo Tigo Business</t>
  </si>
  <si>
    <t>176</t>
  </si>
  <si>
    <t xml:space="preserve">Pago proveedores </t>
  </si>
  <si>
    <t>177</t>
  </si>
  <si>
    <t>Feria del Vino</t>
  </si>
  <si>
    <t>178</t>
  </si>
  <si>
    <t>Concierto Kjarkas y Chila Jatun en Tarija</t>
  </si>
  <si>
    <t>179</t>
  </si>
  <si>
    <t>Electric Garden La Paz</t>
  </si>
  <si>
    <t>180</t>
  </si>
  <si>
    <t>Campeonato de Golf Abierto La Paz</t>
  </si>
  <si>
    <t>181</t>
  </si>
  <si>
    <t>Stand Lucky Feria Expocruz</t>
  </si>
  <si>
    <t>182</t>
  </si>
  <si>
    <t>Barras Nosso Bar</t>
  </si>
  <si>
    <t>183</t>
  </si>
  <si>
    <t>Activacion Lucky Strike en Hard Rock</t>
  </si>
  <si>
    <t>184</t>
  </si>
  <si>
    <t>Activaciones Extreme G12 La Paz</t>
  </si>
  <si>
    <t>185</t>
  </si>
  <si>
    <t xml:space="preserve">Evento Lucky Strike Ultra </t>
  </si>
  <si>
    <t>186</t>
  </si>
  <si>
    <t>Recorrido Chavo Salvatierra 2016</t>
  </si>
  <si>
    <t>187</t>
  </si>
  <si>
    <t>Supervision Papikra</t>
  </si>
  <si>
    <t>188</t>
  </si>
  <si>
    <t>Campeonato de Golf Abierto del Oriente TIGO</t>
  </si>
  <si>
    <t>189</t>
  </si>
  <si>
    <t>Contratacion de Asesora Clinica Dove 1</t>
  </si>
  <si>
    <t>190</t>
  </si>
  <si>
    <t>Tigo Run Oruro</t>
  </si>
  <si>
    <t>191</t>
  </si>
  <si>
    <t>Modelo Celebrity La Van  Omo</t>
  </si>
  <si>
    <t>192</t>
  </si>
  <si>
    <t>Mantenimiento de Letreros Tigo Business</t>
  </si>
  <si>
    <t>193</t>
  </si>
  <si>
    <t>Concierto Kjarkas y Chila Jatun en Sucre</t>
  </si>
  <si>
    <t>194</t>
  </si>
  <si>
    <t>Campeonato de Golf Tarija</t>
  </si>
  <si>
    <t>195</t>
  </si>
  <si>
    <t>Filmacion Country Club</t>
  </si>
  <si>
    <t>196</t>
  </si>
  <si>
    <t>Arreglo de TV Discoteca Senses La Paz</t>
  </si>
  <si>
    <t>197</t>
  </si>
  <si>
    <t>Videos para Redes Sociales Tigo Sports Run</t>
  </si>
  <si>
    <t>198</t>
  </si>
  <si>
    <t>Fiesta de fin de año TIGO</t>
  </si>
  <si>
    <t>199</t>
  </si>
  <si>
    <t>Supervisor Santa Cruz</t>
  </si>
  <si>
    <t>200</t>
  </si>
  <si>
    <t>Halloween Tigo en Burger King</t>
  </si>
  <si>
    <t>201</t>
  </si>
  <si>
    <t>Auspicio Ades Carrera 10K</t>
  </si>
  <si>
    <t>202</t>
  </si>
  <si>
    <t>Tigo Run Tarija</t>
  </si>
  <si>
    <t>203</t>
  </si>
  <si>
    <t>Implementación Kabana</t>
  </si>
  <si>
    <t>204</t>
  </si>
  <si>
    <t>205</t>
  </si>
  <si>
    <t>Desgustaciones Knorr</t>
  </si>
  <si>
    <t>206</t>
  </si>
  <si>
    <t>Table Tends Cbba.</t>
  </si>
  <si>
    <t>207</t>
  </si>
  <si>
    <t>Tercerizacion de personal 3M</t>
  </si>
  <si>
    <t>208</t>
  </si>
  <si>
    <t>auspicio de trámite de Visa  para participación de la carrera en Miami</t>
  </si>
  <si>
    <t>209</t>
  </si>
  <si>
    <t>Limpieza locales CBN</t>
  </si>
  <si>
    <t>210</t>
  </si>
  <si>
    <t>Activacion Kabana</t>
  </si>
  <si>
    <t>211</t>
  </si>
  <si>
    <t>Tigo Music Fest</t>
  </si>
  <si>
    <t>212</t>
  </si>
  <si>
    <t>Vallas Chapare</t>
  </si>
  <si>
    <t>213</t>
  </si>
  <si>
    <t>Tigo Run Cochabamba</t>
  </si>
  <si>
    <t>214</t>
  </si>
  <si>
    <t>Inauguración Tiendas Quillacollo</t>
  </si>
  <si>
    <t>215</t>
  </si>
  <si>
    <t>Evento Coctel La Herradura</t>
  </si>
  <si>
    <t>216</t>
  </si>
  <si>
    <t>Activacion Groovesence</t>
  </si>
  <si>
    <t>217</t>
  </si>
  <si>
    <t>Poleras Rexona</t>
  </si>
  <si>
    <t>218</t>
  </si>
  <si>
    <t>Arreglo de muebles y colocado de adhesivo cabina de DJ</t>
  </si>
  <si>
    <t>219</t>
  </si>
  <si>
    <t>Arquitecto Oruro La Paz Nosso Bar</t>
  </si>
  <si>
    <t>220</t>
  </si>
  <si>
    <t>Fiesta Tigo Business</t>
  </si>
  <si>
    <t>221</t>
  </si>
  <si>
    <t>Uniformes Promociones Gloria</t>
  </si>
  <si>
    <t>222</t>
  </si>
  <si>
    <t>Servicio de logística realizado para concierto en el estadio Ramón Tahuichi Aguilera. Ref.: Ultra.</t>
  </si>
  <si>
    <t>223</t>
  </si>
  <si>
    <t>Servicio de produción del programa Tigo Sport Run a Nivel Nacional.</t>
  </si>
  <si>
    <t>224</t>
  </si>
  <si>
    <t>Chocolatada Navideña Tigo</t>
  </si>
  <si>
    <t>225</t>
  </si>
  <si>
    <t>Digital Change Makers / Audiovisual resumen</t>
  </si>
  <si>
    <t>226</t>
  </si>
  <si>
    <t>Activaciones Tarija Vip 2016</t>
  </si>
  <si>
    <t>227</t>
  </si>
  <si>
    <t>Filmación de convencion de venta - GTM</t>
  </si>
  <si>
    <t>228</t>
  </si>
  <si>
    <t>Barras puntos la Sede y Barras Huari</t>
  </si>
  <si>
    <t>229</t>
  </si>
  <si>
    <t>Almacenaje Barras La Sede</t>
  </si>
  <si>
    <t>230</t>
  </si>
  <si>
    <t>Cobertura fotográfica de la edición 2016 del Rally Dakar</t>
  </si>
  <si>
    <t>231</t>
  </si>
  <si>
    <t>Servicio Dakar 2016 Tigo</t>
  </si>
  <si>
    <t>232</t>
  </si>
  <si>
    <t>Activacion Star Wars</t>
  </si>
  <si>
    <t>233</t>
  </si>
  <si>
    <t>Tablitas Agencias</t>
  </si>
  <si>
    <t>234</t>
  </si>
  <si>
    <t>Inauguración Tienda Calama Tigo</t>
  </si>
  <si>
    <t>235</t>
  </si>
  <si>
    <t>Personal para repartir volantes</t>
  </si>
  <si>
    <t>236</t>
  </si>
  <si>
    <t xml:space="preserve">Camarote TIGO CBBA – Carnaval Non Stop </t>
  </si>
  <si>
    <t>237</t>
  </si>
  <si>
    <t xml:space="preserve">Activaciones MIXXTAIL CBBA – CBN </t>
  </si>
  <si>
    <t>238</t>
  </si>
  <si>
    <t xml:space="preserve">Camarote Paceña CBBA – Carnaval Madness </t>
  </si>
  <si>
    <t>239</t>
  </si>
  <si>
    <t xml:space="preserve">Lanzamiento FFVV Lucky Strike La Paz </t>
  </si>
  <si>
    <t>240</t>
  </si>
  <si>
    <t>Lanzamiento producto Dove Deluxe (LA PAZ, STA CRUZ y CBBA.)</t>
  </si>
  <si>
    <t>241</t>
  </si>
  <si>
    <t>Conferencia de prensa papelbol Tigo</t>
  </si>
  <si>
    <t>242</t>
  </si>
  <si>
    <t>Almacenaje Barras Huari</t>
  </si>
  <si>
    <t>243</t>
  </si>
  <si>
    <t>Pre-carnavalera Lucky Strike - La Paz</t>
  </si>
  <si>
    <t>244</t>
  </si>
  <si>
    <t xml:space="preserve">Campaña de Impulsadoras Kelloggs </t>
  </si>
  <si>
    <t>245</t>
  </si>
  <si>
    <t>Activación Parranderos</t>
  </si>
  <si>
    <t>246</t>
  </si>
  <si>
    <t>Carnaval Oruro Tigo 2016</t>
  </si>
  <si>
    <t>247</t>
  </si>
  <si>
    <t>Carnaval Tarija Tigo 2016</t>
  </si>
  <si>
    <t>248</t>
  </si>
  <si>
    <t>Discos Duros Externos 5 Teras</t>
  </si>
  <si>
    <t>249</t>
  </si>
  <si>
    <t>Conferencia de prensa  Re-lanzamiento comercial Tigo Star</t>
  </si>
  <si>
    <t>250</t>
  </si>
  <si>
    <t>Traslado de material Unilever a Codelsa</t>
  </si>
  <si>
    <t>251</t>
  </si>
  <si>
    <t>tigo run</t>
  </si>
  <si>
    <t>252</t>
  </si>
  <si>
    <t>Proyecto PT</t>
  </si>
  <si>
    <t>253</t>
  </si>
  <si>
    <t>Proyecto Atún</t>
  </si>
  <si>
    <t>254</t>
  </si>
  <si>
    <t>Arreglo de letreros Tigo</t>
  </si>
  <si>
    <t>255</t>
  </si>
  <si>
    <t>Impulsadora Electrolux</t>
  </si>
  <si>
    <t>256</t>
  </si>
  <si>
    <t>257</t>
  </si>
  <si>
    <t>Conferencia de Prensa Lanzamiento nueva oferta comercial Tigo Star en Potosí</t>
  </si>
  <si>
    <t>258</t>
  </si>
  <si>
    <t>Filmación y fotografia evento El Portal</t>
  </si>
  <si>
    <t>259</t>
  </si>
  <si>
    <t>Conferencia de prensa  Re-lanzamiento comercial Tigo Star Sucre</t>
  </si>
  <si>
    <t>260</t>
  </si>
  <si>
    <t>Asesores Cbba. / Campos de Solana</t>
  </si>
  <si>
    <t>261</t>
  </si>
  <si>
    <t>Auspicio Equipo Femenino Unilever</t>
  </si>
  <si>
    <t>262</t>
  </si>
  <si>
    <t>Conferencia de prensa Tigo de Pixel a Pixel en Cochabamba</t>
  </si>
  <si>
    <t>263</t>
  </si>
  <si>
    <t>Concierto Kjarkas y Chila Jatun en Sucre 2</t>
  </si>
  <si>
    <t>264</t>
  </si>
  <si>
    <t xml:space="preserve">Servicio de modelo doble de brillo-activación show las magnificas </t>
  </si>
  <si>
    <t>265</t>
  </si>
  <si>
    <t>Reunión Nuevo Cliente</t>
  </si>
  <si>
    <t>266</t>
  </si>
  <si>
    <t>Regojo/Envio de producto Tresseme Y Dove de S.C.</t>
  </si>
  <si>
    <t>267</t>
  </si>
  <si>
    <t>Campaña impulsadoras para marca Marilan y Mordisco</t>
  </si>
  <si>
    <t>268</t>
  </si>
  <si>
    <t>Conferencia de prensa - Lanzamiento aplicación Tigo Money S.C.</t>
  </si>
  <si>
    <t>269</t>
  </si>
  <si>
    <t>Servicio de viajes Nosso Bar</t>
  </si>
  <si>
    <t>270</t>
  </si>
  <si>
    <t>Vendimia Tarija 2016</t>
  </si>
  <si>
    <t>271</t>
  </si>
  <si>
    <t>Premiacion B2B / G2M</t>
  </si>
  <si>
    <t>272</t>
  </si>
  <si>
    <t>Volanteadoras Scz - Dia del Padre</t>
  </si>
  <si>
    <t>273</t>
  </si>
  <si>
    <t>Envio de inflable a Cobija</t>
  </si>
  <si>
    <t>274</t>
  </si>
  <si>
    <t>Elaboracion de mini cancha de golf Tigo</t>
  </si>
  <si>
    <t>275</t>
  </si>
  <si>
    <t>Servicio de modelo doble de brillo - programa STAR ACADEMY</t>
  </si>
  <si>
    <t>276</t>
  </si>
  <si>
    <t>Evento Catolicazo La Paz</t>
  </si>
  <si>
    <t>277</t>
  </si>
  <si>
    <t>Inauguracion Hipermaxi en el Prado</t>
  </si>
  <si>
    <t>278</t>
  </si>
  <si>
    <t>Tercerizacion de personal Astrix</t>
  </si>
  <si>
    <t>279</t>
  </si>
  <si>
    <t>Carrera Tigo Run Montero</t>
  </si>
  <si>
    <t>280</t>
  </si>
  <si>
    <t>Activacion UTEPSA</t>
  </si>
  <si>
    <t>281</t>
  </si>
  <si>
    <t>Expo Tarija 2016</t>
  </si>
  <si>
    <t>282</t>
  </si>
  <si>
    <t>Activación Ades - Dia del Peaton</t>
  </si>
  <si>
    <t>283</t>
  </si>
  <si>
    <t>Lanzamiento Twins Cochabamba</t>
  </si>
  <si>
    <t>284</t>
  </si>
  <si>
    <t>Manejo de prensa Tigo/ Santa Cruz</t>
  </si>
  <si>
    <t>285</t>
  </si>
  <si>
    <t>Premios mejor cabellera y Miss Santa Cruz</t>
  </si>
  <si>
    <t>286</t>
  </si>
  <si>
    <t>Dipticos y bolsas Show de las magnificas, espejo Sedal Star Academy</t>
  </si>
  <si>
    <t>287</t>
  </si>
  <si>
    <t>Actividad Hogar de niños Unilever</t>
  </si>
  <si>
    <t>288</t>
  </si>
  <si>
    <t>Escuadron Ades</t>
  </si>
  <si>
    <t>289</t>
  </si>
  <si>
    <t>Pagos Unilever: Sirena, sagitario y pixel</t>
  </si>
  <si>
    <t>290</t>
  </si>
  <si>
    <t>Tigo Sport Chapare</t>
  </si>
  <si>
    <t>291</t>
  </si>
  <si>
    <t>Elaboracion de gorras Tigo Music</t>
  </si>
  <si>
    <t>292</t>
  </si>
  <si>
    <t>Lanzamiento HFC Pacata Tigo Cochabamba</t>
  </si>
  <si>
    <t>293</t>
  </si>
  <si>
    <t>Proyecto Nestle y Fagal</t>
  </si>
  <si>
    <t>294</t>
  </si>
  <si>
    <t>Anfitriones Ruta Horecas</t>
  </si>
  <si>
    <t>295</t>
  </si>
  <si>
    <t>Pago Viaje a Potosí CBN</t>
  </si>
  <si>
    <t>296</t>
  </si>
  <si>
    <t>Asesoras Ponds</t>
  </si>
  <si>
    <t>297</t>
  </si>
  <si>
    <t>Tigo Run Cobija</t>
  </si>
  <si>
    <t>298</t>
  </si>
  <si>
    <t>Personal de Servicio de Canje</t>
  </si>
  <si>
    <t>299</t>
  </si>
  <si>
    <t>Proyecto Ciclovia</t>
  </si>
  <si>
    <t>300</t>
  </si>
  <si>
    <t>Impulsadoras venta de chip Tigo</t>
  </si>
  <si>
    <t>301</t>
  </si>
  <si>
    <t>Inauguración PDA Tigo</t>
  </si>
  <si>
    <t>302</t>
  </si>
  <si>
    <t xml:space="preserve">Impulsadoras venta de chip Tigo Cobija </t>
  </si>
  <si>
    <t>303</t>
  </si>
  <si>
    <t>Reto TIGO Cine Center</t>
  </si>
  <si>
    <t>304</t>
  </si>
  <si>
    <t>Desayuno Día de la Madre TIGO a Nivel Nacional</t>
  </si>
  <si>
    <t>305</t>
  </si>
  <si>
    <t>Evento TIGO - Aniversario Periodistas</t>
  </si>
  <si>
    <t>306</t>
  </si>
  <si>
    <t>Compra de productos SEDAL</t>
  </si>
  <si>
    <t>307</t>
  </si>
  <si>
    <t>Activación TIGO Stadium 27/04/2016</t>
  </si>
  <si>
    <t>308</t>
  </si>
  <si>
    <t>Fotografía Activación TIGO Stadium</t>
  </si>
  <si>
    <t>309</t>
  </si>
  <si>
    <t>Ruteo Unilever (Presentacion en 3D)</t>
  </si>
  <si>
    <t>310</t>
  </si>
  <si>
    <t>Transporte de material Codelsa CND/UL - CBBA.</t>
  </si>
  <si>
    <t>311</t>
  </si>
  <si>
    <t>Caja en Carton Colmenado TIGO</t>
  </si>
  <si>
    <t>312</t>
  </si>
  <si>
    <t>Activación TIGO Stadium 22/05/2016</t>
  </si>
  <si>
    <t>313</t>
  </si>
  <si>
    <t>Feria de Cable TIGO Los Tajibos</t>
  </si>
  <si>
    <t>314</t>
  </si>
  <si>
    <t>Campeonato de Golf Mapaiso Tigo</t>
  </si>
  <si>
    <t>315</t>
  </si>
  <si>
    <t>Dia del Trabajo Tigo Cochabamba</t>
  </si>
  <si>
    <t>316</t>
  </si>
  <si>
    <t>Activacion Nestle Dia de la Madre S.C.</t>
  </si>
  <si>
    <t>317</t>
  </si>
  <si>
    <t>Activacion Nestle Dia de la Madre (La Paz)</t>
  </si>
  <si>
    <t>318</t>
  </si>
  <si>
    <t>Poleras Auspicio Samaipata Challene</t>
  </si>
  <si>
    <t>319</t>
  </si>
  <si>
    <t>Impulsadoras Sedal</t>
  </si>
  <si>
    <t>320</t>
  </si>
  <si>
    <t>Degustación Ades Complejo Fabril</t>
  </si>
  <si>
    <t>321</t>
  </si>
  <si>
    <t>Vestidos TM/TS/TIGO</t>
  </si>
  <si>
    <t>322</t>
  </si>
  <si>
    <t>Pantalla Touch all In On PC</t>
  </si>
  <si>
    <t>323</t>
  </si>
  <si>
    <t>Exhibidores / Hipermaxi Prado</t>
  </si>
  <si>
    <t>324</t>
  </si>
  <si>
    <t>Transporte traslado de material Cbba-LP</t>
  </si>
  <si>
    <t>325</t>
  </si>
  <si>
    <t>Transporte Cbba-S.C. /Envio de material</t>
  </si>
  <si>
    <t>326</t>
  </si>
  <si>
    <t>Convencion de ventas Tigo a nivel Nacional</t>
  </si>
  <si>
    <t>327</t>
  </si>
  <si>
    <t>Conferencia Tigo Calama</t>
  </si>
  <si>
    <t>328</t>
  </si>
  <si>
    <t>Escuadron Foods - Hellmanns 2016</t>
  </si>
  <si>
    <t>329</t>
  </si>
  <si>
    <t>Acciones con personal en Mercados La Paz - Cbba.</t>
  </si>
  <si>
    <t>330</t>
  </si>
  <si>
    <t>Personal Mabel´s - Preventistas en las Ciudades de La Paz - Cbba.</t>
  </si>
  <si>
    <t>331</t>
  </si>
  <si>
    <t>Refrigerio Capacitacion Cochabamba/La paz</t>
  </si>
  <si>
    <t>332</t>
  </si>
  <si>
    <t>Lanzamiento HFC TIGO</t>
  </si>
  <si>
    <t>333</t>
  </si>
  <si>
    <t>Vestidos Trofeos Tenis / Tigo Sport Tarija</t>
  </si>
  <si>
    <t>334</t>
  </si>
  <si>
    <t>Tigo Sport Cbba/Copa America</t>
  </si>
  <si>
    <t>335</t>
  </si>
  <si>
    <t>Personal Nestle (Maggie)-Preventista en las Ciudades de La Paz-Cbba.</t>
  </si>
  <si>
    <t>336</t>
  </si>
  <si>
    <t>Lanzamiento DTH- TARIJA</t>
  </si>
  <si>
    <t>337</t>
  </si>
  <si>
    <t>Contorno de espejo y Productos troquelados SEDAL- Star Academy</t>
  </si>
  <si>
    <t>338</t>
  </si>
  <si>
    <t>Impulsadoras Canal tradicional para Confiteria/Proyecto chocolates</t>
  </si>
  <si>
    <t>339</t>
  </si>
  <si>
    <t>Servicio de Impresión</t>
  </si>
  <si>
    <t>340</t>
  </si>
  <si>
    <t>Lanzamiento DTH Ivirgarzama</t>
  </si>
  <si>
    <t>341</t>
  </si>
  <si>
    <t>Lanzamiento DTH Yacuiba -Camiri</t>
  </si>
  <si>
    <t>342</t>
  </si>
  <si>
    <t>Sedal/Mis bolivia2016</t>
  </si>
  <si>
    <t>343</t>
  </si>
  <si>
    <t>Carrera Sucre/Carrera Oscar Crespo</t>
  </si>
  <si>
    <t>344</t>
  </si>
  <si>
    <t>Personal Preventas Nescafe LPZ-CBBA</t>
  </si>
  <si>
    <t>345</t>
  </si>
  <si>
    <t>Impulsadoras a nivel Nacional/Tigo money</t>
  </si>
  <si>
    <t>346</t>
  </si>
  <si>
    <t>Caravana DTH Pre-Pago a nivel nacional/TARIJA</t>
  </si>
  <si>
    <t>347</t>
  </si>
  <si>
    <t>Estreno era del hielo 5</t>
  </si>
  <si>
    <t>348</t>
  </si>
  <si>
    <t>Cargadores Portatiles Tigo</t>
  </si>
  <si>
    <t>349</t>
  </si>
  <si>
    <t>Urkupiña 2016/tigo</t>
  </si>
  <si>
    <t>350</t>
  </si>
  <si>
    <t>Volantera en la ciudad de Santa Cruz</t>
  </si>
  <si>
    <t>351</t>
  </si>
  <si>
    <t>Pagos Unilever: La papelera</t>
  </si>
  <si>
    <t>352</t>
  </si>
  <si>
    <t>Conferencia de prensa netflix /tigo</t>
  </si>
  <si>
    <t>353</t>
  </si>
  <si>
    <t>Caravana DTH Pre-Pago Potosi</t>
  </si>
  <si>
    <t>354</t>
  </si>
  <si>
    <t>Campeonato de Golf Dove/ Cochabamba</t>
  </si>
  <si>
    <t>355</t>
  </si>
  <si>
    <t>Conferencia de prensa tigo business/Santa Cruz</t>
  </si>
  <si>
    <t>356</t>
  </si>
  <si>
    <t>Implementacion de stand/La Paz</t>
  </si>
  <si>
    <t>357</t>
  </si>
  <si>
    <t>Desayunos tigo SCZ, El Alto, LPZ, Cbba</t>
  </si>
  <si>
    <t>358</t>
  </si>
  <si>
    <t>CONFERENCIA DE PRESA DISMAC - TIGO</t>
  </si>
  <si>
    <t>359</t>
  </si>
  <si>
    <t>Encuestadores Bata mercados de las ciudades Cbba-La Paz-SCZ</t>
  </si>
  <si>
    <t>360</t>
  </si>
  <si>
    <t>Conferencia de prensa Tigo en Hotel Camino Real/SCZ</t>
  </si>
  <si>
    <t>361</t>
  </si>
  <si>
    <t>Conferencia de prensa Wester Union-Tigo/ Cbba</t>
  </si>
  <si>
    <t>362</t>
  </si>
  <si>
    <t>Cena Gerentes Tigo</t>
  </si>
  <si>
    <t>363</t>
  </si>
  <si>
    <t>Poke fest de tigo/Cbba</t>
  </si>
  <si>
    <t>364</t>
  </si>
  <si>
    <t>volanteras en la ciudad de Santa Cruz/Agosto-Sept.</t>
  </si>
  <si>
    <t>365</t>
  </si>
  <si>
    <t>Mis Mundo San Ignacio/Santa Cruz 2016</t>
  </si>
  <si>
    <t>366</t>
  </si>
  <si>
    <t>Activacion hipermaxi los pinos-CPW/La Paz</t>
  </si>
  <si>
    <t>367</t>
  </si>
  <si>
    <t>Mueble exhibidor top pline</t>
  </si>
  <si>
    <t>368</t>
  </si>
  <si>
    <t>Transporte traslado de material scz-Cbba</t>
  </si>
  <si>
    <t>369</t>
  </si>
  <si>
    <t>Fabricacion de ambientacion de cabecera para yacobs</t>
  </si>
  <si>
    <t>370</t>
  </si>
  <si>
    <t>Activacion brindis sed de television tigo sports</t>
  </si>
  <si>
    <t>371</t>
  </si>
  <si>
    <t>Cine pop Oruro</t>
  </si>
  <si>
    <t>372</t>
  </si>
  <si>
    <t xml:space="preserve">Conferencia de prensa - torneo golf tigo business/ Cochabamba </t>
  </si>
  <si>
    <t>373</t>
  </si>
  <si>
    <t>Mi primera entrevista/Santa Cruz</t>
  </si>
  <si>
    <t>374</t>
  </si>
  <si>
    <t>ACTIVACION ICE AGE- CHOCAPIC CARAMEL/Hiper Juan de la rosa cbba</t>
  </si>
  <si>
    <t>375</t>
  </si>
  <si>
    <t>ACTIVACION ICE AGE- CHOCAPIC CARAMEL/Hiper los pinos la paz</t>
  </si>
  <si>
    <t>376</t>
  </si>
  <si>
    <t xml:space="preserve">Impresión y colocado de vallas </t>
  </si>
  <si>
    <t>377</t>
  </si>
  <si>
    <t>Ruta Horecas SCZ.</t>
  </si>
  <si>
    <t>378</t>
  </si>
  <si>
    <t>Stand Unilever Cadexco</t>
  </si>
  <si>
    <t>379</t>
  </si>
  <si>
    <t>Conferencia de prensa tigo Doble via la guardia</t>
  </si>
  <si>
    <t>380</t>
  </si>
  <si>
    <t>ACTIVACIÓN FIN DE SEMANA DEGUSTACIÓN CEREALES HIPERMAXI-SCZ</t>
  </si>
  <si>
    <t>381</t>
  </si>
  <si>
    <t>Filmacion 6 de Agosto 2016</t>
  </si>
  <si>
    <t>382</t>
  </si>
  <si>
    <t>Copilado de video Tigo 2016</t>
  </si>
  <si>
    <t>383</t>
  </si>
  <si>
    <t>Compra de material para uso en partidos de la liga ´´sala de prensa-Tigo"</t>
  </si>
  <si>
    <t>384</t>
  </si>
  <si>
    <t>Conferencia de presa Aula Digital-Cbba</t>
  </si>
  <si>
    <t>385</t>
  </si>
  <si>
    <t>Personal para repartir volantes santa cruz mes de septiembre</t>
  </si>
  <si>
    <t>386</t>
  </si>
  <si>
    <t>Dia del peaton home center</t>
  </si>
  <si>
    <t>387</t>
  </si>
  <si>
    <t>Dia del peaton Rexona</t>
  </si>
  <si>
    <t>388</t>
  </si>
  <si>
    <t>Servicio de diseño y creatividad / World Trade Center Santa Cruz de la Sierra</t>
  </si>
  <si>
    <t>389</t>
  </si>
  <si>
    <t>Conferencia de prensa en Oficina Tigo Pirai</t>
  </si>
  <si>
    <t>390</t>
  </si>
  <si>
    <t>Conferencia de prensa tigo business/las palmas Santa Cruz</t>
  </si>
  <si>
    <t>391</t>
  </si>
  <si>
    <t>Personal de volanteo</t>
  </si>
  <si>
    <t>392</t>
  </si>
  <si>
    <t xml:space="preserve">Fabricacion de exhibidor metalico </t>
  </si>
  <si>
    <t>393</t>
  </si>
  <si>
    <t>Armado de imagen para la linea mazda</t>
  </si>
  <si>
    <t>394</t>
  </si>
  <si>
    <t>Carrera Pedestre en el dep. Santa Cruz</t>
  </si>
  <si>
    <t>395</t>
  </si>
  <si>
    <t xml:space="preserve">Poleras Sublimadas Tigo Music / Nicky Jam Cbba </t>
  </si>
  <si>
    <t>396</t>
  </si>
  <si>
    <t>Pago proveedor Tigo-Moom</t>
  </si>
  <si>
    <t>397</t>
  </si>
  <si>
    <t>Instalacion y refaccion de letrero village Cbba</t>
  </si>
  <si>
    <t>398</t>
  </si>
  <si>
    <t>Desafio Tunari</t>
  </si>
  <si>
    <t>399</t>
  </si>
  <si>
    <t>Conferencia  desafio tunari</t>
  </si>
  <si>
    <t>400</t>
  </si>
  <si>
    <t>Diseño de cinturones dove fin de año</t>
  </si>
  <si>
    <t>401</t>
  </si>
  <si>
    <t xml:space="preserve">Torneo de golf tigo business/ Santa Cruz, La Paz y Tarija. </t>
  </si>
  <si>
    <t>402</t>
  </si>
  <si>
    <t>Campaña Yacobs/Fexpocruz</t>
  </si>
  <si>
    <t>403</t>
  </si>
  <si>
    <t>Impresión de Lona/Xpress</t>
  </si>
  <si>
    <t>404</t>
  </si>
  <si>
    <t>Armado de Stand Fexpocruz</t>
  </si>
  <si>
    <t>405</t>
  </si>
  <si>
    <t>Sell Sampling Detergente Uno</t>
  </si>
  <si>
    <t>406</t>
  </si>
  <si>
    <t>Impulsadora Purina 30 dias en las ciudades La Paz y Cochabamba</t>
  </si>
  <si>
    <t>407</t>
  </si>
  <si>
    <t xml:space="preserve">Pago premio ganadoras miss Bolivia mundo </t>
  </si>
  <si>
    <t>408</t>
  </si>
  <si>
    <t>Aniversario Cbba 14 de Septiembre</t>
  </si>
  <si>
    <t>409</t>
  </si>
  <si>
    <t>Capacitador encuesta interna</t>
  </si>
  <si>
    <t>410</t>
  </si>
  <si>
    <t>Activacion Hipermaxi SCZ (Villa 1 de mayo, supercenter, etc.)</t>
  </si>
  <si>
    <t>411</t>
  </si>
  <si>
    <t>Btl 14 de Septiembre</t>
  </si>
  <si>
    <t>412</t>
  </si>
  <si>
    <t>Evento stadium con pantalla</t>
  </si>
  <si>
    <t>413</t>
  </si>
  <si>
    <t>Evento Canino cbba</t>
  </si>
  <si>
    <t>414</t>
  </si>
  <si>
    <t>Promotoras Dove Cbba y La Paz</t>
  </si>
  <si>
    <t>415</t>
  </si>
  <si>
    <t>Activacion supermercado ketal e hipermaxi en la ciudad de La Paz</t>
  </si>
  <si>
    <t>416</t>
  </si>
  <si>
    <t>Fabricacion de letrero e impresión adhesivo para identificacion de areas de suplly chain.</t>
  </si>
  <si>
    <t>417</t>
  </si>
  <si>
    <t>Impresión y colocado adhesivo negro troquelado para baños</t>
  </si>
  <si>
    <t>418</t>
  </si>
  <si>
    <t>Activacion degustacion Nescafe eje troncal ( La Paz, Cbba, SCZ)</t>
  </si>
  <si>
    <t>419</t>
  </si>
  <si>
    <t>Diseño muebles Dove</t>
  </si>
  <si>
    <t>420</t>
  </si>
  <si>
    <t>Activacion Sedal / Plaza de las banderas</t>
  </si>
  <si>
    <t>421</t>
  </si>
  <si>
    <t>Activacion Rexona / alcaldia desayuno de medios</t>
  </si>
  <si>
    <t>422</t>
  </si>
  <si>
    <t>Impulsadoras linea farmacia y nutricion</t>
  </si>
  <si>
    <t>423</t>
  </si>
  <si>
    <t>Auspicio bolsas ecologicas</t>
  </si>
  <si>
    <t>424</t>
  </si>
  <si>
    <t>Activacion Rexona / Entrega de plaquetas</t>
  </si>
  <si>
    <t>425</t>
  </si>
  <si>
    <t xml:space="preserve">Pago patentes </t>
  </si>
  <si>
    <t>426</t>
  </si>
  <si>
    <t>Implementacion de letrero tigo business Santa Cruz</t>
  </si>
  <si>
    <t>427</t>
  </si>
  <si>
    <t>Traslado de material Nestle a la  Casa Campestre</t>
  </si>
  <si>
    <t>428</t>
  </si>
  <si>
    <t>Impresión y colocado de adhesivo</t>
  </si>
  <si>
    <t>429</t>
  </si>
  <si>
    <t>Valla  curva interna aeropuerto Viru Viru de la ciudad de Santa Cruz</t>
  </si>
  <si>
    <t>430</t>
  </si>
  <si>
    <t>Personal de degustacion Cappuccino Nescafe en la ciudad de Cochabamba</t>
  </si>
  <si>
    <t>431</t>
  </si>
  <si>
    <t>Servicio implementacion de señaleticas y letreros publicitarios.</t>
  </si>
  <si>
    <t>432</t>
  </si>
  <si>
    <t>Servicios de publicidad</t>
  </si>
  <si>
    <t>433</t>
  </si>
  <si>
    <t>Inauguracion piscina contry club/ Tigo Cochabamba</t>
  </si>
  <si>
    <t>434</t>
  </si>
  <si>
    <t>Servicio impulsadora Cbba y La Paz - Cat Chow</t>
  </si>
  <si>
    <t>435</t>
  </si>
  <si>
    <t>436</t>
  </si>
  <si>
    <t>Pago proveedor pcm/tigo</t>
  </si>
  <si>
    <t>437</t>
  </si>
  <si>
    <t>Alquiler de mesas y sillas para conferencia</t>
  </si>
  <si>
    <t>438</t>
  </si>
  <si>
    <t>Implementacion de stan publicitario en fexpocruz</t>
  </si>
  <si>
    <t>439</t>
  </si>
  <si>
    <t>Servicio de impulsadoras, degustadoras en la Ciudad de Cbba y La Paz</t>
  </si>
  <si>
    <t>440</t>
  </si>
  <si>
    <t>Activacion Sponsorship Spring Fest/La Paz</t>
  </si>
  <si>
    <t>441</t>
  </si>
  <si>
    <t>Valla  ingreso externo aeropuerto Viru Viru de la ciudad de Santa Cruz</t>
  </si>
  <si>
    <t>442</t>
  </si>
  <si>
    <t>Carteles de mano en foam con adhesivo</t>
  </si>
  <si>
    <t>443</t>
  </si>
  <si>
    <t>Carritos degustadores para choco like</t>
  </si>
  <si>
    <t>444</t>
  </si>
  <si>
    <t>Valla en paprika</t>
  </si>
  <si>
    <t>445</t>
  </si>
  <si>
    <t>Conferencia Chavo Salvatierra/Sta Cruz</t>
  </si>
  <si>
    <t>446</t>
  </si>
  <si>
    <t>Impresión de back/roller y banderines</t>
  </si>
  <si>
    <t>447</t>
  </si>
  <si>
    <t>Exhibidores publicitarios.</t>
  </si>
  <si>
    <t>448</t>
  </si>
  <si>
    <t>Activacion supermercados cbba</t>
  </si>
  <si>
    <t>449</t>
  </si>
  <si>
    <t>Activacion ultra lucky strike/ SCZ</t>
  </si>
  <si>
    <t>450</t>
  </si>
  <si>
    <t>Compra de tarjetas para unilever</t>
  </si>
  <si>
    <t>451</t>
  </si>
  <si>
    <t xml:space="preserve">Activacion hipermaxis SCZ </t>
  </si>
  <si>
    <t>452</t>
  </si>
  <si>
    <t>Servicio de elaboracion de carteles y señaleticas publicitarias en La Paz-El Alto</t>
  </si>
  <si>
    <t>453</t>
  </si>
  <si>
    <t>Elaboracion señaleticas publicitarias</t>
  </si>
  <si>
    <t>454</t>
  </si>
  <si>
    <t>Compra celulares Smartphone para mercaderistas LPZ - CBBA</t>
  </si>
  <si>
    <t>455</t>
  </si>
  <si>
    <t>Campaña Hot Wheels</t>
  </si>
  <si>
    <t>456</t>
  </si>
  <si>
    <t>Actividades Tigo Business - Capacitaciones/SCZ</t>
  </si>
  <si>
    <t>457</t>
  </si>
  <si>
    <t>Dakar 2017</t>
  </si>
  <si>
    <t>458</t>
  </si>
  <si>
    <t>Campaña Blitz 3 en 1</t>
  </si>
  <si>
    <t>459</t>
  </si>
  <si>
    <t>Activacion golf La Paz</t>
  </si>
  <si>
    <t>460</t>
  </si>
  <si>
    <t>Articulos Promocionales Big/La Paz</t>
  </si>
  <si>
    <t>461</t>
  </si>
  <si>
    <t>HALLOWEEN COBIJA</t>
  </si>
  <si>
    <t>462</t>
  </si>
  <si>
    <t>Impulsadoras -activacion dog chow para la linea purina</t>
  </si>
  <si>
    <t>463</t>
  </si>
  <si>
    <t>Activadoras para la marca mordisco</t>
  </si>
  <si>
    <t>464</t>
  </si>
  <si>
    <t>Señaleticas publicitarias y de seguridad vial.</t>
  </si>
  <si>
    <t>465</t>
  </si>
  <si>
    <t>Impresión de lona para valla publicitaria</t>
  </si>
  <si>
    <t>466</t>
  </si>
  <si>
    <t>Instalacion de bastidores publicitarios en licoreria CBBA.</t>
  </si>
  <si>
    <t>467</t>
  </si>
  <si>
    <t>468</t>
  </si>
  <si>
    <t>10 impulsadoras en supermercados/Gold Ecco</t>
  </si>
  <si>
    <t>469</t>
  </si>
  <si>
    <t>Stand Tresseme</t>
  </si>
  <si>
    <t>470</t>
  </si>
  <si>
    <t xml:space="preserve">Cambio de Lona </t>
  </si>
  <si>
    <t>471</t>
  </si>
  <si>
    <t>Retiro y traslado de cartel publicitario.</t>
  </si>
  <si>
    <t>472</t>
  </si>
  <si>
    <t>Armado stand jornada de educacion financiera SCZ.</t>
  </si>
  <si>
    <t>473</t>
  </si>
  <si>
    <t>Sampling nescafe 3 en 1- 6 impulsadoras</t>
  </si>
  <si>
    <t>474</t>
  </si>
  <si>
    <t>Degustacion en mercados A &amp; B- 5 nido impulsadoras</t>
  </si>
  <si>
    <t>475</t>
  </si>
  <si>
    <t>BTL Knorr-Hellmanns autoservicios</t>
  </si>
  <si>
    <t>476</t>
  </si>
  <si>
    <t>Degustacion en planta Nescafe</t>
  </si>
  <si>
    <t>477</t>
  </si>
  <si>
    <t>Elaboracion letreros publicitarios Agencia el alto La Paz</t>
  </si>
  <si>
    <t>478</t>
  </si>
  <si>
    <t>Halloween CBBA</t>
  </si>
  <si>
    <t>479</t>
  </si>
  <si>
    <t>Acustico cumbia de la cruz</t>
  </si>
  <si>
    <t>480</t>
  </si>
  <si>
    <t>Evento en Restaurant La Chingada</t>
  </si>
  <si>
    <t>481</t>
  </si>
  <si>
    <t xml:space="preserve">Compra tarjetas de credito unilever/Nivel Nacional. </t>
  </si>
  <si>
    <t>482</t>
  </si>
  <si>
    <t>Campaña puerta a puerta extension</t>
  </si>
  <si>
    <t>483</t>
  </si>
  <si>
    <t>Instalacion y Activacion sucursales bnb</t>
  </si>
  <si>
    <t>484</t>
  </si>
  <si>
    <t>Sport Zone desafio final</t>
  </si>
  <si>
    <t>485</t>
  </si>
  <si>
    <t>preventistas (cbba-la paz) y  embolsadora (cbba)</t>
  </si>
  <si>
    <t>486</t>
  </si>
  <si>
    <t>Carrera Tigo Run Tarija</t>
  </si>
  <si>
    <t>487</t>
  </si>
  <si>
    <t>Pago almacen Purina Cbba por 6 meses</t>
  </si>
  <si>
    <t>488</t>
  </si>
  <si>
    <t>Blitz  sopas y cremas Maggi</t>
  </si>
  <si>
    <t>489</t>
  </si>
  <si>
    <t>Armado imagen linea mazda en campeonato de golf SCZ.</t>
  </si>
  <si>
    <t>490</t>
  </si>
  <si>
    <t>Valla pop up con serigrafia</t>
  </si>
  <si>
    <t>491</t>
  </si>
  <si>
    <t>Tigo Business Forum/SCZ</t>
  </si>
  <si>
    <t>492</t>
  </si>
  <si>
    <t>Elaboracion muebles para salon Iozzo.</t>
  </si>
  <si>
    <t>493</t>
  </si>
  <si>
    <t>Pago Stand Expoteco</t>
  </si>
  <si>
    <t>494</t>
  </si>
  <si>
    <t>2 impulsadoras 10 dias Expoteco</t>
  </si>
  <si>
    <t>495</t>
  </si>
  <si>
    <t>stand Tresemme Bolivia Moda 2016</t>
  </si>
  <si>
    <t>496</t>
  </si>
  <si>
    <t>Elaboracion señaleticas nueva agencia</t>
  </si>
  <si>
    <t>497</t>
  </si>
  <si>
    <t xml:space="preserve">Activacion Knorr Hotel Cbba </t>
  </si>
  <si>
    <t>498</t>
  </si>
  <si>
    <t>Instalacion de bastidores publicitarios en restaurantes cbba.</t>
  </si>
  <si>
    <t>499</t>
  </si>
  <si>
    <t>Comision de agencia por elaboracion de video</t>
  </si>
  <si>
    <t>500</t>
  </si>
  <si>
    <t>11 impulsadoras panetones mercado tradicional</t>
  </si>
  <si>
    <t>501</t>
  </si>
  <si>
    <t>Fiesta de fin de año Tigo CBBA 2016</t>
  </si>
  <si>
    <t>502</t>
  </si>
  <si>
    <t>Pago vestido para tigo business forum</t>
  </si>
  <si>
    <t>503</t>
  </si>
  <si>
    <t>Factory La Paz</t>
  </si>
  <si>
    <t>504</t>
  </si>
  <si>
    <t>13 impulsadoras panetones supermercados</t>
  </si>
  <si>
    <t>505</t>
  </si>
  <si>
    <t>Activadoras para la marca Mordisco</t>
  </si>
  <si>
    <t>506</t>
  </si>
  <si>
    <t>Fabricacion de isla para Ola Maximus</t>
  </si>
  <si>
    <t>507</t>
  </si>
  <si>
    <t>Compra tarjetas de credito unilever / la paz</t>
  </si>
  <si>
    <t>508</t>
  </si>
  <si>
    <t>Mascota para activacion cereales</t>
  </si>
  <si>
    <t>509</t>
  </si>
  <si>
    <t>Activacion Nan 3</t>
  </si>
  <si>
    <t>510</t>
  </si>
  <si>
    <t>Cobertura a Mario Herrera en argentina como imagen de tigo.</t>
  </si>
  <si>
    <t>511</t>
  </si>
  <si>
    <t>Activacion senses Lucky Strike</t>
  </si>
  <si>
    <t>512</t>
  </si>
  <si>
    <t>Auspicio tigo Run CBBA (rexona)</t>
  </si>
  <si>
    <t>513</t>
  </si>
  <si>
    <t>514</t>
  </si>
  <si>
    <t>Instalacion alfombra stand bnb</t>
  </si>
  <si>
    <t>515</t>
  </si>
  <si>
    <t>Lanzamiento Wold trade center / SCZ</t>
  </si>
  <si>
    <t>516</t>
  </si>
  <si>
    <t>Fabricacion ambientacion retro back salon trends</t>
  </si>
  <si>
    <t>517</t>
  </si>
  <si>
    <t>Impresión de adhesivo para Nivea</t>
  </si>
  <si>
    <t>518</t>
  </si>
  <si>
    <t>Pago Proveedor Capsula Tigo</t>
  </si>
  <si>
    <t>519</t>
  </si>
  <si>
    <t>520</t>
  </si>
  <si>
    <t>Elaboracion banderolas</t>
  </si>
  <si>
    <t>521</t>
  </si>
  <si>
    <t>Carrera Tigo Run Oruro</t>
  </si>
  <si>
    <t>522</t>
  </si>
  <si>
    <t>Impulsadoras nido fortigrow</t>
  </si>
  <si>
    <t>523</t>
  </si>
  <si>
    <t xml:space="preserve">Personal de apoyo Supervision </t>
  </si>
  <si>
    <t>524</t>
  </si>
  <si>
    <t>Armado imagen Stand imcruz feria sobre ruedas</t>
  </si>
  <si>
    <t>525</t>
  </si>
  <si>
    <t>Materiales Stand imcruz feria sobre ruedas</t>
  </si>
  <si>
    <t>526</t>
  </si>
  <si>
    <t>Servicio impresión adhesivo</t>
  </si>
  <si>
    <t>527</t>
  </si>
  <si>
    <t>Elaboracion bandejas con logo</t>
  </si>
  <si>
    <t>528</t>
  </si>
  <si>
    <t>Campaña Dog Chow 200 grs 10 impulsadoras por diciembre</t>
  </si>
  <si>
    <t>529</t>
  </si>
  <si>
    <t>Diseño marca Unilever</t>
  </si>
  <si>
    <t>530</t>
  </si>
  <si>
    <t>Elaboracion trineos navideños</t>
  </si>
  <si>
    <t>531</t>
  </si>
  <si>
    <t>Elaboracion muebles para salon mi salud</t>
  </si>
  <si>
    <t>532</t>
  </si>
  <si>
    <t>Fabricacion carteles y menu</t>
  </si>
  <si>
    <t>533</t>
  </si>
  <si>
    <t>Elaboracion roller e impresión de lona.</t>
  </si>
  <si>
    <t>534</t>
  </si>
  <si>
    <t>Impresión de lona y elaboracion de adhesivo</t>
  </si>
  <si>
    <t>535</t>
  </si>
  <si>
    <t>Pago alquiler Vallas Nescafe El alto</t>
  </si>
  <si>
    <t>536</t>
  </si>
  <si>
    <t>Tigo run CBBA 2016</t>
  </si>
  <si>
    <t>537</t>
  </si>
  <si>
    <t>Elaboracion letrero luminoso</t>
  </si>
  <si>
    <t>538</t>
  </si>
  <si>
    <t>Tuppers de plastico</t>
  </si>
  <si>
    <t>539</t>
  </si>
  <si>
    <t>Fiesta fin de año tigo Marketing/SCZ 2016</t>
  </si>
  <si>
    <t>540</t>
  </si>
  <si>
    <t>Activacion axe/Nacional</t>
  </si>
  <si>
    <t>541</t>
  </si>
  <si>
    <t>Activacion Dove Unifranz</t>
  </si>
  <si>
    <t>542</t>
  </si>
  <si>
    <t>Casillero Metalico Ketal</t>
  </si>
  <si>
    <t>543</t>
  </si>
  <si>
    <t>Fabricacion mueble y cuadro para salon oxigeno</t>
  </si>
  <si>
    <t>544</t>
  </si>
  <si>
    <t>Pago prveedor por servicio traduccion de estudios.</t>
  </si>
  <si>
    <t>545</t>
  </si>
  <si>
    <t>Armado Imagen Imcruz golf tarija</t>
  </si>
  <si>
    <t>546</t>
  </si>
  <si>
    <t>Degustacion en distribuidoras del eje troncal</t>
  </si>
  <si>
    <t>547</t>
  </si>
  <si>
    <t>Elaboracion cartel publicitario</t>
  </si>
  <si>
    <t>548</t>
  </si>
  <si>
    <t>Pago proveedor bolsas unilever  (skip)</t>
  </si>
  <si>
    <t>549</t>
  </si>
  <si>
    <t>Colocado de pasacalle en la ciudad de sucre.</t>
  </si>
  <si>
    <t>550</t>
  </si>
  <si>
    <t>Colocado de pasacalle en la ciudad de potosi.</t>
  </si>
  <si>
    <t>551</t>
  </si>
  <si>
    <t>Impulsacion Chocolates para canal moderno.</t>
  </si>
  <si>
    <t>552</t>
  </si>
  <si>
    <t>Impulsadoras en mercados</t>
  </si>
  <si>
    <t>553</t>
  </si>
  <si>
    <t xml:space="preserve">Servicio de eventos a nivel nacional por Septiembre 2016 </t>
  </si>
  <si>
    <t>554</t>
  </si>
  <si>
    <t xml:space="preserve">Servicio de eventos a nivel nacional por Octubre 2016 </t>
  </si>
  <si>
    <t>555</t>
  </si>
  <si>
    <t>Pago proveedor poleras unilever/ pro ride</t>
  </si>
  <si>
    <t>556</t>
  </si>
  <si>
    <t>Servicio de activacion en la ciudad de cochabamba</t>
  </si>
  <si>
    <t>557</t>
  </si>
  <si>
    <t>Servicio impulsacion canal moderno y tradicional</t>
  </si>
  <si>
    <t>558</t>
  </si>
  <si>
    <t>Impresión de lona full color</t>
  </si>
  <si>
    <t>559</t>
  </si>
  <si>
    <t xml:space="preserve">Fabricacion cartel luminoso </t>
  </si>
  <si>
    <t>560</t>
  </si>
  <si>
    <t>Alquiler toldos para cbn</t>
  </si>
  <si>
    <t>561</t>
  </si>
  <si>
    <t>Desayuno Tigo 2016</t>
  </si>
  <si>
    <t>562</t>
  </si>
  <si>
    <t>Activacion Skip (colocado rosones)</t>
  </si>
  <si>
    <t>563</t>
  </si>
  <si>
    <t xml:space="preserve">Impresión de adhesivo arcla </t>
  </si>
  <si>
    <t>564</t>
  </si>
  <si>
    <t>Desayuno aldea SOS 2016</t>
  </si>
  <si>
    <t>565</t>
  </si>
  <si>
    <t>Largada simbolica Chavo Salvatierra/rexona</t>
  </si>
  <si>
    <t>566</t>
  </si>
  <si>
    <t>Elaboracion anfora para sorteo rexona</t>
  </si>
  <si>
    <t>567</t>
  </si>
  <si>
    <t>Auspicio Año Nuevo Tigo 2016</t>
  </si>
  <si>
    <t>568</t>
  </si>
  <si>
    <t>Impulsadora para mercado la paz</t>
  </si>
  <si>
    <t>569</t>
  </si>
  <si>
    <t>adecuación de un letrero luminoso.</t>
  </si>
  <si>
    <t>570</t>
  </si>
  <si>
    <t>571</t>
  </si>
  <si>
    <t>572</t>
  </si>
  <si>
    <t xml:space="preserve">FIJO </t>
  </si>
  <si>
    <t>EVENTUAL</t>
  </si>
  <si>
    <t>SEPT</t>
  </si>
  <si>
    <t>OCT</t>
  </si>
  <si>
    <t>NOV</t>
  </si>
  <si>
    <t>DIC</t>
  </si>
  <si>
    <t>ENER</t>
  </si>
  <si>
    <t>SEPTIEMBRE</t>
  </si>
  <si>
    <t>OCTUBRE</t>
  </si>
  <si>
    <t>NOVIEMBRE</t>
  </si>
  <si>
    <t>DICIEMBRE</t>
  </si>
  <si>
    <t>ENERO</t>
  </si>
  <si>
    <t>SUT TOTAL</t>
  </si>
  <si>
    <t>PERMISO</t>
  </si>
  <si>
    <t>PERMISO QUILLACOLLO</t>
  </si>
  <si>
    <t>SOPORTE LOGISTICO</t>
  </si>
  <si>
    <t>TRANSPORTE</t>
  </si>
  <si>
    <t>ELECTRICIDAD</t>
  </si>
  <si>
    <t>EMSA</t>
  </si>
  <si>
    <t>PARD LED</t>
  </si>
  <si>
    <t>EXTRA SOPORTE LOGISTICO</t>
  </si>
  <si>
    <t>PARLANTE Y MICROFONO</t>
  </si>
  <si>
    <t>ANIMADOR</t>
  </si>
  <si>
    <t>TV</t>
  </si>
  <si>
    <t>IMPULSADORAS</t>
  </si>
  <si>
    <t>GUARDIA DE SEGURIDAD</t>
  </si>
  <si>
    <t xml:space="preserve">VERDADERO </t>
  </si>
  <si>
    <t>RECIBO</t>
  </si>
  <si>
    <t>SIN IMPUESTO</t>
  </si>
  <si>
    <t>TIPO O FORMA</t>
  </si>
  <si>
    <t>VIATICOS</t>
  </si>
  <si>
    <t>ALQUILER SIN RECIBO</t>
  </si>
  <si>
    <t xml:space="preserve"> MATERIAL ADQUIRIDOS O ENTREGADOS POR ALMACEN</t>
  </si>
  <si>
    <t>DIA</t>
  </si>
  <si>
    <t xml:space="preserve">SERVICIOS </t>
  </si>
  <si>
    <t xml:space="preserve">COSTO ESTIMADO DE SERVICIOS </t>
  </si>
  <si>
    <t>N* DIAS</t>
  </si>
  <si>
    <t>APORT</t>
  </si>
  <si>
    <t>INDENMI</t>
  </si>
  <si>
    <t>AGUINAL</t>
  </si>
  <si>
    <t xml:space="preserve">TOTAL EGRESO MENOS MOD OPER.,MOD TALLER , FINANCIERO </t>
  </si>
  <si>
    <t>COSTO INDIRECTO DE RG</t>
  </si>
  <si>
    <t>factor</t>
  </si>
  <si>
    <t xml:space="preserve">factor por decisicion de gerencia </t>
  </si>
  <si>
    <t>TOTALES</t>
  </si>
  <si>
    <t>DOCUMENTO</t>
  </si>
  <si>
    <t>SUB TOTAL</t>
  </si>
  <si>
    <t>IT</t>
  </si>
  <si>
    <t>IVA</t>
  </si>
  <si>
    <t>(+) Grossing-up Tributario</t>
  </si>
  <si>
    <t>= COSTO NETO DEL SERVICIO BS. (sin impuestos)</t>
  </si>
  <si>
    <t>(+) Beneficios Grupo Regional</t>
  </si>
  <si>
    <t xml:space="preserve">(+) Gastos administrativos y de gestión </t>
  </si>
  <si>
    <t xml:space="preserve">Vacaciones </t>
  </si>
  <si>
    <t>Provisión Indemnización</t>
  </si>
  <si>
    <t>Previsión Aguinaldo (Doble aguinaldo)</t>
  </si>
  <si>
    <t>AFP´s</t>
  </si>
  <si>
    <t>Aporte solidario</t>
  </si>
  <si>
    <t>Infocal</t>
  </si>
  <si>
    <t>Caja Nacional de Salud</t>
  </si>
  <si>
    <t>Aportes Patronales</t>
  </si>
  <si>
    <t>Comisión AFP</t>
  </si>
  <si>
    <t>Prima riesgo comun</t>
  </si>
  <si>
    <t>Fondo de Capitalización Individual</t>
  </si>
  <si>
    <t>Aportes Laborales</t>
  </si>
  <si>
    <t>(+) Grossing-up Costos Laborales - Patronales</t>
  </si>
  <si>
    <t>Costo líquido por Supervisor  (líquido pagable Bs.)</t>
  </si>
  <si>
    <t>CARGO</t>
  </si>
  <si>
    <t xml:space="preserve">ESTRUCTURA DE COSTOS </t>
  </si>
  <si>
    <t>Expresado en Bolivianos</t>
  </si>
  <si>
    <t xml:space="preserve">PERSONAL </t>
  </si>
  <si>
    <t xml:space="preserve">COCHABAMBA </t>
  </si>
  <si>
    <t>SANTA CRUZ</t>
  </si>
  <si>
    <t>GANADO LIQUIDO</t>
  </si>
  <si>
    <t>ITEMS</t>
  </si>
  <si>
    <t>LA PAZ</t>
  </si>
  <si>
    <t>ORURO</t>
  </si>
  <si>
    <t>TARIJA</t>
  </si>
  <si>
    <t>POTOSI</t>
  </si>
  <si>
    <t>SUCRE</t>
  </si>
  <si>
    <t xml:space="preserve">GANADO LIQUIDO </t>
  </si>
  <si>
    <t>PANDO</t>
  </si>
  <si>
    <t>HOJA 1</t>
  </si>
  <si>
    <t>HOJA 2</t>
  </si>
  <si>
    <t>HOJA 3</t>
  </si>
  <si>
    <t>HOJA 4</t>
  </si>
  <si>
    <t>HOJA 5</t>
  </si>
  <si>
    <t>HOJA 6</t>
  </si>
  <si>
    <t>HOJA 7</t>
  </si>
  <si>
    <t>HOJA 8</t>
  </si>
  <si>
    <t>HOJA 9</t>
  </si>
  <si>
    <t xml:space="preserve">Previsión Aguinaldo </t>
  </si>
  <si>
    <t>Previsión Aguinaldo</t>
  </si>
  <si>
    <t xml:space="preserve">Previsión Segundo  Aguinaldo </t>
  </si>
  <si>
    <t xml:space="preserve">(+) Costo financiero </t>
  </si>
  <si>
    <t>(+) Costo financiero</t>
  </si>
  <si>
    <t>TOTAL MAS CARGAS SOCIALES</t>
  </si>
  <si>
    <t>EL ALTO</t>
  </si>
  <si>
    <t>GASTOS ADMINISTRATIVOS</t>
  </si>
  <si>
    <t>COSTO</t>
  </si>
  <si>
    <t>F.E.E PROGRAMADO</t>
  </si>
  <si>
    <t>GRUPO REGIONAL SRL</t>
  </si>
  <si>
    <t>TOTAL  TIEMPO PROGRAMADOS</t>
  </si>
  <si>
    <t>MESES REDON.</t>
  </si>
  <si>
    <t>COSTOS INDIRECTOS DE PRODUCCION</t>
  </si>
  <si>
    <t>COSTO  ACUMULADO  PROGRAMADO</t>
  </si>
  <si>
    <t>TASA DE APLICACIÓN</t>
  </si>
  <si>
    <t>COSTO  PROGRAMADO DE COSTOS INDIRECTOS</t>
  </si>
  <si>
    <t>MATERIALES Y SERVICIOS</t>
  </si>
  <si>
    <t xml:space="preserve">TOTAL GASTOS ADMINISTRAVOS </t>
  </si>
  <si>
    <t>= TOTAL PRECIO FACTURADO DEL SERVICIO  (Bolivianos).</t>
  </si>
  <si>
    <t>Servicios Gerencia General</t>
  </si>
  <si>
    <t>Supervision Jefatura Activaciones y BTL</t>
  </si>
  <si>
    <t>Servicios de Recursos Humanos y Planillaje</t>
  </si>
  <si>
    <t>Servicios de contabilidad</t>
  </si>
  <si>
    <t>Papeleria y Materiales</t>
  </si>
  <si>
    <t xml:space="preserve">Servicios Basicos </t>
  </si>
  <si>
    <t>Señores:</t>
  </si>
  <si>
    <t>Presente.-</t>
  </si>
  <si>
    <t>Cualquier consulta comunicarse al celular: 759-40022, o a los correos mencionados en la parte
inferior de esta página, con gusto atendere sus consultas.</t>
  </si>
  <si>
    <t>UNIDAD DE MEDIDA</t>
  </si>
  <si>
    <t>POTENCIALES COSTOS LABORALES A TOMAR EN CUENTA</t>
  </si>
  <si>
    <t>ESTRUCTURA DE PERSONAL DEL PROYECTO</t>
  </si>
  <si>
    <t>EQUIPOS, MATERIALES Y SERVICIOS TOTALES DEL PROYECTO</t>
  </si>
  <si>
    <t>COSTOS IMPLICITOS POR APOYO ADMNISTRATIVO EN EL PROYECTO</t>
  </si>
  <si>
    <t>COSTOS INDIRECTOS DEL PROYECTO</t>
  </si>
  <si>
    <t>COSTO  TOTAL PROGRAMADO  INDIRECTOS</t>
  </si>
  <si>
    <t>CODIGO DE PROYECTO</t>
  </si>
  <si>
    <r>
      <rPr>
        <b/>
        <sz val="12"/>
        <color theme="1"/>
        <rFont val="Arial"/>
        <family val="2"/>
      </rPr>
      <t xml:space="preserve">       </t>
    </r>
    <r>
      <rPr>
        <b/>
        <u/>
        <sz val="12"/>
        <color theme="1"/>
        <rFont val="Arial"/>
        <family val="2"/>
      </rPr>
      <t>HOJA DE COSTO DE ACTIVACIONES BTL LABORALES</t>
    </r>
  </si>
  <si>
    <t>5,1,1</t>
  </si>
  <si>
    <t>5,1,2</t>
  </si>
  <si>
    <t>INTRODUCIR  EL NOMBRE DE CLIENTE  AL QUE SE LE ESTA EFECTUANDO EL SERVICIO</t>
  </si>
  <si>
    <t>INTRODUCIR EL CODIGO DEL PROYECTO QUE SE LE ASIGNE A ESE SERVICIO</t>
  </si>
  <si>
    <t xml:space="preserve">INTRODUCIR LA FECHA DE INICIO QUE SE PIENSA QUE INICIARA EL PROYECTO </t>
  </si>
  <si>
    <t>INTRUDUCIR EL DETALLE RESUMIDO DEL TIPO DE SERVICIOS QUE SE ESTA REALIZANDO</t>
  </si>
  <si>
    <t xml:space="preserve">INTRODUCIR LA FECHA DE FINAL  QUE SE PIENSA QUE FINALIZARA  EL PROYECTO </t>
  </si>
  <si>
    <t xml:space="preserve">LA HOJA DE EXCEL CALCULARA DE FORMA AUTOMATICA EL TIEMPO DE PROYECTO QUE DURARA , EN DIAS Y EN MESES </t>
  </si>
  <si>
    <t>CAMBIAR  EN MODO DE PAGO EN (CREDITO O CONTADO), SI EL MODO DE PAGO ES CREDITO INTRUDUCIR LOS DIAS DE CREDITO , SI EL PAGO ES AL CONTADO COLOCAR 0</t>
  </si>
  <si>
    <t xml:space="preserve">PARA ANALISIS  POSTERIORES </t>
  </si>
  <si>
    <t xml:space="preserve">INTRODUCIR LA FECHA DE INICIO REAL  INICIO  EL PROYECTO </t>
  </si>
  <si>
    <t xml:space="preserve">INTRODUCIR LA FECHA DE FINAL REAL  QUE CONCLUYO EL PROYECTO </t>
  </si>
  <si>
    <t xml:space="preserve">LA HOJA DE EXCEL CALCULARA DE FORMA AUTOMATICA EL TIEMPO REAL QUE DURO EL PROYECTO, EN DIAS Y EN MESES </t>
  </si>
  <si>
    <t xml:space="preserve">DATOS BASICOS </t>
  </si>
  <si>
    <t xml:space="preserve">PONTECIALES COSTOS LABORALES A TOMAR EN CUENTA </t>
  </si>
  <si>
    <t xml:space="preserve">ESTRUCTURA DEL PERSONAL DEL PROYECTO </t>
  </si>
  <si>
    <t>INTRUDUCIR LOS PORCENTAJES QUE PIENSA QUE PUEDEN SER LOS COSTOS LABORALES QUE NO SON COMUNES,PERO QUE QUISIERA PREVEER PARA ESTE PROYETO</t>
  </si>
  <si>
    <t>EQUIPOS Y MATERIALES  Y SERVICIOS  TOTALES DEL PROYECTO</t>
  </si>
  <si>
    <t>COLOCAR TODOS LOS MATERIALES  QUE SE PRENTENDE UTILIZAR EN EL PROYECTO</t>
  </si>
  <si>
    <t>INTRUDUCIR LAFORMA DE MEDICION</t>
  </si>
  <si>
    <t>INTRODUCIR LA CANTIDAD DE MATERIALES</t>
  </si>
  <si>
    <t>CAMBIAR LA FORMA DE ADQUISICION ENTRE "FACTURA""RECIBO" "ALMACEN"</t>
  </si>
  <si>
    <t>COLOCAR COSTO UNITARIO DE COMPRA</t>
  </si>
  <si>
    <t>CALCULO AUTOMATICO</t>
  </si>
  <si>
    <t>INTRODUCIR LOS SERVICIOS DE TERCEROS CONTRADOS</t>
  </si>
  <si>
    <t xml:space="preserve">INTRODUCIR LA FORMA DE MEDICION </t>
  </si>
  <si>
    <t>INTRODUCIR LA CANTIDAD</t>
  </si>
  <si>
    <t>COLOCAR EL PRECIO UNITARIO</t>
  </si>
  <si>
    <t>CAMBIAR LA FORMA DE ADQUISICION ENTRE "FACTURA""RECIBO" "SIM  IMPUESTO " ALQUILER SIN RECIBO"VIATICOS"</t>
  </si>
  <si>
    <t xml:space="preserve">COSTO INDIRECTO DEL PROYECTO SERA CALCULADO DE FORMA AUTOMATICA NO  HABRA NESECIDAD DE INTRODUCIR Y DE CAMBIAR DATOS </t>
  </si>
  <si>
    <t>COSTOS INDIRECTOS IMPLICITOS POR APOYO AMINISTRATIVO</t>
  </si>
  <si>
    <t>INTRODUCIR LOS DEPARTAMENTOS PROFECIONAL QUE INDIRECTAMETE DAN U SOPORTE LOGISTICO</t>
  </si>
  <si>
    <t xml:space="preserve">INTRUDUCIR EL PORCENTAJE DE APORTE </t>
  </si>
  <si>
    <t>INTRODUCIR LOS MATERIALES QUE INDIRECTAMETE DAN U SOPORTE LOGISTICO</t>
  </si>
  <si>
    <t xml:space="preserve">COSTO FINANCIERO: EL COSTO FINANCIERO ES UN CALCULO AUTOMATICO RESULTADO DE LA FORMA DE PAGO </t>
  </si>
  <si>
    <t>F.E.E.</t>
  </si>
  <si>
    <t xml:space="preserve">INTRODUCIR EL F.E.E. QUE SE PRETENDE OBTENER DE LA EJECUCION DEL PROYECTO </t>
  </si>
  <si>
    <t>LOS CARGOS QUE REQUIERO PARA EL PROYECTO</t>
  </si>
  <si>
    <t>LA CANTIDAD DE PERSONAS QUE REQUIERE PARA EL CARGO</t>
  </si>
  <si>
    <t>EL MONTO QUE CADA PERSONA GANARA LIQUIDO</t>
  </si>
  <si>
    <t>TAMBIEM PODRA CAMBIAR LOS LUGARES DONDE SE REALIZARAN LOS PROYECTOS  , YA QUE PUEDE ELEGIR 9 LUGARES DISTINTOS, ESTA OPCION SE CAMBIAR EN LA CELDA QUE ESTA DEBAJO DE CADA CELDA QUE DICE "HOJA 1" 0"HOJA 2" ETC</t>
  </si>
  <si>
    <t>INTRUCCIONES DE LLENADO</t>
  </si>
  <si>
    <t>COSTOS PATRONALES</t>
  </si>
  <si>
    <t>BONOS O OTROS INGRESOS</t>
  </si>
  <si>
    <t>BONO META</t>
  </si>
  <si>
    <t>BONO ANTIGUEDAD</t>
  </si>
  <si>
    <t xml:space="preserve">Bono de transporte (segun operacion) </t>
  </si>
  <si>
    <t>Seguro de Accidente</t>
  </si>
  <si>
    <t xml:space="preserve">Previsicion de Subsidio </t>
  </si>
  <si>
    <t>Previsicion de Desahucio</t>
  </si>
  <si>
    <t>Bonos Extras</t>
  </si>
  <si>
    <t>TOTAL PERSONAS</t>
  </si>
  <si>
    <t>SIN FACTURA</t>
  </si>
  <si>
    <t>GASTOS AUXILIARES</t>
  </si>
  <si>
    <t>Codigo</t>
  </si>
  <si>
    <t>GASTOS VARIOS</t>
  </si>
  <si>
    <t xml:space="preserve">FORMA DE PAGO </t>
  </si>
  <si>
    <t>COSTO TOTAL SIN FACTURA</t>
  </si>
  <si>
    <t>PERSONAL</t>
  </si>
  <si>
    <t>Personal eventual</t>
  </si>
  <si>
    <t>Trasporte  distribución</t>
  </si>
  <si>
    <t>TRANSPORTE DISTRIBUCION</t>
  </si>
  <si>
    <t>Trasporte operativo supervisor</t>
  </si>
  <si>
    <t>F</t>
  </si>
  <si>
    <t>Pasaje adminitrativos</t>
  </si>
  <si>
    <t>VIAJE A SCZ</t>
  </si>
  <si>
    <t>VIAJE A LA PAZ</t>
  </si>
  <si>
    <t>Viáticos personal planta</t>
  </si>
  <si>
    <t>Viáticos personal eventual</t>
  </si>
  <si>
    <t>Viáticos Viajes</t>
  </si>
  <si>
    <t>VIATICO SCZ</t>
  </si>
  <si>
    <t>VIATICO LA PAZ</t>
  </si>
  <si>
    <t>SERVICIOS BASICOS</t>
  </si>
  <si>
    <t>Luz</t>
  </si>
  <si>
    <t>Agua</t>
  </si>
  <si>
    <t>Internet</t>
  </si>
  <si>
    <t>Telefonía fija</t>
  </si>
  <si>
    <t>Telefonía móvil</t>
  </si>
  <si>
    <t>SEGUROS</t>
  </si>
  <si>
    <t>Seguros</t>
  </si>
  <si>
    <t>Credenciales</t>
  </si>
  <si>
    <t>CREDENCIALES PARA RPOMOTORES</t>
  </si>
  <si>
    <t>Material de Oficina</t>
  </si>
  <si>
    <t>SCZY LPZ</t>
  </si>
  <si>
    <t>Uniformes</t>
  </si>
  <si>
    <t>Comestibles</t>
  </si>
  <si>
    <t>Insumos utencilios</t>
  </si>
  <si>
    <t>MASQUIN PARA BANDEO</t>
  </si>
  <si>
    <t>Material POP</t>
  </si>
  <si>
    <t>Materiales utilitarios</t>
  </si>
  <si>
    <t>SERVICIOS EXTERNOS</t>
  </si>
  <si>
    <t xml:space="preserve">Gestión de Permisos </t>
  </si>
  <si>
    <t>Sonido e iluminación</t>
  </si>
  <si>
    <t>Pirotecnia</t>
  </si>
  <si>
    <t>Reparaciones</t>
  </si>
  <si>
    <t>Almacenaje</t>
  </si>
  <si>
    <t>Diseño</t>
  </si>
  <si>
    <t>Servicio de terceros</t>
  </si>
  <si>
    <t>Servicios externos</t>
  </si>
  <si>
    <t>Publicaciones</t>
  </si>
  <si>
    <t>RECLUTAMIENTO DE PERSONAL</t>
  </si>
  <si>
    <t>Detalle costos personal:</t>
  </si>
  <si>
    <t>COSTO TOTAL</t>
  </si>
  <si>
    <t>El costo total por el personal es de 409.095 bs (Cuatrocientos nueve mil noventa y cinco bolivianos 00/100)</t>
  </si>
  <si>
    <t>Detalle por utilitarios :</t>
  </si>
  <si>
    <t>COSTO UNITARIO (Bs.)</t>
  </si>
  <si>
    <t>COSTO TOTAL (Bs.)</t>
  </si>
  <si>
    <t>Subtotal</t>
  </si>
  <si>
    <t>Fee</t>
  </si>
  <si>
    <t>Grossing-up Tributario</t>
  </si>
  <si>
    <t>Total</t>
  </si>
  <si>
    <t>Nuestra cotizacion incluye:</t>
  </si>
  <si>
    <t>Promotores con facilidad de palabra y poder de convencimiento</t>
  </si>
  <si>
    <t>• Personal de logistica para carga y descarga del producto, refill en ruta, control de almacenes</t>
  </si>
  <si>
    <t>•Transporte y logistica para distribucion de personal y packs en campo de trabajo</t>
  </si>
  <si>
    <t>• Informes digitales cuantitativas y fotográficos.</t>
  </si>
  <si>
    <t>• Seguimientos cualitativos.</t>
  </si>
  <si>
    <t>• Gastos Administrativos.</t>
  </si>
  <si>
    <t>• Impuestos de Ley.</t>
  </si>
  <si>
    <t>Atentamente
Alvaro Vega
Jefe Nacional de activaciones &amp; Btl
alvarovega@gruporegional.com
www.gruporegional.com</t>
  </si>
  <si>
    <t>TOTAL PROFORMA</t>
  </si>
  <si>
    <t>PERSONAL ACT.</t>
  </si>
  <si>
    <t>MATE. Y  SERVI.</t>
  </si>
  <si>
    <t>COSTO PERSONAL</t>
  </si>
  <si>
    <t>• Aportes laborales</t>
  </si>
  <si>
    <t>• Seguro de salud</t>
  </si>
  <si>
    <t>De nuestra mayor consideración:</t>
  </si>
  <si>
    <t>GRUPO REGIONAL SRL(SANTA CRUZ)</t>
  </si>
  <si>
    <t>PERIODO PRUEBA</t>
  </si>
  <si>
    <t>• Ejecutivo de cuenta para control y monitoreo de la actividad</t>
  </si>
  <si>
    <t>NOTA: La cotización no contempla materiales,utilitarios o uniformes, de requerirlo favor hacernolos saber para insertar en la cotización</t>
  </si>
  <si>
    <t>Transporte La Paz</t>
  </si>
  <si>
    <t>CBBA</t>
  </si>
  <si>
    <t xml:space="preserve">SCZ </t>
  </si>
  <si>
    <t>Se conciliara mensualmente mediante una prefactura los montos a facturar debido a la existencia de un bono variable y trabajo en feriados.</t>
  </si>
  <si>
    <t>cbba</t>
  </si>
  <si>
    <t>scz</t>
  </si>
  <si>
    <t>NO</t>
  </si>
  <si>
    <t>20 DIAS HABILES DE INTERRUPCION DEL SERVICIO</t>
  </si>
  <si>
    <t>AIDISA</t>
  </si>
  <si>
    <t>VENDEDOR PERFIL INSTITUCIONAL</t>
  </si>
  <si>
    <t>VENDEDOR INSTITUCIONAL</t>
  </si>
  <si>
    <t>• Personal con experiencia y perfil institucional</t>
  </si>
  <si>
    <t>• Horario de trabajo 8 horas diarias de lunes a viernes y sabado medio dia</t>
  </si>
  <si>
    <t>• Bono para llamadas 50 Bs</t>
  </si>
  <si>
    <t>• Bono de transporte 100 Bs</t>
  </si>
  <si>
    <t>Miguel Estrada</t>
  </si>
  <si>
    <t>REF: COTIZACIÓN TERCERIZACIÓN VENDEDORES INSTITUCIONALES</t>
  </si>
  <si>
    <t xml:space="preserve">                                                                                                                                                    Cochabamba, 8 de agosto del 2018</t>
  </si>
  <si>
    <t>Le hacemos llegar la cotización y facturación detallada por el servicio de personal para las ciudades del eje troncal entre el 3 de septiembre y 31 de diciembre del 2018 ( 4 meses)</t>
  </si>
  <si>
    <t>El costo total por el servicio es de 81,460 (Ochenta y un mil cuatrocientos sesenta bolivianos 00/100)</t>
  </si>
  <si>
    <t>Ciudad</t>
  </si>
  <si>
    <t>PERSONAL (descripcion)</t>
  </si>
  <si>
    <t>COSTOS MATERIALES ESTIMADOS********</t>
  </si>
  <si>
    <t>a</t>
  </si>
  <si>
    <t>onza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</si>
</sst>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0\ _€_-;\-* #,##0.00\ _€_-;_-* &quot;-&quot;??\ _€_-;_-@_-"/>
    <numFmt numFmtId="165" formatCode="0.0000000%"/>
    <numFmt numFmtId="166" formatCode="0.00000000%"/>
    <numFmt numFmtId="167" formatCode="#,##0.00_ ;[Red]\-#,##0.00\ "/>
    <numFmt numFmtId="168" formatCode="#,##0.0000"/>
    <numFmt numFmtId="169" formatCode="_(* #,##0.00_);_(* \(#,##0.00\);_(* &quot;-&quot;??_);_(@_)"/>
    <numFmt numFmtId="170" formatCode="_(* #,##0_);_(* \(#,##0\);_(* &quot;-&quot;??_);_(@_)"/>
  </numFmts>
  <fonts count="4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48"/>
      <color rgb="FF6633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8"/>
      <color rgb="FF6633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2"/>
      <color rgb="FF6633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trike/>
      <sz val="11"/>
      <color theme="1"/>
      <name val="Calibri"/>
      <family val="2"/>
      <scheme val="minor"/>
    </font>
    <font>
      <sz val="11"/>
      <color rgb="FF5B3427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"/>
      <family val="2"/>
    </font>
    <font>
      <b/>
      <u/>
      <sz val="12"/>
      <color theme="1"/>
      <name val="Arial"/>
      <family val="2"/>
    </font>
    <font>
      <b/>
      <u/>
      <sz val="11"/>
      <color theme="1"/>
      <name val="Arial"/>
      <family val="2"/>
    </font>
    <font>
      <i/>
      <sz val="11"/>
      <color theme="1"/>
      <name val="Arial"/>
      <family val="2"/>
    </font>
    <font>
      <i/>
      <sz val="12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Arial"/>
      <family val="2"/>
    </font>
    <font>
      <sz val="20"/>
      <color theme="1"/>
      <name val="Arial"/>
      <family val="2"/>
    </font>
    <font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1FDC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4A70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medium">
        <color rgb="FF33CC33"/>
      </left>
      <right style="thin">
        <color rgb="FF33CC33"/>
      </right>
      <top/>
      <bottom style="medium">
        <color rgb="FF33CC33"/>
      </bottom>
      <diagonal/>
    </border>
    <border>
      <left style="thin">
        <color rgb="FF33CC33"/>
      </left>
      <right style="thin">
        <color rgb="FF33CC33"/>
      </right>
      <top/>
      <bottom style="medium">
        <color rgb="FF33CC33"/>
      </bottom>
      <diagonal/>
    </border>
    <border>
      <left style="thin">
        <color rgb="FF33CC33"/>
      </left>
      <right style="medium">
        <color rgb="FF33CC33"/>
      </right>
      <top/>
      <bottom style="medium">
        <color rgb="FF33CC33"/>
      </bottom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 style="thin">
        <color rgb="FF33CC33"/>
      </top>
      <bottom style="thin">
        <color rgb="FF33CC33"/>
      </bottom>
      <diagonal/>
    </border>
    <border>
      <left style="thin">
        <color rgb="FF33CC33"/>
      </left>
      <right style="thin">
        <color rgb="FF33CC33"/>
      </right>
      <top style="thin">
        <color rgb="FF33CC33"/>
      </top>
      <bottom style="thin">
        <color rgb="FF33CC33"/>
      </bottom>
      <diagonal/>
    </border>
    <border>
      <left style="thin">
        <color rgb="FF33CC33"/>
      </left>
      <right style="medium">
        <color rgb="FF33CC33"/>
      </right>
      <top style="thin">
        <color rgb="FF33CC33"/>
      </top>
      <bottom style="thin">
        <color rgb="FF33CC33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thin">
        <color rgb="FF33CC33"/>
      </left>
      <right style="medium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 style="medium">
        <color rgb="FF33CC33"/>
      </bottom>
      <diagonal/>
    </border>
    <border>
      <left/>
      <right style="thin">
        <color rgb="FF33CC33"/>
      </right>
      <top style="medium">
        <color rgb="FF33CC33"/>
      </top>
      <bottom/>
      <diagonal/>
    </border>
  </borders>
  <cellStyleXfs count="9">
    <xf numFmtId="0" fontId="0" fillId="0" borderId="0"/>
    <xf numFmtId="9" fontId="19" fillId="0" borderId="0" applyFont="0" applyFill="0" applyBorder="0" applyAlignment="0" applyProtection="0"/>
    <xf numFmtId="0" fontId="20" fillId="0" borderId="0"/>
    <xf numFmtId="0" fontId="20" fillId="0" borderId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20" fillId="0" borderId="0" applyNumberFormat="0" applyFont="0" applyFill="0" applyBorder="0" applyAlignment="0" applyProtection="0">
      <alignment vertical="top"/>
    </xf>
    <xf numFmtId="169" fontId="19" fillId="0" borderId="0" applyFont="0" applyFill="0" applyBorder="0" applyAlignment="0" applyProtection="0"/>
    <xf numFmtId="0" fontId="19" fillId="0" borderId="0"/>
  </cellStyleXfs>
  <cellXfs count="589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2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1" fillId="0" borderId="11" xfId="0" applyFont="1" applyBorder="1"/>
    <xf numFmtId="0" fontId="2" fillId="0" borderId="1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4" fillId="0" borderId="10" xfId="0" applyFont="1" applyBorder="1"/>
    <xf numFmtId="0" fontId="6" fillId="3" borderId="0" xfId="0" applyFont="1" applyFill="1"/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right"/>
    </xf>
    <xf numFmtId="0" fontId="0" fillId="3" borderId="0" xfId="0" applyFont="1" applyFill="1"/>
    <xf numFmtId="0" fontId="5" fillId="4" borderId="11" xfId="0" applyFont="1" applyFill="1" applyBorder="1" applyAlignment="1">
      <alignment horizontal="center" vertical="center"/>
    </xf>
    <xf numFmtId="0" fontId="9" fillId="0" borderId="0" xfId="0" applyFont="1"/>
    <xf numFmtId="0" fontId="0" fillId="3" borderId="0" xfId="0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7" fillId="2" borderId="16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3" borderId="0" xfId="0" applyFont="1" applyFill="1"/>
    <xf numFmtId="0" fontId="12" fillId="3" borderId="0" xfId="0" applyFont="1" applyFill="1" applyAlignment="1">
      <alignment horizontal="center"/>
    </xf>
    <xf numFmtId="0" fontId="12" fillId="3" borderId="0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2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3" fillId="4" borderId="11" xfId="0" applyFont="1" applyFill="1" applyBorder="1" applyAlignment="1">
      <alignment horizontal="center" vertical="center"/>
    </xf>
    <xf numFmtId="0" fontId="11" fillId="3" borderId="1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textRotation="180"/>
    </xf>
    <xf numFmtId="0" fontId="14" fillId="0" borderId="0" xfId="0" applyFont="1"/>
    <xf numFmtId="0" fontId="15" fillId="0" borderId="0" xfId="0" applyFont="1"/>
    <xf numFmtId="0" fontId="16" fillId="0" borderId="0" xfId="0" applyFont="1"/>
    <xf numFmtId="0" fontId="6" fillId="5" borderId="19" xfId="0" applyFont="1" applyFill="1" applyBorder="1"/>
    <xf numFmtId="0" fontId="0" fillId="5" borderId="19" xfId="0" applyFill="1" applyBorder="1"/>
    <xf numFmtId="0" fontId="6" fillId="5" borderId="20" xfId="0" applyFont="1" applyFill="1" applyBorder="1"/>
    <xf numFmtId="0" fontId="0" fillId="5" borderId="20" xfId="0" applyFill="1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17" fillId="4" borderId="18" xfId="0" applyFont="1" applyFill="1" applyBorder="1" applyAlignment="1">
      <alignment horizontal="center" vertical="center" wrapText="1"/>
    </xf>
    <xf numFmtId="0" fontId="17" fillId="4" borderId="14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1" xfId="0" applyBorder="1" applyAlignment="1">
      <alignment horizontal="center" vertical="center"/>
    </xf>
    <xf numFmtId="0" fontId="18" fillId="0" borderId="0" xfId="0" applyFont="1"/>
    <xf numFmtId="0" fontId="6" fillId="5" borderId="0" xfId="0" applyFont="1" applyFill="1"/>
    <xf numFmtId="0" fontId="6" fillId="5" borderId="24" xfId="0" applyFont="1" applyFill="1" applyBorder="1"/>
    <xf numFmtId="0" fontId="6" fillId="5" borderId="19" xfId="0" applyFont="1" applyFill="1" applyBorder="1" applyAlignment="1"/>
    <xf numFmtId="0" fontId="0" fillId="0" borderId="0" xfId="0" applyFill="1"/>
    <xf numFmtId="0" fontId="0" fillId="0" borderId="11" xfId="0" applyBorder="1"/>
    <xf numFmtId="0" fontId="6" fillId="0" borderId="11" xfId="0" applyFont="1" applyBorder="1" applyAlignment="1">
      <alignment horizontal="center" vertical="center"/>
    </xf>
    <xf numFmtId="9" fontId="0" fillId="0" borderId="0" xfId="1" applyFont="1"/>
    <xf numFmtId="4" fontId="0" fillId="0" borderId="11" xfId="0" applyNumberFormat="1" applyBorder="1"/>
    <xf numFmtId="10" fontId="0" fillId="0" borderId="11" xfId="0" applyNumberFormat="1" applyBorder="1" applyAlignment="1">
      <alignment horizontal="center" vertical="center" wrapText="1"/>
    </xf>
    <xf numFmtId="10" fontId="0" fillId="0" borderId="11" xfId="1" applyNumberFormat="1" applyFont="1" applyBorder="1"/>
    <xf numFmtId="17" fontId="0" fillId="0" borderId="11" xfId="0" applyNumberFormat="1" applyBorder="1"/>
    <xf numFmtId="10" fontId="0" fillId="0" borderId="11" xfId="0" applyNumberFormat="1" applyBorder="1"/>
    <xf numFmtId="0" fontId="0" fillId="7" borderId="11" xfId="0" applyFill="1" applyBorder="1" applyAlignment="1">
      <alignment wrapText="1"/>
    </xf>
    <xf numFmtId="0" fontId="0" fillId="7" borderId="11" xfId="0" applyFill="1" applyBorder="1" applyAlignment="1">
      <alignment horizontal="center" vertical="center" wrapText="1"/>
    </xf>
    <xf numFmtId="0" fontId="1" fillId="7" borderId="11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0" fontId="0" fillId="9" borderId="11" xfId="0" applyFill="1" applyBorder="1" applyAlignment="1">
      <alignment horizontal="center" vertical="center" wrapText="1"/>
    </xf>
    <xf numFmtId="165" fontId="0" fillId="0" borderId="11" xfId="1" applyNumberFormat="1" applyFont="1" applyBorder="1" applyAlignment="1">
      <alignment horizontal="center" vertical="center"/>
    </xf>
    <xf numFmtId="166" fontId="0" fillId="0" borderId="11" xfId="1" applyNumberFormat="1" applyFont="1" applyBorder="1" applyAlignment="1">
      <alignment horizontal="center" vertical="center"/>
    </xf>
    <xf numFmtId="4" fontId="0" fillId="0" borderId="0" xfId="0" applyNumberFormat="1"/>
    <xf numFmtId="0" fontId="0" fillId="7" borderId="27" xfId="0" applyFill="1" applyBorder="1" applyAlignment="1">
      <alignment horizontal="center" vertical="center" wrapText="1"/>
    </xf>
    <xf numFmtId="4" fontId="0" fillId="10" borderId="11" xfId="0" applyNumberFormat="1" applyFill="1" applyBorder="1"/>
    <xf numFmtId="2" fontId="0" fillId="10" borderId="11" xfId="0" applyNumberFormat="1" applyFill="1" applyBorder="1"/>
    <xf numFmtId="0" fontId="0" fillId="0" borderId="11" xfId="0" quotePrefix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/>
    </xf>
    <xf numFmtId="0" fontId="0" fillId="0" borderId="11" xfId="0" applyFill="1" applyBorder="1" applyAlignment="1">
      <alignment horizontal="center" vertical="center" wrapText="1"/>
    </xf>
    <xf numFmtId="0" fontId="0" fillId="12" borderId="11" xfId="0" applyFill="1" applyBorder="1" applyAlignment="1">
      <alignment horizontal="center" vertical="center" wrapText="1"/>
    </xf>
    <xf numFmtId="0" fontId="0" fillId="13" borderId="0" xfId="0" applyFill="1"/>
    <xf numFmtId="0" fontId="0" fillId="14" borderId="0" xfId="0" applyFont="1" applyFill="1"/>
    <xf numFmtId="0" fontId="0" fillId="15" borderId="0" xfId="0" applyFont="1" applyFill="1"/>
    <xf numFmtId="0" fontId="24" fillId="0" borderId="0" xfId="0" applyFont="1" applyFill="1" applyBorder="1" applyAlignment="1">
      <alignment horizontal="center" vertical="center" wrapText="1"/>
    </xf>
    <xf numFmtId="4" fontId="20" fillId="0" borderId="11" xfId="2" applyNumberFormat="1" applyFont="1" applyFill="1" applyBorder="1" applyAlignment="1">
      <alignment horizontal="right" vertical="center"/>
    </xf>
    <xf numFmtId="4" fontId="6" fillId="0" borderId="11" xfId="0" applyNumberFormat="1" applyFont="1" applyBorder="1" applyAlignment="1">
      <alignment horizontal="center" vertical="center"/>
    </xf>
    <xf numFmtId="0" fontId="24" fillId="0" borderId="11" xfId="0" applyFont="1" applyFill="1" applyBorder="1" applyAlignment="1">
      <alignment horizontal="center" vertical="center"/>
    </xf>
    <xf numFmtId="4" fontId="0" fillId="0" borderId="0" xfId="0" applyNumberFormat="1" applyFill="1"/>
    <xf numFmtId="16" fontId="0" fillId="0" borderId="0" xfId="0" applyNumberFormat="1"/>
    <xf numFmtId="0" fontId="24" fillId="0" borderId="0" xfId="0" applyFont="1" applyBorder="1" applyAlignment="1">
      <alignment horizontal="center" vertical="center"/>
    </xf>
    <xf numFmtId="0" fontId="24" fillId="8" borderId="0" xfId="0" applyFont="1" applyFill="1" applyBorder="1" applyAlignment="1">
      <alignment horizontal="center" vertical="center" wrapText="1"/>
    </xf>
    <xf numFmtId="0" fontId="24" fillId="0" borderId="20" xfId="0" applyFont="1" applyBorder="1" applyAlignment="1">
      <alignment vertical="center"/>
    </xf>
    <xf numFmtId="0" fontId="24" fillId="0" borderId="26" xfId="0" applyFont="1" applyBorder="1" applyAlignment="1">
      <alignment vertical="center"/>
    </xf>
    <xf numFmtId="0" fontId="24" fillId="19" borderId="11" xfId="0" applyFont="1" applyFill="1" applyBorder="1" applyAlignment="1">
      <alignment horizontal="center" vertical="center" wrapText="1"/>
    </xf>
    <xf numFmtId="0" fontId="24" fillId="19" borderId="25" xfId="0" applyFont="1" applyFill="1" applyBorder="1" applyAlignment="1">
      <alignment horizontal="center" vertical="center" wrapText="1"/>
    </xf>
    <xf numFmtId="0" fontId="24" fillId="0" borderId="25" xfId="0" applyFont="1" applyFill="1" applyBorder="1" applyAlignment="1">
      <alignment horizontal="center" vertical="center" wrapText="1"/>
    </xf>
    <xf numFmtId="0" fontId="24" fillId="19" borderId="25" xfId="0" applyFont="1" applyFill="1" applyBorder="1" applyAlignment="1">
      <alignment vertical="center" wrapText="1"/>
    </xf>
    <xf numFmtId="0" fontId="24" fillId="19" borderId="20" xfId="0" applyFont="1" applyFill="1" applyBorder="1" applyAlignment="1">
      <alignment vertical="center" wrapText="1"/>
    </xf>
    <xf numFmtId="0" fontId="24" fillId="0" borderId="25" xfId="0" applyFont="1" applyFill="1" applyBorder="1" applyAlignment="1">
      <alignment vertical="center" wrapText="1"/>
    </xf>
    <xf numFmtId="0" fontId="24" fillId="0" borderId="20" xfId="0" applyFont="1" applyFill="1" applyBorder="1" applyAlignment="1">
      <alignment vertical="center" wrapText="1"/>
    </xf>
    <xf numFmtId="0" fontId="24" fillId="19" borderId="20" xfId="0" applyFont="1" applyFill="1" applyBorder="1" applyAlignment="1">
      <alignment vertical="center"/>
    </xf>
    <xf numFmtId="0" fontId="24" fillId="7" borderId="11" xfId="0" applyFont="1" applyFill="1" applyBorder="1" applyAlignment="1">
      <alignment horizontal="center" vertical="center" wrapText="1"/>
    </xf>
    <xf numFmtId="0" fontId="23" fillId="7" borderId="11" xfId="0" applyFont="1" applyFill="1" applyBorder="1" applyAlignment="1">
      <alignment horizontal="center" vertical="center" wrapText="1"/>
    </xf>
    <xf numFmtId="4" fontId="23" fillId="0" borderId="0" xfId="0" applyNumberFormat="1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 wrapText="1"/>
    </xf>
    <xf numFmtId="0" fontId="24" fillId="0" borderId="25" xfId="0" applyFont="1" applyBorder="1" applyAlignment="1">
      <alignment horizontal="center" vertical="center"/>
    </xf>
    <xf numFmtId="0" fontId="24" fillId="0" borderId="11" xfId="0" applyFont="1" applyFill="1" applyBorder="1" applyAlignment="1">
      <alignment horizontal="center" vertical="center" wrapText="1"/>
    </xf>
    <xf numFmtId="0" fontId="24" fillId="16" borderId="11" xfId="0" applyFont="1" applyFill="1" applyBorder="1" applyAlignment="1">
      <alignment horizontal="center" vertical="center"/>
    </xf>
    <xf numFmtId="4" fontId="24" fillId="16" borderId="11" xfId="0" applyNumberFormat="1" applyFont="1" applyFill="1" applyBorder="1" applyAlignment="1">
      <alignment horizontal="center" vertical="center"/>
    </xf>
    <xf numFmtId="4" fontId="28" fillId="0" borderId="0" xfId="0" applyNumberFormat="1" applyFont="1"/>
    <xf numFmtId="0" fontId="24" fillId="16" borderId="11" xfId="0" applyFont="1" applyFill="1" applyBorder="1" applyAlignment="1">
      <alignment horizontal="center" vertical="center" wrapText="1"/>
    </xf>
    <xf numFmtId="4" fontId="24" fillId="16" borderId="11" xfId="0" applyNumberFormat="1" applyFont="1" applyFill="1" applyBorder="1" applyAlignment="1">
      <alignment horizontal="center" vertical="center" wrapText="1"/>
    </xf>
    <xf numFmtId="4" fontId="24" fillId="0" borderId="0" xfId="0" applyNumberFormat="1" applyFont="1" applyFill="1" applyBorder="1" applyAlignment="1">
      <alignment horizontal="center" vertical="center" wrapText="1"/>
    </xf>
    <xf numFmtId="4" fontId="23" fillId="0" borderId="0" xfId="0" applyNumberFormat="1" applyFont="1" applyBorder="1"/>
    <xf numFmtId="4" fontId="23" fillId="0" borderId="0" xfId="0" applyNumberFormat="1" applyFont="1"/>
    <xf numFmtId="4" fontId="23" fillId="0" borderId="0" xfId="0" applyNumberFormat="1" applyFont="1" applyFill="1" applyBorder="1"/>
    <xf numFmtId="4" fontId="24" fillId="0" borderId="0" xfId="0" applyNumberFormat="1" applyFont="1" applyFill="1" applyBorder="1" applyAlignment="1">
      <alignment horizontal="center" vertical="center"/>
    </xf>
    <xf numFmtId="0" fontId="24" fillId="16" borderId="28" xfId="0" applyFont="1" applyFill="1" applyBorder="1" applyAlignment="1">
      <alignment horizontal="center" vertical="center" wrapText="1"/>
    </xf>
    <xf numFmtId="0" fontId="28" fillId="0" borderId="0" xfId="0" applyFont="1"/>
    <xf numFmtId="0" fontId="28" fillId="0" borderId="0" xfId="0" applyFont="1" applyFill="1"/>
    <xf numFmtId="0" fontId="29" fillId="0" borderId="0" xfId="0" applyFont="1" applyAlignment="1">
      <alignment horizontal="center" vertical="center"/>
    </xf>
    <xf numFmtId="0" fontId="23" fillId="0" borderId="0" xfId="0" applyFont="1"/>
    <xf numFmtId="0" fontId="23" fillId="0" borderId="0" xfId="0" applyFont="1" applyFill="1"/>
    <xf numFmtId="0" fontId="29" fillId="0" borderId="0" xfId="0" applyFont="1" applyAlignment="1">
      <alignment vertical="center"/>
    </xf>
    <xf numFmtId="4" fontId="29" fillId="0" borderId="0" xfId="0" applyNumberFormat="1" applyFont="1" applyAlignment="1">
      <alignment horizontal="center" vertical="center"/>
    </xf>
    <xf numFmtId="0" fontId="24" fillId="3" borderId="0" xfId="0" applyNumberFormat="1" applyFont="1" applyFill="1" applyBorder="1" applyAlignment="1">
      <alignment vertical="center"/>
    </xf>
    <xf numFmtId="0" fontId="24" fillId="0" borderId="0" xfId="0" applyNumberFormat="1" applyFont="1" applyFill="1" applyBorder="1" applyAlignment="1">
      <alignment vertical="center"/>
    </xf>
    <xf numFmtId="4" fontId="24" fillId="0" borderId="0" xfId="0" applyNumberFormat="1" applyFont="1" applyFill="1" applyBorder="1" applyAlignment="1">
      <alignment vertical="center"/>
    </xf>
    <xf numFmtId="0" fontId="23" fillId="0" borderId="0" xfId="0" applyFont="1" applyBorder="1" applyAlignment="1"/>
    <xf numFmtId="0" fontId="24" fillId="3" borderId="0" xfId="0" applyFont="1" applyFill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24" fillId="3" borderId="0" xfId="0" applyFont="1" applyFill="1" applyBorder="1" applyAlignment="1">
      <alignment vertical="center" wrapText="1"/>
    </xf>
    <xf numFmtId="0" fontId="24" fillId="0" borderId="0" xfId="0" applyFont="1" applyFill="1" applyBorder="1" applyAlignment="1">
      <alignment vertical="center" wrapText="1"/>
    </xf>
    <xf numFmtId="4" fontId="24" fillId="0" borderId="0" xfId="0" applyNumberFormat="1" applyFont="1" applyFill="1" applyBorder="1" applyAlignment="1">
      <alignment vertical="center" wrapText="1"/>
    </xf>
    <xf numFmtId="0" fontId="23" fillId="0" borderId="0" xfId="0" applyFont="1" applyBorder="1" applyAlignment="1">
      <alignment horizontal="center"/>
    </xf>
    <xf numFmtId="14" fontId="24" fillId="3" borderId="0" xfId="0" applyNumberFormat="1" applyFont="1" applyFill="1" applyBorder="1" applyAlignment="1">
      <alignment horizontal="left" vertical="center"/>
    </xf>
    <xf numFmtId="0" fontId="23" fillId="0" borderId="0" xfId="0" applyFont="1" applyBorder="1"/>
    <xf numFmtId="0" fontId="23" fillId="0" borderId="0" xfId="0" applyFont="1" applyAlignment="1">
      <alignment horizontal="center" vertical="center" wrapText="1"/>
    </xf>
    <xf numFmtId="0" fontId="24" fillId="3" borderId="0" xfId="0" applyFont="1" applyFill="1" applyBorder="1" applyAlignment="1">
      <alignment horizontal="left" vertical="center"/>
    </xf>
    <xf numFmtId="0" fontId="24" fillId="0" borderId="0" xfId="0" applyFont="1" applyAlignment="1">
      <alignment horizontal="center" vertical="center" wrapText="1"/>
    </xf>
    <xf numFmtId="14" fontId="24" fillId="0" borderId="0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4" fillId="0" borderId="0" xfId="0" applyFont="1" applyBorder="1" applyAlignment="1">
      <alignment horizontal="center" vertical="center" wrapText="1"/>
    </xf>
    <xf numFmtId="1" fontId="24" fillId="0" borderId="0" xfId="0" applyNumberFormat="1" applyFont="1" applyFill="1" applyBorder="1" applyAlignment="1">
      <alignment horizontal="center" vertical="center"/>
    </xf>
    <xf numFmtId="2" fontId="24" fillId="0" borderId="0" xfId="0" applyNumberFormat="1" applyFont="1" applyFill="1" applyBorder="1" applyAlignment="1">
      <alignment horizontal="center" vertical="center"/>
    </xf>
    <xf numFmtId="2" fontId="24" fillId="0" borderId="0" xfId="0" applyNumberFormat="1" applyFont="1" applyFill="1" applyAlignment="1">
      <alignment horizontal="center" vertical="center"/>
    </xf>
    <xf numFmtId="2" fontId="24" fillId="11" borderId="0" xfId="0" applyNumberFormat="1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Border="1" applyAlignment="1">
      <alignment horizontal="center"/>
    </xf>
    <xf numFmtId="0" fontId="24" fillId="3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14" fontId="24" fillId="8" borderId="0" xfId="0" applyNumberFormat="1" applyFont="1" applyFill="1" applyBorder="1" applyAlignment="1">
      <alignment horizontal="left" vertical="center"/>
    </xf>
    <xf numFmtId="2" fontId="23" fillId="0" borderId="0" xfId="0" applyNumberFormat="1" applyFont="1" applyBorder="1"/>
    <xf numFmtId="0" fontId="24" fillId="8" borderId="0" xfId="0" applyFont="1" applyFill="1" applyBorder="1" applyAlignment="1">
      <alignment horizontal="left" vertical="center"/>
    </xf>
    <xf numFmtId="0" fontId="24" fillId="0" borderId="0" xfId="0" applyFont="1" applyAlignment="1"/>
    <xf numFmtId="14" fontId="23" fillId="0" borderId="0" xfId="0" applyNumberFormat="1" applyFont="1" applyBorder="1" applyAlignment="1">
      <alignment horizontal="center"/>
    </xf>
    <xf numFmtId="0" fontId="24" fillId="0" borderId="0" xfId="0" applyFont="1" applyBorder="1"/>
    <xf numFmtId="1" fontId="24" fillId="0" borderId="0" xfId="0" applyNumberFormat="1" applyFont="1" applyAlignment="1">
      <alignment horizontal="center" vertical="center"/>
    </xf>
    <xf numFmtId="2" fontId="24" fillId="11" borderId="0" xfId="0" applyNumberFormat="1" applyFont="1" applyFill="1" applyAlignment="1">
      <alignment horizontal="center" vertical="center"/>
    </xf>
    <xf numFmtId="4" fontId="23" fillId="0" borderId="0" xfId="0" applyNumberFormat="1" applyFont="1" applyBorder="1" applyAlignment="1">
      <alignment horizontal="center"/>
    </xf>
    <xf numFmtId="1" fontId="24" fillId="0" borderId="0" xfId="0" applyNumberFormat="1" applyFont="1" applyAlignment="1">
      <alignment horizontal="center"/>
    </xf>
    <xf numFmtId="10" fontId="24" fillId="0" borderId="11" xfId="0" applyNumberFormat="1" applyFont="1" applyFill="1" applyBorder="1" applyAlignment="1">
      <alignment horizontal="center" vertical="center"/>
    </xf>
    <xf numFmtId="0" fontId="24" fillId="17" borderId="11" xfId="0" applyFont="1" applyFill="1" applyBorder="1" applyAlignment="1">
      <alignment horizontal="center" vertical="center"/>
    </xf>
    <xf numFmtId="10" fontId="24" fillId="0" borderId="11" xfId="0" applyNumberFormat="1" applyFont="1" applyBorder="1" applyAlignment="1">
      <alignment horizontal="center" vertical="center"/>
    </xf>
    <xf numFmtId="10" fontId="24" fillId="0" borderId="11" xfId="1" applyNumberFormat="1" applyFont="1" applyFill="1" applyBorder="1" applyAlignment="1">
      <alignment horizontal="center" vertical="center"/>
    </xf>
    <xf numFmtId="0" fontId="24" fillId="17" borderId="26" xfId="0" applyFont="1" applyFill="1" applyBorder="1" applyAlignment="1">
      <alignment horizontal="center" vertical="center"/>
    </xf>
    <xf numFmtId="0" fontId="24" fillId="19" borderId="28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 wrapText="1"/>
    </xf>
    <xf numFmtId="0" fontId="24" fillId="17" borderId="11" xfId="0" applyFont="1" applyFill="1" applyBorder="1" applyAlignment="1">
      <alignment horizontal="center" vertical="center" wrapText="1"/>
    </xf>
    <xf numFmtId="0" fontId="24" fillId="18" borderId="29" xfId="0" applyFont="1" applyFill="1" applyBorder="1" applyAlignment="1">
      <alignment horizontal="center" vertical="center" wrapText="1"/>
    </xf>
    <xf numFmtId="0" fontId="24" fillId="0" borderId="20" xfId="0" applyFont="1" applyFill="1" applyBorder="1" applyAlignment="1">
      <alignment horizontal="center" vertical="center" wrapText="1"/>
    </xf>
    <xf numFmtId="0" fontId="24" fillId="0" borderId="26" xfId="0" applyFont="1" applyFill="1" applyBorder="1" applyAlignment="1">
      <alignment horizontal="center" vertical="center" wrapText="1"/>
    </xf>
    <xf numFmtId="0" fontId="24" fillId="0" borderId="27" xfId="0" applyFont="1" applyFill="1" applyBorder="1" applyAlignment="1">
      <alignment horizontal="center" vertical="center" wrapText="1"/>
    </xf>
    <xf numFmtId="0" fontId="24" fillId="18" borderId="28" xfId="0" applyFont="1" applyFill="1" applyBorder="1" applyAlignment="1">
      <alignment horizontal="center" vertical="center" wrapText="1"/>
    </xf>
    <xf numFmtId="0" fontId="23" fillId="0" borderId="11" xfId="0" applyFont="1" applyFill="1" applyBorder="1" applyAlignment="1">
      <alignment horizontal="center" vertical="center" wrapText="1"/>
    </xf>
    <xf numFmtId="4" fontId="23" fillId="0" borderId="11" xfId="0" applyNumberFormat="1" applyFont="1" applyFill="1" applyBorder="1" applyAlignment="1">
      <alignment horizontal="center" vertical="center" wrapText="1"/>
    </xf>
    <xf numFmtId="4" fontId="23" fillId="16" borderId="11" xfId="0" applyNumberFormat="1" applyFont="1" applyFill="1" applyBorder="1" applyAlignment="1">
      <alignment horizontal="center" vertical="center" wrapText="1"/>
    </xf>
    <xf numFmtId="4" fontId="23" fillId="19" borderId="11" xfId="0" applyNumberFormat="1" applyFont="1" applyFill="1" applyBorder="1" applyAlignment="1">
      <alignment horizontal="center" vertical="center" wrapText="1"/>
    </xf>
    <xf numFmtId="4" fontId="23" fillId="17" borderId="11" xfId="0" applyNumberFormat="1" applyFont="1" applyFill="1" applyBorder="1" applyAlignment="1">
      <alignment horizontal="center" vertical="center" wrapText="1"/>
    </xf>
    <xf numFmtId="4" fontId="23" fillId="18" borderId="11" xfId="0" applyNumberFormat="1" applyFont="1" applyFill="1" applyBorder="1" applyAlignment="1">
      <alignment horizontal="center" vertical="center" wrapText="1"/>
    </xf>
    <xf numFmtId="4" fontId="23" fillId="0" borderId="25" xfId="0" applyNumberFormat="1" applyFont="1" applyFill="1" applyBorder="1" applyAlignment="1">
      <alignment horizontal="center" vertical="center" wrapText="1"/>
    </xf>
    <xf numFmtId="4" fontId="23" fillId="16" borderId="25" xfId="0" applyNumberFormat="1" applyFont="1" applyFill="1" applyBorder="1" applyAlignment="1">
      <alignment horizontal="center" vertical="center" wrapText="1"/>
    </xf>
    <xf numFmtId="4" fontId="23" fillId="18" borderId="25" xfId="0" applyNumberFormat="1" applyFont="1" applyFill="1" applyBorder="1" applyAlignment="1">
      <alignment horizontal="center" vertical="center" wrapText="1"/>
    </xf>
    <xf numFmtId="4" fontId="24" fillId="0" borderId="11" xfId="0" applyNumberFormat="1" applyFont="1" applyBorder="1" applyAlignment="1">
      <alignment horizontal="center" vertical="center"/>
    </xf>
    <xf numFmtId="3" fontId="24" fillId="16" borderId="11" xfId="0" applyNumberFormat="1" applyFont="1" applyFill="1" applyBorder="1" applyAlignment="1">
      <alignment horizontal="center" vertical="center" wrapText="1"/>
    </xf>
    <xf numFmtId="4" fontId="24" fillId="19" borderId="11" xfId="0" applyNumberFormat="1" applyFont="1" applyFill="1" applyBorder="1" applyAlignment="1">
      <alignment horizontal="center" vertical="center" wrapText="1"/>
    </xf>
    <xf numFmtId="3" fontId="24" fillId="17" borderId="11" xfId="0" applyNumberFormat="1" applyFont="1" applyFill="1" applyBorder="1" applyAlignment="1">
      <alignment horizontal="center" vertical="center" wrapText="1"/>
    </xf>
    <xf numFmtId="4" fontId="24" fillId="17" borderId="11" xfId="0" applyNumberFormat="1" applyFont="1" applyFill="1" applyBorder="1" applyAlignment="1">
      <alignment horizontal="center" vertical="center" wrapText="1"/>
    </xf>
    <xf numFmtId="4" fontId="24" fillId="0" borderId="11" xfId="0" applyNumberFormat="1" applyFont="1" applyFill="1" applyBorder="1" applyAlignment="1">
      <alignment horizontal="center" vertical="center" wrapText="1"/>
    </xf>
    <xf numFmtId="4" fontId="24" fillId="18" borderId="11" xfId="0" applyNumberFormat="1" applyFont="1" applyFill="1" applyBorder="1" applyAlignment="1">
      <alignment horizontal="center" vertical="center" wrapText="1"/>
    </xf>
    <xf numFmtId="0" fontId="24" fillId="0" borderId="0" xfId="0" applyFont="1" applyBorder="1" applyAlignment="1"/>
    <xf numFmtId="0" fontId="24" fillId="0" borderId="0" xfId="0" applyFont="1" applyFill="1" applyBorder="1" applyAlignment="1"/>
    <xf numFmtId="0" fontId="23" fillId="0" borderId="0" xfId="0" applyFont="1" applyFill="1" applyBorder="1" applyAlignment="1">
      <alignment horizontal="center" vertical="center" wrapText="1"/>
    </xf>
    <xf numFmtId="4" fontId="24" fillId="8" borderId="0" xfId="0" applyNumberFormat="1" applyFont="1" applyFill="1" applyBorder="1" applyAlignment="1">
      <alignment horizontal="center" vertical="center"/>
    </xf>
    <xf numFmtId="4" fontId="24" fillId="0" borderId="0" xfId="0" applyNumberFormat="1" applyFont="1" applyFill="1" applyBorder="1"/>
    <xf numFmtId="0" fontId="23" fillId="16" borderId="11" xfId="0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7" fontId="24" fillId="0" borderId="0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" fontId="23" fillId="0" borderId="0" xfId="0" applyNumberFormat="1" applyFont="1" applyAlignment="1">
      <alignment horizontal="center" vertical="center"/>
    </xf>
    <xf numFmtId="4" fontId="23" fillId="0" borderId="0" xfId="0" applyNumberFormat="1" applyFont="1" applyBorder="1" applyAlignment="1">
      <alignment horizontal="center" vertical="center"/>
    </xf>
    <xf numFmtId="1" fontId="24" fillId="0" borderId="28" xfId="0" applyNumberFormat="1" applyFont="1" applyFill="1" applyBorder="1" applyAlignment="1">
      <alignment horizontal="center" vertical="center"/>
    </xf>
    <xf numFmtId="1" fontId="24" fillId="2" borderId="28" xfId="0" applyNumberFormat="1" applyFont="1" applyFill="1" applyBorder="1" applyAlignment="1">
      <alignment horizontal="center" vertical="center"/>
    </xf>
    <xf numFmtId="1" fontId="24" fillId="0" borderId="28" xfId="0" applyNumberFormat="1" applyFont="1" applyFill="1" applyBorder="1" applyAlignment="1">
      <alignment horizontal="center" vertical="center" wrapText="1"/>
    </xf>
    <xf numFmtId="4" fontId="24" fillId="3" borderId="11" xfId="0" applyNumberFormat="1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left"/>
    </xf>
    <xf numFmtId="0" fontId="24" fillId="0" borderId="11" xfId="0" applyFont="1" applyBorder="1" applyAlignment="1">
      <alignment vertical="center"/>
    </xf>
    <xf numFmtId="167" fontId="24" fillId="0" borderId="0" xfId="0" applyNumberFormat="1" applyFont="1" applyAlignment="1">
      <alignment horizontal="center" vertical="center"/>
    </xf>
    <xf numFmtId="0" fontId="24" fillId="0" borderId="0" xfId="0" applyFont="1" applyBorder="1" applyAlignment="1">
      <alignment vertical="center"/>
    </xf>
    <xf numFmtId="0" fontId="24" fillId="0" borderId="0" xfId="0" applyFont="1"/>
    <xf numFmtId="0" fontId="24" fillId="0" borderId="0" xfId="0" applyFont="1" applyFill="1" applyBorder="1"/>
    <xf numFmtId="0" fontId="24" fillId="0" borderId="0" xfId="0" applyFont="1" applyFill="1" applyBorder="1" applyAlignment="1">
      <alignment horizontal="left"/>
    </xf>
    <xf numFmtId="9" fontId="24" fillId="0" borderId="11" xfId="1" applyFont="1" applyFill="1" applyBorder="1" applyAlignment="1">
      <alignment horizontal="center" vertical="center" wrapText="1"/>
    </xf>
    <xf numFmtId="9" fontId="24" fillId="0" borderId="25" xfId="1" applyFont="1" applyFill="1" applyBorder="1" applyAlignment="1">
      <alignment horizontal="center" vertical="center" wrapText="1"/>
    </xf>
    <xf numFmtId="4" fontId="24" fillId="0" borderId="20" xfId="0" applyNumberFormat="1" applyFont="1" applyFill="1" applyBorder="1" applyAlignment="1">
      <alignment horizontal="center" vertical="center" wrapText="1"/>
    </xf>
    <xf numFmtId="3" fontId="24" fillId="19" borderId="25" xfId="0" applyNumberFormat="1" applyFont="1" applyFill="1" applyBorder="1" applyAlignment="1">
      <alignment horizontal="center" vertical="center" wrapText="1"/>
    </xf>
    <xf numFmtId="9" fontId="24" fillId="16" borderId="11" xfId="1" applyFont="1" applyFill="1" applyBorder="1" applyAlignment="1">
      <alignment horizontal="center" vertical="center" wrapText="1"/>
    </xf>
    <xf numFmtId="3" fontId="24" fillId="19" borderId="11" xfId="0" applyNumberFormat="1" applyFont="1" applyFill="1" applyBorder="1" applyAlignment="1">
      <alignment horizontal="center" vertical="center" wrapText="1"/>
    </xf>
    <xf numFmtId="4" fontId="24" fillId="0" borderId="0" xfId="0" applyNumberFormat="1" applyFont="1" applyBorder="1" applyAlignment="1">
      <alignment horizontal="center" vertical="center" wrapText="1"/>
    </xf>
    <xf numFmtId="3" fontId="24" fillId="0" borderId="0" xfId="0" applyNumberFormat="1" applyFont="1" applyFill="1" applyBorder="1" applyAlignment="1">
      <alignment horizontal="center" vertical="center" wrapText="1"/>
    </xf>
    <xf numFmtId="0" fontId="24" fillId="16" borderId="11" xfId="0" applyFont="1" applyFill="1" applyBorder="1" applyAlignment="1">
      <alignment horizontal="left" vertical="center" wrapText="1"/>
    </xf>
    <xf numFmtId="0" fontId="24" fillId="7" borderId="11" xfId="0" applyFont="1" applyFill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/>
    </xf>
    <xf numFmtId="0" fontId="24" fillId="0" borderId="13" xfId="0" applyFont="1" applyBorder="1" applyAlignment="1">
      <alignment horizontal="left" vertical="center"/>
    </xf>
    <xf numFmtId="4" fontId="24" fillId="7" borderId="11" xfId="0" applyNumberFormat="1" applyFont="1" applyFill="1" applyBorder="1" applyAlignment="1">
      <alignment horizontal="center" vertical="center" wrapText="1"/>
    </xf>
    <xf numFmtId="168" fontId="24" fillId="16" borderId="11" xfId="0" applyNumberFormat="1" applyFont="1" applyFill="1" applyBorder="1" applyAlignment="1">
      <alignment horizontal="center" vertical="center" wrapText="1"/>
    </xf>
    <xf numFmtId="4" fontId="23" fillId="0" borderId="0" xfId="0" applyNumberFormat="1" applyFont="1" applyFill="1"/>
    <xf numFmtId="0" fontId="24" fillId="3" borderId="25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left" vertical="center" wrapText="1"/>
    </xf>
    <xf numFmtId="4" fontId="24" fillId="0" borderId="0" xfId="0" applyNumberFormat="1" applyFont="1" applyFill="1" applyBorder="1" applyAlignment="1">
      <alignment horizontal="left" vertical="center" wrapText="1"/>
    </xf>
    <xf numFmtId="0" fontId="24" fillId="8" borderId="0" xfId="0" applyFont="1" applyFill="1" applyBorder="1" applyAlignment="1">
      <alignment horizontal="left" vertical="center" wrapText="1"/>
    </xf>
    <xf numFmtId="1" fontId="24" fillId="16" borderId="11" xfId="1" applyNumberFormat="1" applyFont="1" applyFill="1" applyBorder="1" applyAlignment="1">
      <alignment horizontal="center" vertical="center" wrapText="1"/>
    </xf>
    <xf numFmtId="10" fontId="24" fillId="16" borderId="11" xfId="1" applyNumberFormat="1" applyFont="1" applyFill="1" applyBorder="1" applyAlignment="1">
      <alignment horizontal="center" vertical="center" wrapText="1"/>
    </xf>
    <xf numFmtId="4" fontId="24" fillId="3" borderId="25" xfId="0" applyNumberFormat="1" applyFont="1" applyFill="1" applyBorder="1" applyAlignment="1">
      <alignment horizontal="center" vertical="center" wrapText="1"/>
    </xf>
    <xf numFmtId="10" fontId="24" fillId="0" borderId="0" xfId="1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0" xfId="0" applyFont="1" applyBorder="1" applyAlignment="1">
      <alignment horizontal="left" vertical="center"/>
    </xf>
    <xf numFmtId="9" fontId="24" fillId="0" borderId="0" xfId="1" applyFont="1" applyBorder="1" applyAlignment="1">
      <alignment horizontal="left" vertical="center"/>
    </xf>
    <xf numFmtId="9" fontId="24" fillId="0" borderId="0" xfId="1" applyFont="1" applyBorder="1" applyAlignment="1">
      <alignment vertical="center"/>
    </xf>
    <xf numFmtId="0" fontId="24" fillId="0" borderId="0" xfId="0" applyFont="1" applyBorder="1" applyAlignment="1">
      <alignment horizontal="left"/>
    </xf>
    <xf numFmtId="9" fontId="23" fillId="0" borderId="0" xfId="1" applyFont="1" applyFill="1" applyBorder="1"/>
    <xf numFmtId="0" fontId="23" fillId="3" borderId="0" xfId="0" applyFont="1" applyFill="1"/>
    <xf numFmtId="0" fontId="24" fillId="3" borderId="0" xfId="0" applyFont="1" applyFill="1" applyAlignment="1">
      <alignment horizontal="center" vertical="center"/>
    </xf>
    <xf numFmtId="0" fontId="23" fillId="3" borderId="0" xfId="0" applyFont="1" applyFill="1" applyAlignment="1"/>
    <xf numFmtId="0" fontId="23" fillId="0" borderId="0" xfId="0" applyFont="1" applyFill="1" applyAlignment="1"/>
    <xf numFmtId="0" fontId="24" fillId="0" borderId="0" xfId="0" applyFont="1" applyAlignment="1">
      <alignment wrapText="1"/>
    </xf>
    <xf numFmtId="4" fontId="23" fillId="3" borderId="0" xfId="0" applyNumberFormat="1" applyFont="1" applyFill="1"/>
    <xf numFmtId="0" fontId="23" fillId="3" borderId="0" xfId="0" applyFont="1" applyFill="1" applyAlignment="1">
      <alignment horizontal="center"/>
    </xf>
    <xf numFmtId="0" fontId="23" fillId="0" borderId="0" xfId="0" applyFont="1" applyAlignment="1">
      <alignment wrapText="1"/>
    </xf>
    <xf numFmtId="14" fontId="24" fillId="16" borderId="0" xfId="0" applyNumberFormat="1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8" fillId="16" borderId="0" xfId="0" applyFont="1" applyFill="1"/>
    <xf numFmtId="0" fontId="31" fillId="0" borderId="0" xfId="0" applyFont="1" applyFill="1" applyAlignment="1">
      <alignment horizontal="center"/>
    </xf>
    <xf numFmtId="4" fontId="28" fillId="16" borderId="0" xfId="0" applyNumberFormat="1" applyFont="1" applyFill="1"/>
    <xf numFmtId="4" fontId="28" fillId="0" borderId="0" xfId="0" applyNumberFormat="1" applyFont="1" applyFill="1"/>
    <xf numFmtId="0" fontId="28" fillId="16" borderId="0" xfId="0" quotePrefix="1" applyFont="1" applyFill="1"/>
    <xf numFmtId="0" fontId="25" fillId="16" borderId="0" xfId="0" applyFont="1" applyFill="1" applyAlignment="1">
      <alignment horizontal="left" indent="1"/>
    </xf>
    <xf numFmtId="10" fontId="28" fillId="16" borderId="0" xfId="0" applyNumberFormat="1" applyFont="1" applyFill="1"/>
    <xf numFmtId="0" fontId="28" fillId="16" borderId="0" xfId="0" applyFont="1" applyFill="1" applyAlignment="1">
      <alignment horizontal="left" indent="2"/>
    </xf>
    <xf numFmtId="10" fontId="28" fillId="16" borderId="0" xfId="1" applyNumberFormat="1" applyFont="1" applyFill="1"/>
    <xf numFmtId="0" fontId="28" fillId="16" borderId="0" xfId="0" quotePrefix="1" applyFont="1" applyFill="1" applyAlignment="1">
      <alignment horizontal="left"/>
    </xf>
    <xf numFmtId="0" fontId="28" fillId="16" borderId="19" xfId="0" quotePrefix="1" applyFont="1" applyFill="1" applyBorder="1" applyAlignment="1">
      <alignment horizontal="left"/>
    </xf>
    <xf numFmtId="0" fontId="28" fillId="16" borderId="19" xfId="0" applyFont="1" applyFill="1" applyBorder="1"/>
    <xf numFmtId="9" fontId="28" fillId="16" borderId="19" xfId="0" applyNumberFormat="1" applyFont="1" applyFill="1" applyBorder="1"/>
    <xf numFmtId="4" fontId="28" fillId="16" borderId="19" xfId="0" applyNumberFormat="1" applyFont="1" applyFill="1" applyBorder="1"/>
    <xf numFmtId="4" fontId="28" fillId="0" borderId="19" xfId="0" applyNumberFormat="1" applyFont="1" applyFill="1" applyBorder="1"/>
    <xf numFmtId="0" fontId="25" fillId="16" borderId="0" xfId="0" quotePrefix="1" applyFont="1" applyFill="1" applyAlignment="1">
      <alignment horizontal="left"/>
    </xf>
    <xf numFmtId="0" fontId="25" fillId="16" borderId="0" xfId="0" applyFont="1" applyFill="1"/>
    <xf numFmtId="4" fontId="25" fillId="16" borderId="0" xfId="0" applyNumberFormat="1" applyFont="1" applyFill="1"/>
    <xf numFmtId="4" fontId="25" fillId="0" borderId="0" xfId="0" applyNumberFormat="1" applyFont="1" applyFill="1"/>
    <xf numFmtId="0" fontId="28" fillId="16" borderId="0" xfId="0" applyFont="1" applyFill="1" applyAlignment="1">
      <alignment horizontal="left" indent="1"/>
    </xf>
    <xf numFmtId="9" fontId="28" fillId="16" borderId="0" xfId="1" applyFont="1" applyFill="1"/>
    <xf numFmtId="0" fontId="28" fillId="16" borderId="19" xfId="0" applyFont="1" applyFill="1" applyBorder="1" applyAlignment="1">
      <alignment horizontal="left" indent="1"/>
    </xf>
    <xf numFmtId="9" fontId="28" fillId="16" borderId="19" xfId="1" applyFont="1" applyFill="1" applyBorder="1"/>
    <xf numFmtId="10" fontId="28" fillId="16" borderId="19" xfId="1" applyNumberFormat="1" applyFont="1" applyFill="1" applyBorder="1"/>
    <xf numFmtId="0" fontId="30" fillId="16" borderId="0" xfId="0" applyFont="1" applyFill="1" applyAlignment="1"/>
    <xf numFmtId="0" fontId="30" fillId="0" borderId="0" xfId="0" applyFont="1" applyFill="1" applyAlignment="1">
      <alignment horizontal="center"/>
    </xf>
    <xf numFmtId="0" fontId="30" fillId="16" borderId="0" xfId="0" applyFont="1" applyFill="1" applyAlignment="1">
      <alignment horizontal="center"/>
    </xf>
    <xf numFmtId="2" fontId="25" fillId="16" borderId="0" xfId="0" applyNumberFormat="1" applyFont="1" applyFill="1"/>
    <xf numFmtId="164" fontId="24" fillId="16" borderId="11" xfId="0" applyNumberFormat="1" applyFont="1" applyFill="1" applyBorder="1" applyAlignment="1">
      <alignment horizontal="center" vertical="center" wrapText="1"/>
    </xf>
    <xf numFmtId="164" fontId="24" fillId="16" borderId="11" xfId="0" applyNumberFormat="1" applyFont="1" applyFill="1" applyBorder="1" applyAlignment="1">
      <alignment horizontal="center" vertical="center"/>
    </xf>
    <xf numFmtId="0" fontId="24" fillId="0" borderId="11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/>
    </xf>
    <xf numFmtId="0" fontId="24" fillId="0" borderId="11" xfId="0" applyFont="1" applyFill="1" applyBorder="1" applyAlignment="1">
      <alignment horizontal="center" vertical="center"/>
    </xf>
    <xf numFmtId="0" fontId="29" fillId="0" borderId="0" xfId="0" applyFont="1" applyFill="1" applyAlignment="1">
      <alignment horizontal="center" vertical="center"/>
    </xf>
    <xf numFmtId="164" fontId="29" fillId="0" borderId="0" xfId="4" applyFont="1" applyFill="1" applyAlignment="1">
      <alignment horizontal="center" vertical="center"/>
    </xf>
    <xf numFmtId="164" fontId="24" fillId="0" borderId="11" xfId="0" applyNumberFormat="1" applyFont="1" applyFill="1" applyBorder="1" applyAlignment="1">
      <alignment horizontal="center" vertical="center"/>
    </xf>
    <xf numFmtId="164" fontId="24" fillId="16" borderId="11" xfId="0" applyNumberFormat="1" applyFont="1" applyFill="1" applyBorder="1" applyAlignment="1" applyProtection="1">
      <alignment horizontal="center" vertical="center"/>
    </xf>
    <xf numFmtId="164" fontId="24" fillId="2" borderId="28" xfId="0" applyNumberFormat="1" applyFont="1" applyFill="1" applyBorder="1" applyAlignment="1">
      <alignment horizontal="center" vertical="center"/>
    </xf>
    <xf numFmtId="164" fontId="24" fillId="16" borderId="28" xfId="0" applyNumberFormat="1" applyFont="1" applyFill="1" applyBorder="1" applyAlignment="1">
      <alignment horizontal="center" vertical="center"/>
    </xf>
    <xf numFmtId="164" fontId="24" fillId="0" borderId="11" xfId="0" applyNumberFormat="1" applyFont="1" applyFill="1" applyBorder="1" applyAlignment="1">
      <alignment horizontal="center" vertical="center" wrapText="1"/>
    </xf>
    <xf numFmtId="0" fontId="24" fillId="16" borderId="11" xfId="0" applyFont="1" applyFill="1" applyBorder="1" applyAlignment="1">
      <alignment vertical="center" wrapText="1"/>
    </xf>
    <xf numFmtId="164" fontId="24" fillId="16" borderId="11" xfId="0" applyNumberFormat="1" applyFont="1" applyFill="1" applyBorder="1" applyAlignment="1">
      <alignment horizontal="center" vertical="center"/>
    </xf>
    <xf numFmtId="4" fontId="24" fillId="16" borderId="11" xfId="0" applyNumberFormat="1" applyFont="1" applyFill="1" applyBorder="1" applyAlignment="1">
      <alignment horizontal="center" vertical="center"/>
    </xf>
    <xf numFmtId="4" fontId="23" fillId="0" borderId="0" xfId="0" applyNumberFormat="1" applyFont="1" applyBorder="1" applyAlignment="1">
      <alignment horizontal="center"/>
    </xf>
    <xf numFmtId="4" fontId="24" fillId="0" borderId="0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23" fillId="0" borderId="0" xfId="0" applyFont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19" borderId="20" xfId="0" applyFont="1" applyFill="1" applyBorder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Fill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0" fontId="24" fillId="0" borderId="0" xfId="0" applyNumberFormat="1" applyFont="1" applyFill="1" applyBorder="1" applyAlignment="1">
      <alignment horizontal="right" vertical="center"/>
    </xf>
    <xf numFmtId="0" fontId="29" fillId="0" borderId="0" xfId="0" applyFont="1" applyAlignment="1">
      <alignment horizontal="right" vertical="center"/>
    </xf>
    <xf numFmtId="0" fontId="24" fillId="0" borderId="0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right" vertical="center"/>
    </xf>
    <xf numFmtId="0" fontId="24" fillId="0" borderId="0" xfId="0" applyFont="1" applyFill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0" fontId="6" fillId="0" borderId="0" xfId="0" applyFont="1"/>
    <xf numFmtId="0" fontId="6" fillId="0" borderId="0" xfId="0" applyFont="1" applyAlignment="1">
      <alignment horizontal="right"/>
    </xf>
    <xf numFmtId="0" fontId="37" fillId="0" borderId="0" xfId="0" applyFont="1"/>
    <xf numFmtId="2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 vertical="center"/>
    </xf>
    <xf numFmtId="10" fontId="28" fillId="0" borderId="0" xfId="1" applyNumberFormat="1" applyFont="1" applyFill="1"/>
    <xf numFmtId="4" fontId="24" fillId="0" borderId="0" xfId="0" applyNumberFormat="1" applyFont="1" applyFill="1" applyBorder="1" applyAlignment="1">
      <alignment horizontal="center" vertical="center"/>
    </xf>
    <xf numFmtId="0" fontId="24" fillId="0" borderId="0" xfId="0" applyFont="1" applyBorder="1" applyAlignment="1">
      <alignment horizontal="center"/>
    </xf>
    <xf numFmtId="4" fontId="24" fillId="0" borderId="0" xfId="1" applyNumberFormat="1" applyFont="1" applyBorder="1" applyAlignment="1">
      <alignment vertical="center"/>
    </xf>
    <xf numFmtId="4" fontId="24" fillId="0" borderId="0" xfId="1" applyNumberFormat="1" applyFont="1" applyFill="1" applyBorder="1" applyAlignment="1">
      <alignment horizontal="center" vertical="center"/>
    </xf>
    <xf numFmtId="4" fontId="24" fillId="0" borderId="11" xfId="0" applyNumberFormat="1" applyFont="1" applyFill="1" applyBorder="1" applyAlignment="1">
      <alignment horizontal="center" vertical="center"/>
    </xf>
    <xf numFmtId="164" fontId="24" fillId="16" borderId="11" xfId="0" applyNumberFormat="1" applyFont="1" applyFill="1" applyBorder="1" applyAlignment="1">
      <alignment horizontal="center" vertical="center"/>
    </xf>
    <xf numFmtId="164" fontId="24" fillId="16" borderId="11" xfId="0" applyNumberFormat="1" applyFont="1" applyFill="1" applyBorder="1" applyAlignment="1">
      <alignment horizontal="center" vertical="center" wrapText="1"/>
    </xf>
    <xf numFmtId="0" fontId="24" fillId="0" borderId="11" xfId="0" applyFont="1" applyFill="1" applyBorder="1" applyAlignment="1">
      <alignment horizontal="center" vertical="center"/>
    </xf>
    <xf numFmtId="4" fontId="24" fillId="0" borderId="11" xfId="4" applyNumberFormat="1" applyFont="1" applyFill="1" applyBorder="1" applyAlignment="1">
      <alignment horizontal="center" vertical="center"/>
    </xf>
    <xf numFmtId="3" fontId="23" fillId="18" borderId="11" xfId="0" applyNumberFormat="1" applyFont="1" applyFill="1" applyBorder="1" applyAlignment="1">
      <alignment horizontal="center" vertical="center" wrapText="1"/>
    </xf>
    <xf numFmtId="3" fontId="24" fillId="18" borderId="11" xfId="0" applyNumberFormat="1" applyFont="1" applyFill="1" applyBorder="1" applyAlignment="1">
      <alignment horizontal="center" vertical="center" wrapText="1"/>
    </xf>
    <xf numFmtId="0" fontId="38" fillId="17" borderId="12" xfId="6" applyNumberFormat="1" applyFont="1" applyFill="1" applyBorder="1" applyAlignment="1" applyProtection="1">
      <alignment horizontal="center" vertical="center" wrapText="1"/>
    </xf>
    <xf numFmtId="0" fontId="38" fillId="17" borderId="18" xfId="6" applyNumberFormat="1" applyFont="1" applyFill="1" applyBorder="1" applyAlignment="1" applyProtection="1">
      <alignment horizontal="center" vertical="center"/>
    </xf>
    <xf numFmtId="0" fontId="38" fillId="17" borderId="18" xfId="6" applyNumberFormat="1" applyFont="1" applyFill="1" applyBorder="1" applyAlignment="1" applyProtection="1">
      <alignment horizontal="center" vertical="center" wrapText="1"/>
    </xf>
    <xf numFmtId="0" fontId="38" fillId="2" borderId="18" xfId="6" applyNumberFormat="1" applyFont="1" applyFill="1" applyBorder="1" applyAlignment="1" applyProtection="1">
      <alignment horizontal="center" vertical="top"/>
    </xf>
    <xf numFmtId="169" fontId="20" fillId="2" borderId="14" xfId="7" applyFont="1" applyFill="1" applyBorder="1" applyAlignment="1" applyProtection="1">
      <alignment horizontal="center" vertical="top"/>
    </xf>
    <xf numFmtId="0" fontId="20" fillId="2" borderId="23" xfId="6" applyFont="1" applyFill="1" applyBorder="1" applyAlignment="1" applyProtection="1">
      <alignment horizontal="center" vertical="top"/>
    </xf>
    <xf numFmtId="169" fontId="20" fillId="2" borderId="7" xfId="7" applyFont="1" applyFill="1" applyBorder="1" applyAlignment="1" applyProtection="1">
      <alignment horizontal="center" vertical="top"/>
    </xf>
    <xf numFmtId="0" fontId="20" fillId="2" borderId="36" xfId="6" applyFont="1" applyFill="1" applyBorder="1" applyAlignment="1" applyProtection="1">
      <alignment horizontal="center" vertical="top"/>
    </xf>
    <xf numFmtId="0" fontId="20" fillId="20" borderId="35" xfId="6" applyNumberFormat="1" applyFont="1" applyFill="1" applyBorder="1" applyAlignment="1" applyProtection="1">
      <alignment horizontal="center" vertical="top"/>
    </xf>
    <xf numFmtId="0" fontId="20" fillId="20" borderId="28" xfId="6" applyNumberFormat="1" applyFont="1" applyFill="1" applyBorder="1" applyAlignment="1" applyProtection="1">
      <alignment horizontal="center" vertical="top"/>
    </xf>
    <xf numFmtId="169" fontId="20" fillId="20" borderId="28" xfId="7" applyNumberFormat="1" applyFont="1" applyFill="1" applyBorder="1" applyAlignment="1" applyProtection="1">
      <alignment horizontal="center" vertical="top"/>
    </xf>
    <xf numFmtId="0" fontId="0" fillId="0" borderId="28" xfId="0" applyBorder="1"/>
    <xf numFmtId="164" fontId="34" fillId="17" borderId="11" xfId="0" applyNumberFormat="1" applyFont="1" applyFill="1" applyBorder="1" applyAlignment="1">
      <alignment horizontal="center" vertical="center"/>
    </xf>
    <xf numFmtId="169" fontId="20" fillId="20" borderId="11" xfId="7" applyNumberFormat="1" applyFont="1" applyFill="1" applyBorder="1" applyAlignment="1" applyProtection="1">
      <alignment horizontal="center" vertical="top"/>
    </xf>
    <xf numFmtId="0" fontId="20" fillId="2" borderId="22" xfId="6" applyFont="1" applyFill="1" applyBorder="1" applyAlignment="1" applyProtection="1">
      <alignment horizontal="center" vertical="top"/>
    </xf>
    <xf numFmtId="0" fontId="20" fillId="20" borderId="34" xfId="6" applyNumberFormat="1" applyFont="1" applyFill="1" applyBorder="1" applyAlignment="1" applyProtection="1">
      <alignment horizontal="center" vertical="top"/>
    </xf>
    <xf numFmtId="169" fontId="20" fillId="20" borderId="29" xfId="7" applyNumberFormat="1" applyFont="1" applyFill="1" applyBorder="1" applyAlignment="1" applyProtection="1">
      <alignment horizontal="center" vertical="top"/>
    </xf>
    <xf numFmtId="0" fontId="0" fillId="0" borderId="29" xfId="0" applyBorder="1"/>
    <xf numFmtId="0" fontId="20" fillId="2" borderId="18" xfId="6" applyFont="1" applyFill="1" applyBorder="1" applyAlignment="1" applyProtection="1">
      <alignment horizontal="center" vertical="top"/>
    </xf>
    <xf numFmtId="0" fontId="20" fillId="2" borderId="37" xfId="6" applyFont="1" applyFill="1" applyBorder="1" applyAlignment="1" applyProtection="1">
      <alignment horizontal="center" vertical="top"/>
    </xf>
    <xf numFmtId="0" fontId="20" fillId="2" borderId="38" xfId="6" applyFont="1" applyFill="1" applyBorder="1" applyAlignment="1" applyProtection="1">
      <alignment horizontal="center" vertical="top"/>
    </xf>
    <xf numFmtId="169" fontId="20" fillId="2" borderId="18" xfId="7" applyFont="1" applyFill="1" applyBorder="1" applyAlignment="1" applyProtection="1">
      <alignment horizontal="center" vertical="top"/>
    </xf>
    <xf numFmtId="164" fontId="34" fillId="17" borderId="28" xfId="0" applyNumberFormat="1" applyFont="1" applyFill="1" applyBorder="1" applyAlignment="1">
      <alignment horizontal="center" vertical="center"/>
    </xf>
    <xf numFmtId="0" fontId="38" fillId="2" borderId="36" xfId="6" applyNumberFormat="1" applyFont="1" applyFill="1" applyBorder="1" applyAlignment="1" applyProtection="1">
      <alignment horizontal="center" vertical="top"/>
    </xf>
    <xf numFmtId="0" fontId="38" fillId="2" borderId="37" xfId="6" applyNumberFormat="1" applyFont="1" applyFill="1" applyBorder="1" applyAlignment="1" applyProtection="1">
      <alignment horizontal="center" vertical="top"/>
    </xf>
    <xf numFmtId="0" fontId="38" fillId="2" borderId="38" xfId="6" applyNumberFormat="1" applyFont="1" applyFill="1" applyBorder="1" applyAlignment="1" applyProtection="1">
      <alignment horizontal="center" vertical="top"/>
    </xf>
    <xf numFmtId="0" fontId="39" fillId="20" borderId="35" xfId="8" applyFont="1" applyFill="1" applyBorder="1" applyAlignment="1">
      <alignment horizontal="center"/>
    </xf>
    <xf numFmtId="0" fontId="39" fillId="20" borderId="28" xfId="8" applyFont="1" applyFill="1" applyBorder="1" applyAlignment="1">
      <alignment horizontal="center"/>
    </xf>
    <xf numFmtId="0" fontId="39" fillId="20" borderId="28" xfId="8" applyFont="1" applyFill="1" applyBorder="1"/>
    <xf numFmtId="0" fontId="39" fillId="20" borderId="26" xfId="8" applyFont="1" applyFill="1" applyBorder="1"/>
    <xf numFmtId="0" fontId="20" fillId="20" borderId="32" xfId="6" applyNumberFormat="1" applyFont="1" applyFill="1" applyBorder="1" applyAlignment="1" applyProtection="1">
      <alignment horizontal="center" vertical="top"/>
    </xf>
    <xf numFmtId="0" fontId="20" fillId="20" borderId="27" xfId="6" applyNumberFormat="1" applyFont="1" applyFill="1" applyBorder="1" applyAlignment="1" applyProtection="1">
      <alignment horizontal="center" vertical="top"/>
    </xf>
    <xf numFmtId="0" fontId="20" fillId="2" borderId="39" xfId="6" applyFont="1" applyFill="1" applyBorder="1" applyAlignment="1" applyProtection="1">
      <alignment horizontal="center" vertical="top"/>
    </xf>
    <xf numFmtId="0" fontId="20" fillId="20" borderId="40" xfId="6" applyNumberFormat="1" applyFont="1" applyFill="1" applyBorder="1" applyAlignment="1" applyProtection="1">
      <alignment horizontal="center" vertical="top"/>
    </xf>
    <xf numFmtId="0" fontId="20" fillId="20" borderId="41" xfId="6" applyNumberFormat="1" applyFont="1" applyFill="1" applyBorder="1" applyAlignment="1" applyProtection="1">
      <alignment horizontal="center" vertical="top"/>
    </xf>
    <xf numFmtId="169" fontId="38" fillId="2" borderId="18" xfId="7" applyFont="1" applyFill="1" applyBorder="1" applyAlignment="1" applyProtection="1">
      <alignment horizontal="center" vertical="top"/>
    </xf>
    <xf numFmtId="0" fontId="0" fillId="0" borderId="0" xfId="0" applyFont="1"/>
    <xf numFmtId="0" fontId="23" fillId="0" borderId="0" xfId="0" applyFont="1"/>
    <xf numFmtId="4" fontId="24" fillId="0" borderId="0" xfId="0" applyNumberFormat="1" applyFont="1"/>
    <xf numFmtId="0" fontId="41" fillId="16" borderId="42" xfId="0" applyFont="1" applyFill="1" applyBorder="1" applyAlignment="1">
      <alignment horizontal="center"/>
    </xf>
    <xf numFmtId="0" fontId="41" fillId="16" borderId="43" xfId="0" applyFont="1" applyFill="1" applyBorder="1" applyAlignment="1">
      <alignment horizontal="center"/>
    </xf>
    <xf numFmtId="4" fontId="41" fillId="16" borderId="43" xfId="0" applyNumberFormat="1" applyFont="1" applyFill="1" applyBorder="1" applyAlignment="1">
      <alignment horizontal="center"/>
    </xf>
    <xf numFmtId="0" fontId="41" fillId="16" borderId="44" xfId="0" applyFont="1" applyFill="1" applyBorder="1" applyAlignment="1">
      <alignment horizontal="center"/>
    </xf>
    <xf numFmtId="0" fontId="28" fillId="2" borderId="45" xfId="0" applyFont="1" applyFill="1" applyBorder="1" applyAlignment="1">
      <alignment horizontal="left" vertical="center" wrapText="1"/>
    </xf>
    <xf numFmtId="4" fontId="28" fillId="2" borderId="45" xfId="7" applyNumberFormat="1" applyFont="1" applyFill="1" applyBorder="1" applyAlignment="1">
      <alignment horizontal="center" vertical="center"/>
    </xf>
    <xf numFmtId="4" fontId="28" fillId="0" borderId="45" xfId="7" applyNumberFormat="1" applyFont="1" applyFill="1" applyBorder="1" applyAlignment="1">
      <alignment horizontal="center" vertical="center"/>
    </xf>
    <xf numFmtId="0" fontId="41" fillId="16" borderId="46" xfId="0" applyFont="1" applyFill="1" applyBorder="1" applyAlignment="1">
      <alignment horizontal="center"/>
    </xf>
    <xf numFmtId="1" fontId="42" fillId="2" borderId="47" xfId="7" applyNumberFormat="1" applyFont="1" applyFill="1" applyBorder="1" applyAlignment="1" applyProtection="1">
      <alignment horizontal="center" vertical="top"/>
    </xf>
    <xf numFmtId="4" fontId="42" fillId="2" borderId="47" xfId="7" applyNumberFormat="1" applyFont="1" applyFill="1" applyBorder="1" applyAlignment="1" applyProtection="1">
      <alignment horizontal="center" vertical="top"/>
    </xf>
    <xf numFmtId="170" fontId="42" fillId="2" borderId="48" xfId="7" applyNumberFormat="1" applyFont="1" applyFill="1" applyBorder="1" applyAlignment="1" applyProtection="1">
      <alignment horizontal="center" vertical="top"/>
    </xf>
    <xf numFmtId="0" fontId="41" fillId="21" borderId="49" xfId="0" applyFont="1" applyFill="1" applyBorder="1" applyAlignment="1">
      <alignment horizontal="center"/>
    </xf>
    <xf numFmtId="0" fontId="41" fillId="21" borderId="42" xfId="0" applyFont="1" applyFill="1" applyBorder="1" applyAlignment="1">
      <alignment horizontal="center"/>
    </xf>
    <xf numFmtId="0" fontId="41" fillId="21" borderId="43" xfId="0" applyFont="1" applyFill="1" applyBorder="1" applyAlignment="1">
      <alignment horizontal="center"/>
    </xf>
    <xf numFmtId="4" fontId="41" fillId="21" borderId="44" xfId="0" applyNumberFormat="1" applyFont="1" applyFill="1" applyBorder="1" applyAlignment="1">
      <alignment horizontal="center"/>
    </xf>
    <xf numFmtId="0" fontId="23" fillId="2" borderId="50" xfId="0" applyFont="1" applyFill="1" applyBorder="1" applyAlignment="1">
      <alignment horizontal="left" wrapText="1"/>
    </xf>
    <xf numFmtId="0" fontId="23" fillId="2" borderId="51" xfId="0" applyFont="1" applyFill="1" applyBorder="1" applyAlignment="1">
      <alignment horizontal="center"/>
    </xf>
    <xf numFmtId="4" fontId="23" fillId="2" borderId="52" xfId="7" applyNumberFormat="1" applyFont="1" applyFill="1" applyBorder="1" applyAlignment="1">
      <alignment horizontal="center"/>
    </xf>
    <xf numFmtId="1" fontId="23" fillId="2" borderId="51" xfId="0" applyNumberFormat="1" applyFont="1" applyFill="1" applyBorder="1" applyAlignment="1">
      <alignment horizontal="center"/>
    </xf>
    <xf numFmtId="0" fontId="41" fillId="22" borderId="53" xfId="0" applyFont="1" applyFill="1" applyBorder="1" applyAlignment="1">
      <alignment horizontal="center"/>
    </xf>
    <xf numFmtId="4" fontId="41" fillId="22" borderId="54" xfId="7" applyNumberFormat="1" applyFont="1" applyFill="1" applyBorder="1" applyAlignment="1" applyProtection="1">
      <alignment horizontal="center" vertical="top"/>
    </xf>
    <xf numFmtId="0" fontId="41" fillId="22" borderId="55" xfId="0" applyFont="1" applyFill="1" applyBorder="1" applyAlignment="1">
      <alignment horizontal="center"/>
    </xf>
    <xf numFmtId="4" fontId="41" fillId="22" borderId="56" xfId="7" applyNumberFormat="1" applyFont="1" applyFill="1" applyBorder="1" applyAlignment="1" applyProtection="1">
      <alignment horizontal="center" vertical="top"/>
    </xf>
    <xf numFmtId="0" fontId="43" fillId="22" borderId="55" xfId="0" applyFont="1" applyFill="1" applyBorder="1" applyAlignment="1">
      <alignment horizontal="center"/>
    </xf>
    <xf numFmtId="170" fontId="23" fillId="0" borderId="0" xfId="0" applyNumberFormat="1" applyFont="1"/>
    <xf numFmtId="2" fontId="28" fillId="2" borderId="45" xfId="0" applyNumberFormat="1" applyFont="1" applyFill="1" applyBorder="1" applyAlignment="1">
      <alignment horizontal="center" vertical="center"/>
    </xf>
    <xf numFmtId="4" fontId="23" fillId="2" borderId="51" xfId="0" applyNumberFormat="1" applyFont="1" applyFill="1" applyBorder="1" applyAlignment="1">
      <alignment horizontal="center"/>
    </xf>
    <xf numFmtId="4" fontId="44" fillId="0" borderId="45" xfId="0" applyNumberFormat="1" applyFont="1" applyFill="1" applyBorder="1" applyAlignment="1">
      <alignment horizontal="center" vertical="center"/>
    </xf>
    <xf numFmtId="4" fontId="44" fillId="0" borderId="45" xfId="0" applyNumberFormat="1" applyFont="1" applyFill="1" applyBorder="1" applyAlignment="1">
      <alignment vertical="center"/>
    </xf>
    <xf numFmtId="4" fontId="45" fillId="0" borderId="45" xfId="0" applyNumberFormat="1" applyFont="1" applyFill="1" applyBorder="1" applyAlignment="1">
      <alignment horizontal="center" vertical="center"/>
    </xf>
    <xf numFmtId="4" fontId="45" fillId="0" borderId="45" xfId="0" applyNumberFormat="1" applyFont="1" applyFill="1" applyBorder="1" applyAlignment="1">
      <alignment vertical="center"/>
    </xf>
    <xf numFmtId="0" fontId="23" fillId="0" borderId="0" xfId="0" applyFont="1"/>
    <xf numFmtId="0" fontId="41" fillId="21" borderId="57" xfId="0" applyFont="1" applyFill="1" applyBorder="1" applyAlignment="1">
      <alignment horizontal="center"/>
    </xf>
    <xf numFmtId="2" fontId="23" fillId="2" borderId="51" xfId="0" applyNumberFormat="1" applyFont="1" applyFill="1" applyBorder="1" applyAlignment="1">
      <alignment horizontal="center"/>
    </xf>
    <xf numFmtId="3" fontId="28" fillId="2" borderId="45" xfId="7" applyNumberFormat="1" applyFont="1" applyFill="1" applyBorder="1" applyAlignment="1">
      <alignment horizontal="center" vertical="center"/>
    </xf>
    <xf numFmtId="4" fontId="24" fillId="0" borderId="0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/>
    </xf>
    <xf numFmtId="0" fontId="23" fillId="0" borderId="0" xfId="0" applyFont="1"/>
    <xf numFmtId="0" fontId="24" fillId="6" borderId="30" xfId="0" applyFont="1" applyFill="1" applyBorder="1" applyAlignment="1" applyProtection="1">
      <alignment horizontal="center" vertical="center" wrapText="1"/>
      <protection hidden="1"/>
    </xf>
    <xf numFmtId="4" fontId="24" fillId="6" borderId="25" xfId="0" applyNumberFormat="1" applyFont="1" applyFill="1" applyBorder="1" applyAlignment="1" applyProtection="1">
      <alignment horizontal="center" vertical="center"/>
      <protection hidden="1"/>
    </xf>
    <xf numFmtId="0" fontId="24" fillId="8" borderId="35" xfId="0" applyFont="1" applyFill="1" applyBorder="1" applyAlignment="1">
      <alignment horizontal="center" vertical="center" wrapText="1"/>
    </xf>
    <xf numFmtId="4" fontId="24" fillId="8" borderId="26" xfId="0" applyNumberFormat="1" applyFont="1" applyFill="1" applyBorder="1" applyAlignment="1">
      <alignment horizontal="center" vertical="center"/>
    </xf>
    <xf numFmtId="164" fontId="24" fillId="0" borderId="0" xfId="0" applyNumberFormat="1" applyFont="1" applyFill="1" applyBorder="1" applyAlignment="1">
      <alignment horizontal="center" vertical="center"/>
    </xf>
    <xf numFmtId="0" fontId="24" fillId="3" borderId="25" xfId="0" applyFont="1" applyFill="1" applyBorder="1" applyAlignment="1">
      <alignment horizontal="center" vertical="center"/>
    </xf>
    <xf numFmtId="2" fontId="24" fillId="3" borderId="25" xfId="0" applyNumberFormat="1" applyFont="1" applyFill="1" applyBorder="1" applyAlignment="1">
      <alignment horizontal="center" vertical="center"/>
    </xf>
    <xf numFmtId="4" fontId="24" fillId="16" borderId="25" xfId="0" applyNumberFormat="1" applyFont="1" applyFill="1" applyBorder="1" applyAlignment="1">
      <alignment horizontal="center" vertical="center"/>
    </xf>
    <xf numFmtId="0" fontId="24" fillId="0" borderId="25" xfId="0" applyFont="1" applyBorder="1" applyAlignment="1">
      <alignment vertical="center"/>
    </xf>
    <xf numFmtId="0" fontId="24" fillId="8" borderId="26" xfId="0" applyFont="1" applyFill="1" applyBorder="1" applyAlignment="1">
      <alignment horizontal="center" vertical="center" wrapText="1"/>
    </xf>
    <xf numFmtId="164" fontId="24" fillId="0" borderId="0" xfId="0" applyNumberFormat="1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vertical="center"/>
    </xf>
    <xf numFmtId="0" fontId="23" fillId="0" borderId="0" xfId="0" applyFont="1"/>
    <xf numFmtId="3" fontId="0" fillId="0" borderId="0" xfId="0" applyNumberFormat="1"/>
    <xf numFmtId="4" fontId="0" fillId="0" borderId="0" xfId="0" applyNumberFormat="1" applyFont="1"/>
    <xf numFmtId="0" fontId="24" fillId="0" borderId="11" xfId="0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vertical="center"/>
    </xf>
    <xf numFmtId="0" fontId="23" fillId="0" borderId="0" xfId="0" applyFont="1"/>
    <xf numFmtId="0" fontId="28" fillId="16" borderId="24" xfId="0" applyFont="1" applyFill="1" applyBorder="1" applyAlignment="1">
      <alignment horizontal="left" indent="2"/>
    </xf>
    <xf numFmtId="0" fontId="28" fillId="16" borderId="24" xfId="0" applyFont="1" applyFill="1" applyBorder="1"/>
    <xf numFmtId="10" fontId="28" fillId="16" borderId="24" xfId="1" applyNumberFormat="1" applyFont="1" applyFill="1" applyBorder="1"/>
    <xf numFmtId="4" fontId="28" fillId="16" borderId="24" xfId="0" applyNumberFormat="1" applyFont="1" applyFill="1" applyBorder="1"/>
    <xf numFmtId="0" fontId="2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left" wrapText="1"/>
    </xf>
    <xf numFmtId="0" fontId="6" fillId="3" borderId="0" xfId="0" applyFont="1" applyFill="1" applyAlignment="1">
      <alignment horizontal="left"/>
    </xf>
    <xf numFmtId="0" fontId="17" fillId="4" borderId="12" xfId="0" applyFont="1" applyFill="1" applyBorder="1" applyAlignment="1">
      <alignment horizontal="center" vertical="center" wrapText="1"/>
    </xf>
    <xf numFmtId="0" fontId="17" fillId="4" borderId="13" xfId="0" applyFont="1" applyFill="1" applyBorder="1" applyAlignment="1">
      <alignment horizontal="center" vertical="center" wrapText="1"/>
    </xf>
    <xf numFmtId="0" fontId="17" fillId="4" borderId="14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/>
    </xf>
    <xf numFmtId="0" fontId="1" fillId="0" borderId="11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2" fillId="0" borderId="11" xfId="0" applyFont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0" fillId="0" borderId="32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34" xfId="0" applyBorder="1" applyAlignment="1">
      <alignment horizontal="center" wrapText="1"/>
    </xf>
    <xf numFmtId="0" fontId="0" fillId="0" borderId="30" xfId="0" applyBorder="1" applyAlignment="1">
      <alignment horizontal="center" wrapText="1"/>
    </xf>
    <xf numFmtId="0" fontId="0" fillId="0" borderId="35" xfId="0" applyBorder="1" applyAlignment="1">
      <alignment horizontal="center" wrapText="1"/>
    </xf>
    <xf numFmtId="0" fontId="0" fillId="0" borderId="29" xfId="0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0" fillId="0" borderId="28" xfId="0" applyBorder="1" applyAlignment="1">
      <alignment horizontal="center" wrapText="1"/>
    </xf>
    <xf numFmtId="0" fontId="36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36" fillId="0" borderId="0" xfId="0" applyFont="1" applyAlignment="1">
      <alignment horizontal="center" wrapText="1"/>
    </xf>
    <xf numFmtId="0" fontId="24" fillId="18" borderId="29" xfId="0" applyFont="1" applyFill="1" applyBorder="1" applyAlignment="1">
      <alignment horizontal="center" vertical="center" wrapText="1"/>
    </xf>
    <xf numFmtId="0" fontId="24" fillId="18" borderId="27" xfId="0" applyFont="1" applyFill="1" applyBorder="1" applyAlignment="1">
      <alignment horizontal="center" vertical="center" wrapText="1"/>
    </xf>
    <xf numFmtId="0" fontId="24" fillId="18" borderId="28" xfId="0" applyFont="1" applyFill="1" applyBorder="1" applyAlignment="1">
      <alignment horizontal="center" vertical="center" wrapText="1"/>
    </xf>
    <xf numFmtId="4" fontId="24" fillId="0" borderId="11" xfId="0" applyNumberFormat="1" applyFont="1" applyBorder="1" applyAlignment="1">
      <alignment horizontal="center" vertical="center" wrapText="1"/>
    </xf>
    <xf numFmtId="0" fontId="24" fillId="16" borderId="25" xfId="0" applyFont="1" applyFill="1" applyBorder="1" applyAlignment="1">
      <alignment horizontal="center" vertical="center"/>
    </xf>
    <xf numFmtId="0" fontId="24" fillId="16" borderId="20" xfId="0" applyFont="1" applyFill="1" applyBorder="1" applyAlignment="1">
      <alignment horizontal="center" vertical="center"/>
    </xf>
    <xf numFmtId="0" fontId="24" fillId="16" borderId="26" xfId="0" applyFont="1" applyFill="1" applyBorder="1" applyAlignment="1">
      <alignment horizontal="center" vertical="center"/>
    </xf>
    <xf numFmtId="0" fontId="24" fillId="16" borderId="11" xfId="0" applyFont="1" applyFill="1" applyBorder="1" applyAlignment="1">
      <alignment horizontal="center" vertical="center" wrapText="1"/>
    </xf>
    <xf numFmtId="0" fontId="24" fillId="17" borderId="11" xfId="0" applyFont="1" applyFill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4" fillId="0" borderId="11" xfId="0" applyFont="1" applyFill="1" applyBorder="1" applyAlignment="1">
      <alignment horizontal="center" vertical="center" wrapText="1"/>
    </xf>
    <xf numFmtId="0" fontId="24" fillId="0" borderId="25" xfId="0" applyFont="1" applyBorder="1" applyAlignment="1">
      <alignment horizontal="center" vertical="center" wrapText="1"/>
    </xf>
    <xf numFmtId="0" fontId="24" fillId="0" borderId="20" xfId="0" applyFont="1" applyBorder="1" applyAlignment="1">
      <alignment horizontal="center" vertical="center" wrapText="1"/>
    </xf>
    <xf numFmtId="0" fontId="24" fillId="0" borderId="26" xfId="0" applyFont="1" applyBorder="1" applyAlignment="1">
      <alignment horizontal="center" vertical="center" wrapText="1"/>
    </xf>
    <xf numFmtId="0" fontId="24" fillId="0" borderId="20" xfId="0" applyFont="1" applyFill="1" applyBorder="1" applyAlignment="1">
      <alignment horizontal="center" vertical="center" wrapText="1"/>
    </xf>
    <xf numFmtId="0" fontId="33" fillId="0" borderId="0" xfId="0" applyFont="1" applyFill="1" applyBorder="1" applyAlignment="1">
      <alignment horizontal="left" vertical="center" wrapText="1"/>
    </xf>
    <xf numFmtId="0" fontId="35" fillId="0" borderId="0" xfId="0" applyFont="1" applyAlignment="1">
      <alignment horizontal="left" vertical="center"/>
    </xf>
    <xf numFmtId="0" fontId="24" fillId="0" borderId="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64" fontId="29" fillId="0" borderId="0" xfId="4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24" fillId="0" borderId="0" xfId="0" applyFont="1" applyFill="1" applyAlignment="1">
      <alignment horizontal="left" vertical="center"/>
    </xf>
    <xf numFmtId="0" fontId="24" fillId="16" borderId="1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16" borderId="0" xfId="0" applyNumberFormat="1" applyFont="1" applyFill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3" fillId="0" borderId="0" xfId="0" applyFont="1" applyBorder="1" applyAlignment="1"/>
    <xf numFmtId="0" fontId="24" fillId="16" borderId="0" xfId="0" applyFont="1" applyFill="1" applyAlignment="1">
      <alignment horizontal="left" vertical="center"/>
    </xf>
    <xf numFmtId="0" fontId="24" fillId="0" borderId="0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4" fontId="24" fillId="8" borderId="0" xfId="0" applyNumberFormat="1" applyFont="1" applyFill="1" applyBorder="1" applyAlignment="1">
      <alignment horizontal="left" vertical="center"/>
    </xf>
    <xf numFmtId="0" fontId="24" fillId="8" borderId="0" xfId="0" applyFont="1" applyFill="1" applyBorder="1" applyAlignment="1">
      <alignment horizontal="left" vertical="center"/>
    </xf>
    <xf numFmtId="0" fontId="24" fillId="16" borderId="0" xfId="0" applyFont="1" applyFill="1" applyBorder="1" applyAlignment="1">
      <alignment horizontal="left" vertical="center" wrapText="1"/>
    </xf>
    <xf numFmtId="0" fontId="35" fillId="0" borderId="0" xfId="0" applyFont="1" applyAlignment="1">
      <alignment horizontal="left"/>
    </xf>
    <xf numFmtId="14" fontId="24" fillId="16" borderId="0" xfId="0" applyNumberFormat="1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 wrapText="1"/>
    </xf>
    <xf numFmtId="0" fontId="24" fillId="0" borderId="26" xfId="0" applyFont="1" applyFill="1" applyBorder="1" applyAlignment="1">
      <alignment horizontal="center" vertical="center" wrapText="1"/>
    </xf>
    <xf numFmtId="0" fontId="24" fillId="16" borderId="0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7" fillId="0" borderId="19" xfId="0" applyFont="1" applyFill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23" fillId="3" borderId="0" xfId="0" applyFont="1" applyFill="1" applyAlignment="1">
      <alignment horizontal="center"/>
    </xf>
    <xf numFmtId="4" fontId="24" fillId="16" borderId="11" xfId="0" applyNumberFormat="1" applyFont="1" applyFill="1" applyBorder="1" applyAlignment="1">
      <alignment horizontal="center" vertical="center"/>
    </xf>
    <xf numFmtId="4" fontId="24" fillId="16" borderId="11" xfId="1" applyNumberFormat="1" applyFont="1" applyFill="1" applyBorder="1" applyAlignment="1">
      <alignment horizontal="center" vertical="center"/>
    </xf>
    <xf numFmtId="4" fontId="24" fillId="0" borderId="0" xfId="0" applyNumberFormat="1" applyFont="1" applyFill="1" applyBorder="1" applyAlignment="1">
      <alignment horizontal="center" vertical="center"/>
    </xf>
    <xf numFmtId="0" fontId="24" fillId="0" borderId="11" xfId="0" applyFont="1" applyBorder="1" applyAlignment="1">
      <alignment horizontal="left"/>
    </xf>
    <xf numFmtId="4" fontId="23" fillId="0" borderId="0" xfId="0" applyNumberFormat="1" applyFont="1" applyFill="1" applyBorder="1" applyAlignment="1">
      <alignment horizontal="center"/>
    </xf>
    <xf numFmtId="0" fontId="24" fillId="0" borderId="25" xfId="0" applyFont="1" applyFill="1" applyBorder="1" applyAlignment="1">
      <alignment horizontal="center" vertical="center"/>
    </xf>
    <xf numFmtId="0" fontId="24" fillId="0" borderId="20" xfId="0" applyFont="1" applyFill="1" applyBorder="1" applyAlignment="1">
      <alignment horizontal="center" vertical="center"/>
    </xf>
    <xf numFmtId="0" fontId="24" fillId="0" borderId="26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left" vertical="center"/>
    </xf>
    <xf numFmtId="0" fontId="24" fillId="0" borderId="11" xfId="0" applyFont="1" applyBorder="1" applyAlignment="1">
      <alignment horizontal="center"/>
    </xf>
    <xf numFmtId="0" fontId="24" fillId="16" borderId="25" xfId="0" applyFont="1" applyFill="1" applyBorder="1" applyAlignment="1">
      <alignment horizontal="center" vertical="center" wrapText="1"/>
    </xf>
    <xf numFmtId="0" fontId="24" fillId="16" borderId="20" xfId="0" applyFont="1" applyFill="1" applyBorder="1" applyAlignment="1">
      <alignment horizontal="center" vertical="center" wrapText="1"/>
    </xf>
    <xf numFmtId="0" fontId="24" fillId="16" borderId="26" xfId="0" applyFont="1" applyFill="1" applyBorder="1" applyAlignment="1">
      <alignment horizontal="center" vertical="center" wrapText="1"/>
    </xf>
    <xf numFmtId="0" fontId="24" fillId="0" borderId="11" xfId="0" applyFont="1" applyFill="1" applyBorder="1" applyAlignment="1">
      <alignment horizontal="center" vertical="center"/>
    </xf>
    <xf numFmtId="4" fontId="24" fillId="0" borderId="11" xfId="0" applyNumberFormat="1" applyFont="1" applyFill="1" applyBorder="1" applyAlignment="1">
      <alignment horizontal="center" vertical="center"/>
    </xf>
    <xf numFmtId="0" fontId="23" fillId="0" borderId="25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4" fontId="24" fillId="0" borderId="25" xfId="0" applyNumberFormat="1" applyFont="1" applyBorder="1" applyAlignment="1">
      <alignment horizontal="center" vertical="center" wrapText="1"/>
    </xf>
    <xf numFmtId="4" fontId="24" fillId="0" borderId="20" xfId="0" applyNumberFormat="1" applyFont="1" applyBorder="1" applyAlignment="1">
      <alignment horizontal="center" vertical="center" wrapText="1"/>
    </xf>
    <xf numFmtId="4" fontId="24" fillId="0" borderId="26" xfId="0" applyNumberFormat="1" applyFont="1" applyBorder="1" applyAlignment="1">
      <alignment horizontal="center" vertical="center" wrapText="1"/>
    </xf>
    <xf numFmtId="0" fontId="33" fillId="0" borderId="0" xfId="0" applyFont="1" applyAlignment="1">
      <alignment horizontal="left" vertical="center"/>
    </xf>
    <xf numFmtId="4" fontId="33" fillId="0" borderId="0" xfId="0" applyNumberFormat="1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7" fillId="0" borderId="45" xfId="0" applyFont="1" applyFill="1" applyBorder="1" applyAlignment="1">
      <alignment horizontal="center"/>
    </xf>
    <xf numFmtId="4" fontId="44" fillId="0" borderId="45" xfId="0" applyNumberFormat="1" applyFont="1" applyFill="1" applyBorder="1" applyAlignment="1">
      <alignment horizontal="center" vertical="center"/>
    </xf>
    <xf numFmtId="4" fontId="45" fillId="0" borderId="45" xfId="0" applyNumberFormat="1" applyFont="1" applyFill="1" applyBorder="1" applyAlignment="1">
      <alignment horizontal="center" vertical="center"/>
    </xf>
    <xf numFmtId="0" fontId="24" fillId="0" borderId="25" xfId="0" applyFont="1" applyBorder="1" applyAlignment="1">
      <alignment horizontal="left" vertical="center"/>
    </xf>
    <xf numFmtId="0" fontId="24" fillId="0" borderId="26" xfId="0" applyFont="1" applyBorder="1" applyAlignment="1">
      <alignment horizontal="left" vertical="center"/>
    </xf>
    <xf numFmtId="9" fontId="24" fillId="0" borderId="25" xfId="1" applyFont="1" applyBorder="1" applyAlignment="1">
      <alignment horizontal="center" vertical="center"/>
    </xf>
    <xf numFmtId="9" fontId="24" fillId="0" borderId="20" xfId="1" applyFont="1" applyBorder="1" applyAlignment="1">
      <alignment horizontal="center" vertical="center"/>
    </xf>
    <xf numFmtId="9" fontId="24" fillId="0" borderId="26" xfId="1" applyFont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167" fontId="24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23" fillId="0" borderId="0" xfId="0" applyFont="1" applyAlignment="1">
      <alignment horizontal="center"/>
    </xf>
    <xf numFmtId="0" fontId="23" fillId="0" borderId="0" xfId="0" applyFont="1"/>
    <xf numFmtId="0" fontId="24" fillId="0" borderId="0" xfId="0" applyFont="1" applyAlignment="1">
      <alignment horizontal="left"/>
    </xf>
    <xf numFmtId="0" fontId="23" fillId="0" borderId="0" xfId="0" applyFont="1" applyAlignment="1">
      <alignment horizontal="left" wrapText="1"/>
    </xf>
    <xf numFmtId="0" fontId="24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left"/>
    </xf>
    <xf numFmtId="0" fontId="29" fillId="0" borderId="0" xfId="0" applyFont="1" applyAlignment="1">
      <alignment horizontal="left"/>
    </xf>
    <xf numFmtId="0" fontId="23" fillId="0" borderId="0" xfId="0" applyFont="1" applyAlignment="1">
      <alignment horizontal="left" vertical="top" wrapText="1"/>
    </xf>
    <xf numFmtId="0" fontId="32" fillId="0" borderId="0" xfId="0" applyFont="1" applyAlignment="1">
      <alignment horizontal="center" wrapText="1"/>
    </xf>
    <xf numFmtId="0" fontId="23" fillId="0" borderId="0" xfId="0" applyFont="1" applyAlignment="1">
      <alignment horizontal="center" wrapText="1"/>
    </xf>
    <xf numFmtId="0" fontId="23" fillId="0" borderId="0" xfId="0" applyFont="1" applyFill="1" applyBorder="1"/>
    <xf numFmtId="0" fontId="20" fillId="2" borderId="12" xfId="6" applyFont="1" applyFill="1" applyBorder="1" applyAlignment="1" applyProtection="1">
      <alignment horizontal="center" vertical="top"/>
    </xf>
    <xf numFmtId="0" fontId="20" fillId="2" borderId="13" xfId="6" applyFont="1" applyFill="1" applyBorder="1" applyAlignment="1" applyProtection="1">
      <alignment horizontal="center" vertical="top"/>
    </xf>
    <xf numFmtId="0" fontId="20" fillId="2" borderId="14" xfId="6" applyFont="1" applyFill="1" applyBorder="1" applyAlignment="1" applyProtection="1">
      <alignment horizontal="center" vertical="top"/>
    </xf>
    <xf numFmtId="0" fontId="14" fillId="0" borderId="0" xfId="0" applyFont="1" applyAlignment="1">
      <alignment horizontal="center"/>
    </xf>
    <xf numFmtId="0" fontId="38" fillId="2" borderId="12" xfId="6" applyNumberFormat="1" applyFont="1" applyFill="1" applyBorder="1" applyAlignment="1" applyProtection="1">
      <alignment horizontal="center" vertical="top"/>
    </xf>
    <xf numFmtId="0" fontId="38" fillId="2" borderId="13" xfId="6" applyNumberFormat="1" applyFont="1" applyFill="1" applyBorder="1" applyAlignment="1" applyProtection="1">
      <alignment horizontal="center" vertical="top"/>
    </xf>
    <xf numFmtId="0" fontId="38" fillId="2" borderId="14" xfId="6" applyNumberFormat="1" applyFont="1" applyFill="1" applyBorder="1" applyAlignment="1" applyProtection="1">
      <alignment horizontal="center" vertical="top"/>
    </xf>
    <xf numFmtId="0" fontId="14" fillId="14" borderId="0" xfId="0" applyFont="1" applyFill="1" applyAlignment="1">
      <alignment horizontal="center"/>
    </xf>
    <xf numFmtId="0" fontId="31" fillId="16" borderId="0" xfId="0" applyFont="1" applyFill="1" applyAlignment="1">
      <alignment horizontal="center"/>
    </xf>
    <xf numFmtId="0" fontId="30" fillId="16" borderId="0" xfId="0" applyFont="1" applyFill="1" applyAlignment="1">
      <alignment horizontal="center"/>
    </xf>
  </cellXfs>
  <cellStyles count="9">
    <cellStyle name="Millares" xfId="4" builtinId="3"/>
    <cellStyle name="Millares 2" xfId="5"/>
    <cellStyle name="Millares 2 2" xfId="7"/>
    <cellStyle name="Normal" xfId="0" builtinId="0"/>
    <cellStyle name="Normal 10" xfId="3"/>
    <cellStyle name="Normal 2" xfId="6"/>
    <cellStyle name="Normal 3 2" xfId="8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D1FDCF"/>
      <color rgb="FF60AD35"/>
      <color rgb="FFF9FAD0"/>
      <color rgb="FF663300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2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171449</xdr:rowOff>
    </xdr:from>
    <xdr:to>
      <xdr:col>2</xdr:col>
      <xdr:colOff>1257300</xdr:colOff>
      <xdr:row>7</xdr:row>
      <xdr:rowOff>180974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361949"/>
          <a:ext cx="1600200" cy="1152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114300</xdr:rowOff>
    </xdr:from>
    <xdr:to>
      <xdr:col>2</xdr:col>
      <xdr:colOff>371475</xdr:colOff>
      <xdr:row>3</xdr:row>
      <xdr:rowOff>133350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22</xdr:row>
      <xdr:rowOff>114300</xdr:rowOff>
    </xdr:from>
    <xdr:ext cx="942975" cy="857250"/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0</xdr:row>
      <xdr:rowOff>112940</xdr:rowOff>
    </xdr:from>
    <xdr:to>
      <xdr:col>2</xdr:col>
      <xdr:colOff>285750</xdr:colOff>
      <xdr:row>3</xdr:row>
      <xdr:rowOff>133350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112940"/>
          <a:ext cx="1495425" cy="610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209551</xdr:colOff>
      <xdr:row>39</xdr:row>
      <xdr:rowOff>180976</xdr:rowOff>
    </xdr:from>
    <xdr:to>
      <xdr:col>11</xdr:col>
      <xdr:colOff>523875</xdr:colOff>
      <xdr:row>49</xdr:row>
      <xdr:rowOff>66676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6223" t="35421" r="32715" b="40097"/>
        <a:stretch/>
      </xdr:blipFill>
      <xdr:spPr>
        <a:xfrm>
          <a:off x="971551" y="6296026"/>
          <a:ext cx="7934324" cy="1790700"/>
        </a:xfrm>
        <a:prstGeom prst="rect">
          <a:avLst/>
        </a:prstGeom>
      </xdr:spPr>
    </xdr:pic>
    <xdr:clientData/>
  </xdr:twoCellAnchor>
  <xdr:twoCellAnchor>
    <xdr:from>
      <xdr:col>3</xdr:col>
      <xdr:colOff>66675</xdr:colOff>
      <xdr:row>39</xdr:row>
      <xdr:rowOff>142875</xdr:rowOff>
    </xdr:from>
    <xdr:to>
      <xdr:col>3</xdr:col>
      <xdr:colOff>323850</xdr:colOff>
      <xdr:row>44</xdr:row>
      <xdr:rowOff>152400</xdr:rowOff>
    </xdr:to>
    <xdr:sp macro="" textlink="">
      <xdr:nvSpPr>
        <xdr:cNvPr id="4" name="Flecha abaj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352675" y="6257925"/>
          <a:ext cx="257175" cy="96202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285751</xdr:colOff>
      <xdr:row>39</xdr:row>
      <xdr:rowOff>104774</xdr:rowOff>
    </xdr:from>
    <xdr:to>
      <xdr:col>5</xdr:col>
      <xdr:colOff>533401</xdr:colOff>
      <xdr:row>44</xdr:row>
      <xdr:rowOff>95249</xdr:rowOff>
    </xdr:to>
    <xdr:sp macro="" textlink="">
      <xdr:nvSpPr>
        <xdr:cNvPr id="5" name="Flecha abaj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095751" y="6219824"/>
          <a:ext cx="247650" cy="9429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276226</xdr:colOff>
      <xdr:row>39</xdr:row>
      <xdr:rowOff>180976</xdr:rowOff>
    </xdr:from>
    <xdr:to>
      <xdr:col>6</xdr:col>
      <xdr:colOff>523876</xdr:colOff>
      <xdr:row>44</xdr:row>
      <xdr:rowOff>85726</xdr:rowOff>
    </xdr:to>
    <xdr:sp macro="" textlink="">
      <xdr:nvSpPr>
        <xdr:cNvPr id="8" name="Flecha abaj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848226" y="6296026"/>
          <a:ext cx="247650" cy="8572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733426</xdr:colOff>
      <xdr:row>40</xdr:row>
      <xdr:rowOff>9526</xdr:rowOff>
    </xdr:from>
    <xdr:to>
      <xdr:col>10</xdr:col>
      <xdr:colOff>219076</xdr:colOff>
      <xdr:row>44</xdr:row>
      <xdr:rowOff>104776</xdr:rowOff>
    </xdr:to>
    <xdr:sp macro="" textlink="">
      <xdr:nvSpPr>
        <xdr:cNvPr id="9" name="Flecha abaj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7591426" y="6315076"/>
          <a:ext cx="247650" cy="8572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342901</xdr:colOff>
      <xdr:row>40</xdr:row>
      <xdr:rowOff>1</xdr:rowOff>
    </xdr:from>
    <xdr:to>
      <xdr:col>7</xdr:col>
      <xdr:colOff>590551</xdr:colOff>
      <xdr:row>44</xdr:row>
      <xdr:rowOff>95251</xdr:rowOff>
    </xdr:to>
    <xdr:sp macro="" textlink="">
      <xdr:nvSpPr>
        <xdr:cNvPr id="10" name="Flecha abaj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676901" y="6305551"/>
          <a:ext cx="247650" cy="8572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496413</xdr:colOff>
      <xdr:row>39</xdr:row>
      <xdr:rowOff>140645</xdr:rowOff>
    </xdr:from>
    <xdr:to>
      <xdr:col>8</xdr:col>
      <xdr:colOff>744063</xdr:colOff>
      <xdr:row>44</xdr:row>
      <xdr:rowOff>98364</xdr:rowOff>
    </xdr:to>
    <xdr:sp macro="" textlink="">
      <xdr:nvSpPr>
        <xdr:cNvPr id="12" name="Flecha abaj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 rot="20179077">
          <a:off x="6592413" y="6255695"/>
          <a:ext cx="247650" cy="910219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190500</xdr:colOff>
      <xdr:row>39</xdr:row>
      <xdr:rowOff>161924</xdr:rowOff>
    </xdr:from>
    <xdr:to>
      <xdr:col>11</xdr:col>
      <xdr:colOff>438150</xdr:colOff>
      <xdr:row>44</xdr:row>
      <xdr:rowOff>119643</xdr:rowOff>
    </xdr:to>
    <xdr:sp macro="" textlink="">
      <xdr:nvSpPr>
        <xdr:cNvPr id="13" name="Flecha abaj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 rot="1149388">
          <a:off x="8572500" y="6276974"/>
          <a:ext cx="247650" cy="910219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19050</xdr:colOff>
      <xdr:row>55</xdr:row>
      <xdr:rowOff>38101</xdr:rowOff>
    </xdr:from>
    <xdr:to>
      <xdr:col>12</xdr:col>
      <xdr:colOff>9525</xdr:colOff>
      <xdr:row>65</xdr:row>
      <xdr:rowOff>152400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6078" t="40369" r="33081" b="32023"/>
        <a:stretch/>
      </xdr:blipFill>
      <xdr:spPr>
        <a:xfrm>
          <a:off x="781050" y="9201151"/>
          <a:ext cx="8372475" cy="2019299"/>
        </a:xfrm>
        <a:prstGeom prst="rect">
          <a:avLst/>
        </a:prstGeom>
      </xdr:spPr>
    </xdr:pic>
    <xdr:clientData/>
  </xdr:twoCellAnchor>
  <xdr:twoCellAnchor>
    <xdr:from>
      <xdr:col>2</xdr:col>
      <xdr:colOff>638175</xdr:colOff>
      <xdr:row>55</xdr:row>
      <xdr:rowOff>28576</xdr:rowOff>
    </xdr:from>
    <xdr:to>
      <xdr:col>3</xdr:col>
      <xdr:colOff>123825</xdr:colOff>
      <xdr:row>59</xdr:row>
      <xdr:rowOff>123826</xdr:rowOff>
    </xdr:to>
    <xdr:sp macro="" textlink="">
      <xdr:nvSpPr>
        <xdr:cNvPr id="15" name="Flecha abaj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162175" y="9572626"/>
          <a:ext cx="247650" cy="8572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285750</xdr:colOff>
      <xdr:row>54</xdr:row>
      <xdr:rowOff>142874</xdr:rowOff>
    </xdr:from>
    <xdr:to>
      <xdr:col>5</xdr:col>
      <xdr:colOff>533400</xdr:colOff>
      <xdr:row>59</xdr:row>
      <xdr:rowOff>152399</xdr:rowOff>
    </xdr:to>
    <xdr:sp macro="" textlink="">
      <xdr:nvSpPr>
        <xdr:cNvPr id="16" name="Flecha abaj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4095750" y="9496424"/>
          <a:ext cx="247650" cy="96202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285750</xdr:colOff>
      <xdr:row>54</xdr:row>
      <xdr:rowOff>180975</xdr:rowOff>
    </xdr:from>
    <xdr:to>
      <xdr:col>6</xdr:col>
      <xdr:colOff>533400</xdr:colOff>
      <xdr:row>59</xdr:row>
      <xdr:rowOff>180974</xdr:rowOff>
    </xdr:to>
    <xdr:sp macro="" textlink="">
      <xdr:nvSpPr>
        <xdr:cNvPr id="17" name="Flecha abaj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4857750" y="9534525"/>
          <a:ext cx="247650" cy="952499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400050</xdr:colOff>
      <xdr:row>55</xdr:row>
      <xdr:rowOff>28574</xdr:rowOff>
    </xdr:from>
    <xdr:to>
      <xdr:col>7</xdr:col>
      <xdr:colOff>647700</xdr:colOff>
      <xdr:row>59</xdr:row>
      <xdr:rowOff>123824</xdr:rowOff>
    </xdr:to>
    <xdr:sp macro="" textlink="">
      <xdr:nvSpPr>
        <xdr:cNvPr id="18" name="Flecha abaj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5734050" y="9572624"/>
          <a:ext cx="247650" cy="8572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266700</xdr:colOff>
      <xdr:row>55</xdr:row>
      <xdr:rowOff>19049</xdr:rowOff>
    </xdr:from>
    <xdr:to>
      <xdr:col>11</xdr:col>
      <xdr:colOff>514350</xdr:colOff>
      <xdr:row>59</xdr:row>
      <xdr:rowOff>114299</xdr:rowOff>
    </xdr:to>
    <xdr:sp macro="" textlink="">
      <xdr:nvSpPr>
        <xdr:cNvPr id="19" name="Flecha abaj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8648700" y="9563099"/>
          <a:ext cx="247650" cy="8572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95250</xdr:colOff>
      <xdr:row>55</xdr:row>
      <xdr:rowOff>9524</xdr:rowOff>
    </xdr:from>
    <xdr:to>
      <xdr:col>10</xdr:col>
      <xdr:colOff>342900</xdr:colOff>
      <xdr:row>59</xdr:row>
      <xdr:rowOff>104774</xdr:rowOff>
    </xdr:to>
    <xdr:sp macro="" textlink="">
      <xdr:nvSpPr>
        <xdr:cNvPr id="20" name="Flecha abajo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715250" y="9553574"/>
          <a:ext cx="247650" cy="8572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490692</xdr:colOff>
      <xdr:row>54</xdr:row>
      <xdr:rowOff>180393</xdr:rowOff>
    </xdr:from>
    <xdr:to>
      <xdr:col>8</xdr:col>
      <xdr:colOff>738342</xdr:colOff>
      <xdr:row>59</xdr:row>
      <xdr:rowOff>127375</xdr:rowOff>
    </xdr:to>
    <xdr:sp macro="" textlink="">
      <xdr:nvSpPr>
        <xdr:cNvPr id="21" name="Flecha abajo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 rot="20792086">
          <a:off x="6586692" y="9533943"/>
          <a:ext cx="247650" cy="8994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619124</xdr:colOff>
      <xdr:row>74</xdr:row>
      <xdr:rowOff>0</xdr:rowOff>
    </xdr:from>
    <xdr:to>
      <xdr:col>9</xdr:col>
      <xdr:colOff>9525</xdr:colOff>
      <xdr:row>87</xdr:row>
      <xdr:rowOff>66675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6224" t="32816" r="51604" b="32414"/>
        <a:stretch/>
      </xdr:blipFill>
      <xdr:spPr>
        <a:xfrm>
          <a:off x="1381124" y="14116050"/>
          <a:ext cx="5486401" cy="2543175"/>
        </a:xfrm>
        <a:prstGeom prst="rect">
          <a:avLst/>
        </a:prstGeom>
      </xdr:spPr>
    </xdr:pic>
    <xdr:clientData/>
  </xdr:twoCellAnchor>
  <xdr:twoCellAnchor>
    <xdr:from>
      <xdr:col>4</xdr:col>
      <xdr:colOff>209550</xdr:colOff>
      <xdr:row>74</xdr:row>
      <xdr:rowOff>0</xdr:rowOff>
    </xdr:from>
    <xdr:to>
      <xdr:col>4</xdr:col>
      <xdr:colOff>457200</xdr:colOff>
      <xdr:row>80</xdr:row>
      <xdr:rowOff>152400</xdr:rowOff>
    </xdr:to>
    <xdr:sp macro="" textlink="">
      <xdr:nvSpPr>
        <xdr:cNvPr id="23" name="Flecha abajo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3257550" y="14116050"/>
          <a:ext cx="247650" cy="12954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723900</xdr:colOff>
      <xdr:row>73</xdr:row>
      <xdr:rowOff>180975</xdr:rowOff>
    </xdr:from>
    <xdr:to>
      <xdr:col>7</xdr:col>
      <xdr:colOff>209550</xdr:colOff>
      <xdr:row>81</xdr:row>
      <xdr:rowOff>0</xdr:rowOff>
    </xdr:to>
    <xdr:sp macro="" textlink="">
      <xdr:nvSpPr>
        <xdr:cNvPr id="24" name="Flecha abajo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295900" y="14106525"/>
          <a:ext cx="247650" cy="134302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247650</xdr:colOff>
      <xdr:row>74</xdr:row>
      <xdr:rowOff>9525</xdr:rowOff>
    </xdr:from>
    <xdr:to>
      <xdr:col>8</xdr:col>
      <xdr:colOff>495300</xdr:colOff>
      <xdr:row>80</xdr:row>
      <xdr:rowOff>180975</xdr:rowOff>
    </xdr:to>
    <xdr:sp macro="" textlink="">
      <xdr:nvSpPr>
        <xdr:cNvPr id="25" name="Flecha abajo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6343650" y="14125575"/>
          <a:ext cx="247650" cy="13144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742949</xdr:colOff>
      <xdr:row>92</xdr:row>
      <xdr:rowOff>28575</xdr:rowOff>
    </xdr:from>
    <xdr:to>
      <xdr:col>9</xdr:col>
      <xdr:colOff>66675</xdr:colOff>
      <xdr:row>102</xdr:row>
      <xdr:rowOff>171450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61281" t="33077" r="3941" b="38924"/>
        <a:stretch/>
      </xdr:blipFill>
      <xdr:spPr>
        <a:xfrm>
          <a:off x="1504949" y="17954625"/>
          <a:ext cx="5419726" cy="2047875"/>
        </a:xfrm>
        <a:prstGeom prst="rect">
          <a:avLst/>
        </a:prstGeom>
      </xdr:spPr>
    </xdr:pic>
    <xdr:clientData/>
  </xdr:twoCellAnchor>
  <xdr:twoCellAnchor>
    <xdr:from>
      <xdr:col>4</xdr:col>
      <xdr:colOff>285750</xdr:colOff>
      <xdr:row>92</xdr:row>
      <xdr:rowOff>9525</xdr:rowOff>
    </xdr:from>
    <xdr:to>
      <xdr:col>4</xdr:col>
      <xdr:colOff>533400</xdr:colOff>
      <xdr:row>98</xdr:row>
      <xdr:rowOff>161925</xdr:rowOff>
    </xdr:to>
    <xdr:sp macro="" textlink="">
      <xdr:nvSpPr>
        <xdr:cNvPr id="27" name="Flecha abajo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333750" y="17935575"/>
          <a:ext cx="247650" cy="12954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180975</xdr:colOff>
      <xdr:row>92</xdr:row>
      <xdr:rowOff>0</xdr:rowOff>
    </xdr:from>
    <xdr:to>
      <xdr:col>8</xdr:col>
      <xdr:colOff>428625</xdr:colOff>
      <xdr:row>98</xdr:row>
      <xdr:rowOff>152400</xdr:rowOff>
    </xdr:to>
    <xdr:sp macro="" textlink="">
      <xdr:nvSpPr>
        <xdr:cNvPr id="28" name="Flecha abajo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6276975" y="17926050"/>
          <a:ext cx="247650" cy="12954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428625</xdr:colOff>
      <xdr:row>92</xdr:row>
      <xdr:rowOff>9525</xdr:rowOff>
    </xdr:from>
    <xdr:to>
      <xdr:col>6</xdr:col>
      <xdr:colOff>676275</xdr:colOff>
      <xdr:row>98</xdr:row>
      <xdr:rowOff>161925</xdr:rowOff>
    </xdr:to>
    <xdr:sp macro="" textlink="">
      <xdr:nvSpPr>
        <xdr:cNvPr id="29" name="Flecha abajo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000625" y="17935575"/>
          <a:ext cx="247650" cy="12954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152401</xdr:colOff>
      <xdr:row>26</xdr:row>
      <xdr:rowOff>9525</xdr:rowOff>
    </xdr:from>
    <xdr:to>
      <xdr:col>15</xdr:col>
      <xdr:colOff>152400</xdr:colOff>
      <xdr:row>33</xdr:row>
      <xdr:rowOff>47625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5930" t="30732" r="12069" b="36712"/>
        <a:stretch/>
      </xdr:blipFill>
      <xdr:spPr>
        <a:xfrm>
          <a:off x="914401" y="6057900"/>
          <a:ext cx="10667999" cy="2381250"/>
        </a:xfrm>
        <a:prstGeom prst="rect">
          <a:avLst/>
        </a:prstGeom>
      </xdr:spPr>
    </xdr:pic>
    <xdr:clientData/>
  </xdr:twoCellAnchor>
  <xdr:twoCellAnchor>
    <xdr:from>
      <xdr:col>2</xdr:col>
      <xdr:colOff>619125</xdr:colOff>
      <xdr:row>26</xdr:row>
      <xdr:rowOff>9526</xdr:rowOff>
    </xdr:from>
    <xdr:to>
      <xdr:col>3</xdr:col>
      <xdr:colOff>123825</xdr:colOff>
      <xdr:row>28</xdr:row>
      <xdr:rowOff>314326</xdr:rowOff>
    </xdr:to>
    <xdr:sp macro="" textlink="">
      <xdr:nvSpPr>
        <xdr:cNvPr id="32" name="Flecha abajo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2143125" y="6057901"/>
          <a:ext cx="266700" cy="10477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418358</xdr:colOff>
      <xdr:row>26</xdr:row>
      <xdr:rowOff>90278</xdr:rowOff>
    </xdr:from>
    <xdr:to>
      <xdr:col>9</xdr:col>
      <xdr:colOff>600454</xdr:colOff>
      <xdr:row>26</xdr:row>
      <xdr:rowOff>348526</xdr:rowOff>
    </xdr:to>
    <xdr:sp macro="" textlink="">
      <xdr:nvSpPr>
        <xdr:cNvPr id="33" name="Flecha abajo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 rot="4622993">
          <a:off x="6476282" y="5414729"/>
          <a:ext cx="258248" cy="1706096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257175</xdr:colOff>
      <xdr:row>26</xdr:row>
      <xdr:rowOff>1</xdr:rowOff>
    </xdr:from>
    <xdr:to>
      <xdr:col>6</xdr:col>
      <xdr:colOff>523875</xdr:colOff>
      <xdr:row>28</xdr:row>
      <xdr:rowOff>304801</xdr:rowOff>
    </xdr:to>
    <xdr:sp macro="" textlink="">
      <xdr:nvSpPr>
        <xdr:cNvPr id="34" name="Flecha abajo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4829175" y="6048376"/>
          <a:ext cx="266700" cy="10477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257175</xdr:colOff>
      <xdr:row>25</xdr:row>
      <xdr:rowOff>361951</xdr:rowOff>
    </xdr:from>
    <xdr:to>
      <xdr:col>5</xdr:col>
      <xdr:colOff>523875</xdr:colOff>
      <xdr:row>28</xdr:row>
      <xdr:rowOff>295276</xdr:rowOff>
    </xdr:to>
    <xdr:sp macro="" textlink="">
      <xdr:nvSpPr>
        <xdr:cNvPr id="35" name="Flecha abajo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4067175" y="6038851"/>
          <a:ext cx="266700" cy="10477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427041</xdr:colOff>
      <xdr:row>26</xdr:row>
      <xdr:rowOff>45383</xdr:rowOff>
    </xdr:from>
    <xdr:to>
      <xdr:col>13</xdr:col>
      <xdr:colOff>26456</xdr:colOff>
      <xdr:row>26</xdr:row>
      <xdr:rowOff>303631</xdr:rowOff>
    </xdr:to>
    <xdr:sp macro="" textlink="">
      <xdr:nvSpPr>
        <xdr:cNvPr id="36" name="Flecha abajo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 rot="16671357">
          <a:off x="8860625" y="5280174"/>
          <a:ext cx="258248" cy="188541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722342</xdr:colOff>
      <xdr:row>26</xdr:row>
      <xdr:rowOff>7259</xdr:rowOff>
    </xdr:from>
    <xdr:to>
      <xdr:col>10</xdr:col>
      <xdr:colOff>218590</xdr:colOff>
      <xdr:row>26</xdr:row>
      <xdr:rowOff>323850</xdr:rowOff>
    </xdr:to>
    <xdr:sp macro="" textlink="">
      <xdr:nvSpPr>
        <xdr:cNvPr id="37" name="Flecha abajo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7580342" y="6055634"/>
          <a:ext cx="258248" cy="31659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65315</xdr:rowOff>
    </xdr:from>
    <xdr:to>
      <xdr:col>2</xdr:col>
      <xdr:colOff>733425</xdr:colOff>
      <xdr:row>9</xdr:row>
      <xdr:rowOff>36740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1208315"/>
          <a:ext cx="1862818" cy="5701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19050</xdr:rowOff>
        </xdr:from>
        <xdr:to>
          <xdr:col>10</xdr:col>
          <xdr:colOff>180975</xdr:colOff>
          <xdr:row>5</xdr:row>
          <xdr:rowOff>123825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</xdr:col>
      <xdr:colOff>847725</xdr:colOff>
      <xdr:row>4</xdr:row>
      <xdr:rowOff>71438</xdr:rowOff>
    </xdr:to>
    <xdr:pic>
      <xdr:nvPicPr>
        <xdr:cNvPr id="2" name="1 Imagen" descr="Grupo Regional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775"/>
          <a:ext cx="1609725" cy="900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ll\Downloads\RICH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VICTOR\AppData\Local\Microsoft\Windows\Temporary%20Internet%20Files\Content.Outlook\BJJVMT7D\HOJA%20DE%20ACTIVACIONES%20SERVICIOS%20LABOR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 FOTOS"/>
      <sheetName val="FORMATO DE COTIZACION1"/>
      <sheetName val="NOTA DE ENTREGA "/>
      <sheetName val="H PRESENT"/>
      <sheetName val="PROFORMA"/>
      <sheetName val="Carta PDF"/>
      <sheetName val="HOJA D TRABAJO"/>
      <sheetName val="Hoja2"/>
      <sheetName val="GASTO AUX "/>
      <sheetName val="HOJA 1 AUX"/>
      <sheetName val="HOJA 2 AUX"/>
      <sheetName val="HOJA 3 AUX"/>
      <sheetName val="HOJA 4 AUX"/>
      <sheetName val="HOJA 5 AUX"/>
      <sheetName val="HOJA 6 AUX"/>
      <sheetName val="HOJA 7AUX"/>
      <sheetName val="HOJA 8 AUX"/>
      <sheetName val="HOJA 9 AUX"/>
      <sheetName val="HOJA DE ACTIVACIONES SERVICIOS "/>
    </sheetNames>
    <definedNames>
      <definedName name="exportar"/>
    </definedNames>
    <sheetDataSet>
      <sheetData sheetId="0"/>
      <sheetData sheetId="1"/>
      <sheetData sheetId="2"/>
      <sheetData sheetId="3"/>
      <sheetData sheetId="4"/>
      <sheetData sheetId="5"/>
      <sheetData sheetId="6">
        <row r="46">
          <cell r="B46" t="str">
            <v>Uniformes 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49"/>
  <sheetViews>
    <sheetView zoomScaleNormal="100" zoomScaleSheetLayoutView="85" zoomScalePageLayoutView="80" workbookViewId="0">
      <selection activeCell="Q16" sqref="Q16"/>
    </sheetView>
  </sheetViews>
  <sheetFormatPr baseColWidth="10" defaultColWidth="11.42578125" defaultRowHeight="12.75" x14ac:dyDescent="0.2"/>
  <cols>
    <col min="1" max="1" width="13.28515625" style="1" customWidth="1"/>
    <col min="2" max="2" width="5.140625" style="1" customWidth="1"/>
    <col min="3" max="3" width="6.5703125" style="1" customWidth="1"/>
    <col min="4" max="8" width="5.140625" style="1" customWidth="1"/>
    <col min="9" max="9" width="6.5703125" style="1" customWidth="1"/>
    <col min="10" max="11" width="5.140625" style="1" customWidth="1"/>
    <col min="12" max="14" width="5.42578125" style="1" customWidth="1"/>
    <col min="15" max="15" width="6.5703125" style="1" customWidth="1"/>
    <col min="16" max="16384" width="11.42578125" style="1"/>
  </cols>
  <sheetData>
    <row r="1" spans="1:15" ht="18.75" customHeight="1" x14ac:dyDescent="0.2">
      <c r="A1" s="16" t="s">
        <v>0</v>
      </c>
      <c r="B1" s="450" t="s">
        <v>20</v>
      </c>
      <c r="C1" s="450"/>
      <c r="D1" s="450"/>
      <c r="E1" s="2"/>
      <c r="F1" s="2"/>
      <c r="G1" s="2"/>
      <c r="H1" s="2"/>
      <c r="J1" s="14" t="s">
        <v>9</v>
      </c>
      <c r="L1" s="2"/>
      <c r="M1" s="450" t="s">
        <v>20</v>
      </c>
      <c r="N1" s="450"/>
      <c r="O1" s="450"/>
    </row>
    <row r="2" spans="1:15" ht="17.25" customHeight="1" thickBot="1" x14ac:dyDescent="0.25">
      <c r="A2" s="10" t="s">
        <v>1</v>
      </c>
      <c r="B2" s="451"/>
      <c r="C2" s="451"/>
      <c r="D2" s="451"/>
      <c r="E2" s="451"/>
      <c r="F2" s="451"/>
      <c r="G2" s="451"/>
      <c r="H2" s="451"/>
      <c r="I2" s="451"/>
      <c r="J2" s="451"/>
      <c r="K2" s="2"/>
      <c r="L2" s="2"/>
    </row>
    <row r="3" spans="1:15" ht="17.25" customHeight="1" thickBot="1" x14ac:dyDescent="0.25">
      <c r="A3" s="10" t="s">
        <v>2</v>
      </c>
      <c r="B3" s="452"/>
      <c r="C3" s="452"/>
      <c r="D3" s="452"/>
      <c r="E3" s="452"/>
      <c r="F3" s="452"/>
      <c r="G3" s="452"/>
      <c r="H3" s="452"/>
      <c r="I3" s="452"/>
      <c r="J3" s="452"/>
      <c r="K3" s="453" t="s">
        <v>15</v>
      </c>
      <c r="L3" s="453"/>
      <c r="M3" s="454"/>
      <c r="N3" s="455"/>
      <c r="O3" s="456"/>
    </row>
    <row r="4" spans="1:15" ht="17.25" customHeight="1" x14ac:dyDescent="0.2">
      <c r="A4" s="10" t="s">
        <v>3</v>
      </c>
      <c r="B4" s="451"/>
      <c r="C4" s="451"/>
      <c r="D4" s="451"/>
      <c r="E4" s="451"/>
      <c r="F4" s="451"/>
      <c r="G4" s="451"/>
      <c r="H4" s="451"/>
      <c r="I4" s="451"/>
      <c r="J4" s="451"/>
      <c r="K4" s="451"/>
      <c r="L4" s="451"/>
      <c r="M4" s="451"/>
      <c r="N4" s="451"/>
      <c r="O4" s="451"/>
    </row>
    <row r="5" spans="1:15" ht="9" customHeight="1" x14ac:dyDescent="0.2">
      <c r="A5" s="10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 x14ac:dyDescent="0.2">
      <c r="A6" s="10" t="s">
        <v>11</v>
      </c>
      <c r="B6" s="13"/>
      <c r="D6" s="17" t="s">
        <v>4</v>
      </c>
      <c r="F6" s="1" t="s">
        <v>5</v>
      </c>
      <c r="G6" s="13"/>
      <c r="H6" s="1" t="s">
        <v>12</v>
      </c>
      <c r="I6" s="1" t="s">
        <v>6</v>
      </c>
      <c r="J6" s="13"/>
      <c r="K6" s="1" t="s">
        <v>12</v>
      </c>
      <c r="L6" s="1" t="s">
        <v>7</v>
      </c>
      <c r="N6" s="13"/>
      <c r="O6" s="2" t="s">
        <v>12</v>
      </c>
    </row>
    <row r="7" spans="1:15" ht="6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5" ht="17.25" customHeight="1" x14ac:dyDescent="0.2">
      <c r="A8" s="15" t="s">
        <v>8</v>
      </c>
      <c r="B8" s="451"/>
      <c r="C8" s="451"/>
      <c r="D8" s="451"/>
      <c r="E8" s="451"/>
      <c r="F8" s="451"/>
      <c r="G8" s="451"/>
      <c r="H8" s="451"/>
      <c r="I8" s="451"/>
      <c r="J8" s="451"/>
      <c r="K8" s="451"/>
      <c r="L8" s="451"/>
      <c r="M8" s="451"/>
      <c r="N8" s="451"/>
      <c r="O8" s="451"/>
    </row>
    <row r="9" spans="1:15" ht="17.25" customHeight="1" x14ac:dyDescent="0.2">
      <c r="A9" s="452"/>
      <c r="B9" s="452"/>
      <c r="C9" s="452"/>
      <c r="D9" s="452"/>
      <c r="E9" s="452"/>
      <c r="F9" s="452"/>
      <c r="G9" s="452"/>
      <c r="H9" s="452"/>
      <c r="I9" s="452"/>
      <c r="J9" s="452"/>
      <c r="K9" s="452"/>
      <c r="L9" s="452"/>
      <c r="M9" s="452"/>
      <c r="N9" s="452"/>
      <c r="O9" s="452"/>
    </row>
    <row r="10" spans="1:15" ht="17.25" customHeight="1" x14ac:dyDescent="0.2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ht="17.25" customHeight="1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ht="13.5" thickBot="1" x14ac:dyDescent="0.25"/>
    <row r="13" spans="1:15" x14ac:dyDescent="0.2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</row>
    <row r="14" spans="1:15" x14ac:dyDescent="0.2">
      <c r="A14" s="6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11"/>
    </row>
    <row r="15" spans="1:15" x14ac:dyDescent="0.2">
      <c r="A15" s="6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11"/>
    </row>
    <row r="16" spans="1:15" x14ac:dyDescent="0.2">
      <c r="A16" s="6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11"/>
    </row>
    <row r="17" spans="1:15" x14ac:dyDescent="0.2">
      <c r="A17" s="6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11"/>
    </row>
    <row r="18" spans="1:15" x14ac:dyDescent="0.2">
      <c r="A18" s="6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11"/>
    </row>
    <row r="19" spans="1:15" ht="15.75" customHeight="1" x14ac:dyDescent="0.2">
      <c r="A19" s="6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11"/>
    </row>
    <row r="20" spans="1:15" x14ac:dyDescent="0.2">
      <c r="A20" s="6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11"/>
    </row>
    <row r="21" spans="1:15" x14ac:dyDescent="0.2">
      <c r="A21" s="6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11"/>
    </row>
    <row r="22" spans="1:15" x14ac:dyDescent="0.2">
      <c r="A22" s="6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11"/>
    </row>
    <row r="23" spans="1:15" x14ac:dyDescent="0.2">
      <c r="A23" s="6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11"/>
    </row>
    <row r="24" spans="1:15" x14ac:dyDescent="0.2">
      <c r="A24" s="6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11"/>
    </row>
    <row r="25" spans="1:15" x14ac:dyDescent="0.2">
      <c r="A25" s="6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11"/>
    </row>
    <row r="26" spans="1:15" x14ac:dyDescent="0.2">
      <c r="A26" s="6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11"/>
    </row>
    <row r="27" spans="1:15" x14ac:dyDescent="0.2">
      <c r="A27" s="6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11"/>
    </row>
    <row r="28" spans="1:15" x14ac:dyDescent="0.2">
      <c r="A28" s="6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11"/>
    </row>
    <row r="29" spans="1:15" x14ac:dyDescent="0.2">
      <c r="A29" s="6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11"/>
    </row>
    <row r="30" spans="1:15" x14ac:dyDescent="0.2">
      <c r="A30" s="6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11"/>
    </row>
    <row r="31" spans="1:15" x14ac:dyDescent="0.2">
      <c r="A31" s="6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11"/>
    </row>
    <row r="32" spans="1:15" x14ac:dyDescent="0.2">
      <c r="A32" s="6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11"/>
    </row>
    <row r="33" spans="1:15" x14ac:dyDescent="0.2">
      <c r="A33" s="6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11"/>
    </row>
    <row r="34" spans="1:15" ht="13.5" thickBot="1" x14ac:dyDescent="0.25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9"/>
    </row>
    <row r="35" spans="1:15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5" ht="15" customHeight="1" x14ac:dyDescent="0.2">
      <c r="A36" s="19" t="s">
        <v>10</v>
      </c>
      <c r="B36" s="19" t="s">
        <v>16</v>
      </c>
      <c r="C36" s="19" t="s">
        <v>14</v>
      </c>
      <c r="D36" s="10"/>
      <c r="E36" s="449" t="s">
        <v>10</v>
      </c>
      <c r="F36" s="449"/>
      <c r="G36" s="449"/>
      <c r="H36" s="19" t="s">
        <v>16</v>
      </c>
      <c r="I36" s="19" t="s">
        <v>14</v>
      </c>
      <c r="J36" s="10"/>
      <c r="K36" s="449" t="s">
        <v>10</v>
      </c>
      <c r="L36" s="449"/>
      <c r="M36" s="449"/>
      <c r="N36" s="19" t="s">
        <v>16</v>
      </c>
      <c r="O36" s="19" t="s">
        <v>14</v>
      </c>
    </row>
    <row r="37" spans="1:15" ht="17.25" customHeight="1" x14ac:dyDescent="0.2">
      <c r="A37" s="18"/>
      <c r="B37" s="18"/>
      <c r="C37" s="18"/>
      <c r="D37" s="2"/>
      <c r="E37" s="449"/>
      <c r="F37" s="449"/>
      <c r="G37" s="449"/>
      <c r="H37" s="18"/>
      <c r="I37" s="18"/>
      <c r="J37" s="2"/>
      <c r="K37" s="449"/>
      <c r="L37" s="449"/>
      <c r="M37" s="449"/>
      <c r="N37" s="18"/>
      <c r="O37" s="18"/>
    </row>
    <row r="38" spans="1:15" ht="14.1" customHeight="1" x14ac:dyDescent="0.2">
      <c r="A38" s="18"/>
      <c r="B38" s="18"/>
      <c r="C38" s="18"/>
      <c r="D38" s="2"/>
      <c r="E38" s="449"/>
      <c r="F38" s="449"/>
      <c r="G38" s="449"/>
      <c r="H38" s="18"/>
      <c r="I38" s="18"/>
      <c r="J38" s="2"/>
      <c r="K38" s="449"/>
      <c r="L38" s="449"/>
      <c r="M38" s="449"/>
      <c r="N38" s="18"/>
      <c r="O38" s="18"/>
    </row>
    <row r="39" spans="1:15" ht="14.1" customHeight="1" x14ac:dyDescent="0.2">
      <c r="A39" s="18"/>
      <c r="B39" s="18"/>
      <c r="C39" s="18"/>
      <c r="D39" s="2"/>
      <c r="E39" s="449"/>
      <c r="F39" s="449"/>
      <c r="G39" s="449"/>
      <c r="H39" s="18"/>
      <c r="I39" s="18"/>
      <c r="J39" s="2"/>
      <c r="K39" s="449"/>
      <c r="L39" s="449"/>
      <c r="M39" s="449"/>
      <c r="N39" s="18"/>
      <c r="O39" s="18"/>
    </row>
    <row r="40" spans="1:15" ht="14.1" customHeight="1" x14ac:dyDescent="0.2">
      <c r="A40" s="18"/>
      <c r="B40" s="18"/>
      <c r="C40" s="18"/>
      <c r="D40" s="2"/>
      <c r="E40" s="449"/>
      <c r="F40" s="449"/>
      <c r="G40" s="449"/>
      <c r="H40" s="18"/>
      <c r="I40" s="18"/>
      <c r="J40" s="2"/>
      <c r="K40" s="449"/>
      <c r="L40" s="449"/>
      <c r="M40" s="449"/>
      <c r="N40" s="18"/>
      <c r="O40" s="18"/>
    </row>
    <row r="41" spans="1:15" ht="14.1" customHeight="1" x14ac:dyDescent="0.2">
      <c r="A41" s="18"/>
      <c r="B41" s="18"/>
      <c r="C41" s="18"/>
      <c r="D41" s="2"/>
      <c r="E41" s="449"/>
      <c r="F41" s="449"/>
      <c r="G41" s="449"/>
      <c r="H41" s="18"/>
      <c r="I41" s="18"/>
      <c r="J41" s="2"/>
      <c r="K41" s="449"/>
      <c r="L41" s="449"/>
      <c r="M41" s="449"/>
      <c r="N41" s="18"/>
      <c r="O41" s="18"/>
    </row>
    <row r="42" spans="1:15" ht="14.1" customHeight="1" thickBot="1" x14ac:dyDescent="0.25">
      <c r="A42" s="2"/>
      <c r="B42" s="2"/>
      <c r="C42" s="2"/>
      <c r="D42" s="2"/>
      <c r="E42" s="20"/>
      <c r="F42" s="20"/>
      <c r="G42" s="20"/>
      <c r="H42" s="2"/>
      <c r="I42" s="2"/>
      <c r="J42" s="2"/>
      <c r="K42" s="20"/>
      <c r="L42" s="20"/>
      <c r="M42" s="20"/>
      <c r="N42" s="2"/>
      <c r="O42" s="2"/>
    </row>
    <row r="43" spans="1:15" ht="14.1" customHeight="1" thickBo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457" t="s">
        <v>18</v>
      </c>
      <c r="L43" s="458"/>
      <c r="M43" s="458"/>
      <c r="N43" s="454"/>
      <c r="O43" s="456"/>
    </row>
    <row r="44" spans="1:15" ht="11.25" customHeight="1" x14ac:dyDescent="0.2"/>
    <row r="45" spans="1:15" x14ac:dyDescent="0.2">
      <c r="B45" s="10"/>
      <c r="C45" s="10"/>
      <c r="D45" s="10"/>
      <c r="E45" s="10"/>
      <c r="F45" s="10"/>
      <c r="G45" s="10"/>
    </row>
    <row r="46" spans="1:15" x14ac:dyDescent="0.2">
      <c r="A46" s="10" t="s">
        <v>17</v>
      </c>
      <c r="E46" s="2"/>
      <c r="I46" s="10" t="s">
        <v>13</v>
      </c>
    </row>
    <row r="47" spans="1:15" ht="34.5" customHeight="1" x14ac:dyDescent="0.2">
      <c r="A47" s="22"/>
      <c r="B47" s="22"/>
      <c r="C47" s="22"/>
      <c r="D47" s="22"/>
      <c r="E47" s="22"/>
      <c r="F47" s="22"/>
      <c r="I47" s="13"/>
      <c r="J47" s="13"/>
      <c r="K47" s="13"/>
      <c r="L47" s="13"/>
      <c r="M47" s="13"/>
      <c r="N47" s="13"/>
      <c r="O47" s="13"/>
    </row>
    <row r="49" spans="1:12" x14ac:dyDescent="0.2">
      <c r="A49" s="21" t="s">
        <v>21</v>
      </c>
      <c r="B49" s="450" t="s">
        <v>20</v>
      </c>
      <c r="C49" s="450"/>
      <c r="D49" s="450"/>
      <c r="I49" s="10" t="s">
        <v>19</v>
      </c>
      <c r="J49" s="450" t="s">
        <v>20</v>
      </c>
      <c r="K49" s="450"/>
      <c r="L49" s="450"/>
    </row>
  </sheetData>
  <customSheetViews>
    <customSheetView guid="{D98A1565-B6EB-4D88-8DB8-23EB436D0197}" state="hidden">
      <selection activeCell="Q16" sqref="Q16"/>
      <pageMargins left="0.69791666666666663" right="0.55989583333333337" top="0.71875" bottom="0.75" header="0.3" footer="0.3"/>
      <pageSetup orientation="portrait" horizontalDpi="4294967293" verticalDpi="4294967293" r:id="rId1"/>
      <headerFooter>
        <oddHeader xml:space="preserve">&amp;C&amp;"Aharoni,Negrita"&amp;18ORDEN DE TRABAJO INTERNO
&amp;R&amp;"-,Negrita"N°&amp;"-,Normal"_________        </oddHeader>
      </headerFooter>
    </customSheetView>
  </customSheetViews>
  <mergeCells count="25">
    <mergeCell ref="E41:G41"/>
    <mergeCell ref="K41:M41"/>
    <mergeCell ref="K43:M43"/>
    <mergeCell ref="N43:O43"/>
    <mergeCell ref="B49:D49"/>
    <mergeCell ref="J49:L49"/>
    <mergeCell ref="E38:G38"/>
    <mergeCell ref="K38:M38"/>
    <mergeCell ref="E39:G39"/>
    <mergeCell ref="K39:M39"/>
    <mergeCell ref="E40:G40"/>
    <mergeCell ref="K40:M40"/>
    <mergeCell ref="E37:G37"/>
    <mergeCell ref="K37:M37"/>
    <mergeCell ref="B1:D1"/>
    <mergeCell ref="M1:O1"/>
    <mergeCell ref="B2:J2"/>
    <mergeCell ref="B3:J3"/>
    <mergeCell ref="K3:L3"/>
    <mergeCell ref="M3:O3"/>
    <mergeCell ref="B4:O4"/>
    <mergeCell ref="B8:O8"/>
    <mergeCell ref="A9:O9"/>
    <mergeCell ref="E36:G36"/>
    <mergeCell ref="K36:M36"/>
  </mergeCells>
  <pageMargins left="0.69791666666666663" right="0.55989583333333337" top="0.71875" bottom="0.75" header="0.3" footer="0.3"/>
  <pageSetup orientation="portrait" horizontalDpi="4294967293" verticalDpi="4294967293" r:id="rId2"/>
  <headerFooter>
    <oddHeader xml:space="preserve">&amp;C&amp;"Aharoni,Negrita"&amp;18ORDEN DE TRABAJO INTERNO
&amp;R&amp;"-,Negrita"N°&amp;"-,Normal"_________        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7:I27"/>
  <sheetViews>
    <sheetView topLeftCell="A5" workbookViewId="0">
      <selection activeCell="L14" sqref="L14"/>
    </sheetView>
  </sheetViews>
  <sheetFormatPr baseColWidth="10" defaultRowHeight="15" x14ac:dyDescent="0.25"/>
  <cols>
    <col min="1" max="1" width="5.42578125" customWidth="1"/>
    <col min="2" max="2" width="0.42578125" customWidth="1"/>
    <col min="3" max="3" width="50.28515625" customWidth="1"/>
    <col min="4" max="4" width="0.28515625" customWidth="1"/>
    <col min="5" max="5" width="7.42578125" customWidth="1"/>
    <col min="6" max="6" width="0.42578125" customWidth="1"/>
    <col min="7" max="7" width="11.5703125" customWidth="1"/>
    <col min="8" max="8" width="0.42578125" customWidth="1"/>
    <col min="9" max="9" width="14.28515625" customWidth="1"/>
  </cols>
  <sheetData>
    <row r="7" spans="1:9" x14ac:dyDescent="0.25">
      <c r="G7" s="25" t="s">
        <v>31</v>
      </c>
      <c r="H7" s="25"/>
      <c r="I7" s="45">
        <v>613</v>
      </c>
    </row>
    <row r="9" spans="1:9" ht="61.5" x14ac:dyDescent="0.9">
      <c r="C9" s="459" t="s">
        <v>30</v>
      </c>
      <c r="D9" s="459"/>
      <c r="E9" s="459"/>
      <c r="F9" s="459"/>
      <c r="G9" s="459"/>
      <c r="H9" s="459"/>
      <c r="I9" s="459"/>
    </row>
    <row r="10" spans="1:9" x14ac:dyDescent="0.25">
      <c r="A10" s="23" t="s">
        <v>44</v>
      </c>
      <c r="B10" s="23"/>
      <c r="C10" s="37">
        <v>4</v>
      </c>
      <c r="D10" s="26"/>
      <c r="E10" s="23" t="s">
        <v>29</v>
      </c>
      <c r="F10" s="23"/>
      <c r="G10" s="36" t="s">
        <v>46</v>
      </c>
      <c r="H10" s="26"/>
      <c r="I10" s="24" t="s">
        <v>47</v>
      </c>
    </row>
    <row r="11" spans="1:9" x14ac:dyDescent="0.25">
      <c r="A11" s="461" t="s">
        <v>48</v>
      </c>
      <c r="B11" s="461"/>
      <c r="C11" s="461"/>
      <c r="D11" s="461"/>
      <c r="E11" s="461"/>
      <c r="F11" s="461"/>
      <c r="G11" s="461"/>
      <c r="H11" s="461"/>
      <c r="I11" s="461"/>
    </row>
    <row r="12" spans="1:9" x14ac:dyDescent="0.25">
      <c r="A12" s="461" t="s">
        <v>49</v>
      </c>
      <c r="B12" s="461"/>
      <c r="C12" s="461"/>
      <c r="D12" s="461"/>
      <c r="E12" s="461"/>
      <c r="F12" s="461"/>
      <c r="G12" s="461"/>
      <c r="H12" s="461"/>
      <c r="I12" s="461"/>
    </row>
    <row r="14" spans="1:9" ht="30" customHeight="1" x14ac:dyDescent="0.25">
      <c r="A14" s="27" t="s">
        <v>22</v>
      </c>
      <c r="B14" s="30"/>
      <c r="C14" s="27" t="s">
        <v>25</v>
      </c>
      <c r="D14" s="30"/>
      <c r="E14" s="43" t="s">
        <v>23</v>
      </c>
      <c r="F14" s="30"/>
      <c r="G14" s="42" t="s">
        <v>26</v>
      </c>
      <c r="H14" s="30"/>
      <c r="I14" s="27" t="s">
        <v>45</v>
      </c>
    </row>
    <row r="15" spans="1:9" x14ac:dyDescent="0.25">
      <c r="A15" s="34">
        <v>1</v>
      </c>
      <c r="B15" s="35"/>
      <c r="C15" s="40" t="s">
        <v>50</v>
      </c>
      <c r="D15" s="35"/>
      <c r="E15" s="34">
        <v>15</v>
      </c>
      <c r="F15" s="35"/>
      <c r="G15" s="34">
        <v>6</v>
      </c>
      <c r="H15" s="35">
        <v>613</v>
      </c>
      <c r="I15" s="34">
        <v>90</v>
      </c>
    </row>
    <row r="16" spans="1:9" x14ac:dyDescent="0.25">
      <c r="A16" s="34"/>
      <c r="B16" s="35"/>
      <c r="C16" s="40"/>
      <c r="D16" s="35"/>
      <c r="E16" s="34"/>
      <c r="F16" s="35"/>
      <c r="G16" s="34"/>
      <c r="H16" s="35">
        <v>563</v>
      </c>
      <c r="I16" s="34"/>
    </row>
    <row r="17" spans="1:9" x14ac:dyDescent="0.25">
      <c r="A17" s="34"/>
      <c r="B17" s="35"/>
      <c r="C17" s="40"/>
      <c r="D17" s="35"/>
      <c r="E17" s="34"/>
      <c r="F17" s="35"/>
      <c r="G17" s="34"/>
      <c r="H17" s="35">
        <v>315</v>
      </c>
      <c r="I17" s="34"/>
    </row>
    <row r="18" spans="1:9" x14ac:dyDescent="0.25">
      <c r="A18" s="34"/>
      <c r="B18" s="35"/>
      <c r="C18" s="40"/>
      <c r="D18" s="35"/>
      <c r="E18" s="34"/>
      <c r="F18" s="35"/>
      <c r="G18" s="34"/>
      <c r="H18" s="35">
        <v>351</v>
      </c>
      <c r="I18" s="34"/>
    </row>
    <row r="19" spans="1:9" x14ac:dyDescent="0.25">
      <c r="A19" s="34"/>
      <c r="B19" s="35"/>
      <c r="C19" s="40"/>
      <c r="D19" s="35"/>
      <c r="E19" s="34"/>
      <c r="F19" s="35"/>
      <c r="G19" s="34"/>
      <c r="H19" s="35"/>
      <c r="I19" s="34"/>
    </row>
    <row r="20" spans="1:9" ht="15.75" thickBot="1" x14ac:dyDescent="0.3">
      <c r="A20" s="34"/>
      <c r="B20" s="35"/>
      <c r="C20" s="40"/>
      <c r="D20" s="35"/>
      <c r="E20" s="34"/>
      <c r="F20" s="35"/>
      <c r="G20" s="38"/>
      <c r="H20" s="35"/>
      <c r="I20" s="34"/>
    </row>
    <row r="21" spans="1:9" ht="30.75" customHeight="1" thickBot="1" x14ac:dyDescent="0.3">
      <c r="A21" s="29"/>
      <c r="B21" s="31"/>
      <c r="C21" s="41"/>
      <c r="D21" s="31"/>
      <c r="E21" s="29"/>
      <c r="F21" s="31"/>
      <c r="G21" s="44" t="s">
        <v>24</v>
      </c>
      <c r="H21" s="33"/>
      <c r="I21" s="39">
        <f>SUM(I15:I20)</f>
        <v>90</v>
      </c>
    </row>
    <row r="22" spans="1:9" x14ac:dyDescent="0.25">
      <c r="A22" s="28" t="s">
        <v>32</v>
      </c>
      <c r="B22" s="28"/>
      <c r="H22" s="32"/>
    </row>
    <row r="23" spans="1:9" x14ac:dyDescent="0.25">
      <c r="A23" s="28" t="s">
        <v>33</v>
      </c>
      <c r="B23" s="28"/>
    </row>
    <row r="24" spans="1:9" x14ac:dyDescent="0.25">
      <c r="A24" s="28" t="s">
        <v>27</v>
      </c>
      <c r="B24" s="28"/>
    </row>
    <row r="25" spans="1:9" x14ac:dyDescent="0.25">
      <c r="A25" s="28" t="s">
        <v>34</v>
      </c>
      <c r="B25" s="28"/>
    </row>
    <row r="26" spans="1:9" x14ac:dyDescent="0.25">
      <c r="A26" s="460" t="s">
        <v>28</v>
      </c>
      <c r="B26" s="460"/>
      <c r="C26" s="460"/>
      <c r="D26" s="460"/>
      <c r="E26" s="460"/>
      <c r="F26" s="460"/>
      <c r="G26" s="460"/>
      <c r="H26" s="460"/>
      <c r="I26" s="460"/>
    </row>
    <row r="27" spans="1:9" x14ac:dyDescent="0.25">
      <c r="A27" s="460"/>
      <c r="B27" s="460"/>
      <c r="C27" s="460"/>
      <c r="D27" s="460"/>
      <c r="E27" s="460"/>
      <c r="F27" s="460"/>
      <c r="G27" s="460"/>
      <c r="H27" s="460"/>
      <c r="I27" s="460"/>
    </row>
  </sheetData>
  <customSheetViews>
    <customSheetView guid="{D98A1565-B6EB-4D88-8DB8-23EB436D0197}" state="hidden" topLeftCell="A5">
      <selection activeCell="L14" sqref="L14"/>
      <pageMargins left="0.7" right="0.7" top="0.75" bottom="0.75" header="0.3" footer="0.3"/>
      <pageSetup orientation="portrait" horizontalDpi="0" verticalDpi="0" r:id="rId1"/>
    </customSheetView>
  </customSheetViews>
  <mergeCells count="4">
    <mergeCell ref="C9:I9"/>
    <mergeCell ref="A26:I27"/>
    <mergeCell ref="A11:I11"/>
    <mergeCell ref="A12:I12"/>
  </mergeCell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3:G43"/>
  <sheetViews>
    <sheetView zoomScale="50" zoomScaleNormal="50" workbookViewId="0">
      <selection activeCell="I46" sqref="I46"/>
    </sheetView>
  </sheetViews>
  <sheetFormatPr baseColWidth="10" defaultRowHeight="15" x14ac:dyDescent="0.25"/>
  <cols>
    <col min="1" max="1" width="13.7109375" customWidth="1"/>
    <col min="2" max="2" width="8.85546875" customWidth="1"/>
    <col min="3" max="3" width="9.85546875" customWidth="1"/>
    <col min="6" max="6" width="13.42578125" customWidth="1"/>
  </cols>
  <sheetData>
    <row r="3" spans="2:7" ht="36" x14ac:dyDescent="0.55000000000000004">
      <c r="B3" s="48"/>
      <c r="C3" s="49"/>
      <c r="D3" s="63" t="s">
        <v>37</v>
      </c>
      <c r="E3" s="47"/>
      <c r="F3" s="47"/>
      <c r="G3" s="47"/>
    </row>
    <row r="4" spans="2:7" x14ac:dyDescent="0.25">
      <c r="D4" s="46"/>
    </row>
    <row r="5" spans="2:7" x14ac:dyDescent="0.25">
      <c r="B5" s="50" t="s">
        <v>35</v>
      </c>
      <c r="C5" s="51"/>
      <c r="D5" s="51"/>
      <c r="E5" s="51"/>
      <c r="F5" s="51"/>
    </row>
    <row r="6" spans="2:7" x14ac:dyDescent="0.25">
      <c r="B6" s="52" t="s">
        <v>36</v>
      </c>
      <c r="C6" s="53"/>
      <c r="D6" s="53"/>
      <c r="E6" s="53"/>
      <c r="F6" s="53"/>
    </row>
    <row r="7" spans="2:7" ht="15.75" thickBot="1" x14ac:dyDescent="0.3"/>
    <row r="8" spans="2:7" ht="31.5" customHeight="1" thickBot="1" x14ac:dyDescent="0.3">
      <c r="B8" s="57" t="s">
        <v>11</v>
      </c>
      <c r="C8" s="462" t="s">
        <v>38</v>
      </c>
      <c r="D8" s="463"/>
      <c r="E8" s="464"/>
      <c r="F8" s="58" t="s">
        <v>39</v>
      </c>
    </row>
    <row r="9" spans="2:7" x14ac:dyDescent="0.25">
      <c r="B9" s="59"/>
      <c r="C9" s="54"/>
      <c r="D9" s="54"/>
      <c r="E9" s="54"/>
      <c r="F9" s="62"/>
    </row>
    <row r="10" spans="2:7" ht="14.25" customHeight="1" x14ac:dyDescent="0.25">
      <c r="B10" s="60"/>
      <c r="C10" s="55"/>
      <c r="D10" s="55"/>
      <c r="E10" s="55"/>
      <c r="F10" s="60"/>
    </row>
    <row r="11" spans="2:7" x14ac:dyDescent="0.25">
      <c r="B11" s="60"/>
      <c r="C11" s="55"/>
      <c r="D11" s="55"/>
      <c r="E11" s="55"/>
      <c r="F11" s="60"/>
    </row>
    <row r="12" spans="2:7" x14ac:dyDescent="0.25">
      <c r="B12" s="60"/>
      <c r="C12" s="55"/>
      <c r="D12" s="55"/>
      <c r="E12" s="55"/>
      <c r="F12" s="60"/>
    </row>
    <row r="13" spans="2:7" x14ac:dyDescent="0.25">
      <c r="B13" s="60"/>
      <c r="C13" s="55"/>
      <c r="D13" s="55"/>
      <c r="E13" s="55"/>
      <c r="F13" s="60"/>
    </row>
    <row r="14" spans="2:7" x14ac:dyDescent="0.25">
      <c r="B14" s="60"/>
      <c r="C14" s="55"/>
      <c r="D14" s="55"/>
      <c r="E14" s="55"/>
      <c r="F14" s="60"/>
    </row>
    <row r="15" spans="2:7" ht="15.75" thickBot="1" x14ac:dyDescent="0.3">
      <c r="B15" s="61"/>
      <c r="C15" s="56"/>
      <c r="D15" s="56"/>
      <c r="E15" s="56"/>
      <c r="F15" s="61"/>
    </row>
    <row r="17" spans="2:7" x14ac:dyDescent="0.25">
      <c r="B17" s="50" t="s">
        <v>41</v>
      </c>
      <c r="C17" s="50"/>
      <c r="D17" s="50"/>
      <c r="E17" s="66"/>
      <c r="F17" s="66" t="s">
        <v>43</v>
      </c>
    </row>
    <row r="18" spans="2:7" ht="15.75" customHeight="1" x14ac:dyDescent="0.25">
      <c r="B18" s="64"/>
      <c r="C18" s="64"/>
      <c r="D18" s="64"/>
      <c r="E18" s="65"/>
      <c r="F18" s="65"/>
    </row>
    <row r="19" spans="2:7" x14ac:dyDescent="0.25">
      <c r="B19" s="50" t="s">
        <v>42</v>
      </c>
      <c r="C19" s="50"/>
      <c r="D19" s="50"/>
      <c r="E19" s="50"/>
      <c r="F19" s="50"/>
    </row>
    <row r="20" spans="2:7" x14ac:dyDescent="0.25">
      <c r="B20" s="64"/>
      <c r="C20" s="64"/>
      <c r="D20" s="64"/>
      <c r="E20" s="52"/>
      <c r="F20" s="52"/>
    </row>
    <row r="21" spans="2:7" x14ac:dyDescent="0.25">
      <c r="B21" s="64"/>
      <c r="C21" s="64"/>
      <c r="D21" s="64"/>
      <c r="E21" s="465" t="s">
        <v>40</v>
      </c>
      <c r="F21" s="465"/>
    </row>
    <row r="25" spans="2:7" ht="36" x14ac:dyDescent="0.55000000000000004">
      <c r="B25" s="48"/>
      <c r="C25" s="49"/>
      <c r="D25" s="63" t="s">
        <v>37</v>
      </c>
      <c r="E25" s="47"/>
      <c r="F25" s="47"/>
      <c r="G25" s="47"/>
    </row>
    <row r="26" spans="2:7" x14ac:dyDescent="0.25">
      <c r="D26" s="46"/>
    </row>
    <row r="27" spans="2:7" x14ac:dyDescent="0.25">
      <c r="B27" s="50" t="s">
        <v>35</v>
      </c>
      <c r="C27" s="51"/>
      <c r="D27" s="51"/>
      <c r="E27" s="51"/>
      <c r="F27" s="51"/>
    </row>
    <row r="28" spans="2:7" x14ac:dyDescent="0.25">
      <c r="B28" s="52" t="s">
        <v>36</v>
      </c>
      <c r="C28" s="53"/>
      <c r="D28" s="53"/>
      <c r="E28" s="53"/>
      <c r="F28" s="53"/>
    </row>
    <row r="29" spans="2:7" ht="15.75" thickBot="1" x14ac:dyDescent="0.3"/>
    <row r="30" spans="2:7" ht="27.75" customHeight="1" thickBot="1" x14ac:dyDescent="0.3">
      <c r="B30" s="57" t="s">
        <v>11</v>
      </c>
      <c r="C30" s="462" t="s">
        <v>38</v>
      </c>
      <c r="D30" s="463"/>
      <c r="E30" s="464"/>
      <c r="F30" s="58" t="s">
        <v>39</v>
      </c>
    </row>
    <row r="31" spans="2:7" x14ac:dyDescent="0.25">
      <c r="B31" s="59"/>
      <c r="C31" s="54"/>
      <c r="D31" s="54"/>
      <c r="E31" s="54"/>
      <c r="F31" s="62"/>
    </row>
    <row r="32" spans="2:7" x14ac:dyDescent="0.25">
      <c r="B32" s="60"/>
      <c r="C32" s="55"/>
      <c r="D32" s="55"/>
      <c r="E32" s="55"/>
      <c r="F32" s="60"/>
    </row>
    <row r="33" spans="2:6" x14ac:dyDescent="0.25">
      <c r="B33" s="60"/>
      <c r="C33" s="55"/>
      <c r="D33" s="55"/>
      <c r="E33" s="55"/>
      <c r="F33" s="60"/>
    </row>
    <row r="34" spans="2:6" x14ac:dyDescent="0.25">
      <c r="B34" s="60"/>
      <c r="C34" s="55"/>
      <c r="D34" s="55"/>
      <c r="E34" s="55"/>
      <c r="F34" s="60"/>
    </row>
    <row r="35" spans="2:6" x14ac:dyDescent="0.25">
      <c r="B35" s="60"/>
      <c r="C35" s="55"/>
      <c r="D35" s="55"/>
      <c r="E35" s="55"/>
      <c r="F35" s="60"/>
    </row>
    <row r="36" spans="2:6" x14ac:dyDescent="0.25">
      <c r="B36" s="60"/>
      <c r="C36" s="55"/>
      <c r="D36" s="55"/>
      <c r="E36" s="55"/>
      <c r="F36" s="60"/>
    </row>
    <row r="37" spans="2:6" ht="0.75" customHeight="1" thickBot="1" x14ac:dyDescent="0.3">
      <c r="B37" s="61"/>
      <c r="C37" s="56"/>
      <c r="D37" s="56"/>
      <c r="E37" s="56"/>
      <c r="F37" s="61"/>
    </row>
    <row r="39" spans="2:6" x14ac:dyDescent="0.25">
      <c r="B39" s="50" t="s">
        <v>41</v>
      </c>
      <c r="C39" s="50"/>
      <c r="D39" s="50"/>
      <c r="E39" s="66"/>
      <c r="F39" s="66" t="s">
        <v>43</v>
      </c>
    </row>
    <row r="40" spans="2:6" x14ac:dyDescent="0.25">
      <c r="B40" s="64"/>
      <c r="C40" s="64"/>
      <c r="D40" s="64"/>
      <c r="E40" s="65"/>
      <c r="F40" s="65"/>
    </row>
    <row r="41" spans="2:6" x14ac:dyDescent="0.25">
      <c r="B41" s="50" t="s">
        <v>42</v>
      </c>
      <c r="C41" s="50"/>
      <c r="D41" s="50"/>
      <c r="E41" s="50"/>
      <c r="F41" s="50"/>
    </row>
    <row r="42" spans="2:6" x14ac:dyDescent="0.25">
      <c r="B42" s="64"/>
      <c r="C42" s="64"/>
      <c r="D42" s="64"/>
      <c r="E42" s="52"/>
      <c r="F42" s="52"/>
    </row>
    <row r="43" spans="2:6" x14ac:dyDescent="0.25">
      <c r="B43" s="64"/>
      <c r="C43" s="64"/>
      <c r="D43" s="64"/>
      <c r="E43" s="465" t="s">
        <v>40</v>
      </c>
      <c r="F43" s="465"/>
    </row>
  </sheetData>
  <customSheetViews>
    <customSheetView guid="{D98A1565-B6EB-4D88-8DB8-23EB436D0197}" scale="50" state="hidden">
      <selection activeCell="I46" sqref="I46"/>
      <pageMargins left="0.7" right="0.7" top="0.75" bottom="0.75" header="0.3" footer="0.3"/>
      <pageSetup orientation="portrait" horizontalDpi="0" verticalDpi="0" r:id="rId1"/>
    </customSheetView>
  </customSheetViews>
  <mergeCells count="4">
    <mergeCell ref="C8:E8"/>
    <mergeCell ref="E21:F21"/>
    <mergeCell ref="E43:F43"/>
    <mergeCell ref="C30:E30"/>
  </mergeCell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B106"/>
  <sheetViews>
    <sheetView topLeftCell="A22" workbookViewId="0">
      <selection activeCell="A29" sqref="A29"/>
    </sheetView>
  </sheetViews>
  <sheetFormatPr baseColWidth="10" defaultRowHeight="15" x14ac:dyDescent="0.25"/>
  <cols>
    <col min="1" max="1" width="11.42578125" style="330"/>
  </cols>
  <sheetData>
    <row r="2" spans="1:28" ht="15.75" x14ac:dyDescent="0.25">
      <c r="B2" s="137"/>
      <c r="C2" s="137"/>
      <c r="D2" s="137"/>
      <c r="E2" s="137" t="s">
        <v>1537</v>
      </c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</row>
    <row r="3" spans="1:28" ht="15.75" x14ac:dyDescent="0.25">
      <c r="B3" s="137"/>
      <c r="C3" s="137"/>
      <c r="D3" s="137"/>
      <c r="E3" s="137"/>
      <c r="F3" s="137"/>
      <c r="G3" s="137" t="s">
        <v>1510</v>
      </c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</row>
    <row r="6" spans="1:28" ht="21" x14ac:dyDescent="0.35">
      <c r="A6" s="333"/>
      <c r="B6" s="334" t="s">
        <v>1579</v>
      </c>
    </row>
    <row r="7" spans="1:28" ht="21" x14ac:dyDescent="0.35">
      <c r="A7" s="333"/>
      <c r="B7" s="334"/>
    </row>
    <row r="8" spans="1:28" x14ac:dyDescent="0.25">
      <c r="A8" s="333">
        <v>1</v>
      </c>
      <c r="B8" s="332" t="s">
        <v>1551</v>
      </c>
    </row>
    <row r="9" spans="1:28" x14ac:dyDescent="0.25">
      <c r="A9" s="333">
        <v>1.1000000000000001</v>
      </c>
      <c r="B9" t="s">
        <v>1540</v>
      </c>
    </row>
    <row r="10" spans="1:28" x14ac:dyDescent="0.25">
      <c r="A10" s="333">
        <v>1.2</v>
      </c>
      <c r="B10" t="s">
        <v>1541</v>
      </c>
    </row>
    <row r="11" spans="1:28" x14ac:dyDescent="0.25">
      <c r="A11" s="333">
        <v>1.3</v>
      </c>
      <c r="B11" t="s">
        <v>1543</v>
      </c>
    </row>
    <row r="12" spans="1:28" x14ac:dyDescent="0.25">
      <c r="A12" s="333">
        <v>1.4</v>
      </c>
      <c r="B12" t="s">
        <v>1542</v>
      </c>
    </row>
    <row r="13" spans="1:28" x14ac:dyDescent="0.25">
      <c r="A13" s="333">
        <v>1.5</v>
      </c>
      <c r="B13" t="s">
        <v>1544</v>
      </c>
    </row>
    <row r="14" spans="1:28" x14ac:dyDescent="0.25">
      <c r="A14" s="333">
        <v>1.6</v>
      </c>
      <c r="B14" t="s">
        <v>1545</v>
      </c>
    </row>
    <row r="15" spans="1:28" x14ac:dyDescent="0.25">
      <c r="A15" s="333">
        <v>1.7</v>
      </c>
      <c r="B15" t="s">
        <v>1546</v>
      </c>
    </row>
    <row r="16" spans="1:28" x14ac:dyDescent="0.25">
      <c r="A16" s="333"/>
      <c r="G16" s="332" t="s">
        <v>1547</v>
      </c>
    </row>
    <row r="17" spans="1:14" x14ac:dyDescent="0.25">
      <c r="A17" s="333">
        <v>1.8</v>
      </c>
      <c r="B17" t="s">
        <v>1548</v>
      </c>
    </row>
    <row r="18" spans="1:14" x14ac:dyDescent="0.25">
      <c r="A18" s="333">
        <v>1.9</v>
      </c>
      <c r="B18" t="s">
        <v>1549</v>
      </c>
    </row>
    <row r="19" spans="1:14" x14ac:dyDescent="0.25">
      <c r="A19" s="335">
        <v>1.1000000000000001</v>
      </c>
      <c r="B19" t="s">
        <v>1550</v>
      </c>
    </row>
    <row r="20" spans="1:14" x14ac:dyDescent="0.25">
      <c r="A20" s="333">
        <v>2</v>
      </c>
      <c r="B20" s="332" t="s">
        <v>1552</v>
      </c>
    </row>
    <row r="21" spans="1:14" x14ac:dyDescent="0.25">
      <c r="A21" s="333">
        <v>2.1</v>
      </c>
      <c r="B21" t="s">
        <v>1554</v>
      </c>
    </row>
    <row r="22" spans="1:14" ht="6" customHeight="1" x14ac:dyDescent="0.25">
      <c r="A22" s="333"/>
    </row>
    <row r="23" spans="1:14" x14ac:dyDescent="0.25">
      <c r="A23" s="333">
        <v>3</v>
      </c>
      <c r="B23" s="332" t="s">
        <v>1553</v>
      </c>
    </row>
    <row r="24" spans="1:14" ht="29.25" customHeight="1" x14ac:dyDescent="0.25">
      <c r="A24" s="333">
        <v>3.1</v>
      </c>
      <c r="B24" s="331"/>
      <c r="C24" s="471" t="s">
        <v>1575</v>
      </c>
      <c r="D24" s="472"/>
      <c r="E24" s="331"/>
      <c r="F24" s="477" t="s">
        <v>1576</v>
      </c>
      <c r="G24" s="477" t="s">
        <v>1577</v>
      </c>
      <c r="H24" s="331"/>
      <c r="I24" s="331"/>
      <c r="J24" s="331"/>
      <c r="K24" s="331"/>
      <c r="L24" s="331"/>
      <c r="M24" s="331"/>
      <c r="N24" s="331"/>
    </row>
    <row r="25" spans="1:14" ht="29.25" customHeight="1" x14ac:dyDescent="0.25">
      <c r="A25" s="333"/>
      <c r="B25" s="331"/>
      <c r="C25" s="473"/>
      <c r="D25" s="474"/>
      <c r="E25" s="331"/>
      <c r="F25" s="478"/>
      <c r="G25" s="478"/>
      <c r="H25" s="331"/>
      <c r="I25" s="470" t="s">
        <v>1578</v>
      </c>
      <c r="J25" s="470"/>
      <c r="K25" s="470"/>
      <c r="L25" s="470"/>
      <c r="M25" s="470"/>
      <c r="N25" s="331"/>
    </row>
    <row r="26" spans="1:14" ht="29.25" customHeight="1" x14ac:dyDescent="0.25">
      <c r="A26" s="333"/>
      <c r="B26" s="331"/>
      <c r="C26" s="475"/>
      <c r="D26" s="476"/>
      <c r="E26" s="331"/>
      <c r="F26" s="479"/>
      <c r="G26" s="479"/>
      <c r="H26" s="331"/>
      <c r="I26" s="470"/>
      <c r="J26" s="470"/>
      <c r="K26" s="470"/>
      <c r="L26" s="470"/>
      <c r="M26" s="470"/>
      <c r="N26" s="331"/>
    </row>
    <row r="27" spans="1:14" ht="29.25" customHeight="1" x14ac:dyDescent="0.25">
      <c r="A27" s="333"/>
      <c r="B27" s="331"/>
      <c r="C27" s="331"/>
      <c r="D27" s="331"/>
      <c r="E27" s="331"/>
      <c r="F27" s="331"/>
      <c r="G27" s="331"/>
      <c r="H27" s="331"/>
      <c r="I27" s="331"/>
      <c r="J27" s="331"/>
      <c r="K27" s="331"/>
      <c r="L27" s="331"/>
      <c r="M27" s="331"/>
      <c r="N27" s="331"/>
    </row>
    <row r="28" spans="1:14" ht="29.25" customHeight="1" x14ac:dyDescent="0.25">
      <c r="A28" s="333"/>
      <c r="B28" s="331"/>
      <c r="C28" s="331"/>
      <c r="D28" s="331"/>
      <c r="E28" s="331"/>
      <c r="F28" s="331"/>
      <c r="G28" s="331"/>
      <c r="H28" s="331"/>
      <c r="I28" s="331"/>
      <c r="J28" s="331"/>
      <c r="K28" s="331"/>
      <c r="L28" s="331"/>
      <c r="M28" s="331"/>
      <c r="N28" s="331"/>
    </row>
    <row r="29" spans="1:14" ht="29.25" customHeight="1" x14ac:dyDescent="0.25">
      <c r="A29" s="333"/>
      <c r="B29" s="331"/>
      <c r="C29" s="331"/>
      <c r="D29" s="331"/>
      <c r="E29" s="331"/>
      <c r="F29" s="331"/>
      <c r="G29" s="331"/>
      <c r="H29" s="331"/>
      <c r="I29" s="331"/>
      <c r="J29" s="331"/>
      <c r="K29" s="331"/>
      <c r="L29" s="331"/>
      <c r="M29" s="331"/>
      <c r="N29" s="331"/>
    </row>
    <row r="30" spans="1:14" ht="29.25" customHeight="1" x14ac:dyDescent="0.25">
      <c r="A30" s="333"/>
      <c r="B30" s="331"/>
      <c r="C30" s="331"/>
      <c r="D30" s="331"/>
      <c r="E30" s="331"/>
      <c r="F30" s="331"/>
      <c r="G30" s="331"/>
      <c r="H30" s="331"/>
      <c r="I30" s="331"/>
      <c r="J30" s="331"/>
      <c r="K30" s="331"/>
      <c r="L30" s="331"/>
      <c r="M30" s="331"/>
      <c r="N30" s="331"/>
    </row>
    <row r="31" spans="1:14" ht="29.25" customHeight="1" x14ac:dyDescent="0.25">
      <c r="A31" s="333"/>
      <c r="B31" s="331"/>
      <c r="C31" s="331"/>
      <c r="D31" s="331"/>
      <c r="E31" s="331"/>
      <c r="F31" s="331"/>
      <c r="G31" s="331"/>
      <c r="H31" s="331"/>
      <c r="I31" s="331"/>
      <c r="J31" s="331"/>
      <c r="K31" s="331"/>
      <c r="L31" s="331"/>
      <c r="M31" s="331"/>
      <c r="N31" s="331"/>
    </row>
    <row r="32" spans="1:14" ht="29.25" customHeight="1" x14ac:dyDescent="0.25">
      <c r="A32" s="333"/>
      <c r="B32" s="331"/>
      <c r="C32" s="331"/>
      <c r="D32" s="331"/>
      <c r="E32" s="331"/>
      <c r="F32" s="331"/>
      <c r="G32" s="331"/>
      <c r="H32" s="331"/>
      <c r="I32" s="331"/>
      <c r="J32" s="331"/>
      <c r="K32" s="331"/>
      <c r="L32" s="331"/>
      <c r="M32" s="331"/>
      <c r="N32" s="331"/>
    </row>
    <row r="33" spans="1:14" ht="9" customHeight="1" x14ac:dyDescent="0.25">
      <c r="A33" s="333"/>
      <c r="B33" s="331"/>
      <c r="C33" s="331"/>
      <c r="D33" s="331"/>
      <c r="E33" s="331"/>
      <c r="F33" s="331"/>
      <c r="G33" s="331"/>
      <c r="H33" s="331"/>
      <c r="I33" s="331"/>
      <c r="J33" s="331"/>
      <c r="K33" s="331"/>
      <c r="L33" s="331"/>
      <c r="M33" s="331"/>
      <c r="N33" s="331"/>
    </row>
    <row r="34" spans="1:14" ht="10.5" customHeight="1" x14ac:dyDescent="0.25">
      <c r="A34" s="333"/>
    </row>
    <row r="35" spans="1:14" x14ac:dyDescent="0.25">
      <c r="A35" s="333">
        <v>4</v>
      </c>
      <c r="B35" s="332" t="s">
        <v>1555</v>
      </c>
    </row>
    <row r="36" spans="1:14" x14ac:dyDescent="0.25">
      <c r="A36" s="333">
        <v>4.0999999999999996</v>
      </c>
    </row>
    <row r="37" spans="1:14" x14ac:dyDescent="0.25">
      <c r="A37" s="333"/>
      <c r="C37" s="468" t="s">
        <v>1556</v>
      </c>
      <c r="D37" s="468"/>
      <c r="E37" s="468"/>
      <c r="F37" s="466" t="s">
        <v>1557</v>
      </c>
      <c r="G37" s="469" t="s">
        <v>1558</v>
      </c>
      <c r="H37" s="468" t="s">
        <v>1560</v>
      </c>
      <c r="I37" s="466" t="s">
        <v>1561</v>
      </c>
      <c r="J37" s="470" t="s">
        <v>1559</v>
      </c>
      <c r="K37" s="470"/>
      <c r="L37" s="466" t="s">
        <v>1561</v>
      </c>
    </row>
    <row r="38" spans="1:14" x14ac:dyDescent="0.25">
      <c r="A38" s="333"/>
      <c r="C38" s="468"/>
      <c r="D38" s="468"/>
      <c r="E38" s="468"/>
      <c r="F38" s="466"/>
      <c r="G38" s="469"/>
      <c r="H38" s="468"/>
      <c r="I38" s="466"/>
      <c r="J38" s="470"/>
      <c r="K38" s="470"/>
      <c r="L38" s="466"/>
    </row>
    <row r="39" spans="1:14" x14ac:dyDescent="0.25">
      <c r="A39" s="333"/>
      <c r="C39" s="468"/>
      <c r="D39" s="468"/>
      <c r="E39" s="468"/>
      <c r="F39" s="466"/>
      <c r="G39" s="469"/>
      <c r="H39" s="468"/>
      <c r="I39" s="466"/>
      <c r="J39" s="470"/>
      <c r="K39" s="470"/>
      <c r="L39" s="466"/>
    </row>
    <row r="40" spans="1:14" x14ac:dyDescent="0.25">
      <c r="A40" s="333"/>
      <c r="C40" s="468"/>
      <c r="D40" s="468"/>
      <c r="E40" s="468"/>
      <c r="F40" s="466"/>
      <c r="G40" s="469"/>
      <c r="H40" s="468"/>
      <c r="I40" s="466"/>
      <c r="J40" s="470"/>
      <c r="K40" s="470"/>
      <c r="L40" s="466"/>
    </row>
    <row r="41" spans="1:14" x14ac:dyDescent="0.25">
      <c r="A41" s="333"/>
    </row>
    <row r="42" spans="1:14" x14ac:dyDescent="0.25">
      <c r="A42" s="333"/>
    </row>
    <row r="43" spans="1:14" x14ac:dyDescent="0.25">
      <c r="A43" s="333"/>
    </row>
    <row r="44" spans="1:14" x14ac:dyDescent="0.25">
      <c r="A44" s="333"/>
    </row>
    <row r="45" spans="1:14" x14ac:dyDescent="0.25">
      <c r="A45" s="333"/>
    </row>
    <row r="46" spans="1:14" x14ac:dyDescent="0.25">
      <c r="A46" s="333"/>
    </row>
    <row r="47" spans="1:14" x14ac:dyDescent="0.25">
      <c r="A47" s="333"/>
    </row>
    <row r="48" spans="1:14" x14ac:dyDescent="0.25">
      <c r="A48" s="333"/>
    </row>
    <row r="49" spans="1:12" x14ac:dyDescent="0.25">
      <c r="A49" s="333"/>
    </row>
    <row r="50" spans="1:12" x14ac:dyDescent="0.25">
      <c r="A50" s="333"/>
    </row>
    <row r="51" spans="1:12" x14ac:dyDescent="0.25">
      <c r="A51" s="333"/>
    </row>
    <row r="52" spans="1:12" x14ac:dyDescent="0.25">
      <c r="A52" s="333">
        <v>4.2</v>
      </c>
      <c r="C52" s="481" t="s">
        <v>1562</v>
      </c>
      <c r="D52" s="481"/>
      <c r="F52" s="467" t="s">
        <v>1563</v>
      </c>
      <c r="G52" s="467" t="s">
        <v>1564</v>
      </c>
      <c r="H52" s="467" t="s">
        <v>1565</v>
      </c>
      <c r="I52" s="467" t="s">
        <v>1561</v>
      </c>
      <c r="J52" s="482" t="s">
        <v>1566</v>
      </c>
      <c r="K52" s="482"/>
      <c r="L52" s="480" t="s">
        <v>1561</v>
      </c>
    </row>
    <row r="53" spans="1:12" x14ac:dyDescent="0.25">
      <c r="A53" s="333"/>
      <c r="C53" s="481"/>
      <c r="D53" s="481"/>
      <c r="F53" s="467"/>
      <c r="G53" s="467"/>
      <c r="H53" s="467"/>
      <c r="I53" s="467"/>
      <c r="J53" s="482"/>
      <c r="K53" s="482"/>
      <c r="L53" s="480"/>
    </row>
    <row r="54" spans="1:12" x14ac:dyDescent="0.25">
      <c r="A54" s="333"/>
      <c r="C54" s="481"/>
      <c r="D54" s="481"/>
      <c r="F54" s="467"/>
      <c r="G54" s="467"/>
      <c r="H54" s="467"/>
      <c r="I54" s="467"/>
      <c r="J54" s="482"/>
      <c r="K54" s="482"/>
      <c r="L54" s="480"/>
    </row>
    <row r="55" spans="1:12" x14ac:dyDescent="0.25">
      <c r="A55" s="333"/>
      <c r="C55" s="481"/>
      <c r="D55" s="481"/>
      <c r="F55" s="467"/>
      <c r="G55" s="467"/>
      <c r="H55" s="467"/>
      <c r="I55" s="467"/>
      <c r="J55" s="482"/>
      <c r="K55" s="482"/>
      <c r="L55" s="480"/>
    </row>
    <row r="56" spans="1:12" x14ac:dyDescent="0.25">
      <c r="A56" s="333"/>
    </row>
    <row r="57" spans="1:12" x14ac:dyDescent="0.25">
      <c r="A57" s="333"/>
    </row>
    <row r="58" spans="1:12" x14ac:dyDescent="0.25">
      <c r="A58" s="333"/>
    </row>
    <row r="59" spans="1:12" x14ac:dyDescent="0.25">
      <c r="A59" s="333"/>
    </row>
    <row r="60" spans="1:12" x14ac:dyDescent="0.25">
      <c r="A60" s="333"/>
    </row>
    <row r="61" spans="1:12" x14ac:dyDescent="0.25">
      <c r="A61" s="333"/>
    </row>
    <row r="62" spans="1:12" x14ac:dyDescent="0.25">
      <c r="A62" s="333"/>
    </row>
    <row r="63" spans="1:12" x14ac:dyDescent="0.25">
      <c r="A63" s="333"/>
    </row>
    <row r="64" spans="1:12" x14ac:dyDescent="0.25">
      <c r="A64" s="333"/>
    </row>
    <row r="65" spans="1:9" x14ac:dyDescent="0.25">
      <c r="A65" s="333"/>
    </row>
    <row r="66" spans="1:9" x14ac:dyDescent="0.25">
      <c r="A66" s="333"/>
    </row>
    <row r="67" spans="1:9" x14ac:dyDescent="0.25">
      <c r="A67" s="333">
        <v>5</v>
      </c>
      <c r="B67" s="332" t="s">
        <v>1534</v>
      </c>
    </row>
    <row r="68" spans="1:9" x14ac:dyDescent="0.25">
      <c r="A68" s="333">
        <v>5.0999999999999996</v>
      </c>
      <c r="B68" t="s">
        <v>1567</v>
      </c>
    </row>
    <row r="69" spans="1:9" x14ac:dyDescent="0.25">
      <c r="A69" s="333" t="s">
        <v>1538</v>
      </c>
      <c r="B69" t="s">
        <v>1568</v>
      </c>
    </row>
    <row r="70" spans="1:9" ht="6" customHeight="1" x14ac:dyDescent="0.25">
      <c r="A70" s="333"/>
    </row>
    <row r="71" spans="1:9" ht="6" customHeight="1" x14ac:dyDescent="0.25">
      <c r="A71" s="333"/>
    </row>
    <row r="72" spans="1:9" x14ac:dyDescent="0.25">
      <c r="A72" s="333"/>
      <c r="D72" s="468" t="s">
        <v>1569</v>
      </c>
      <c r="E72" s="468"/>
      <c r="F72" s="468"/>
      <c r="G72" s="468" t="s">
        <v>1570</v>
      </c>
      <c r="H72" s="468"/>
      <c r="I72" s="468" t="s">
        <v>1561</v>
      </c>
    </row>
    <row r="73" spans="1:9" x14ac:dyDescent="0.25">
      <c r="A73" s="333"/>
      <c r="D73" s="468"/>
      <c r="E73" s="468"/>
      <c r="F73" s="468"/>
      <c r="G73" s="468"/>
      <c r="H73" s="468"/>
      <c r="I73" s="468"/>
    </row>
    <row r="74" spans="1:9" x14ac:dyDescent="0.25">
      <c r="A74" s="333"/>
      <c r="D74" s="468"/>
      <c r="E74" s="468"/>
      <c r="F74" s="468"/>
      <c r="G74" s="468"/>
      <c r="H74" s="468"/>
      <c r="I74" s="468"/>
    </row>
    <row r="75" spans="1:9" x14ac:dyDescent="0.25">
      <c r="A75" s="333"/>
    </row>
    <row r="76" spans="1:9" x14ac:dyDescent="0.25">
      <c r="A76" s="333"/>
    </row>
    <row r="77" spans="1:9" x14ac:dyDescent="0.25">
      <c r="A77" s="333"/>
    </row>
    <row r="78" spans="1:9" x14ac:dyDescent="0.25">
      <c r="A78" s="333"/>
    </row>
    <row r="79" spans="1:9" x14ac:dyDescent="0.25">
      <c r="A79" s="333"/>
    </row>
    <row r="80" spans="1:9" x14ac:dyDescent="0.25">
      <c r="A80" s="333"/>
    </row>
    <row r="81" spans="1:9" x14ac:dyDescent="0.25">
      <c r="A81" s="333"/>
    </row>
    <row r="82" spans="1:9" x14ac:dyDescent="0.25">
      <c r="A82" s="333"/>
    </row>
    <row r="83" spans="1:9" x14ac:dyDescent="0.25">
      <c r="A83" s="333"/>
    </row>
    <row r="84" spans="1:9" x14ac:dyDescent="0.25">
      <c r="A84" s="333"/>
    </row>
    <row r="85" spans="1:9" x14ac:dyDescent="0.25">
      <c r="A85" s="333"/>
    </row>
    <row r="86" spans="1:9" x14ac:dyDescent="0.25">
      <c r="A86" s="333"/>
    </row>
    <row r="87" spans="1:9" x14ac:dyDescent="0.25">
      <c r="A87" s="333"/>
    </row>
    <row r="88" spans="1:9" x14ac:dyDescent="0.25">
      <c r="A88" s="333"/>
    </row>
    <row r="89" spans="1:9" x14ac:dyDescent="0.25">
      <c r="A89" s="336" t="s">
        <v>1539</v>
      </c>
      <c r="D89" s="468" t="s">
        <v>1571</v>
      </c>
      <c r="E89" s="468"/>
      <c r="F89" s="468"/>
      <c r="G89" s="468" t="s">
        <v>1570</v>
      </c>
      <c r="H89" s="468"/>
      <c r="I89" s="468" t="s">
        <v>1561</v>
      </c>
    </row>
    <row r="90" spans="1:9" x14ac:dyDescent="0.25">
      <c r="A90" s="333"/>
      <c r="D90" s="468"/>
      <c r="E90" s="468"/>
      <c r="F90" s="468"/>
      <c r="G90" s="468"/>
      <c r="H90" s="468"/>
      <c r="I90" s="468"/>
    </row>
    <row r="91" spans="1:9" x14ac:dyDescent="0.25">
      <c r="A91" s="333"/>
      <c r="D91" s="468"/>
      <c r="E91" s="468"/>
      <c r="F91" s="468"/>
      <c r="G91" s="468"/>
      <c r="H91" s="468"/>
      <c r="I91" s="468"/>
    </row>
    <row r="92" spans="1:9" x14ac:dyDescent="0.25">
      <c r="A92" s="333"/>
      <c r="D92" s="468"/>
      <c r="E92" s="468"/>
      <c r="F92" s="468"/>
      <c r="G92" s="468"/>
      <c r="H92" s="468"/>
      <c r="I92" s="468"/>
    </row>
    <row r="93" spans="1:9" x14ac:dyDescent="0.25">
      <c r="A93" s="333"/>
    </row>
    <row r="94" spans="1:9" x14ac:dyDescent="0.25">
      <c r="A94" s="333"/>
    </row>
    <row r="95" spans="1:9" x14ac:dyDescent="0.25">
      <c r="A95" s="333"/>
    </row>
    <row r="96" spans="1:9" x14ac:dyDescent="0.25">
      <c r="A96" s="333"/>
    </row>
    <row r="97" spans="1:2" x14ac:dyDescent="0.25">
      <c r="A97" s="333"/>
    </row>
    <row r="98" spans="1:2" x14ac:dyDescent="0.25">
      <c r="A98" s="333"/>
    </row>
    <row r="99" spans="1:2" x14ac:dyDescent="0.25">
      <c r="A99" s="333"/>
    </row>
    <row r="100" spans="1:2" x14ac:dyDescent="0.25">
      <c r="A100" s="333"/>
    </row>
    <row r="101" spans="1:2" x14ac:dyDescent="0.25">
      <c r="A101" s="333"/>
    </row>
    <row r="102" spans="1:2" x14ac:dyDescent="0.25">
      <c r="A102" s="333"/>
    </row>
    <row r="103" spans="1:2" x14ac:dyDescent="0.25">
      <c r="A103" s="333"/>
    </row>
    <row r="104" spans="1:2" x14ac:dyDescent="0.25">
      <c r="A104" s="333">
        <v>5.2</v>
      </c>
      <c r="B104" t="s">
        <v>1572</v>
      </c>
    </row>
    <row r="105" spans="1:2" x14ac:dyDescent="0.25">
      <c r="A105" s="333">
        <v>6</v>
      </c>
      <c r="B105" s="332" t="s">
        <v>1573</v>
      </c>
    </row>
    <row r="106" spans="1:2" x14ac:dyDescent="0.25">
      <c r="A106" s="333">
        <v>6.1</v>
      </c>
      <c r="B106" t="s">
        <v>1574</v>
      </c>
    </row>
  </sheetData>
  <mergeCells count="24">
    <mergeCell ref="D89:F92"/>
    <mergeCell ref="G89:H92"/>
    <mergeCell ref="I89:I92"/>
    <mergeCell ref="C24:D26"/>
    <mergeCell ref="F24:F26"/>
    <mergeCell ref="G24:G26"/>
    <mergeCell ref="I25:M26"/>
    <mergeCell ref="L52:L55"/>
    <mergeCell ref="D72:F74"/>
    <mergeCell ref="G72:H74"/>
    <mergeCell ref="I72:I74"/>
    <mergeCell ref="C52:D55"/>
    <mergeCell ref="F52:F55"/>
    <mergeCell ref="G52:G55"/>
    <mergeCell ref="H52:H55"/>
    <mergeCell ref="J52:K55"/>
    <mergeCell ref="L37:L40"/>
    <mergeCell ref="I52:I55"/>
    <mergeCell ref="C37:E40"/>
    <mergeCell ref="F37:F40"/>
    <mergeCell ref="G37:G40"/>
    <mergeCell ref="J37:K40"/>
    <mergeCell ref="H37:H40"/>
    <mergeCell ref="I37:I40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8:BC296"/>
  <sheetViews>
    <sheetView topLeftCell="A28" zoomScale="55" zoomScaleNormal="55" zoomScaleSheetLayoutView="30" zoomScalePageLayoutView="85" workbookViewId="0">
      <selection activeCell="C38" sqref="C38:E38"/>
    </sheetView>
  </sheetViews>
  <sheetFormatPr baseColWidth="10" defaultRowHeight="15" x14ac:dyDescent="0.2"/>
  <cols>
    <col min="1" max="1" width="11.42578125" style="135"/>
    <col min="2" max="2" width="16.85546875" style="135" customWidth="1"/>
    <col min="3" max="3" width="11.42578125" style="135"/>
    <col min="4" max="4" width="16.28515625" style="135" customWidth="1"/>
    <col min="5" max="5" width="16.42578125" style="135" customWidth="1"/>
    <col min="6" max="6" width="17.140625" style="135" customWidth="1"/>
    <col min="7" max="7" width="17.140625" style="135" hidden="1" customWidth="1"/>
    <col min="8" max="8" width="22" style="135" customWidth="1"/>
    <col min="9" max="9" width="15.42578125" style="135" hidden="1" customWidth="1"/>
    <col min="10" max="10" width="23.42578125" style="135" customWidth="1"/>
    <col min="11" max="11" width="10.140625" style="135" bestFit="1" customWidth="1"/>
    <col min="12" max="12" width="19.28515625" style="135" customWidth="1"/>
    <col min="13" max="13" width="20.28515625" style="135" bestFit="1" customWidth="1"/>
    <col min="14" max="14" width="5.7109375" style="135" bestFit="1" customWidth="1"/>
    <col min="15" max="15" width="18.85546875" style="135" customWidth="1"/>
    <col min="16" max="16" width="19.42578125" style="135" hidden="1" customWidth="1"/>
    <col min="17" max="17" width="19.42578125" style="135" customWidth="1"/>
    <col min="18" max="18" width="19.42578125" style="128" customWidth="1"/>
    <col min="19" max="20" width="19.42578125" style="128" hidden="1" customWidth="1"/>
    <col min="21" max="21" width="19.42578125" style="128" customWidth="1"/>
    <col min="22" max="22" width="19.42578125" style="128" hidden="1" customWidth="1"/>
    <col min="23" max="23" width="22.42578125" style="135" customWidth="1"/>
    <col min="24" max="24" width="19.140625" style="135" customWidth="1"/>
    <col min="25" max="25" width="19.140625" style="135" hidden="1" customWidth="1"/>
    <col min="26" max="26" width="24.85546875" style="135" customWidth="1"/>
    <col min="27" max="27" width="17.5703125" style="135" hidden="1" customWidth="1"/>
    <col min="28" max="28" width="14.7109375" style="135" customWidth="1"/>
    <col min="29" max="29" width="16.5703125" style="135" customWidth="1"/>
    <col min="30" max="30" width="16.5703125" style="135" hidden="1" customWidth="1"/>
    <col min="31" max="31" width="19.28515625" style="135" customWidth="1"/>
    <col min="32" max="32" width="19.28515625" style="135" hidden="1" customWidth="1"/>
    <col min="33" max="33" width="20.140625" style="135" customWidth="1"/>
    <col min="34" max="34" width="17.28515625" style="135" customWidth="1"/>
    <col min="35" max="35" width="17.28515625" style="135" hidden="1" customWidth="1"/>
    <col min="36" max="36" width="19.5703125" style="135" customWidth="1"/>
    <col min="37" max="37" width="19.5703125" style="135" hidden="1" customWidth="1"/>
    <col min="38" max="39" width="19.5703125" style="135" customWidth="1"/>
    <col min="40" max="40" width="19.5703125" style="135" hidden="1" customWidth="1"/>
    <col min="41" max="41" width="19.5703125" style="135" customWidth="1"/>
    <col min="42" max="42" width="19.5703125" style="135" hidden="1" customWidth="1"/>
    <col min="43" max="43" width="19.5703125" style="135" customWidth="1"/>
    <col min="44" max="44" width="19.5703125" style="136" customWidth="1"/>
    <col min="45" max="45" width="19.5703125" style="136" hidden="1" customWidth="1"/>
    <col min="46" max="46" width="19.5703125" style="135" customWidth="1"/>
    <col min="47" max="47" width="19.5703125" style="135" hidden="1" customWidth="1"/>
    <col min="48" max="48" width="19.5703125" style="136" customWidth="1"/>
    <col min="49" max="49" width="19.5703125" style="135" customWidth="1"/>
    <col min="50" max="50" width="19.5703125" style="135" hidden="1" customWidth="1"/>
    <col min="51" max="51" width="19.5703125" style="135" customWidth="1"/>
    <col min="52" max="52" width="19.5703125" style="135" hidden="1" customWidth="1"/>
    <col min="53" max="53" width="23.42578125" style="135" customWidth="1"/>
    <col min="54" max="54" width="24.5703125" style="135" customWidth="1"/>
    <col min="55" max="55" width="14.5703125" style="135" bestFit="1" customWidth="1"/>
    <col min="56" max="16384" width="11.42578125" style="135"/>
  </cols>
  <sheetData>
    <row r="8" spans="1:39" ht="15.75" x14ac:dyDescent="0.2">
      <c r="B8" s="501" t="s">
        <v>1537</v>
      </c>
      <c r="C8" s="501"/>
      <c r="D8" s="501"/>
      <c r="E8" s="501"/>
      <c r="F8" s="501" t="b">
        <v>1</v>
      </c>
      <c r="G8" s="501"/>
      <c r="H8" s="501"/>
      <c r="I8" s="501"/>
      <c r="J8" s="501"/>
      <c r="K8" s="501"/>
      <c r="L8" s="501"/>
      <c r="M8" s="501"/>
      <c r="N8" s="501"/>
      <c r="O8" s="501"/>
      <c r="P8" s="501"/>
      <c r="Q8" s="501"/>
      <c r="R8" s="501"/>
      <c r="S8" s="501"/>
      <c r="T8" s="501"/>
      <c r="U8" s="501"/>
      <c r="V8" s="501"/>
      <c r="W8" s="501"/>
      <c r="X8" s="501"/>
      <c r="Y8" s="501"/>
      <c r="Z8" s="501"/>
      <c r="AA8" s="501"/>
      <c r="AB8" s="501"/>
      <c r="AC8" s="501"/>
      <c r="AD8" s="134"/>
      <c r="AE8" s="301"/>
      <c r="AF8" s="301"/>
      <c r="AG8" s="502"/>
      <c r="AH8" s="502"/>
      <c r="AI8" s="302"/>
      <c r="AJ8" s="136"/>
      <c r="AK8" s="136"/>
      <c r="AL8" s="136"/>
      <c r="AM8" s="136"/>
    </row>
    <row r="9" spans="1:39" ht="15.75" x14ac:dyDescent="0.2">
      <c r="B9" s="501" t="s">
        <v>1665</v>
      </c>
      <c r="C9" s="501"/>
      <c r="D9" s="501"/>
      <c r="E9" s="501"/>
      <c r="F9" s="501"/>
      <c r="G9" s="501"/>
      <c r="H9" s="501"/>
      <c r="I9" s="501"/>
      <c r="J9" s="501"/>
      <c r="K9" s="501"/>
      <c r="L9" s="501"/>
      <c r="M9" s="501"/>
      <c r="N9" s="501"/>
      <c r="O9" s="501"/>
      <c r="P9" s="501"/>
      <c r="Q9" s="501"/>
      <c r="R9" s="501"/>
      <c r="S9" s="501"/>
      <c r="T9" s="501"/>
      <c r="U9" s="501"/>
      <c r="V9" s="501"/>
      <c r="W9" s="501"/>
      <c r="X9" s="501"/>
      <c r="Y9" s="501"/>
      <c r="Z9" s="501"/>
      <c r="AA9" s="501"/>
      <c r="AB9" s="501"/>
      <c r="AC9" s="501"/>
      <c r="AD9" s="134"/>
      <c r="AE9" s="137"/>
      <c r="AF9" s="137"/>
      <c r="AG9" s="137"/>
      <c r="AH9" s="137"/>
      <c r="AI9" s="137"/>
    </row>
    <row r="10" spans="1:39" ht="15.75" x14ac:dyDescent="0.2">
      <c r="B10" s="134"/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4"/>
      <c r="N10" s="134"/>
      <c r="O10" s="134"/>
      <c r="P10" s="134"/>
      <c r="Q10" s="134"/>
      <c r="R10" s="138"/>
      <c r="S10" s="138"/>
      <c r="T10" s="138"/>
      <c r="U10" s="138"/>
      <c r="V10" s="138"/>
      <c r="W10" s="134"/>
      <c r="X10" s="134"/>
      <c r="Y10" s="134"/>
      <c r="Z10" s="134"/>
      <c r="AA10" s="134"/>
      <c r="AB10" s="134"/>
      <c r="AC10" s="134"/>
      <c r="AD10" s="134"/>
      <c r="AE10" s="134"/>
      <c r="AF10" s="134"/>
      <c r="AG10" s="134"/>
      <c r="AH10" s="134"/>
      <c r="AI10" s="134"/>
    </row>
    <row r="11" spans="1:39" ht="30" customHeight="1" x14ac:dyDescent="0.2">
      <c r="A11" s="322">
        <v>1.1000000000000001</v>
      </c>
      <c r="B11" s="508" t="s">
        <v>1</v>
      </c>
      <c r="C11" s="508"/>
      <c r="D11" s="508"/>
      <c r="E11" s="509" t="s">
        <v>1677</v>
      </c>
      <c r="F11" s="509"/>
      <c r="G11" s="509"/>
      <c r="H11" s="509"/>
      <c r="I11" s="509"/>
      <c r="J11" s="509"/>
      <c r="K11" s="509"/>
      <c r="L11" s="509"/>
      <c r="M11" s="509"/>
      <c r="N11" s="509"/>
      <c r="O11" s="509"/>
      <c r="P11" s="139"/>
      <c r="Q11" s="140"/>
      <c r="R11" s="141"/>
      <c r="S11" s="141"/>
      <c r="T11" s="141"/>
      <c r="U11" s="141"/>
      <c r="V11" s="141"/>
      <c r="W11" s="140"/>
      <c r="X11" s="325">
        <v>1.2</v>
      </c>
      <c r="Y11" s="140"/>
      <c r="Z11" s="510" t="s">
        <v>1536</v>
      </c>
      <c r="AA11" s="510"/>
      <c r="AB11" s="511"/>
      <c r="AC11" s="511"/>
      <c r="AD11" s="142"/>
      <c r="AE11" s="512"/>
      <c r="AF11" s="512"/>
      <c r="AG11" s="512"/>
      <c r="AH11" s="512"/>
      <c r="AI11" s="143"/>
    </row>
    <row r="12" spans="1:39" ht="15.75" x14ac:dyDescent="0.2">
      <c r="A12" s="322"/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8"/>
      <c r="S12" s="138"/>
      <c r="T12" s="138"/>
      <c r="U12" s="138"/>
      <c r="V12" s="138"/>
      <c r="W12" s="134"/>
      <c r="X12" s="326"/>
      <c r="Y12" s="134"/>
      <c r="Z12" s="134"/>
      <c r="AA12" s="134"/>
      <c r="AB12" s="134"/>
      <c r="AC12" s="134"/>
      <c r="AD12" s="134"/>
      <c r="AE12" s="144"/>
      <c r="AF12" s="144"/>
      <c r="AG12" s="144"/>
      <c r="AH12" s="144"/>
      <c r="AI12" s="144"/>
    </row>
    <row r="13" spans="1:39" ht="36.75" customHeight="1" x14ac:dyDescent="0.2">
      <c r="A13" s="322">
        <v>1.3</v>
      </c>
      <c r="B13" s="508" t="s">
        <v>3</v>
      </c>
      <c r="C13" s="508"/>
      <c r="D13" s="508"/>
      <c r="E13" s="517" t="s">
        <v>1678</v>
      </c>
      <c r="F13" s="517"/>
      <c r="G13" s="517"/>
      <c r="H13" s="517"/>
      <c r="I13" s="517"/>
      <c r="J13" s="517"/>
      <c r="K13" s="517"/>
      <c r="L13" s="517"/>
      <c r="M13" s="517"/>
      <c r="N13" s="517"/>
      <c r="O13" s="517"/>
      <c r="P13" s="145"/>
      <c r="Q13" s="146"/>
      <c r="R13" s="147"/>
      <c r="S13" s="147"/>
      <c r="T13" s="147"/>
      <c r="U13" s="147"/>
      <c r="V13" s="147"/>
      <c r="W13" s="146"/>
      <c r="X13" s="327"/>
      <c r="Y13" s="146"/>
      <c r="Z13" s="500"/>
      <c r="AA13" s="500"/>
      <c r="AB13" s="503"/>
      <c r="AC13" s="503"/>
      <c r="AD13" s="316"/>
      <c r="AE13" s="504"/>
      <c r="AF13" s="504"/>
      <c r="AG13" s="504"/>
      <c r="AH13" s="504"/>
      <c r="AI13" s="143"/>
    </row>
    <row r="14" spans="1:39" ht="15.75" x14ac:dyDescent="0.2">
      <c r="A14" s="322"/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8"/>
      <c r="S14" s="138"/>
      <c r="T14" s="138"/>
      <c r="U14" s="138"/>
      <c r="V14" s="138"/>
      <c r="W14" s="134"/>
      <c r="X14" s="326"/>
      <c r="Y14" s="134"/>
      <c r="Z14" s="134"/>
      <c r="AA14" s="134"/>
      <c r="AB14" s="134"/>
      <c r="AC14" s="134"/>
      <c r="AD14" s="134"/>
      <c r="AE14" s="144"/>
      <c r="AF14" s="144"/>
      <c r="AG14" s="144"/>
      <c r="AH14" s="144"/>
      <c r="AI14" s="144"/>
    </row>
    <row r="15" spans="1:39" ht="37.5" customHeight="1" x14ac:dyDescent="0.2">
      <c r="A15" s="322">
        <v>1.4</v>
      </c>
      <c r="B15" s="506" t="s">
        <v>52</v>
      </c>
      <c r="C15" s="506"/>
      <c r="D15" s="506"/>
      <c r="E15" s="519">
        <v>43497</v>
      </c>
      <c r="F15" s="519"/>
      <c r="G15" s="519"/>
      <c r="H15" s="519"/>
      <c r="I15" s="149"/>
      <c r="J15" s="150"/>
      <c r="K15" s="150"/>
      <c r="L15" s="150"/>
      <c r="M15" s="150"/>
      <c r="N15" s="150"/>
      <c r="O15" s="150"/>
      <c r="P15" s="150"/>
      <c r="Q15" s="150"/>
      <c r="R15" s="127"/>
      <c r="S15" s="127"/>
      <c r="T15" s="127"/>
      <c r="U15" s="127"/>
      <c r="V15" s="127"/>
      <c r="W15" s="150"/>
      <c r="X15" s="328">
        <v>1.5</v>
      </c>
      <c r="Z15" s="513" t="s">
        <v>53</v>
      </c>
      <c r="AA15" s="513"/>
      <c r="AB15" s="514"/>
      <c r="AC15" s="514"/>
      <c r="AD15" s="151"/>
      <c r="AE15" s="519">
        <v>43856</v>
      </c>
      <c r="AF15" s="519"/>
      <c r="AG15" s="522"/>
      <c r="AH15" s="522"/>
      <c r="AI15" s="152"/>
    </row>
    <row r="16" spans="1:39" ht="23.25" customHeight="1" x14ac:dyDescent="0.2">
      <c r="A16" s="322"/>
      <c r="B16" s="153"/>
      <c r="C16" s="154"/>
      <c r="D16" s="155"/>
      <c r="E16" s="317" t="s">
        <v>1442</v>
      </c>
      <c r="F16" s="315" t="s">
        <v>84</v>
      </c>
      <c r="G16" s="315"/>
      <c r="H16" s="317" t="s">
        <v>1512</v>
      </c>
      <c r="I16" s="101"/>
      <c r="J16" s="425" t="s">
        <v>1666</v>
      </c>
      <c r="K16" s="150"/>
      <c r="L16" s="150"/>
      <c r="M16" s="150"/>
      <c r="N16" s="150"/>
      <c r="O16" s="150"/>
      <c r="P16" s="150"/>
      <c r="Q16" s="150"/>
      <c r="R16" s="127"/>
      <c r="S16" s="127"/>
      <c r="T16" s="127"/>
      <c r="U16" s="127"/>
      <c r="V16" s="127"/>
      <c r="W16" s="150"/>
      <c r="X16" s="328"/>
      <c r="Z16" s="156"/>
      <c r="AA16" s="156"/>
      <c r="AB16" s="151"/>
      <c r="AC16" s="151"/>
      <c r="AD16" s="151"/>
      <c r="AE16" s="154"/>
      <c r="AF16" s="154"/>
      <c r="AG16" s="155"/>
      <c r="AH16" s="155"/>
      <c r="AI16" s="155"/>
    </row>
    <row r="17" spans="1:35" s="136" customFormat="1" ht="27" customHeight="1" x14ac:dyDescent="0.2">
      <c r="A17" s="323">
        <v>1.6</v>
      </c>
      <c r="B17" s="507" t="s">
        <v>1511</v>
      </c>
      <c r="C17" s="507"/>
      <c r="D17" s="507"/>
      <c r="E17" s="157">
        <f>+AE15-E15+1</f>
        <v>360</v>
      </c>
      <c r="F17" s="158">
        <f>+E17/30</f>
        <v>12</v>
      </c>
      <c r="G17" s="158"/>
      <c r="H17" s="159">
        <f>ROUND(F17,0)</f>
        <v>12</v>
      </c>
      <c r="I17" s="160"/>
      <c r="J17" s="323" t="s">
        <v>1675</v>
      </c>
      <c r="O17" s="161"/>
      <c r="P17" s="161"/>
      <c r="Q17" s="161"/>
      <c r="R17" s="129"/>
      <c r="S17" s="129"/>
      <c r="T17" s="129"/>
      <c r="U17" s="129"/>
      <c r="V17" s="129"/>
      <c r="W17" s="161"/>
      <c r="X17" s="329"/>
      <c r="Z17" s="95"/>
      <c r="AA17" s="95"/>
      <c r="AB17" s="162"/>
      <c r="AC17" s="162"/>
      <c r="AD17" s="162"/>
      <c r="AE17" s="154"/>
      <c r="AF17" s="154"/>
      <c r="AG17" s="155"/>
      <c r="AH17" s="155"/>
      <c r="AI17" s="155"/>
    </row>
    <row r="18" spans="1:35" s="136" customFormat="1" ht="19.5" customHeight="1" x14ac:dyDescent="0.25">
      <c r="A18" s="323"/>
      <c r="B18" s="163"/>
      <c r="C18" s="154"/>
      <c r="D18" s="157"/>
      <c r="E18" s="155"/>
      <c r="F18" s="164" t="s">
        <v>1445</v>
      </c>
      <c r="G18" s="164"/>
      <c r="H18" s="161"/>
      <c r="I18" s="161"/>
      <c r="J18" s="161"/>
      <c r="K18" s="161"/>
      <c r="L18" s="161"/>
      <c r="M18" s="161"/>
      <c r="N18" s="161"/>
      <c r="O18" s="161"/>
      <c r="P18" s="161"/>
      <c r="Q18" s="161"/>
      <c r="R18" s="129"/>
      <c r="S18" s="129"/>
      <c r="T18" s="129"/>
      <c r="U18" s="129"/>
      <c r="V18" s="129"/>
      <c r="W18" s="161"/>
      <c r="X18" s="329"/>
      <c r="Z18" s="95"/>
      <c r="AA18" s="95"/>
      <c r="AB18" s="162"/>
      <c r="AC18" s="162"/>
      <c r="AD18" s="162"/>
      <c r="AE18" s="154"/>
      <c r="AF18" s="154"/>
      <c r="AG18" s="155"/>
      <c r="AH18" s="155"/>
      <c r="AI18" s="155"/>
    </row>
    <row r="19" spans="1:35" s="136" customFormat="1" ht="48" customHeight="1" x14ac:dyDescent="0.2">
      <c r="A19" s="323">
        <v>1.7</v>
      </c>
      <c r="B19" s="500" t="s">
        <v>93</v>
      </c>
      <c r="C19" s="500"/>
      <c r="D19" s="500"/>
      <c r="E19" s="266" t="s">
        <v>94</v>
      </c>
      <c r="F19" s="267">
        <v>30</v>
      </c>
      <c r="G19" s="165"/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29"/>
      <c r="S19" s="129"/>
      <c r="T19" s="129"/>
      <c r="U19" s="129"/>
      <c r="V19" s="129"/>
      <c r="W19" s="161"/>
      <c r="X19" s="329"/>
      <c r="Z19" s="507"/>
      <c r="AA19" s="507"/>
      <c r="AB19" s="507"/>
      <c r="AC19" s="507"/>
      <c r="AD19" s="320"/>
      <c r="AE19" s="154"/>
      <c r="AF19" s="154"/>
      <c r="AG19" s="155"/>
      <c r="AH19" s="155"/>
      <c r="AI19" s="155"/>
    </row>
    <row r="20" spans="1:35" s="136" customFormat="1" ht="27" hidden="1" customHeight="1" x14ac:dyDescent="0.2">
      <c r="A20" s="323"/>
      <c r="B20" s="163"/>
      <c r="C20" s="154"/>
      <c r="D20" s="157"/>
      <c r="E20" s="155"/>
      <c r="F20" s="161"/>
      <c r="G20" s="161"/>
      <c r="H20" s="161"/>
      <c r="I20" s="161"/>
      <c r="J20" s="161"/>
      <c r="K20" s="161"/>
      <c r="L20" s="161"/>
      <c r="M20" s="161"/>
      <c r="N20" s="161"/>
      <c r="O20" s="166"/>
      <c r="P20" s="161"/>
      <c r="Q20" s="161"/>
      <c r="R20" s="129"/>
      <c r="S20" s="129"/>
      <c r="T20" s="129"/>
      <c r="U20" s="129"/>
      <c r="V20" s="129"/>
      <c r="W20" s="161"/>
      <c r="X20" s="329"/>
      <c r="Z20" s="95"/>
      <c r="AA20" s="95"/>
      <c r="AB20" s="162"/>
      <c r="AC20" s="162"/>
      <c r="AD20" s="162"/>
      <c r="AE20" s="154"/>
      <c r="AF20" s="154"/>
      <c r="AG20" s="155"/>
      <c r="AH20" s="155"/>
      <c r="AI20" s="155"/>
    </row>
    <row r="21" spans="1:35" s="136" customFormat="1" ht="10.5" hidden="1" customHeight="1" x14ac:dyDescent="0.2">
      <c r="A21" s="323"/>
      <c r="B21" s="163"/>
      <c r="C21" s="154"/>
      <c r="D21" s="157"/>
      <c r="E21" s="155"/>
      <c r="F21" s="161"/>
      <c r="G21" s="161"/>
      <c r="H21" s="161"/>
      <c r="I21" s="161"/>
      <c r="J21" s="161"/>
      <c r="K21" s="161"/>
      <c r="L21" s="161"/>
      <c r="M21" s="161"/>
      <c r="N21" s="161"/>
      <c r="O21" s="161"/>
      <c r="P21" s="161"/>
      <c r="Q21" s="161"/>
      <c r="R21" s="129"/>
      <c r="S21" s="129"/>
      <c r="T21" s="129"/>
      <c r="U21" s="129"/>
      <c r="V21" s="129"/>
      <c r="W21" s="161"/>
      <c r="X21" s="329"/>
      <c r="Z21" s="95"/>
      <c r="AA21" s="95"/>
      <c r="AB21" s="162"/>
      <c r="AC21" s="162"/>
      <c r="AD21" s="162"/>
      <c r="AE21" s="154"/>
      <c r="AF21" s="154"/>
      <c r="AG21" s="155"/>
      <c r="AH21" s="155"/>
      <c r="AI21" s="155"/>
    </row>
    <row r="22" spans="1:35" ht="37.5" hidden="1" customHeight="1" x14ac:dyDescent="0.2">
      <c r="A22" s="322">
        <v>1.8</v>
      </c>
      <c r="B22" s="506" t="s">
        <v>54</v>
      </c>
      <c r="C22" s="506"/>
      <c r="D22" s="506"/>
      <c r="E22" s="515">
        <v>42768</v>
      </c>
      <c r="F22" s="515"/>
      <c r="G22" s="515"/>
      <c r="H22" s="515"/>
      <c r="I22" s="167"/>
      <c r="J22" s="168"/>
      <c r="K22" s="168"/>
      <c r="L22" s="168"/>
      <c r="M22" s="168"/>
      <c r="N22" s="168"/>
      <c r="O22" s="150"/>
      <c r="P22" s="150"/>
      <c r="Q22" s="150"/>
      <c r="R22" s="127"/>
      <c r="S22" s="127"/>
      <c r="T22" s="127"/>
      <c r="U22" s="127"/>
      <c r="V22" s="127"/>
      <c r="W22" s="150"/>
      <c r="X22" s="328">
        <v>1.9</v>
      </c>
      <c r="Z22" s="513" t="s">
        <v>55</v>
      </c>
      <c r="AA22" s="513"/>
      <c r="AB22" s="514"/>
      <c r="AC22" s="514"/>
      <c r="AD22" s="151"/>
      <c r="AE22" s="515">
        <v>42768</v>
      </c>
      <c r="AF22" s="515"/>
      <c r="AG22" s="516"/>
      <c r="AH22" s="516"/>
      <c r="AI22" s="169"/>
    </row>
    <row r="23" spans="1:35" ht="12" hidden="1" customHeight="1" x14ac:dyDescent="0.25">
      <c r="A23" s="322"/>
      <c r="B23" s="170"/>
      <c r="C23" s="171"/>
      <c r="D23" s="148"/>
      <c r="E23" s="148"/>
      <c r="F23" s="101" t="s">
        <v>1442</v>
      </c>
      <c r="G23" s="101"/>
      <c r="H23" s="155"/>
      <c r="I23" s="101"/>
      <c r="J23" s="150"/>
      <c r="K23" s="150"/>
      <c r="L23" s="150"/>
      <c r="M23" s="150"/>
      <c r="N23" s="150"/>
      <c r="O23" s="150"/>
      <c r="P23" s="150"/>
      <c r="Q23" s="150"/>
      <c r="R23" s="127"/>
      <c r="S23" s="127"/>
      <c r="T23" s="127"/>
      <c r="U23" s="127"/>
      <c r="V23" s="127"/>
      <c r="W23" s="150"/>
      <c r="Z23" s="172"/>
      <c r="AA23" s="172"/>
      <c r="AC23" s="150"/>
      <c r="AD23" s="150"/>
      <c r="AE23" s="171"/>
      <c r="AF23" s="171"/>
      <c r="AG23" s="148"/>
      <c r="AH23" s="148"/>
      <c r="AI23" s="148"/>
    </row>
    <row r="24" spans="1:35" ht="30" hidden="1" customHeight="1" x14ac:dyDescent="0.2">
      <c r="A24" s="324">
        <v>1.1000000000000001</v>
      </c>
      <c r="B24" s="506" t="s">
        <v>65</v>
      </c>
      <c r="C24" s="506"/>
      <c r="D24" s="506"/>
      <c r="E24" s="101" t="s">
        <v>64</v>
      </c>
      <c r="F24" s="173">
        <f>+AE22-E22+1</f>
        <v>1</v>
      </c>
      <c r="G24" s="173"/>
      <c r="H24" s="159"/>
      <c r="I24" s="174"/>
      <c r="J24" s="148"/>
      <c r="K24" s="148"/>
      <c r="L24" s="148"/>
      <c r="M24" s="148"/>
      <c r="N24" s="148"/>
      <c r="O24" s="148"/>
      <c r="P24" s="148"/>
      <c r="Q24" s="148"/>
      <c r="R24" s="175"/>
      <c r="S24" s="175"/>
      <c r="T24" s="175"/>
      <c r="U24" s="175"/>
      <c r="V24" s="175"/>
      <c r="W24" s="148"/>
      <c r="X24" s="148"/>
      <c r="Y24" s="148"/>
      <c r="Z24" s="148"/>
      <c r="AA24" s="148"/>
      <c r="AB24" s="150"/>
      <c r="AC24" s="150"/>
      <c r="AD24" s="150"/>
      <c r="AH24" s="150"/>
      <c r="AI24" s="150"/>
    </row>
    <row r="25" spans="1:35" ht="30" customHeight="1" x14ac:dyDescent="0.25">
      <c r="B25" s="153"/>
      <c r="C25" s="153"/>
      <c r="D25" s="153"/>
      <c r="E25" s="101"/>
      <c r="F25" s="176"/>
      <c r="G25" s="176"/>
      <c r="H25" s="159"/>
      <c r="I25" s="159"/>
      <c r="J25" s="148"/>
      <c r="K25" s="148"/>
      <c r="L25" s="148"/>
      <c r="M25" s="148"/>
      <c r="N25" s="148"/>
      <c r="O25" s="148"/>
      <c r="P25" s="148"/>
      <c r="Q25" s="148"/>
      <c r="R25" s="175"/>
      <c r="S25" s="175"/>
      <c r="T25" s="175"/>
      <c r="U25" s="175"/>
      <c r="V25" s="175"/>
      <c r="W25" s="148"/>
      <c r="X25" s="148"/>
      <c r="Y25" s="148"/>
      <c r="Z25" s="148"/>
      <c r="AA25" s="148"/>
      <c r="AB25" s="150"/>
      <c r="AC25" s="150"/>
      <c r="AD25" s="150"/>
      <c r="AH25" s="150"/>
      <c r="AI25" s="150"/>
    </row>
    <row r="26" spans="1:35" ht="30" customHeight="1" x14ac:dyDescent="0.25">
      <c r="B26" s="313"/>
      <c r="C26" s="313"/>
      <c r="D26" s="313"/>
      <c r="E26" s="317"/>
      <c r="F26" s="176"/>
      <c r="G26" s="176"/>
      <c r="H26" s="159"/>
      <c r="I26" s="159"/>
      <c r="J26" s="314"/>
      <c r="K26" s="314"/>
      <c r="L26" s="314"/>
      <c r="M26" s="314"/>
      <c r="N26" s="314"/>
      <c r="O26" s="314"/>
      <c r="P26" s="314"/>
      <c r="Q26" s="314"/>
      <c r="R26" s="311"/>
      <c r="S26" s="311"/>
      <c r="T26" s="311"/>
      <c r="U26" s="311"/>
      <c r="V26" s="311"/>
      <c r="W26" s="314"/>
      <c r="X26" s="314"/>
      <c r="Y26" s="314"/>
      <c r="Z26" s="314"/>
      <c r="AA26" s="314"/>
      <c r="AB26" s="150"/>
      <c r="AC26" s="150"/>
      <c r="AD26" s="150"/>
      <c r="AH26" s="150"/>
      <c r="AI26" s="150"/>
    </row>
    <row r="27" spans="1:35" ht="30" customHeight="1" x14ac:dyDescent="0.35">
      <c r="A27" s="322">
        <v>2</v>
      </c>
      <c r="B27" s="498" t="s">
        <v>1530</v>
      </c>
      <c r="C27" s="518"/>
      <c r="D27" s="518"/>
      <c r="E27" s="518"/>
      <c r="F27" s="518"/>
      <c r="G27" s="518"/>
      <c r="H27" s="518"/>
      <c r="I27" s="518"/>
      <c r="J27" s="518"/>
      <c r="K27" s="314"/>
      <c r="L27" s="314"/>
      <c r="M27" s="314"/>
      <c r="N27" s="314"/>
      <c r="O27" s="314"/>
      <c r="P27" s="314"/>
      <c r="Q27" s="314"/>
      <c r="R27" s="311"/>
      <c r="S27" s="311"/>
      <c r="T27" s="311"/>
      <c r="U27" s="311"/>
      <c r="V27" s="311"/>
      <c r="W27" s="314"/>
      <c r="X27" s="314"/>
      <c r="Y27" s="314"/>
      <c r="Z27" s="314"/>
      <c r="AA27" s="314"/>
      <c r="AB27" s="150"/>
      <c r="AC27" s="150"/>
      <c r="AD27" s="150"/>
      <c r="AH27" s="150"/>
      <c r="AI27" s="150"/>
    </row>
    <row r="28" spans="1:35" ht="30" customHeight="1" x14ac:dyDescent="0.25">
      <c r="A28" s="322"/>
      <c r="B28" s="527" t="s">
        <v>1580</v>
      </c>
      <c r="C28" s="527"/>
      <c r="D28" s="527"/>
      <c r="E28" s="318"/>
      <c r="F28" s="318"/>
      <c r="G28" s="318"/>
      <c r="H28" s="318"/>
      <c r="I28" s="318"/>
      <c r="J28" s="318"/>
      <c r="K28" s="314"/>
      <c r="L28" s="314"/>
      <c r="M28" s="339"/>
      <c r="N28" s="314"/>
      <c r="O28" s="339" t="s">
        <v>1581</v>
      </c>
      <c r="P28" s="314"/>
      <c r="Q28" s="314"/>
      <c r="R28" s="311"/>
      <c r="S28" s="311"/>
      <c r="T28" s="311"/>
      <c r="U28" s="311"/>
      <c r="V28" s="311"/>
      <c r="W28" s="314"/>
      <c r="X28" s="314"/>
      <c r="Y28" s="314"/>
      <c r="Z28" s="314"/>
      <c r="AA28" s="314"/>
      <c r="AB28" s="150"/>
      <c r="AC28" s="150"/>
      <c r="AD28" s="150"/>
      <c r="AH28" s="150"/>
      <c r="AI28" s="150"/>
    </row>
    <row r="29" spans="1:35" ht="30" customHeight="1" x14ac:dyDescent="0.2">
      <c r="A29" s="322">
        <v>2.1</v>
      </c>
      <c r="B29" s="490" t="s">
        <v>1502</v>
      </c>
      <c r="C29" s="490"/>
      <c r="D29" s="490"/>
      <c r="E29" s="177">
        <v>8.3299999999999999E-2</v>
      </c>
      <c r="F29" s="505" t="s">
        <v>1586</v>
      </c>
      <c r="G29" s="505"/>
      <c r="H29" s="505"/>
      <c r="I29" s="505"/>
      <c r="J29" s="505"/>
      <c r="K29" s="178"/>
      <c r="L29" s="179">
        <v>0.33329999999999999</v>
      </c>
      <c r="M29" s="314"/>
      <c r="N29" s="314"/>
      <c r="O29" s="490" t="s">
        <v>1582</v>
      </c>
      <c r="P29" s="490"/>
      <c r="Q29" s="490"/>
      <c r="R29" s="342">
        <v>600</v>
      </c>
      <c r="S29" s="311"/>
      <c r="T29" s="311"/>
      <c r="U29" s="311"/>
      <c r="V29" s="311"/>
      <c r="W29" s="314"/>
      <c r="X29" s="314"/>
      <c r="Y29" s="314"/>
      <c r="Z29" s="314"/>
      <c r="AA29" s="314"/>
      <c r="AB29" s="150"/>
      <c r="AC29" s="150"/>
      <c r="AD29" s="150"/>
      <c r="AH29" s="150"/>
      <c r="AI29" s="150"/>
    </row>
    <row r="30" spans="1:35" ht="30" customHeight="1" x14ac:dyDescent="0.2">
      <c r="A30" s="322"/>
      <c r="B30" s="490" t="s">
        <v>1585</v>
      </c>
      <c r="C30" s="490"/>
      <c r="D30" s="490"/>
      <c r="E30" s="180">
        <v>0</v>
      </c>
      <c r="F30" s="505" t="s">
        <v>1587</v>
      </c>
      <c r="G30" s="505"/>
      <c r="H30" s="505"/>
      <c r="I30" s="505"/>
      <c r="J30" s="505"/>
      <c r="K30" s="178"/>
      <c r="L30" s="179">
        <v>8.3299999999999999E-2</v>
      </c>
      <c r="M30" s="314"/>
      <c r="N30" s="314"/>
      <c r="O30" s="490" t="s">
        <v>1584</v>
      </c>
      <c r="P30" s="490"/>
      <c r="Q30" s="490"/>
      <c r="R30" s="346">
        <v>0</v>
      </c>
      <c r="S30" s="311"/>
      <c r="T30" s="311"/>
      <c r="U30" s="311"/>
      <c r="V30" s="311"/>
      <c r="W30" s="314"/>
      <c r="X30" s="314"/>
      <c r="Y30" s="314"/>
      <c r="Z30" s="314"/>
      <c r="AA30" s="314"/>
      <c r="AB30" s="150"/>
      <c r="AC30" s="150"/>
      <c r="AD30" s="150"/>
      <c r="AH30" s="150"/>
      <c r="AI30" s="150"/>
    </row>
    <row r="31" spans="1:35" ht="30" customHeight="1" x14ac:dyDescent="0.2">
      <c r="A31" s="322"/>
      <c r="B31" s="490" t="s">
        <v>1462</v>
      </c>
      <c r="C31" s="490"/>
      <c r="D31" s="490"/>
      <c r="E31" s="177">
        <v>0</v>
      </c>
      <c r="F31" s="487"/>
      <c r="G31" s="488"/>
      <c r="H31" s="488"/>
      <c r="I31" s="488"/>
      <c r="J31" s="489"/>
      <c r="K31" s="181"/>
      <c r="L31" s="179"/>
      <c r="M31" s="314"/>
      <c r="N31" s="314"/>
      <c r="O31" s="490" t="s">
        <v>1583</v>
      </c>
      <c r="P31" s="490"/>
      <c r="Q31" s="490"/>
      <c r="R31" s="342">
        <v>0</v>
      </c>
      <c r="S31" s="311"/>
      <c r="T31" s="311"/>
      <c r="U31" s="311"/>
      <c r="V31" s="311"/>
      <c r="W31" s="314"/>
      <c r="X31" s="314"/>
      <c r="Y31" s="314"/>
      <c r="Z31" s="314"/>
      <c r="AA31" s="314"/>
      <c r="AB31" s="150"/>
      <c r="AC31" s="150"/>
      <c r="AD31" s="150"/>
      <c r="AH31" s="150"/>
      <c r="AI31" s="150"/>
    </row>
    <row r="32" spans="1:35" ht="37.5" customHeight="1" x14ac:dyDescent="0.2">
      <c r="A32" s="323"/>
      <c r="B32" s="500" t="s">
        <v>1676</v>
      </c>
      <c r="C32" s="500"/>
      <c r="D32" s="500"/>
      <c r="E32" s="154"/>
      <c r="F32" s="155"/>
      <c r="G32" s="155"/>
      <c r="H32" s="299"/>
      <c r="I32" s="148"/>
      <c r="J32" s="148"/>
      <c r="K32" s="148"/>
      <c r="L32" s="148"/>
      <c r="M32" s="148"/>
      <c r="N32" s="148"/>
      <c r="O32" s="148"/>
      <c r="P32" s="148"/>
      <c r="Q32" s="148"/>
      <c r="R32" s="175"/>
      <c r="S32" s="175"/>
      <c r="T32" s="175"/>
      <c r="U32" s="175"/>
      <c r="V32" s="175"/>
      <c r="W32" s="148"/>
      <c r="X32" s="148"/>
      <c r="Y32" s="148"/>
      <c r="Z32" s="148"/>
      <c r="AA32" s="148"/>
      <c r="AB32" s="150"/>
      <c r="AC32" s="150"/>
      <c r="AD32" s="150"/>
      <c r="AH32" s="150"/>
      <c r="AI32" s="150"/>
    </row>
    <row r="33" spans="1:55" ht="37.5" customHeight="1" x14ac:dyDescent="0.2">
      <c r="A33" s="322">
        <v>3</v>
      </c>
      <c r="B33" s="498" t="s">
        <v>1531</v>
      </c>
      <c r="C33" s="499"/>
      <c r="D33" s="499"/>
      <c r="E33" s="499"/>
      <c r="F33" s="499"/>
      <c r="G33" s="499"/>
      <c r="H33" s="499"/>
      <c r="M33" s="148"/>
      <c r="N33" s="148"/>
      <c r="O33" s="148"/>
      <c r="P33" s="148"/>
      <c r="Q33" s="148"/>
      <c r="R33" s="175"/>
      <c r="S33" s="175"/>
      <c r="T33" s="175"/>
      <c r="U33" s="175"/>
      <c r="V33" s="175"/>
      <c r="W33" s="311"/>
      <c r="X33" s="148"/>
      <c r="Y33" s="148"/>
      <c r="Z33" s="148"/>
      <c r="AA33" s="148"/>
      <c r="AB33" s="150"/>
      <c r="AC33" s="150"/>
      <c r="AD33" s="150"/>
      <c r="AH33" s="150"/>
      <c r="AI33" s="150"/>
    </row>
    <row r="34" spans="1:55" ht="37.5" customHeight="1" x14ac:dyDescent="0.2">
      <c r="A34" s="322"/>
      <c r="M34" s="148"/>
      <c r="N34" s="148"/>
      <c r="O34" s="148"/>
      <c r="P34" s="148"/>
      <c r="Q34" s="148"/>
      <c r="R34" s="175"/>
      <c r="S34" s="175"/>
      <c r="T34" s="175"/>
      <c r="U34" s="175"/>
      <c r="V34" s="175"/>
      <c r="W34" s="148"/>
      <c r="X34" s="148"/>
      <c r="Y34" s="148"/>
      <c r="Z34" s="148"/>
      <c r="AA34" s="148"/>
      <c r="AB34" s="150"/>
      <c r="AC34" s="150"/>
      <c r="AD34" s="150"/>
      <c r="AH34" s="150"/>
      <c r="AI34" s="150"/>
    </row>
    <row r="35" spans="1:55" ht="23.25" customHeight="1" x14ac:dyDescent="0.2">
      <c r="A35" s="322">
        <v>3.1</v>
      </c>
      <c r="B35" s="520" t="s">
        <v>1483</v>
      </c>
      <c r="C35" s="492" t="s">
        <v>1690</v>
      </c>
      <c r="D35" s="492"/>
      <c r="E35" s="492"/>
      <c r="F35" s="490" t="s">
        <v>1491</v>
      </c>
      <c r="G35" s="490"/>
      <c r="H35" s="490"/>
      <c r="I35" s="490"/>
      <c r="J35" s="490"/>
      <c r="K35" s="182"/>
      <c r="L35" s="491" t="s">
        <v>1492</v>
      </c>
      <c r="M35" s="491"/>
      <c r="N35" s="491"/>
      <c r="O35" s="491"/>
      <c r="P35" s="118"/>
      <c r="Q35" s="490" t="s">
        <v>1493</v>
      </c>
      <c r="R35" s="490"/>
      <c r="S35" s="490"/>
      <c r="T35" s="490"/>
      <c r="U35" s="490"/>
      <c r="V35" s="183"/>
      <c r="W35" s="491" t="s">
        <v>1494</v>
      </c>
      <c r="X35" s="491"/>
      <c r="Y35" s="491"/>
      <c r="Z35" s="491"/>
      <c r="AA35" s="184"/>
      <c r="AB35" s="490" t="s">
        <v>1495</v>
      </c>
      <c r="AC35" s="490"/>
      <c r="AD35" s="490"/>
      <c r="AE35" s="490"/>
      <c r="AF35" s="183"/>
      <c r="AG35" s="491" t="s">
        <v>1496</v>
      </c>
      <c r="AH35" s="491"/>
      <c r="AI35" s="491"/>
      <c r="AJ35" s="491"/>
      <c r="AK35" s="184"/>
      <c r="AL35" s="490" t="s">
        <v>1497</v>
      </c>
      <c r="AM35" s="490"/>
      <c r="AN35" s="490"/>
      <c r="AO35" s="490"/>
      <c r="AP35" s="183"/>
      <c r="AQ35" s="491" t="s">
        <v>1498</v>
      </c>
      <c r="AR35" s="491"/>
      <c r="AS35" s="491"/>
      <c r="AT35" s="491"/>
      <c r="AU35" s="184"/>
      <c r="AV35" s="490" t="s">
        <v>1499</v>
      </c>
      <c r="AW35" s="490"/>
      <c r="AX35" s="490"/>
      <c r="AY35" s="490"/>
      <c r="AZ35" s="185"/>
      <c r="BA35" s="483" t="s">
        <v>1589</v>
      </c>
      <c r="BB35" s="483" t="s">
        <v>1453</v>
      </c>
    </row>
    <row r="36" spans="1:55" ht="38.25" customHeight="1" x14ac:dyDescent="0.2">
      <c r="A36" s="322"/>
      <c r="B36" s="520"/>
      <c r="C36" s="492"/>
      <c r="D36" s="492"/>
      <c r="E36" s="492"/>
      <c r="F36" s="493" t="s">
        <v>1480</v>
      </c>
      <c r="G36" s="493"/>
      <c r="H36" s="493"/>
      <c r="I36" s="493"/>
      <c r="J36" s="493"/>
      <c r="K36" s="120"/>
      <c r="L36" s="493" t="s">
        <v>1481</v>
      </c>
      <c r="M36" s="493"/>
      <c r="N36" s="493"/>
      <c r="O36" s="493"/>
      <c r="P36" s="107"/>
      <c r="Q36" s="497" t="s">
        <v>1484</v>
      </c>
      <c r="R36" s="497"/>
      <c r="S36" s="497"/>
      <c r="T36" s="497"/>
      <c r="U36" s="497"/>
      <c r="V36" s="186"/>
      <c r="W36" s="497" t="s">
        <v>1486</v>
      </c>
      <c r="X36" s="497"/>
      <c r="Y36" s="497"/>
      <c r="Z36" s="497"/>
      <c r="AA36" s="186"/>
      <c r="AB36" s="497" t="s">
        <v>1487</v>
      </c>
      <c r="AC36" s="497"/>
      <c r="AD36" s="497"/>
      <c r="AE36" s="521"/>
      <c r="AF36" s="187"/>
      <c r="AG36" s="493" t="s">
        <v>1488</v>
      </c>
      <c r="AH36" s="493"/>
      <c r="AI36" s="493"/>
      <c r="AJ36" s="493"/>
      <c r="AK36" s="120"/>
      <c r="AL36" s="493" t="s">
        <v>1485</v>
      </c>
      <c r="AM36" s="493"/>
      <c r="AN36" s="493"/>
      <c r="AO36" s="493"/>
      <c r="AP36" s="120"/>
      <c r="AQ36" s="493" t="s">
        <v>1506</v>
      </c>
      <c r="AR36" s="493"/>
      <c r="AS36" s="493"/>
      <c r="AT36" s="493"/>
      <c r="AU36" s="120"/>
      <c r="AV36" s="493" t="s">
        <v>1490</v>
      </c>
      <c r="AW36" s="493"/>
      <c r="AX36" s="493"/>
      <c r="AY36" s="493"/>
      <c r="AZ36" s="188"/>
      <c r="BA36" s="484"/>
      <c r="BB36" s="484"/>
    </row>
    <row r="37" spans="1:55" ht="53.25" customHeight="1" x14ac:dyDescent="0.2">
      <c r="A37" s="322"/>
      <c r="B37" s="520"/>
      <c r="C37" s="492"/>
      <c r="D37" s="492"/>
      <c r="E37" s="492"/>
      <c r="F37" s="124" t="s">
        <v>11</v>
      </c>
      <c r="G37" s="124"/>
      <c r="H37" s="124" t="s">
        <v>1482</v>
      </c>
      <c r="I37" s="124"/>
      <c r="J37" s="124" t="s">
        <v>1505</v>
      </c>
      <c r="K37" s="105" t="s">
        <v>51</v>
      </c>
      <c r="L37" s="184" t="s">
        <v>11</v>
      </c>
      <c r="M37" s="184" t="s">
        <v>1482</v>
      </c>
      <c r="N37" s="184"/>
      <c r="O37" s="184" t="s">
        <v>1505</v>
      </c>
      <c r="P37" s="113" t="s">
        <v>11</v>
      </c>
      <c r="Q37" s="124" t="s">
        <v>11</v>
      </c>
      <c r="R37" s="124" t="s">
        <v>1489</v>
      </c>
      <c r="S37" s="124"/>
      <c r="T37" s="124"/>
      <c r="U37" s="124" t="s">
        <v>1505</v>
      </c>
      <c r="V37" s="183"/>
      <c r="W37" s="184" t="s">
        <v>11</v>
      </c>
      <c r="X37" s="184" t="s">
        <v>1482</v>
      </c>
      <c r="Y37" s="184"/>
      <c r="Z37" s="184" t="s">
        <v>1505</v>
      </c>
      <c r="AA37" s="184"/>
      <c r="AB37" s="124" t="s">
        <v>11</v>
      </c>
      <c r="AC37" s="124" t="s">
        <v>1482</v>
      </c>
      <c r="AD37" s="124"/>
      <c r="AE37" s="124" t="s">
        <v>1505</v>
      </c>
      <c r="AF37" s="183"/>
      <c r="AG37" s="184" t="s">
        <v>11</v>
      </c>
      <c r="AH37" s="184" t="s">
        <v>1482</v>
      </c>
      <c r="AI37" s="184"/>
      <c r="AJ37" s="184" t="s">
        <v>1505</v>
      </c>
      <c r="AK37" s="184"/>
      <c r="AL37" s="124" t="s">
        <v>11</v>
      </c>
      <c r="AM37" s="124" t="s">
        <v>1482</v>
      </c>
      <c r="AN37" s="124"/>
      <c r="AO37" s="124" t="s">
        <v>1505</v>
      </c>
      <c r="AP37" s="183"/>
      <c r="AQ37" s="184" t="s">
        <v>11</v>
      </c>
      <c r="AR37" s="184" t="s">
        <v>1482</v>
      </c>
      <c r="AS37" s="184"/>
      <c r="AT37" s="184" t="s">
        <v>1505</v>
      </c>
      <c r="AU37" s="184"/>
      <c r="AV37" s="124" t="s">
        <v>11</v>
      </c>
      <c r="AW37" s="124" t="s">
        <v>1482</v>
      </c>
      <c r="AX37" s="124"/>
      <c r="AY37" s="124" t="s">
        <v>1505</v>
      </c>
      <c r="AZ37" s="189"/>
      <c r="BA37" s="485"/>
      <c r="BB37" s="485"/>
    </row>
    <row r="38" spans="1:55" ht="38.25" customHeight="1" x14ac:dyDescent="0.2">
      <c r="A38" s="322"/>
      <c r="B38" s="118">
        <v>1</v>
      </c>
      <c r="C38" s="520" t="s">
        <v>1679</v>
      </c>
      <c r="D38" s="520"/>
      <c r="E38" s="520"/>
      <c r="F38" s="190">
        <v>2</v>
      </c>
      <c r="G38" s="190"/>
      <c r="H38" s="191">
        <v>1942.02</v>
      </c>
      <c r="I38" s="191">
        <f t="shared" ref="I38:I43" si="0">J38/$BB$44</f>
        <v>0.22391780344080892</v>
      </c>
      <c r="J38" s="192">
        <f>+'HOJA 1 aux'!G8+'HOJA 1 aux'!G11+'HOJA 1 aux'!G16+'HOJA 1 aux'!G9</f>
        <v>4314.2983667957378</v>
      </c>
      <c r="K38" s="193">
        <f t="shared" ref="K38:K43" si="1">+J38*F38</f>
        <v>8628.5967335914756</v>
      </c>
      <c r="L38" s="190">
        <v>1</v>
      </c>
      <c r="M38" s="191">
        <v>1942.02</v>
      </c>
      <c r="N38" s="191">
        <f t="shared" ref="N38:N43" si="2">O38/$BB$44</f>
        <v>0.27608219655919103</v>
      </c>
      <c r="O38" s="194">
        <f>+'HOJA 2 aux'!G8+'HOJA 2 aux'!G11+'HOJA 2 aux'!G16+'HOJA 2 aux'!G9</f>
        <v>5319.3669793726649</v>
      </c>
      <c r="P38" s="114">
        <f t="shared" ref="P38:P43" si="3">+O38*L38</f>
        <v>5319.3669793726649</v>
      </c>
      <c r="Q38" s="190">
        <v>1</v>
      </c>
      <c r="R38" s="191">
        <v>1942.02</v>
      </c>
      <c r="S38" s="191">
        <f t="shared" ref="S38:S43" si="4">+U38/$BB$44</f>
        <v>0.27608219655919103</v>
      </c>
      <c r="T38" s="191"/>
      <c r="U38" s="192">
        <f>+'HOJA 3 aux'!G8+'HOJA 3 aux'!G11+'HOJA 3 aux'!G16+'HOJA 3 aux'!G9</f>
        <v>5319.3669793726649</v>
      </c>
      <c r="V38" s="195">
        <f t="shared" ref="V38:V43" si="5">+U38*Q38</f>
        <v>5319.3669793726649</v>
      </c>
      <c r="W38" s="190"/>
      <c r="X38" s="191"/>
      <c r="Y38" s="191">
        <f t="shared" ref="Y38:Y43" si="6">+Z38/$BB$44</f>
        <v>0</v>
      </c>
      <c r="Z38" s="194">
        <f>+'HOJA 4 aux '!G8+'HOJA 4 aux '!G11+'HOJA 4 aux '!G16+'HOJA 4 aux '!G9</f>
        <v>0</v>
      </c>
      <c r="AA38" s="194">
        <f t="shared" ref="AA38:AA43" si="7">+Z38*W38</f>
        <v>0</v>
      </c>
      <c r="AB38" s="190"/>
      <c r="AC38" s="191"/>
      <c r="AD38" s="196">
        <f t="shared" ref="AD38:AD43" si="8">+AE38/$BB$44</f>
        <v>0</v>
      </c>
      <c r="AE38" s="197">
        <f>+'HOJA 5 aux'!G8+'HOJA 5 aux'!G11+'HOJA 5 aux'!G16++'HOJA 5 aux'!G9</f>
        <v>0</v>
      </c>
      <c r="AF38" s="198">
        <f t="shared" ref="AF38:AF43" si="9">+AE38*AB38</f>
        <v>0</v>
      </c>
      <c r="AG38" s="190"/>
      <c r="AH38" s="191"/>
      <c r="AI38" s="191">
        <f t="shared" ref="AI38:AI43" si="10">+AJ38/$BB$44</f>
        <v>0</v>
      </c>
      <c r="AJ38" s="194">
        <f>+'HOJA 6 aux'!G8+'HOJA 6 aux'!G11+'HOJA 6 aux'!G16++'HOJA 6 aux'!G9</f>
        <v>0</v>
      </c>
      <c r="AK38" s="194">
        <f t="shared" ref="AK38:AK43" si="11">+AJ38*AG38</f>
        <v>0</v>
      </c>
      <c r="AL38" s="190"/>
      <c r="AM38" s="191"/>
      <c r="AN38" s="191">
        <f t="shared" ref="AN38:AN43" si="12">+AO38/$BB$44</f>
        <v>0</v>
      </c>
      <c r="AO38" s="192">
        <f>+'HOJA 7 aux'!G8+'HOJA 7 aux'!G11+'HOJA 7 aux'!G16+'HOJA 7 aux'!G9</f>
        <v>0</v>
      </c>
      <c r="AP38" s="195">
        <f t="shared" ref="AP38:AP43" si="13">+AO38*AL38</f>
        <v>0</v>
      </c>
      <c r="AQ38" s="190"/>
      <c r="AR38" s="191"/>
      <c r="AS38" s="191">
        <f t="shared" ref="AS38:AS43" si="14">+AT38/$BB$44</f>
        <v>0</v>
      </c>
      <c r="AT38" s="194">
        <f>+'HOJA 8 aux'!G8+'HOJA 8 aux'!G11+'HOJA 8 aux'!G16+'HOJA 8 aux'!G9</f>
        <v>0</v>
      </c>
      <c r="AU38" s="194">
        <f t="shared" ref="AU38:AU43" si="15">+AT38*AQ38</f>
        <v>0</v>
      </c>
      <c r="AV38" s="190"/>
      <c r="AW38" s="191"/>
      <c r="AX38" s="191">
        <f t="shared" ref="AX38:AX43" si="16">+AY38/$BB$44</f>
        <v>0</v>
      </c>
      <c r="AY38" s="192">
        <f>+'HOJA 9 aux'!G8+'HOJA 9 aux'!G11+'HOJA 9 aux'!G16+'HOJA 9 aux'!G9</f>
        <v>0</v>
      </c>
      <c r="AZ38" s="195">
        <f t="shared" ref="AZ38:AZ43" si="17">+AY38*AV38</f>
        <v>0</v>
      </c>
      <c r="BA38" s="347">
        <f>+F38+L38+Q38+W38+AB38+AG38+AL38+AQ38+AV38</f>
        <v>4</v>
      </c>
      <c r="BB38" s="199">
        <f t="shared" ref="BB38:BB43" si="18">+AZ38+AU38+AP38+AK38+AF38+AA38+V38+P38+K38</f>
        <v>19267.330692336807</v>
      </c>
    </row>
    <row r="39" spans="1:55" ht="38.25" customHeight="1" x14ac:dyDescent="0.2">
      <c r="A39" s="322"/>
      <c r="B39" s="118">
        <v>2</v>
      </c>
      <c r="C39" s="494"/>
      <c r="D39" s="495"/>
      <c r="E39" s="496"/>
      <c r="F39" s="190"/>
      <c r="G39" s="190"/>
      <c r="H39" s="191"/>
      <c r="I39" s="191">
        <f t="shared" si="0"/>
        <v>0</v>
      </c>
      <c r="J39" s="192">
        <f>+'HOJA 1 aux'!O8+'HOJA 1 aux'!O11+'HOJA 1 aux'!O16+'HOJA 1 aux'!O9</f>
        <v>0</v>
      </c>
      <c r="K39" s="193">
        <f t="shared" si="1"/>
        <v>0</v>
      </c>
      <c r="L39" s="190"/>
      <c r="M39" s="191"/>
      <c r="N39" s="191">
        <f t="shared" si="2"/>
        <v>0</v>
      </c>
      <c r="O39" s="194">
        <f>+'HOJA 2 aux'!O8+'HOJA 2 aux'!O11+'HOJA 2 aux'!O16+'HOJA 2 aux'!O9</f>
        <v>0</v>
      </c>
      <c r="P39" s="114">
        <f t="shared" si="3"/>
        <v>0</v>
      </c>
      <c r="Q39" s="190"/>
      <c r="R39" s="191"/>
      <c r="S39" s="191">
        <f t="shared" si="4"/>
        <v>0</v>
      </c>
      <c r="T39" s="191"/>
      <c r="U39" s="192">
        <f>+'HOJA 3 aux'!O8+'HOJA 3 aux'!O11+'HOJA 3 aux'!O16+'HOJA 3 aux'!O9</f>
        <v>0</v>
      </c>
      <c r="V39" s="195">
        <f t="shared" si="5"/>
        <v>0</v>
      </c>
      <c r="W39" s="190"/>
      <c r="X39" s="191"/>
      <c r="Y39" s="191">
        <f t="shared" si="6"/>
        <v>0</v>
      </c>
      <c r="Z39" s="194">
        <f>+'HOJA 4 aux '!O8+'HOJA 4 aux '!O11+'HOJA 4 aux '!O16+'HOJA 4 aux '!O9</f>
        <v>0</v>
      </c>
      <c r="AA39" s="194">
        <f t="shared" si="7"/>
        <v>0</v>
      </c>
      <c r="AB39" s="190"/>
      <c r="AC39" s="191"/>
      <c r="AD39" s="196">
        <f t="shared" si="8"/>
        <v>0</v>
      </c>
      <c r="AE39" s="197">
        <f>+'HOJA 5 aux'!O8+'HOJA 5 aux'!O11+'HOJA 5 aux'!O16+'HOJA 5 aux'!O9</f>
        <v>0</v>
      </c>
      <c r="AF39" s="198">
        <f t="shared" si="9"/>
        <v>0</v>
      </c>
      <c r="AG39" s="190"/>
      <c r="AH39" s="191"/>
      <c r="AI39" s="191">
        <f t="shared" si="10"/>
        <v>0</v>
      </c>
      <c r="AJ39" s="194">
        <f>+'HOJA 6 aux'!O8+'HOJA 6 aux'!O11+'HOJA 6 aux'!O16+'HOJA 6 aux'!O9</f>
        <v>0</v>
      </c>
      <c r="AK39" s="194">
        <f t="shared" si="11"/>
        <v>0</v>
      </c>
      <c r="AL39" s="190"/>
      <c r="AM39" s="191"/>
      <c r="AN39" s="191">
        <f t="shared" si="12"/>
        <v>0</v>
      </c>
      <c r="AO39" s="192">
        <f>+'HOJA 7 aux'!O8+'HOJA 7 aux'!O11+'HOJA 7 aux'!O16+'HOJA 7 aux'!O9</f>
        <v>0</v>
      </c>
      <c r="AP39" s="195">
        <f t="shared" si="13"/>
        <v>0</v>
      </c>
      <c r="AQ39" s="190"/>
      <c r="AR39" s="191"/>
      <c r="AS39" s="191">
        <f t="shared" si="14"/>
        <v>0</v>
      </c>
      <c r="AT39" s="194">
        <f>+'HOJA 8 aux'!O8+'HOJA 8 aux'!O11+'HOJA 8 aux'!O16+'HOJA 8 aux'!O9</f>
        <v>0</v>
      </c>
      <c r="AU39" s="194">
        <f t="shared" si="15"/>
        <v>0</v>
      </c>
      <c r="AV39" s="190"/>
      <c r="AW39" s="191"/>
      <c r="AX39" s="191">
        <f t="shared" si="16"/>
        <v>0</v>
      </c>
      <c r="AY39" s="192">
        <f>+'HOJA 9 aux'!O8+'HOJA 9 aux'!O11+'HOJA 9 aux'!O16+'HOJA 9 aux'!O9</f>
        <v>0</v>
      </c>
      <c r="AZ39" s="195">
        <f t="shared" si="17"/>
        <v>0</v>
      </c>
      <c r="BA39" s="347">
        <f t="shared" ref="BA39:BA43" si="19">+F39+L39+Q39+W39+AB39+AG39+AL39+AQ39+AV39</f>
        <v>0</v>
      </c>
      <c r="BB39" s="199">
        <f t="shared" si="18"/>
        <v>0</v>
      </c>
    </row>
    <row r="40" spans="1:55" ht="38.25" customHeight="1" x14ac:dyDescent="0.2">
      <c r="A40" s="322"/>
      <c r="B40" s="118">
        <v>3</v>
      </c>
      <c r="C40" s="494"/>
      <c r="D40" s="495"/>
      <c r="E40" s="496"/>
      <c r="F40" s="190"/>
      <c r="G40" s="190"/>
      <c r="H40" s="191"/>
      <c r="I40" s="191">
        <f t="shared" si="0"/>
        <v>0</v>
      </c>
      <c r="J40" s="192">
        <f>+'HOJA 1 aux'!G40+'HOJA 1 aux'!G43+'HOJA 1 aux'!G48+'HOJA 1 aux'!G41</f>
        <v>0</v>
      </c>
      <c r="K40" s="193">
        <f t="shared" si="1"/>
        <v>0</v>
      </c>
      <c r="L40" s="190"/>
      <c r="M40" s="191"/>
      <c r="N40" s="191">
        <f t="shared" si="2"/>
        <v>0</v>
      </c>
      <c r="O40" s="194">
        <f>+'HOJA 2 aux'!G40+'HOJA 2 aux'!G43+'HOJA 2 aux'!G48+'HOJA 2 aux'!G41</f>
        <v>0</v>
      </c>
      <c r="P40" s="114">
        <f t="shared" si="3"/>
        <v>0</v>
      </c>
      <c r="Q40" s="190"/>
      <c r="R40" s="191"/>
      <c r="S40" s="191">
        <f t="shared" si="4"/>
        <v>0</v>
      </c>
      <c r="T40" s="191"/>
      <c r="U40" s="192">
        <f>+'HOJA 3 aux'!G40+'HOJA 3 aux'!G43+'HOJA 3 aux'!G48+'HOJA 3 aux'!G41</f>
        <v>0</v>
      </c>
      <c r="V40" s="195">
        <f t="shared" si="5"/>
        <v>0</v>
      </c>
      <c r="W40" s="190"/>
      <c r="X40" s="191"/>
      <c r="Y40" s="191">
        <f t="shared" si="6"/>
        <v>0</v>
      </c>
      <c r="Z40" s="194">
        <f>+'HOJA 4 aux '!G40+'HOJA 4 aux '!G43+'HOJA 4 aux '!G48+'HOJA 4 aux '!G41</f>
        <v>0</v>
      </c>
      <c r="AA40" s="194">
        <f t="shared" si="7"/>
        <v>0</v>
      </c>
      <c r="AB40" s="190"/>
      <c r="AC40" s="191"/>
      <c r="AD40" s="196">
        <f t="shared" si="8"/>
        <v>0</v>
      </c>
      <c r="AE40" s="197">
        <f>+'HOJA 5 aux'!G40+'HOJA 5 aux'!G43+'HOJA 5 aux'!G48+'HOJA 5 aux'!G41</f>
        <v>0</v>
      </c>
      <c r="AF40" s="198">
        <f t="shared" si="9"/>
        <v>0</v>
      </c>
      <c r="AG40" s="190"/>
      <c r="AH40" s="191"/>
      <c r="AI40" s="191">
        <f t="shared" si="10"/>
        <v>0</v>
      </c>
      <c r="AJ40" s="194">
        <f>+'HOJA 6 aux'!G40+'HOJA 6 aux'!G43+'HOJA 6 aux'!G48+'HOJA 6 aux'!G41</f>
        <v>0</v>
      </c>
      <c r="AK40" s="194">
        <f t="shared" si="11"/>
        <v>0</v>
      </c>
      <c r="AL40" s="190"/>
      <c r="AM40" s="191"/>
      <c r="AN40" s="191">
        <f t="shared" si="12"/>
        <v>0</v>
      </c>
      <c r="AO40" s="192">
        <f>+'HOJA 7 aux'!G40+'HOJA 7 aux'!G43+'HOJA 7 aux'!G48+'HOJA 7 aux'!G41</f>
        <v>0</v>
      </c>
      <c r="AP40" s="195">
        <f t="shared" si="13"/>
        <v>0</v>
      </c>
      <c r="AQ40" s="190"/>
      <c r="AR40" s="191"/>
      <c r="AS40" s="191">
        <f t="shared" si="14"/>
        <v>0</v>
      </c>
      <c r="AT40" s="194">
        <f>+'HOJA 8 aux'!G40+'HOJA 8 aux'!G43+'HOJA 8 aux'!G48+'HOJA 8 aux'!G41</f>
        <v>0</v>
      </c>
      <c r="AU40" s="194">
        <f t="shared" si="15"/>
        <v>0</v>
      </c>
      <c r="AV40" s="190"/>
      <c r="AW40" s="191"/>
      <c r="AX40" s="191">
        <f t="shared" si="16"/>
        <v>0</v>
      </c>
      <c r="AY40" s="192">
        <f>+'HOJA 9 aux'!G40+'HOJA 9 aux'!G43+'HOJA 9 aux'!G48+'HOJA 9 aux'!G41</f>
        <v>0</v>
      </c>
      <c r="AZ40" s="195">
        <f t="shared" si="17"/>
        <v>0</v>
      </c>
      <c r="BA40" s="347">
        <f t="shared" si="19"/>
        <v>0</v>
      </c>
      <c r="BB40" s="199">
        <f t="shared" si="18"/>
        <v>0</v>
      </c>
    </row>
    <row r="41" spans="1:55" ht="38.25" customHeight="1" x14ac:dyDescent="0.2">
      <c r="A41" s="322"/>
      <c r="B41" s="118">
        <v>4</v>
      </c>
      <c r="C41" s="494"/>
      <c r="D41" s="495"/>
      <c r="E41" s="496"/>
      <c r="F41" s="190"/>
      <c r="G41" s="190"/>
      <c r="H41" s="191"/>
      <c r="I41" s="191">
        <f t="shared" si="0"/>
        <v>0</v>
      </c>
      <c r="J41" s="192">
        <f>+'HOJA 1 aux'!O40+'HOJA 1 aux'!O43+'HOJA 1 aux'!O48+'HOJA 1 aux'!O41</f>
        <v>0</v>
      </c>
      <c r="K41" s="193">
        <f t="shared" si="1"/>
        <v>0</v>
      </c>
      <c r="L41" s="190"/>
      <c r="M41" s="191"/>
      <c r="N41" s="191">
        <f t="shared" si="2"/>
        <v>0</v>
      </c>
      <c r="O41" s="194">
        <f>+'HOJA 2 aux'!O40+'HOJA 2 aux'!O43+'HOJA 2 aux'!O48+'HOJA 2 aux'!O41</f>
        <v>0</v>
      </c>
      <c r="P41" s="114">
        <f t="shared" si="3"/>
        <v>0</v>
      </c>
      <c r="Q41" s="190"/>
      <c r="R41" s="191"/>
      <c r="S41" s="191">
        <f t="shared" si="4"/>
        <v>0</v>
      </c>
      <c r="T41" s="191"/>
      <c r="U41" s="192">
        <f>+'HOJA 3 aux'!O40+'HOJA 3 aux'!O43+'HOJA 3 aux'!O48+'HOJA 3 aux'!O41</f>
        <v>0</v>
      </c>
      <c r="V41" s="195">
        <f t="shared" si="5"/>
        <v>0</v>
      </c>
      <c r="W41" s="190"/>
      <c r="X41" s="191"/>
      <c r="Y41" s="191">
        <f t="shared" si="6"/>
        <v>0</v>
      </c>
      <c r="Z41" s="194">
        <f>+'HOJA 4 aux '!O40+'HOJA 4 aux '!O43+'HOJA 4 aux '!O48+'HOJA 4 aux '!O41</f>
        <v>0</v>
      </c>
      <c r="AA41" s="194">
        <f t="shared" si="7"/>
        <v>0</v>
      </c>
      <c r="AB41" s="190"/>
      <c r="AC41" s="191"/>
      <c r="AD41" s="196">
        <f t="shared" si="8"/>
        <v>0</v>
      </c>
      <c r="AE41" s="197">
        <f>+'HOJA 5 aux'!O40+'HOJA 5 aux'!O43+'HOJA 5 aux'!O48+'HOJA 5 aux'!O41</f>
        <v>0</v>
      </c>
      <c r="AF41" s="198">
        <f t="shared" si="9"/>
        <v>0</v>
      </c>
      <c r="AG41" s="190"/>
      <c r="AH41" s="191"/>
      <c r="AI41" s="191">
        <f t="shared" si="10"/>
        <v>0</v>
      </c>
      <c r="AJ41" s="194">
        <f>+'HOJA 6 aux'!O40+'HOJA 6 aux'!O43+'HOJA 6 aux'!O48+'HOJA 6 aux'!O41</f>
        <v>0</v>
      </c>
      <c r="AK41" s="194">
        <f t="shared" si="11"/>
        <v>0</v>
      </c>
      <c r="AL41" s="190"/>
      <c r="AM41" s="191"/>
      <c r="AN41" s="191">
        <f t="shared" si="12"/>
        <v>0</v>
      </c>
      <c r="AO41" s="192">
        <f>+'HOJA 7 aux'!O40+'HOJA 7 aux'!O43+'HOJA 7 aux'!O48+'HOJA 7 aux'!O41</f>
        <v>0</v>
      </c>
      <c r="AP41" s="195">
        <f t="shared" si="13"/>
        <v>0</v>
      </c>
      <c r="AQ41" s="190"/>
      <c r="AR41" s="191"/>
      <c r="AS41" s="191">
        <f t="shared" si="14"/>
        <v>0</v>
      </c>
      <c r="AT41" s="194">
        <f>+'HOJA 8 aux'!O40+'HOJA 8 aux'!O43+'HOJA 8 aux'!O48+'HOJA 8 aux'!O41</f>
        <v>0</v>
      </c>
      <c r="AU41" s="194">
        <f t="shared" si="15"/>
        <v>0</v>
      </c>
      <c r="AV41" s="190"/>
      <c r="AW41" s="191"/>
      <c r="AX41" s="191">
        <f t="shared" si="16"/>
        <v>0</v>
      </c>
      <c r="AY41" s="192">
        <f>+'HOJA 9 aux'!O40+'HOJA 9 aux'!O43+'HOJA 9 aux'!O48+'HOJA 9 aux'!O41</f>
        <v>0</v>
      </c>
      <c r="AZ41" s="195">
        <f t="shared" si="17"/>
        <v>0</v>
      </c>
      <c r="BA41" s="347">
        <f t="shared" si="19"/>
        <v>0</v>
      </c>
      <c r="BB41" s="199">
        <f t="shared" si="18"/>
        <v>0</v>
      </c>
    </row>
    <row r="42" spans="1:55" ht="38.25" customHeight="1" x14ac:dyDescent="0.2">
      <c r="A42" s="322"/>
      <c r="B42" s="118">
        <v>5</v>
      </c>
      <c r="C42" s="494"/>
      <c r="D42" s="495"/>
      <c r="E42" s="496"/>
      <c r="F42" s="190"/>
      <c r="G42" s="190"/>
      <c r="H42" s="191"/>
      <c r="I42" s="191">
        <f t="shared" si="0"/>
        <v>0</v>
      </c>
      <c r="J42" s="192">
        <f>+'HOJA 1 aux'!G75+'HOJA 1 aux'!G78+'HOJA 1 aux'!G83+'HOJA 1 aux'!G76</f>
        <v>0</v>
      </c>
      <c r="K42" s="193">
        <f t="shared" si="1"/>
        <v>0</v>
      </c>
      <c r="L42" s="190"/>
      <c r="M42" s="191"/>
      <c r="N42" s="191">
        <f t="shared" si="2"/>
        <v>0</v>
      </c>
      <c r="O42" s="194">
        <f>+'HOJA 2 aux'!G75+'HOJA 2 aux'!G78+'HOJA 2 aux'!G83+'HOJA 2 aux'!G76</f>
        <v>0</v>
      </c>
      <c r="P42" s="114">
        <f t="shared" si="3"/>
        <v>0</v>
      </c>
      <c r="Q42" s="190"/>
      <c r="R42" s="191"/>
      <c r="S42" s="191">
        <f t="shared" si="4"/>
        <v>0</v>
      </c>
      <c r="T42" s="191"/>
      <c r="U42" s="192">
        <f>+'HOJA 3 aux'!G75+'HOJA 3 aux'!G78+'HOJA 3 aux'!G83+'HOJA 3 aux'!G76</f>
        <v>0</v>
      </c>
      <c r="V42" s="195">
        <f t="shared" si="5"/>
        <v>0</v>
      </c>
      <c r="W42" s="190"/>
      <c r="X42" s="191"/>
      <c r="Y42" s="191">
        <f t="shared" si="6"/>
        <v>0</v>
      </c>
      <c r="Z42" s="194">
        <f>+'HOJA 4 aux '!G75+'HOJA 4 aux '!G78+'HOJA 4 aux '!G83+'HOJA 4 aux '!G76</f>
        <v>0</v>
      </c>
      <c r="AA42" s="194">
        <f t="shared" si="7"/>
        <v>0</v>
      </c>
      <c r="AB42" s="190"/>
      <c r="AC42" s="191"/>
      <c r="AD42" s="196">
        <f t="shared" si="8"/>
        <v>0</v>
      </c>
      <c r="AE42" s="197">
        <f>+'HOJA 5 aux'!G75+'HOJA 5 aux'!G78+'HOJA 5 aux'!G83+'HOJA 5 aux'!G76</f>
        <v>0</v>
      </c>
      <c r="AF42" s="198">
        <f t="shared" si="9"/>
        <v>0</v>
      </c>
      <c r="AG42" s="190"/>
      <c r="AH42" s="191"/>
      <c r="AI42" s="191">
        <f t="shared" si="10"/>
        <v>0</v>
      </c>
      <c r="AJ42" s="194">
        <f>+'HOJA 6 aux'!G75+'HOJA 6 aux'!G78+'HOJA 6 aux'!G83+'HOJA 6 aux'!G76</f>
        <v>0</v>
      </c>
      <c r="AK42" s="194">
        <f t="shared" si="11"/>
        <v>0</v>
      </c>
      <c r="AL42" s="190"/>
      <c r="AM42" s="191"/>
      <c r="AN42" s="191">
        <f t="shared" si="12"/>
        <v>0</v>
      </c>
      <c r="AO42" s="192">
        <f>+'HOJA 7 aux'!G75+'HOJA 7 aux'!G78+'HOJA 7 aux'!G83+'HOJA 7 aux'!G76</f>
        <v>0</v>
      </c>
      <c r="AP42" s="195">
        <f t="shared" si="13"/>
        <v>0</v>
      </c>
      <c r="AQ42" s="190"/>
      <c r="AR42" s="191"/>
      <c r="AS42" s="191">
        <f t="shared" si="14"/>
        <v>0</v>
      </c>
      <c r="AT42" s="194">
        <f>+'HOJA 8 aux'!G75+'HOJA 8 aux'!G78+'HOJA 8 aux'!G83+'HOJA 8 aux'!G76</f>
        <v>0</v>
      </c>
      <c r="AU42" s="194">
        <f t="shared" si="15"/>
        <v>0</v>
      </c>
      <c r="AV42" s="190"/>
      <c r="AW42" s="191"/>
      <c r="AX42" s="191">
        <f t="shared" si="16"/>
        <v>0</v>
      </c>
      <c r="AY42" s="192">
        <f>+'HOJA 9 aux'!G75+'HOJA 9 aux'!G78+'HOJA 9 aux'!G83+'HOJA 9 aux'!G76</f>
        <v>0</v>
      </c>
      <c r="AZ42" s="195">
        <f t="shared" si="17"/>
        <v>0</v>
      </c>
      <c r="BA42" s="347">
        <f t="shared" si="19"/>
        <v>0</v>
      </c>
      <c r="BB42" s="199">
        <f t="shared" si="18"/>
        <v>0</v>
      </c>
    </row>
    <row r="43" spans="1:55" ht="38.25" customHeight="1" x14ac:dyDescent="0.2">
      <c r="A43" s="322"/>
      <c r="B43" s="118">
        <v>6</v>
      </c>
      <c r="C43" s="494"/>
      <c r="D43" s="495"/>
      <c r="E43" s="496"/>
      <c r="F43" s="190"/>
      <c r="G43" s="190"/>
      <c r="H43" s="191"/>
      <c r="I43" s="191">
        <f t="shared" si="0"/>
        <v>0</v>
      </c>
      <c r="J43" s="192">
        <f>+'HOJA 1 aux'!O75+'HOJA 1 aux'!O78+'HOJA 1 aux'!O83+'HOJA 1 aux'!O76</f>
        <v>0</v>
      </c>
      <c r="K43" s="193">
        <f t="shared" si="1"/>
        <v>0</v>
      </c>
      <c r="L43" s="190"/>
      <c r="M43" s="191"/>
      <c r="N43" s="191">
        <f t="shared" si="2"/>
        <v>0</v>
      </c>
      <c r="O43" s="194">
        <f>+'HOJA 2 aux'!O75+'HOJA 2 aux'!O78+'HOJA 2 aux'!O83+'HOJA 2 aux'!O76</f>
        <v>0</v>
      </c>
      <c r="P43" s="114">
        <f t="shared" si="3"/>
        <v>0</v>
      </c>
      <c r="Q43" s="190"/>
      <c r="R43" s="191"/>
      <c r="S43" s="191">
        <f t="shared" si="4"/>
        <v>0</v>
      </c>
      <c r="T43" s="191"/>
      <c r="U43" s="192">
        <f>+'HOJA 3 aux'!O75+'HOJA 3 aux'!O78+'HOJA 3 aux'!O83+'HOJA 3 aux'!O76</f>
        <v>0</v>
      </c>
      <c r="V43" s="195">
        <f t="shared" si="5"/>
        <v>0</v>
      </c>
      <c r="W43" s="190"/>
      <c r="X43" s="191"/>
      <c r="Y43" s="191">
        <f t="shared" si="6"/>
        <v>0</v>
      </c>
      <c r="Z43" s="194">
        <f>+'HOJA 4 aux '!O75+'HOJA 4 aux '!O78+'HOJA 4 aux '!O83+'HOJA 4 aux '!O76</f>
        <v>0</v>
      </c>
      <c r="AA43" s="194">
        <f t="shared" si="7"/>
        <v>0</v>
      </c>
      <c r="AB43" s="190"/>
      <c r="AC43" s="191"/>
      <c r="AD43" s="196">
        <f t="shared" si="8"/>
        <v>0</v>
      </c>
      <c r="AE43" s="197">
        <f>+'HOJA 5 aux'!O75+'HOJA 5 aux'!O78+'HOJA 5 aux'!O83+'HOJA 5 aux'!O76</f>
        <v>0</v>
      </c>
      <c r="AF43" s="198">
        <f t="shared" si="9"/>
        <v>0</v>
      </c>
      <c r="AG43" s="190"/>
      <c r="AH43" s="191"/>
      <c r="AI43" s="191">
        <f t="shared" si="10"/>
        <v>0</v>
      </c>
      <c r="AJ43" s="194">
        <f>+'HOJA 6 aux'!O75+'HOJA 6 aux'!O78+'HOJA 6 aux'!O83+'HOJA 6 aux'!O76</f>
        <v>0</v>
      </c>
      <c r="AK43" s="194">
        <f t="shared" si="11"/>
        <v>0</v>
      </c>
      <c r="AL43" s="190"/>
      <c r="AM43" s="191"/>
      <c r="AN43" s="191">
        <f t="shared" si="12"/>
        <v>0</v>
      </c>
      <c r="AO43" s="192">
        <f>+'HOJA 7 aux'!O75+'HOJA 7 aux'!O78+'HOJA 7 aux'!O83+'HOJA 7 aux'!O76</f>
        <v>0</v>
      </c>
      <c r="AP43" s="195">
        <f t="shared" si="13"/>
        <v>0</v>
      </c>
      <c r="AQ43" s="190"/>
      <c r="AR43" s="191"/>
      <c r="AS43" s="191">
        <f t="shared" si="14"/>
        <v>0</v>
      </c>
      <c r="AT43" s="194">
        <f>+'HOJA 8 aux'!O75+'HOJA 8 aux'!O78+'HOJA 8 aux'!O83+'HOJA 8 aux'!O76</f>
        <v>0</v>
      </c>
      <c r="AU43" s="194">
        <f t="shared" si="15"/>
        <v>0</v>
      </c>
      <c r="AV43" s="190"/>
      <c r="AW43" s="191"/>
      <c r="AX43" s="191">
        <f t="shared" si="16"/>
        <v>0</v>
      </c>
      <c r="AY43" s="192">
        <f>+'HOJA 9 aux'!O75+'HOJA 9 aux'!O78+'HOJA 9 aux'!O83+'HOJA 9 aux'!O76</f>
        <v>0</v>
      </c>
      <c r="AZ43" s="195">
        <f t="shared" si="17"/>
        <v>0</v>
      </c>
      <c r="BA43" s="347">
        <f t="shared" si="19"/>
        <v>0</v>
      </c>
      <c r="BB43" s="199">
        <f t="shared" si="18"/>
        <v>0</v>
      </c>
    </row>
    <row r="44" spans="1:55" ht="38.25" customHeight="1" x14ac:dyDescent="0.2">
      <c r="A44" s="322"/>
      <c r="B44" s="486" t="s">
        <v>1453</v>
      </c>
      <c r="C44" s="486"/>
      <c r="D44" s="486"/>
      <c r="E44" s="486"/>
      <c r="F44" s="200">
        <f>SUM(F38:F43)</f>
        <v>2</v>
      </c>
      <c r="G44" s="200"/>
      <c r="H44" s="125">
        <f t="shared" ref="H44:AY44" si="20">SUM(H38:H43)</f>
        <v>1942.02</v>
      </c>
      <c r="I44" s="201">
        <f>SUM(I38:I43)</f>
        <v>0.22391780344080892</v>
      </c>
      <c r="J44" s="125">
        <f t="shared" si="20"/>
        <v>4314.2983667957378</v>
      </c>
      <c r="K44" s="201">
        <f>SUM(K38:K43)</f>
        <v>8628.5967335914756</v>
      </c>
      <c r="L44" s="202">
        <f t="shared" si="20"/>
        <v>1</v>
      </c>
      <c r="M44" s="203">
        <f t="shared" si="20"/>
        <v>1942.02</v>
      </c>
      <c r="N44" s="203"/>
      <c r="O44" s="203">
        <f t="shared" si="20"/>
        <v>5319.3669793726649</v>
      </c>
      <c r="P44" s="204">
        <f t="shared" si="20"/>
        <v>5319.3669793726649</v>
      </c>
      <c r="Q44" s="200">
        <f t="shared" si="20"/>
        <v>1</v>
      </c>
      <c r="R44" s="125">
        <f t="shared" si="20"/>
        <v>1942.02</v>
      </c>
      <c r="S44" s="125"/>
      <c r="T44" s="125"/>
      <c r="U44" s="125">
        <f t="shared" si="20"/>
        <v>5319.3669793726649</v>
      </c>
      <c r="V44" s="205">
        <f t="shared" si="20"/>
        <v>5319.3669793726649</v>
      </c>
      <c r="W44" s="202">
        <f t="shared" si="20"/>
        <v>0</v>
      </c>
      <c r="X44" s="203">
        <f t="shared" si="20"/>
        <v>0</v>
      </c>
      <c r="Y44" s="203"/>
      <c r="Z44" s="203">
        <f t="shared" si="20"/>
        <v>0</v>
      </c>
      <c r="AA44" s="203">
        <f t="shared" si="20"/>
        <v>0</v>
      </c>
      <c r="AB44" s="200">
        <f t="shared" si="20"/>
        <v>0</v>
      </c>
      <c r="AC44" s="125">
        <f t="shared" si="20"/>
        <v>0</v>
      </c>
      <c r="AD44" s="125"/>
      <c r="AE44" s="125">
        <f t="shared" si="20"/>
        <v>0</v>
      </c>
      <c r="AF44" s="205">
        <f t="shared" si="20"/>
        <v>0</v>
      </c>
      <c r="AG44" s="202">
        <f t="shared" si="20"/>
        <v>0</v>
      </c>
      <c r="AH44" s="203">
        <f t="shared" si="20"/>
        <v>0</v>
      </c>
      <c r="AI44" s="203"/>
      <c r="AJ44" s="203">
        <f t="shared" si="20"/>
        <v>0</v>
      </c>
      <c r="AK44" s="203">
        <f t="shared" si="20"/>
        <v>0</v>
      </c>
      <c r="AL44" s="200">
        <f t="shared" si="20"/>
        <v>0</v>
      </c>
      <c r="AM44" s="125">
        <f t="shared" si="20"/>
        <v>0</v>
      </c>
      <c r="AN44" s="125"/>
      <c r="AO44" s="125">
        <f t="shared" si="20"/>
        <v>0</v>
      </c>
      <c r="AP44" s="205">
        <f>SUM(AP38:AP43)</f>
        <v>0</v>
      </c>
      <c r="AQ44" s="202">
        <f t="shared" si="20"/>
        <v>0</v>
      </c>
      <c r="AR44" s="203">
        <f t="shared" si="20"/>
        <v>0</v>
      </c>
      <c r="AS44" s="203"/>
      <c r="AT44" s="203">
        <f t="shared" si="20"/>
        <v>0</v>
      </c>
      <c r="AU44" s="203">
        <f>SUM(AU38:AU43)</f>
        <v>0</v>
      </c>
      <c r="AV44" s="200">
        <f t="shared" si="20"/>
        <v>0</v>
      </c>
      <c r="AW44" s="125">
        <f t="shared" si="20"/>
        <v>0</v>
      </c>
      <c r="AX44" s="125"/>
      <c r="AY44" s="125">
        <f t="shared" si="20"/>
        <v>0</v>
      </c>
      <c r="AZ44" s="205">
        <f>SUM(AZ38:AZ43)</f>
        <v>0</v>
      </c>
      <c r="BA44" s="348">
        <f>SUM(BA38:BA43)</f>
        <v>4</v>
      </c>
      <c r="BB44" s="199">
        <f>SUM(BB38:BB43)</f>
        <v>19267.330692336807</v>
      </c>
    </row>
    <row r="45" spans="1:55" ht="38.25" customHeight="1" x14ac:dyDescent="0.2">
      <c r="A45" s="322"/>
      <c r="B45" s="235"/>
      <c r="C45" s="235"/>
      <c r="D45" s="235"/>
      <c r="E45" s="126"/>
      <c r="F45" s="236"/>
      <c r="G45" s="236"/>
      <c r="H45" s="126"/>
      <c r="I45" s="126"/>
      <c r="J45" s="126"/>
      <c r="K45" s="126"/>
      <c r="L45" s="236"/>
      <c r="M45" s="126"/>
      <c r="N45" s="126"/>
      <c r="O45" s="126"/>
      <c r="P45" s="126"/>
      <c r="Q45" s="236"/>
      <c r="R45" s="126"/>
      <c r="S45" s="126"/>
      <c r="T45" s="126"/>
      <c r="U45" s="126"/>
      <c r="V45" s="126"/>
      <c r="W45" s="236"/>
      <c r="X45" s="126"/>
      <c r="Y45" s="126"/>
      <c r="Z45" s="126"/>
      <c r="AA45" s="126"/>
      <c r="AB45" s="236"/>
      <c r="AC45" s="126"/>
      <c r="AD45" s="126"/>
      <c r="AE45" s="126"/>
      <c r="AF45" s="126"/>
      <c r="AG45" s="236"/>
      <c r="AH45" s="126"/>
      <c r="AI45" s="126"/>
      <c r="AJ45" s="126"/>
      <c r="AK45" s="126"/>
      <c r="AL45" s="236"/>
      <c r="AM45" s="126"/>
      <c r="AN45" s="126"/>
      <c r="AO45" s="126"/>
      <c r="AP45" s="126"/>
      <c r="AQ45" s="236"/>
      <c r="AR45" s="126"/>
      <c r="AS45" s="126"/>
      <c r="AT45" s="126"/>
      <c r="AU45" s="126"/>
      <c r="AV45" s="236"/>
      <c r="AW45" s="126"/>
      <c r="AX45" s="126"/>
      <c r="AY45" s="126"/>
      <c r="AZ45" s="126"/>
      <c r="BA45" s="126"/>
      <c r="BB45" s="312"/>
      <c r="BC45" s="243"/>
    </row>
    <row r="46" spans="1:55" ht="38.25" customHeight="1" x14ac:dyDescent="0.35">
      <c r="A46" s="322">
        <v>4</v>
      </c>
      <c r="B46" s="498" t="s">
        <v>1532</v>
      </c>
      <c r="C46" s="518"/>
      <c r="D46" s="518"/>
      <c r="E46" s="518"/>
      <c r="F46" s="518"/>
      <c r="G46" s="518"/>
      <c r="H46" s="518"/>
      <c r="I46" s="518"/>
      <c r="J46" s="518"/>
      <c r="K46" s="518"/>
      <c r="L46" s="518"/>
      <c r="M46" s="126"/>
      <c r="N46" s="126"/>
      <c r="O46" s="126"/>
      <c r="P46" s="126"/>
      <c r="Q46" s="236"/>
      <c r="R46" s="126"/>
      <c r="S46" s="126"/>
      <c r="T46" s="126"/>
      <c r="U46" s="126"/>
      <c r="V46" s="126"/>
      <c r="W46" s="236"/>
      <c r="X46" s="126"/>
      <c r="Y46" s="126"/>
      <c r="Z46" s="126"/>
      <c r="AA46" s="126"/>
      <c r="AB46" s="236"/>
      <c r="AC46" s="126"/>
      <c r="AD46" s="126"/>
      <c r="AE46" s="126"/>
      <c r="AF46" s="126"/>
      <c r="AG46" s="236"/>
      <c r="AH46" s="126"/>
      <c r="AI46" s="126"/>
      <c r="AJ46" s="126"/>
      <c r="AK46" s="126"/>
      <c r="AL46" s="236"/>
      <c r="AM46" s="126"/>
      <c r="AN46" s="126"/>
      <c r="AO46" s="126"/>
      <c r="AP46" s="126"/>
      <c r="AQ46" s="236"/>
      <c r="AR46" s="126"/>
      <c r="AS46" s="126"/>
      <c r="AT46" s="126"/>
      <c r="AU46" s="126"/>
      <c r="AV46" s="236"/>
      <c r="AW46" s="126"/>
      <c r="AX46" s="126"/>
      <c r="AY46" s="126"/>
      <c r="AZ46" s="126"/>
      <c r="BA46" s="126"/>
      <c r="BB46" s="312"/>
      <c r="BC46" s="136"/>
    </row>
    <row r="47" spans="1:55" ht="37.5" customHeight="1" x14ac:dyDescent="0.2">
      <c r="A47" s="322"/>
      <c r="B47" s="95"/>
      <c r="C47" s="95"/>
      <c r="D47" s="95"/>
      <c r="E47" s="154"/>
      <c r="F47" s="155"/>
      <c r="G47" s="155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75"/>
      <c r="S47" s="175"/>
      <c r="T47" s="175"/>
      <c r="U47" s="175"/>
      <c r="V47" s="175"/>
      <c r="W47" s="148"/>
      <c r="X47" s="148"/>
      <c r="Y47" s="148"/>
      <c r="Z47" s="148"/>
      <c r="AA47" s="148"/>
      <c r="AB47" s="150"/>
      <c r="AC47" s="150"/>
      <c r="AD47" s="150"/>
      <c r="AH47" s="150"/>
      <c r="AI47" s="150"/>
      <c r="AJ47" s="161"/>
      <c r="AK47" s="161"/>
      <c r="AL47" s="161"/>
      <c r="AM47" s="161"/>
      <c r="AN47" s="161"/>
      <c r="AO47" s="161"/>
      <c r="AP47" s="161"/>
      <c r="AQ47" s="161"/>
      <c r="AR47" s="161"/>
      <c r="AS47" s="161"/>
      <c r="AT47" s="161"/>
      <c r="AU47" s="161"/>
      <c r="AV47" s="161"/>
    </row>
    <row r="48" spans="1:55" ht="28.5" customHeight="1" x14ac:dyDescent="0.25">
      <c r="A48" s="322">
        <v>4.0999999999999996</v>
      </c>
      <c r="B48" s="523" t="s">
        <v>10</v>
      </c>
      <c r="C48" s="523"/>
      <c r="D48" s="523"/>
      <c r="E48" s="524"/>
      <c r="F48" s="524" t="s">
        <v>1691</v>
      </c>
      <c r="G48" s="525"/>
      <c r="H48" s="525"/>
      <c r="I48" s="525"/>
      <c r="J48" s="525"/>
      <c r="K48" s="525"/>
      <c r="L48" s="525"/>
      <c r="M48" s="525"/>
      <c r="N48" s="525"/>
      <c r="O48" s="526"/>
      <c r="P48" s="103"/>
      <c r="Q48" s="564"/>
      <c r="R48" s="564"/>
      <c r="S48" s="564"/>
      <c r="T48" s="564"/>
      <c r="U48" s="564"/>
      <c r="V48" s="564"/>
      <c r="W48" s="564"/>
      <c r="X48" s="564"/>
      <c r="Y48" s="104"/>
      <c r="AF48" s="101"/>
      <c r="AG48" s="206"/>
      <c r="AH48" s="206"/>
      <c r="AI48" s="206"/>
      <c r="AJ48" s="207"/>
      <c r="AK48" s="207"/>
      <c r="AL48" s="164"/>
      <c r="AM48" s="164"/>
      <c r="AN48" s="164"/>
      <c r="AO48" s="164"/>
      <c r="AP48" s="164"/>
      <c r="AQ48" s="164"/>
      <c r="AR48" s="161"/>
      <c r="AS48" s="161"/>
      <c r="AT48" s="161"/>
      <c r="AU48" s="161"/>
      <c r="AV48" s="161"/>
    </row>
    <row r="49" spans="1:53" s="151" customFormat="1" ht="65.25" customHeight="1" x14ac:dyDescent="0.25">
      <c r="A49" s="321"/>
      <c r="B49" s="520" t="s">
        <v>1441</v>
      </c>
      <c r="C49" s="528"/>
      <c r="D49" s="528"/>
      <c r="E49" s="528"/>
      <c r="F49" s="131" t="s">
        <v>56</v>
      </c>
      <c r="G49" s="131"/>
      <c r="H49" s="131" t="s">
        <v>62</v>
      </c>
      <c r="I49" s="131"/>
      <c r="J49" s="131" t="s">
        <v>57</v>
      </c>
      <c r="K49" s="131"/>
      <c r="L49" s="131" t="s">
        <v>1421</v>
      </c>
      <c r="M49" s="131" t="s">
        <v>1454</v>
      </c>
      <c r="N49" s="131"/>
      <c r="O49" s="131" t="s">
        <v>51</v>
      </c>
      <c r="P49" s="427"/>
      <c r="Q49" s="424"/>
      <c r="R49" s="424"/>
      <c r="S49" s="424"/>
      <c r="T49" s="424"/>
      <c r="U49" s="424"/>
      <c r="V49" s="424"/>
      <c r="W49" s="424"/>
      <c r="X49" s="424"/>
      <c r="Y49" s="429" t="s">
        <v>63</v>
      </c>
      <c r="AF49" s="102"/>
      <c r="AG49" s="95"/>
      <c r="AH49" s="95"/>
      <c r="AI49" s="95"/>
      <c r="AJ49" s="95"/>
      <c r="AK49" s="95"/>
      <c r="AL49" s="95"/>
      <c r="AM49" s="95"/>
      <c r="AN49" s="95"/>
      <c r="AO49" s="95"/>
      <c r="AP49" s="95"/>
      <c r="AQ49" s="95"/>
      <c r="AR49" s="208"/>
      <c r="AS49" s="208"/>
      <c r="AT49" s="208"/>
      <c r="AU49" s="208"/>
      <c r="AV49" s="208"/>
      <c r="AW49" s="208"/>
      <c r="AX49" s="208"/>
      <c r="AY49" s="208"/>
      <c r="AZ49" s="208"/>
      <c r="BA49" s="208"/>
    </row>
    <row r="50" spans="1:53" ht="57" customHeight="1" x14ac:dyDescent="0.25">
      <c r="A50" s="322"/>
      <c r="B50" s="520" t="s">
        <v>1692</v>
      </c>
      <c r="C50" s="520"/>
      <c r="D50" s="520"/>
      <c r="E50" s="520"/>
      <c r="F50" s="98" t="s">
        <v>1693</v>
      </c>
      <c r="G50" s="98"/>
      <c r="H50" s="98">
        <v>2</v>
      </c>
      <c r="I50" s="98"/>
      <c r="J50" s="303">
        <v>10</v>
      </c>
      <c r="K50" s="303"/>
      <c r="L50" s="297">
        <f>+J50*H50</f>
        <v>20</v>
      </c>
      <c r="M50" s="98" t="s">
        <v>96</v>
      </c>
      <c r="N50" s="98"/>
      <c r="O50" s="297">
        <f>IF(M50="FACTURA",L50*1,IF(M50=Hoja2!$H$3,L50/0.92,IF(M50="ALMACEN",L50*1,IF(M50=Hoja2!$H$5,0))))</f>
        <v>21.739130434782609</v>
      </c>
      <c r="P50" s="428" t="e">
        <f t="shared" ref="P50:P58" si="21">+O50/$O$68</f>
        <v>#DIV/0!</v>
      </c>
      <c r="Q50" s="155"/>
      <c r="R50" s="431"/>
      <c r="S50" s="431"/>
      <c r="T50" s="431"/>
      <c r="U50" s="431"/>
      <c r="V50" s="423"/>
      <c r="W50" s="155"/>
      <c r="X50" s="431"/>
      <c r="Y50" s="430" t="b">
        <f>IF(W50="FACTURA",V50*0.87,IF(W50=Hoja2!$H$3,V50/0.92,IF(W50="ALMACEN",V50*1)))</f>
        <v>0</v>
      </c>
      <c r="AF50" s="209"/>
      <c r="AG50" s="158"/>
      <c r="AH50" s="130"/>
      <c r="AI50" s="130"/>
      <c r="AJ50" s="130"/>
      <c r="AK50" s="130"/>
      <c r="AL50" s="210"/>
      <c r="AM50" s="210"/>
      <c r="AN50" s="210"/>
      <c r="AO50" s="210"/>
      <c r="AP50" s="210"/>
      <c r="AQ50" s="210"/>
      <c r="AR50" s="161"/>
      <c r="AS50" s="161"/>
      <c r="AT50" s="161"/>
      <c r="AU50" s="161"/>
      <c r="AV50" s="161"/>
      <c r="AW50" s="161"/>
      <c r="AX50" s="161"/>
      <c r="AY50" s="161"/>
      <c r="AZ50" s="161"/>
      <c r="BA50" s="161"/>
    </row>
    <row r="51" spans="1:53" ht="35.25" customHeight="1" x14ac:dyDescent="0.25">
      <c r="A51" s="322"/>
      <c r="B51" s="520"/>
      <c r="C51" s="520"/>
      <c r="D51" s="520"/>
      <c r="E51" s="520"/>
      <c r="F51" s="98"/>
      <c r="G51" s="98"/>
      <c r="H51" s="345"/>
      <c r="I51" s="98"/>
      <c r="J51" s="303"/>
      <c r="K51" s="303"/>
      <c r="L51" s="297">
        <f t="shared" ref="L51:L63" si="22">+J51*H51</f>
        <v>0</v>
      </c>
      <c r="M51" s="300" t="s">
        <v>66</v>
      </c>
      <c r="N51" s="98"/>
      <c r="O51" s="343">
        <f>IF(M51="FACTURA",L51*1,IF(M51=Hoja2!$H$3,L51/0.92,IF(M51="ALMACEN",L51*1,IF(M51=Hoja2!$H$5,0))))</f>
        <v>0</v>
      </c>
      <c r="P51" s="428" t="e">
        <f t="shared" si="21"/>
        <v>#DIV/0!</v>
      </c>
      <c r="Q51" s="155"/>
      <c r="R51" s="431"/>
      <c r="S51" s="431"/>
      <c r="T51" s="431"/>
      <c r="U51" s="431"/>
      <c r="V51" s="423"/>
      <c r="W51" s="155"/>
      <c r="X51" s="431"/>
      <c r="Y51" s="430" t="b">
        <f>IF(W51="FACTURA",V51*0.87,IF(W51=Hoja2!$H$3,V51/0.92,IF(W51="ALMACEN",V51*1)))</f>
        <v>0</v>
      </c>
      <c r="AF51" s="209"/>
      <c r="AG51" s="158"/>
      <c r="AH51" s="130"/>
      <c r="AI51" s="130"/>
      <c r="AJ51" s="130"/>
      <c r="AK51" s="130"/>
      <c r="AL51" s="210"/>
      <c r="AM51" s="210"/>
      <c r="AN51" s="210"/>
      <c r="AO51" s="210"/>
      <c r="AP51" s="210"/>
      <c r="AQ51" s="210"/>
      <c r="AR51" s="161"/>
      <c r="AS51" s="161"/>
      <c r="AT51" s="161"/>
      <c r="AU51" s="161"/>
      <c r="AV51" s="161"/>
      <c r="AW51" s="161"/>
      <c r="AX51" s="161"/>
      <c r="AY51" s="161"/>
      <c r="AZ51" s="161"/>
      <c r="BA51" s="161"/>
    </row>
    <row r="52" spans="1:53" ht="35.25" customHeight="1" x14ac:dyDescent="0.25">
      <c r="A52" s="322"/>
      <c r="B52" s="520"/>
      <c r="C52" s="520"/>
      <c r="D52" s="520"/>
      <c r="E52" s="520"/>
      <c r="F52" s="98"/>
      <c r="G52" s="98"/>
      <c r="H52" s="345"/>
      <c r="I52" s="98"/>
      <c r="J52" s="303"/>
      <c r="K52" s="303"/>
      <c r="L52" s="297">
        <f t="shared" si="22"/>
        <v>0</v>
      </c>
      <c r="M52" s="300" t="s">
        <v>66</v>
      </c>
      <c r="N52" s="98"/>
      <c r="O52" s="343">
        <f>IF(M52="FACTURA",L52*1,IF(M52=Hoja2!$H$3,L52/0.92,IF(M52="ALMACEN",L52*1,IF(M52=Hoja2!$H$5,0))))</f>
        <v>0</v>
      </c>
      <c r="P52" s="428" t="e">
        <f t="shared" si="21"/>
        <v>#DIV/0!</v>
      </c>
      <c r="Q52" s="155"/>
      <c r="R52" s="431"/>
      <c r="S52" s="431"/>
      <c r="T52" s="431"/>
      <c r="U52" s="431"/>
      <c r="V52" s="423"/>
      <c r="W52" s="155"/>
      <c r="X52" s="431"/>
      <c r="Y52" s="430" t="b">
        <f>IF(W52="FACTURA",V52*0.87,IF(W52=Hoja2!$H$3,V52/0.92,IF(W52="ALMACEN",V52*1)))</f>
        <v>0</v>
      </c>
      <c r="AF52" s="209"/>
      <c r="AG52" s="158"/>
      <c r="AH52" s="130"/>
      <c r="AI52" s="130"/>
      <c r="AJ52" s="130"/>
      <c r="AK52" s="130"/>
      <c r="AL52" s="210"/>
      <c r="AM52" s="210"/>
      <c r="AN52" s="210"/>
      <c r="AO52" s="210"/>
      <c r="AP52" s="210"/>
      <c r="AQ52" s="210"/>
      <c r="AR52" s="161"/>
      <c r="AS52" s="161"/>
      <c r="AT52" s="161"/>
      <c r="AU52" s="161"/>
      <c r="AV52" s="161"/>
      <c r="AW52" s="161"/>
      <c r="AX52" s="161"/>
      <c r="AY52" s="161"/>
      <c r="AZ52" s="161"/>
      <c r="BA52" s="161"/>
    </row>
    <row r="53" spans="1:53" ht="35.25" customHeight="1" x14ac:dyDescent="0.25">
      <c r="A53" s="322"/>
      <c r="B53" s="520"/>
      <c r="C53" s="520"/>
      <c r="D53" s="520"/>
      <c r="E53" s="520"/>
      <c r="F53" s="98"/>
      <c r="G53" s="98"/>
      <c r="H53" s="345"/>
      <c r="I53" s="98"/>
      <c r="J53" s="303"/>
      <c r="K53" s="303"/>
      <c r="L53" s="304">
        <f t="shared" si="22"/>
        <v>0</v>
      </c>
      <c r="M53" s="300" t="s">
        <v>66</v>
      </c>
      <c r="N53" s="98"/>
      <c r="O53" s="343">
        <f>IF(M53="FACTURA",L53*1,IF(M53=Hoja2!$H$3,L53/0.92,IF(M53="ALMACEN",L53*1,IF(M53=Hoja2!$H$5,0))))</f>
        <v>0</v>
      </c>
      <c r="P53" s="428" t="e">
        <f t="shared" si="21"/>
        <v>#DIV/0!</v>
      </c>
      <c r="Q53" s="155"/>
      <c r="R53" s="431"/>
      <c r="S53" s="431"/>
      <c r="T53" s="431"/>
      <c r="U53" s="431"/>
      <c r="V53" s="423"/>
      <c r="W53" s="155"/>
      <c r="X53" s="431"/>
      <c r="Y53" s="430" t="b">
        <f>IF(W53="FACTURA",V53*0.87,IF(W53=Hoja2!$H$3,V53/0.92,IF(W53="ALMACEN",V53*1)))</f>
        <v>0</v>
      </c>
      <c r="AF53" s="209"/>
      <c r="AG53" s="158"/>
      <c r="AH53" s="130"/>
      <c r="AI53" s="130"/>
      <c r="AJ53" s="130"/>
      <c r="AK53" s="130"/>
      <c r="AL53" s="210"/>
      <c r="AM53" s="210"/>
      <c r="AN53" s="210"/>
      <c r="AO53" s="210"/>
      <c r="AP53" s="210"/>
      <c r="AQ53" s="210"/>
      <c r="AR53" s="161"/>
      <c r="AS53" s="161"/>
      <c r="AT53" s="161"/>
      <c r="AU53" s="161"/>
      <c r="AV53" s="161"/>
      <c r="AW53" s="161"/>
      <c r="AX53" s="161"/>
      <c r="AY53" s="161"/>
      <c r="AZ53" s="161"/>
      <c r="BA53" s="161"/>
    </row>
    <row r="54" spans="1:53" ht="35.25" customHeight="1" x14ac:dyDescent="0.25">
      <c r="A54" s="322"/>
      <c r="B54" s="520"/>
      <c r="C54" s="520"/>
      <c r="D54" s="520"/>
      <c r="E54" s="520"/>
      <c r="F54" s="98"/>
      <c r="G54" s="98"/>
      <c r="H54" s="345"/>
      <c r="I54" s="98"/>
      <c r="J54" s="303"/>
      <c r="K54" s="303"/>
      <c r="L54" s="304">
        <f t="shared" si="22"/>
        <v>0</v>
      </c>
      <c r="M54" s="300" t="s">
        <v>66</v>
      </c>
      <c r="N54" s="98"/>
      <c r="O54" s="343">
        <f>IF(M54="FACTURA",L54*1,IF(M54=Hoja2!$H$3,L54/0.92,IF(M54="ALMACEN",L54*1,IF(M54=Hoja2!$H$5,0))))</f>
        <v>0</v>
      </c>
      <c r="P54" s="428" t="e">
        <f t="shared" si="21"/>
        <v>#DIV/0!</v>
      </c>
      <c r="Q54" s="155"/>
      <c r="R54" s="431"/>
      <c r="S54" s="431"/>
      <c r="T54" s="431"/>
      <c r="U54" s="431"/>
      <c r="V54" s="423"/>
      <c r="W54" s="155"/>
      <c r="X54" s="431"/>
      <c r="Y54" s="430" t="b">
        <f>IF(W54="FACTURA",V54*0.87,IF(W54=Hoja2!$H$3,V54/0.92,IF(W54="ALMACEN",V54*1)))</f>
        <v>0</v>
      </c>
      <c r="AF54" s="209"/>
      <c r="AG54" s="158"/>
      <c r="AH54" s="130"/>
      <c r="AI54" s="130"/>
      <c r="AJ54" s="130"/>
      <c r="AK54" s="130"/>
      <c r="AL54" s="210"/>
      <c r="AM54" s="210"/>
      <c r="AN54" s="210"/>
      <c r="AO54" s="210"/>
      <c r="AP54" s="210"/>
      <c r="AQ54" s="210"/>
      <c r="AR54" s="161"/>
      <c r="AS54" s="161"/>
      <c r="AT54" s="161"/>
      <c r="AU54" s="161"/>
      <c r="AV54" s="161"/>
      <c r="AW54" s="161"/>
      <c r="AX54" s="161"/>
      <c r="AY54" s="161"/>
      <c r="AZ54" s="161"/>
      <c r="BA54" s="161"/>
    </row>
    <row r="55" spans="1:53" ht="35.25" customHeight="1" x14ac:dyDescent="0.25">
      <c r="A55" s="322"/>
      <c r="B55" s="520"/>
      <c r="C55" s="520"/>
      <c r="D55" s="520"/>
      <c r="E55" s="520"/>
      <c r="F55" s="98"/>
      <c r="G55" s="98"/>
      <c r="H55" s="345"/>
      <c r="I55" s="98"/>
      <c r="J55" s="303"/>
      <c r="K55" s="303"/>
      <c r="L55" s="304">
        <f t="shared" si="22"/>
        <v>0</v>
      </c>
      <c r="M55" s="300" t="s">
        <v>66</v>
      </c>
      <c r="N55" s="98"/>
      <c r="O55" s="343">
        <f>IF(M55="FACTURA",L55*1,IF(M55=Hoja2!$H$3,L55/0.92,IF(M55="ALMACEN",L55*1,IF(M55=Hoja2!$H$5,0))))</f>
        <v>0</v>
      </c>
      <c r="P55" s="428" t="e">
        <f t="shared" si="21"/>
        <v>#DIV/0!</v>
      </c>
      <c r="Q55" s="155"/>
      <c r="R55" s="431"/>
      <c r="S55" s="431"/>
      <c r="T55" s="431"/>
      <c r="U55" s="431"/>
      <c r="V55" s="423"/>
      <c r="W55" s="155"/>
      <c r="X55" s="431"/>
      <c r="Y55" s="430" t="b">
        <f>IF(W55="FACTURA",V55*0.87,IF(W55=Hoja2!$H$3,V55/0.92,IF(W55="ALMACEN",V55*1)))</f>
        <v>0</v>
      </c>
      <c r="AF55" s="209"/>
      <c r="AG55" s="158"/>
      <c r="AH55" s="130"/>
      <c r="AI55" s="130"/>
      <c r="AJ55" s="130"/>
      <c r="AK55" s="130"/>
      <c r="AL55" s="210"/>
      <c r="AM55" s="210"/>
      <c r="AN55" s="210"/>
      <c r="AO55" s="210"/>
      <c r="AP55" s="210"/>
      <c r="AQ55" s="210"/>
      <c r="AR55" s="161"/>
      <c r="AS55" s="161"/>
      <c r="AT55" s="161"/>
      <c r="AU55" s="161"/>
      <c r="AV55" s="161"/>
      <c r="AW55" s="161"/>
      <c r="AX55" s="161"/>
      <c r="AY55" s="161"/>
      <c r="AZ55" s="161"/>
      <c r="BA55" s="161"/>
    </row>
    <row r="56" spans="1:53" ht="37.5" customHeight="1" x14ac:dyDescent="0.25">
      <c r="A56" s="322"/>
      <c r="B56" s="520"/>
      <c r="C56" s="520"/>
      <c r="D56" s="520"/>
      <c r="E56" s="520"/>
      <c r="F56" s="98"/>
      <c r="G56" s="98"/>
      <c r="H56" s="345"/>
      <c r="I56" s="98"/>
      <c r="J56" s="303"/>
      <c r="K56" s="303"/>
      <c r="L56" s="304">
        <f t="shared" si="22"/>
        <v>0</v>
      </c>
      <c r="M56" s="300" t="s">
        <v>66</v>
      </c>
      <c r="N56" s="98"/>
      <c r="O56" s="343">
        <f>IF(M56="FACTURA",L56*1,IF(M56=Hoja2!$H$3,L56/0.92,IF(M56="ALMACEN",L56*1,IF(M56=Hoja2!$H$5,0))))</f>
        <v>0</v>
      </c>
      <c r="P56" s="428" t="e">
        <f t="shared" si="21"/>
        <v>#DIV/0!</v>
      </c>
      <c r="Q56" s="155"/>
      <c r="R56" s="431"/>
      <c r="S56" s="431"/>
      <c r="T56" s="431"/>
      <c r="U56" s="431"/>
      <c r="V56" s="423"/>
      <c r="W56" s="155"/>
      <c r="X56" s="431"/>
      <c r="Y56" s="430" t="b">
        <f>IF(W56="FACTURA",V56*0.87,IF(W56=Hoja2!$H$3,V56/0.92,IF(W56="ALMACEN",V56*1)))</f>
        <v>0</v>
      </c>
      <c r="AF56" s="209"/>
      <c r="AG56" s="158"/>
      <c r="AH56" s="130"/>
      <c r="AI56" s="130"/>
      <c r="AJ56" s="130"/>
      <c r="AK56" s="130"/>
      <c r="AL56" s="210"/>
      <c r="AM56" s="210"/>
      <c r="AN56" s="210"/>
      <c r="AO56" s="210"/>
      <c r="AP56" s="210"/>
      <c r="AQ56" s="210"/>
      <c r="AR56" s="161"/>
      <c r="AS56" s="161"/>
      <c r="AT56" s="161"/>
      <c r="AU56" s="161"/>
      <c r="AV56" s="161"/>
      <c r="AW56" s="161"/>
      <c r="AX56" s="161"/>
      <c r="AY56" s="161"/>
      <c r="AZ56" s="161"/>
      <c r="BA56" s="161"/>
    </row>
    <row r="57" spans="1:53" ht="39" customHeight="1" x14ac:dyDescent="0.25">
      <c r="A57" s="322"/>
      <c r="B57" s="520"/>
      <c r="C57" s="520"/>
      <c r="D57" s="520"/>
      <c r="E57" s="520"/>
      <c r="F57" s="98"/>
      <c r="G57" s="98"/>
      <c r="H57" s="345"/>
      <c r="I57" s="98"/>
      <c r="J57" s="303"/>
      <c r="K57" s="303"/>
      <c r="L57" s="304">
        <f t="shared" si="22"/>
        <v>0</v>
      </c>
      <c r="M57" s="300" t="s">
        <v>66</v>
      </c>
      <c r="N57" s="98"/>
      <c r="O57" s="343">
        <f>IF(M57="FACTURA",L57*1,IF(M57=Hoja2!$H$3,L57/0.92,IF(M57="ALMACEN",L57*1,IF(M57=Hoja2!$H$5,0))))</f>
        <v>0</v>
      </c>
      <c r="P57" s="428" t="e">
        <f t="shared" si="21"/>
        <v>#DIV/0!</v>
      </c>
      <c r="Q57" s="155"/>
      <c r="R57" s="431"/>
      <c r="S57" s="431"/>
      <c r="T57" s="431"/>
      <c r="U57" s="431"/>
      <c r="V57" s="423"/>
      <c r="W57" s="155"/>
      <c r="X57" s="431"/>
      <c r="Y57" s="430" t="b">
        <f>IF(W57="FACTURA",V57*0.87,IF(W57=Hoja2!$H$3,V57/0.92,IF(W57="ALMACEN",V57*1)))</f>
        <v>0</v>
      </c>
      <c r="AF57" s="209"/>
      <c r="AG57" s="158"/>
      <c r="AH57" s="130"/>
      <c r="AI57" s="130"/>
      <c r="AJ57" s="130"/>
      <c r="AK57" s="130"/>
      <c r="AL57" s="210"/>
      <c r="AM57" s="210"/>
      <c r="AN57" s="210"/>
      <c r="AO57" s="210"/>
      <c r="AP57" s="210"/>
      <c r="AQ57" s="210"/>
      <c r="AR57" s="161"/>
      <c r="AS57" s="161"/>
      <c r="AT57" s="161"/>
      <c r="AU57" s="161"/>
      <c r="AV57" s="161"/>
      <c r="AW57" s="161"/>
      <c r="AX57" s="161"/>
      <c r="AY57" s="161"/>
      <c r="AZ57" s="161"/>
      <c r="BA57" s="161"/>
    </row>
    <row r="58" spans="1:53" ht="39" customHeight="1" x14ac:dyDescent="0.25">
      <c r="A58" s="322"/>
      <c r="B58" s="520"/>
      <c r="C58" s="520"/>
      <c r="D58" s="520"/>
      <c r="E58" s="520"/>
      <c r="F58" s="98"/>
      <c r="G58" s="98"/>
      <c r="H58" s="345"/>
      <c r="I58" s="98"/>
      <c r="J58" s="303"/>
      <c r="K58" s="303"/>
      <c r="L58" s="304">
        <f t="shared" si="22"/>
        <v>0</v>
      </c>
      <c r="M58" s="300" t="s">
        <v>66</v>
      </c>
      <c r="N58" s="98"/>
      <c r="O58" s="343">
        <f>IF(M58="FACTURA",L58*1,IF(M58=Hoja2!$H$3,L58/0.92,IF(M58="ALMACEN",L58*1,IF(M58=Hoja2!$H$5,0))))</f>
        <v>0</v>
      </c>
      <c r="P58" s="428" t="e">
        <f t="shared" si="21"/>
        <v>#DIV/0!</v>
      </c>
      <c r="Q58" s="155"/>
      <c r="R58" s="431"/>
      <c r="S58" s="431"/>
      <c r="T58" s="431"/>
      <c r="U58" s="431"/>
      <c r="V58" s="423"/>
      <c r="W58" s="155"/>
      <c r="X58" s="431"/>
      <c r="Y58" s="430" t="b">
        <f>IF(W58="FACTURA",V58*0.87,IF(W58=Hoja2!$H$3,V58/0.92,IF(W58="ALMACEN",V58*1)))</f>
        <v>0</v>
      </c>
      <c r="AF58" s="209"/>
      <c r="AG58" s="158"/>
      <c r="AH58" s="130"/>
      <c r="AI58" s="130"/>
      <c r="AJ58" s="130"/>
      <c r="AK58" s="130"/>
      <c r="AL58" s="210"/>
      <c r="AM58" s="210"/>
      <c r="AN58" s="210"/>
      <c r="AO58" s="210"/>
      <c r="AP58" s="210"/>
      <c r="AQ58" s="210"/>
      <c r="AR58" s="161"/>
      <c r="AS58" s="161"/>
      <c r="AT58" s="161"/>
      <c r="AU58" s="161"/>
      <c r="AV58" s="161"/>
      <c r="AW58" s="161"/>
      <c r="AX58" s="161"/>
      <c r="AY58" s="161"/>
      <c r="AZ58" s="161"/>
      <c r="BA58" s="161"/>
    </row>
    <row r="59" spans="1:53" ht="39" customHeight="1" x14ac:dyDescent="0.25">
      <c r="A59" s="322"/>
      <c r="B59" s="520"/>
      <c r="C59" s="520"/>
      <c r="D59" s="520"/>
      <c r="E59" s="520"/>
      <c r="F59" s="98"/>
      <c r="G59" s="98"/>
      <c r="H59" s="345"/>
      <c r="I59" s="98"/>
      <c r="J59" s="303"/>
      <c r="K59" s="303"/>
      <c r="L59" s="304">
        <f t="shared" si="22"/>
        <v>0</v>
      </c>
      <c r="M59" s="300" t="s">
        <v>66</v>
      </c>
      <c r="N59" s="98"/>
      <c r="O59" s="343">
        <f>IF(M59="FACTURA",L59*1,IF(M59=Hoja2!$H$3,L59/0.92,IF(M59="ALMACEN",L59*1,IF(M59=Hoja2!$H$5,0))))</f>
        <v>0</v>
      </c>
      <c r="P59" s="428" t="e">
        <f>+O59/$O$68</f>
        <v>#DIV/0!</v>
      </c>
      <c r="Q59" s="155"/>
      <c r="R59" s="431"/>
      <c r="S59" s="431"/>
      <c r="T59" s="431"/>
      <c r="U59" s="431"/>
      <c r="V59" s="423"/>
      <c r="W59" s="155"/>
      <c r="X59" s="431"/>
      <c r="Y59" s="430" t="b">
        <f>IF(W59="FACTURA",V59*0.87,IF(W59=Hoja2!$H$3,V59/0.92,IF(W59="ALMACEN",V59*1)))</f>
        <v>0</v>
      </c>
      <c r="AF59" s="209"/>
      <c r="AG59" s="158"/>
      <c r="AH59" s="130"/>
      <c r="AI59" s="130"/>
      <c r="AJ59" s="130"/>
      <c r="AK59" s="130"/>
      <c r="AL59" s="210"/>
      <c r="AM59" s="210"/>
      <c r="AN59" s="210"/>
      <c r="AO59" s="210"/>
      <c r="AP59" s="210"/>
      <c r="AQ59" s="210"/>
      <c r="AR59" s="161"/>
      <c r="AS59" s="161"/>
      <c r="AT59" s="161"/>
      <c r="AU59" s="161"/>
      <c r="AV59" s="161"/>
      <c r="AW59" s="161"/>
      <c r="AX59" s="161"/>
      <c r="AY59" s="161"/>
      <c r="AZ59" s="161"/>
      <c r="BA59" s="161"/>
    </row>
    <row r="60" spans="1:53" ht="39" customHeight="1" x14ac:dyDescent="0.25">
      <c r="A60" s="322"/>
      <c r="B60" s="520"/>
      <c r="C60" s="520"/>
      <c r="D60" s="520"/>
      <c r="E60" s="520"/>
      <c r="F60" s="98"/>
      <c r="G60" s="98"/>
      <c r="H60" s="345"/>
      <c r="I60" s="98"/>
      <c r="J60" s="303"/>
      <c r="K60" s="303"/>
      <c r="L60" s="304">
        <f t="shared" si="22"/>
        <v>0</v>
      </c>
      <c r="M60" s="300" t="s">
        <v>66</v>
      </c>
      <c r="N60" s="98"/>
      <c r="O60" s="343">
        <f>IF(M60="FACTURA",L60*1,IF(M60=Hoja2!$H$3,L60/0.92,IF(M60="ALMACEN",L60*1,IF(M60=Hoja2!$H$5,0))))</f>
        <v>0</v>
      </c>
      <c r="P60" s="428" t="e">
        <f>+O60/$O$68</f>
        <v>#DIV/0!</v>
      </c>
      <c r="Q60" s="155"/>
      <c r="R60" s="431"/>
      <c r="S60" s="431"/>
      <c r="T60" s="431"/>
      <c r="U60" s="431"/>
      <c r="V60" s="423"/>
      <c r="W60" s="155"/>
      <c r="X60" s="431"/>
      <c r="Y60" s="430" t="b">
        <f>IF(W60="FACTURA",V60*0.87,IF(W60=Hoja2!$H$3,V60/0.92,IF(W60="ALMACEN",V60*1)))</f>
        <v>0</v>
      </c>
      <c r="AF60" s="209"/>
      <c r="AG60" s="158"/>
      <c r="AH60" s="130"/>
      <c r="AI60" s="130"/>
      <c r="AJ60" s="130"/>
      <c r="AK60" s="130"/>
      <c r="AL60" s="210"/>
      <c r="AM60" s="210"/>
      <c r="AN60" s="210"/>
      <c r="AO60" s="210"/>
      <c r="AP60" s="210"/>
      <c r="AQ60" s="210"/>
      <c r="AR60" s="161"/>
      <c r="AS60" s="161"/>
      <c r="AT60" s="161"/>
      <c r="AU60" s="161"/>
      <c r="AV60" s="161"/>
      <c r="AW60" s="161"/>
      <c r="AX60" s="161"/>
      <c r="AY60" s="161"/>
      <c r="AZ60" s="161"/>
      <c r="BA60" s="161"/>
    </row>
    <row r="61" spans="1:53" ht="39" customHeight="1" x14ac:dyDescent="0.25">
      <c r="A61" s="322"/>
      <c r="B61" s="520"/>
      <c r="C61" s="520"/>
      <c r="D61" s="520"/>
      <c r="E61" s="520"/>
      <c r="F61" s="98"/>
      <c r="G61" s="98"/>
      <c r="H61" s="345"/>
      <c r="I61" s="98"/>
      <c r="J61" s="303"/>
      <c r="K61" s="303"/>
      <c r="L61" s="304">
        <f t="shared" si="22"/>
        <v>0</v>
      </c>
      <c r="M61" s="300" t="s">
        <v>66</v>
      </c>
      <c r="N61" s="98"/>
      <c r="O61" s="343">
        <f>IF(M61="FACTURA",L61*1,IF(M61=Hoja2!$H$3,L61/0.92,IF(M61="ALMACEN",L61*1,IF(M61=Hoja2!$H$5,0))))</f>
        <v>0</v>
      </c>
      <c r="P61" s="428" t="e">
        <f>+O61/$O$68</f>
        <v>#DIV/0!</v>
      </c>
      <c r="Q61" s="155"/>
      <c r="R61" s="431"/>
      <c r="S61" s="431"/>
      <c r="T61" s="431"/>
      <c r="U61" s="431"/>
      <c r="V61" s="423"/>
      <c r="W61" s="155"/>
      <c r="X61" s="431"/>
      <c r="Y61" s="430" t="b">
        <f>IF(W61="FACTURA",V61*0.87,IF(W61=Hoja2!$H$3,V61/0.92,IF(W61="ALMACEN",V61*1)))</f>
        <v>0</v>
      </c>
      <c r="AF61" s="209"/>
      <c r="AG61" s="158"/>
      <c r="AH61" s="130"/>
      <c r="AI61" s="130"/>
      <c r="AJ61" s="130"/>
      <c r="AK61" s="130"/>
      <c r="AL61" s="210"/>
      <c r="AM61" s="210"/>
      <c r="AN61" s="210"/>
      <c r="AO61" s="210"/>
      <c r="AP61" s="210"/>
      <c r="AQ61" s="210"/>
      <c r="AR61" s="161"/>
      <c r="AS61" s="161"/>
      <c r="AT61" s="161"/>
      <c r="AU61" s="161"/>
      <c r="AV61" s="161"/>
      <c r="AW61" s="161"/>
      <c r="AX61" s="161"/>
      <c r="AY61" s="161"/>
      <c r="AZ61" s="161"/>
      <c r="BA61" s="161"/>
    </row>
    <row r="62" spans="1:53" ht="39" customHeight="1" x14ac:dyDescent="0.25">
      <c r="A62" s="322"/>
      <c r="B62" s="520"/>
      <c r="C62" s="520"/>
      <c r="D62" s="520"/>
      <c r="E62" s="520"/>
      <c r="F62" s="98"/>
      <c r="G62" s="98"/>
      <c r="H62" s="345"/>
      <c r="I62" s="98"/>
      <c r="J62" s="303"/>
      <c r="K62" s="303"/>
      <c r="L62" s="304">
        <f t="shared" si="22"/>
        <v>0</v>
      </c>
      <c r="M62" s="300" t="s">
        <v>66</v>
      </c>
      <c r="N62" s="98"/>
      <c r="O62" s="343">
        <f>IF(M62="FACTURA",L62*1,IF(M62=Hoja2!$H$3,L62/0.92,IF(M62="ALMACEN",L62*1,IF(M62=Hoja2!$H$5,0))))</f>
        <v>0</v>
      </c>
      <c r="P62" s="428" t="e">
        <f>+O62/$O$68</f>
        <v>#DIV/0!</v>
      </c>
      <c r="Q62" s="155"/>
      <c r="R62" s="431"/>
      <c r="S62" s="431"/>
      <c r="T62" s="431"/>
      <c r="U62" s="431"/>
      <c r="V62" s="423"/>
      <c r="W62" s="155"/>
      <c r="X62" s="431"/>
      <c r="Y62" s="430" t="b">
        <f>IF(W62="FACTURA",V62*0.87,IF(W62=Hoja2!$H$3,V62/0.92,IF(W62="ALMACEN",V62*1)))</f>
        <v>0</v>
      </c>
      <c r="AF62" s="209"/>
      <c r="AG62" s="158"/>
      <c r="AH62" s="130"/>
      <c r="AI62" s="130"/>
      <c r="AJ62" s="130"/>
      <c r="AK62" s="130"/>
      <c r="AL62" s="210"/>
      <c r="AM62" s="210"/>
      <c r="AN62" s="210"/>
      <c r="AO62" s="210"/>
      <c r="AP62" s="210"/>
      <c r="AQ62" s="210"/>
      <c r="AR62" s="161"/>
      <c r="AS62" s="161"/>
      <c r="AT62" s="161"/>
      <c r="AU62" s="161"/>
      <c r="AV62" s="161"/>
      <c r="AW62" s="161"/>
      <c r="AX62" s="161"/>
      <c r="AY62" s="161"/>
      <c r="AZ62" s="161"/>
      <c r="BA62" s="161"/>
    </row>
    <row r="63" spans="1:53" ht="39" customHeight="1" x14ac:dyDescent="0.25">
      <c r="A63" s="322"/>
      <c r="B63" s="520"/>
      <c r="C63" s="520"/>
      <c r="D63" s="520"/>
      <c r="E63" s="520"/>
      <c r="F63" s="98"/>
      <c r="G63" s="98"/>
      <c r="H63" s="345"/>
      <c r="I63" s="98"/>
      <c r="J63" s="303"/>
      <c r="K63" s="303"/>
      <c r="L63" s="304">
        <f t="shared" si="22"/>
        <v>0</v>
      </c>
      <c r="M63" s="300" t="s">
        <v>66</v>
      </c>
      <c r="N63" s="98"/>
      <c r="O63" s="343">
        <f>IF(M63="FACTURA",L63*1,IF(M63=Hoja2!$H$3,L63/0.92,IF(M63="ALMACEN",L63*1,IF(M63=Hoja2!$H$5,0))))</f>
        <v>0</v>
      </c>
      <c r="P63" s="428" t="e">
        <f>+O63/$O$68</f>
        <v>#DIV/0!</v>
      </c>
      <c r="Q63" s="155"/>
      <c r="R63" s="431"/>
      <c r="S63" s="431"/>
      <c r="T63" s="431"/>
      <c r="U63" s="431"/>
      <c r="V63" s="423"/>
      <c r="W63" s="155"/>
      <c r="X63" s="431"/>
      <c r="Y63" s="430" t="b">
        <f>IF(W63="FACTURA",V63*0.87,IF(W63=Hoja2!$H$3,V63/0.92,IF(W63="ALMACEN",V63*1)))</f>
        <v>0</v>
      </c>
      <c r="AF63" s="209"/>
      <c r="AG63" s="158"/>
      <c r="AH63" s="130"/>
      <c r="AI63" s="130"/>
      <c r="AJ63" s="130"/>
      <c r="AK63" s="130"/>
      <c r="AL63" s="210"/>
      <c r="AM63" s="210"/>
      <c r="AN63" s="210"/>
      <c r="AO63" s="210"/>
      <c r="AP63" s="210"/>
      <c r="AQ63" s="210"/>
      <c r="AR63" s="161"/>
      <c r="AS63" s="161"/>
      <c r="AT63" s="161"/>
      <c r="AU63" s="161"/>
      <c r="AV63" s="161"/>
      <c r="AW63" s="161"/>
      <c r="AX63" s="161"/>
      <c r="AY63" s="161"/>
      <c r="AZ63" s="161"/>
      <c r="BA63" s="161"/>
    </row>
    <row r="64" spans="1:53" ht="36" customHeight="1" x14ac:dyDescent="0.2">
      <c r="A64" s="322"/>
      <c r="B64" s="523" t="s">
        <v>1455</v>
      </c>
      <c r="C64" s="523"/>
      <c r="D64" s="523"/>
      <c r="E64" s="523"/>
      <c r="F64" s="211"/>
      <c r="G64" s="211"/>
      <c r="H64" s="211"/>
      <c r="I64" s="211"/>
      <c r="J64" s="121"/>
      <c r="K64" s="121"/>
      <c r="L64" s="309">
        <f>SUM(L50:L63)</f>
        <v>20</v>
      </c>
      <c r="M64" s="121"/>
      <c r="N64" s="121"/>
      <c r="O64" s="122">
        <f>SUM(O50:O63)</f>
        <v>21.739130434782609</v>
      </c>
      <c r="P64" s="428" t="e">
        <f>SUM(P50:P63,P72:P86)</f>
        <v>#DIV/0!</v>
      </c>
      <c r="Q64" s="116"/>
      <c r="R64" s="116"/>
      <c r="S64" s="423"/>
      <c r="T64" s="423"/>
      <c r="U64" s="423"/>
      <c r="V64" s="423"/>
      <c r="W64" s="155"/>
      <c r="X64" s="431"/>
      <c r="Y64" s="430">
        <f>SUM(Y50:Y63)</f>
        <v>0</v>
      </c>
      <c r="AF64" s="209"/>
      <c r="AG64" s="155"/>
      <c r="AH64" s="130"/>
      <c r="AI64" s="130"/>
      <c r="AJ64" s="130"/>
      <c r="AK64" s="130"/>
      <c r="AL64" s="130"/>
      <c r="AM64" s="130"/>
      <c r="AN64" s="130"/>
      <c r="AO64" s="130"/>
      <c r="AP64" s="130"/>
      <c r="AQ64" s="130"/>
      <c r="AR64" s="161"/>
      <c r="AS64" s="161"/>
      <c r="AT64" s="161"/>
      <c r="AU64" s="161"/>
      <c r="AV64" s="161"/>
      <c r="AW64" s="161"/>
      <c r="AX64" s="161"/>
      <c r="AY64" s="161"/>
      <c r="AZ64" s="161"/>
      <c r="BA64" s="161"/>
    </row>
    <row r="65" spans="1:53" ht="15.75" x14ac:dyDescent="0.2">
      <c r="A65" s="322"/>
      <c r="B65" s="101"/>
      <c r="C65" s="101"/>
      <c r="D65" s="101"/>
      <c r="E65" s="101"/>
      <c r="F65" s="212"/>
      <c r="G65" s="212"/>
      <c r="H65" s="212"/>
      <c r="I65" s="212"/>
      <c r="J65" s="101"/>
      <c r="K65" s="101"/>
      <c r="L65" s="101"/>
      <c r="M65" s="101"/>
      <c r="N65" s="101"/>
      <c r="O65" s="101"/>
      <c r="P65" s="101"/>
      <c r="Q65" s="101"/>
      <c r="R65" s="213"/>
      <c r="S65" s="213"/>
      <c r="T65" s="213"/>
      <c r="U65" s="213"/>
      <c r="V65" s="213"/>
      <c r="W65" s="214"/>
      <c r="X65" s="101"/>
      <c r="Y65" s="101"/>
      <c r="Z65" s="212"/>
      <c r="AA65" s="212"/>
      <c r="AB65" s="101"/>
      <c r="AC65" s="212"/>
      <c r="AD65" s="212"/>
      <c r="AE65" s="215"/>
      <c r="AF65" s="215"/>
      <c r="AG65" s="116"/>
      <c r="AH65" s="116"/>
      <c r="AI65" s="116"/>
      <c r="AJ65" s="116"/>
      <c r="AK65" s="116"/>
      <c r="AL65" s="161"/>
      <c r="AM65" s="161"/>
      <c r="AN65" s="161"/>
      <c r="AO65" s="161"/>
      <c r="AP65" s="161"/>
      <c r="AQ65" s="161"/>
      <c r="AR65" s="161"/>
      <c r="AS65" s="161"/>
      <c r="AT65" s="161"/>
      <c r="AU65" s="161"/>
      <c r="AV65" s="161"/>
      <c r="AW65" s="161"/>
      <c r="AX65" s="161"/>
      <c r="AY65" s="161"/>
      <c r="AZ65" s="161"/>
      <c r="BA65" s="161"/>
    </row>
    <row r="66" spans="1:53" ht="15.75" x14ac:dyDescent="0.2">
      <c r="A66" s="322"/>
      <c r="B66" s="101"/>
      <c r="C66" s="101"/>
      <c r="D66" s="101"/>
      <c r="E66" s="101"/>
      <c r="F66" s="212"/>
      <c r="G66" s="212"/>
      <c r="H66" s="212"/>
      <c r="I66" s="212"/>
      <c r="J66" s="101"/>
      <c r="K66" s="101"/>
      <c r="L66" s="101"/>
      <c r="M66" s="101"/>
      <c r="N66" s="101"/>
      <c r="O66" s="101"/>
      <c r="P66" s="101"/>
      <c r="Q66" s="101"/>
      <c r="R66" s="213"/>
      <c r="S66" s="213"/>
      <c r="T66" s="213"/>
      <c r="U66" s="213"/>
      <c r="V66" s="213"/>
      <c r="W66" s="214"/>
      <c r="X66" s="101"/>
      <c r="Y66" s="101"/>
      <c r="Z66" s="212"/>
      <c r="AA66" s="212"/>
      <c r="AB66" s="101"/>
      <c r="AC66" s="212"/>
      <c r="AD66" s="212"/>
      <c r="AE66" s="215"/>
      <c r="AF66" s="215"/>
      <c r="AG66" s="116"/>
      <c r="AH66" s="116"/>
      <c r="AI66" s="116"/>
      <c r="AJ66" s="116"/>
      <c r="AK66" s="116"/>
      <c r="AL66" s="161"/>
      <c r="AM66" s="161"/>
      <c r="AN66" s="161"/>
      <c r="AO66" s="161"/>
      <c r="AP66" s="161"/>
      <c r="AQ66" s="161"/>
      <c r="AR66" s="161"/>
      <c r="AS66" s="161"/>
      <c r="AT66" s="161"/>
      <c r="AU66" s="161"/>
      <c r="AV66" s="161"/>
      <c r="AW66" s="161"/>
      <c r="AX66" s="161"/>
      <c r="AY66" s="161"/>
      <c r="AZ66" s="161"/>
      <c r="BA66" s="161"/>
    </row>
    <row r="67" spans="1:53" ht="15.75" x14ac:dyDescent="0.2">
      <c r="A67" s="322"/>
      <c r="B67" s="101"/>
      <c r="C67" s="101"/>
      <c r="D67" s="101"/>
      <c r="E67" s="101"/>
      <c r="F67" s="212"/>
      <c r="G67" s="212"/>
      <c r="H67" s="212"/>
      <c r="I67" s="212"/>
      <c r="J67" s="101"/>
      <c r="K67" s="101"/>
      <c r="L67" s="101"/>
      <c r="M67" s="101"/>
      <c r="N67" s="101"/>
      <c r="O67" s="101"/>
      <c r="P67" s="101"/>
      <c r="Q67" s="213"/>
      <c r="R67" s="213"/>
      <c r="S67" s="213"/>
      <c r="T67" s="213"/>
      <c r="U67" s="213"/>
      <c r="V67" s="213"/>
      <c r="W67" s="214"/>
      <c r="X67" s="101"/>
      <c r="Y67" s="101"/>
      <c r="Z67" s="212"/>
      <c r="AA67" s="212"/>
      <c r="AB67" s="101"/>
      <c r="AC67" s="212"/>
      <c r="AD67" s="212"/>
      <c r="AE67" s="215"/>
      <c r="AF67" s="215"/>
      <c r="AG67" s="116"/>
      <c r="AH67" s="116"/>
      <c r="AI67" s="116"/>
      <c r="AJ67" s="116"/>
      <c r="AK67" s="116"/>
      <c r="AL67" s="161"/>
      <c r="AM67" s="161"/>
      <c r="AN67" s="161"/>
      <c r="AO67" s="161"/>
      <c r="AP67" s="161"/>
      <c r="AQ67" s="161"/>
      <c r="AR67" s="161"/>
      <c r="AS67" s="161"/>
      <c r="AT67" s="161"/>
      <c r="AU67" s="161"/>
      <c r="AV67" s="161"/>
      <c r="AW67" s="161"/>
      <c r="AX67" s="161"/>
      <c r="AY67" s="161"/>
      <c r="AZ67" s="161"/>
      <c r="BA67" s="161"/>
    </row>
    <row r="68" spans="1:53" ht="15.75" x14ac:dyDescent="0.2">
      <c r="A68" s="322"/>
      <c r="B68" s="101"/>
      <c r="C68" s="101"/>
      <c r="D68" s="101"/>
      <c r="E68" s="101"/>
      <c r="F68" s="212"/>
      <c r="G68" s="212"/>
      <c r="H68" s="212"/>
      <c r="I68" s="212"/>
      <c r="J68" s="101"/>
      <c r="K68" s="101"/>
      <c r="L68" s="101"/>
      <c r="M68" s="101"/>
      <c r="N68" s="101"/>
      <c r="O68" s="213"/>
      <c r="P68" s="213"/>
      <c r="Q68" s="213"/>
      <c r="R68" s="213"/>
      <c r="S68" s="213"/>
      <c r="T68" s="213"/>
      <c r="U68" s="213"/>
      <c r="V68" s="213"/>
      <c r="W68" s="213"/>
      <c r="X68" s="101"/>
      <c r="Y68" s="101"/>
      <c r="Z68" s="212"/>
      <c r="AA68" s="212"/>
      <c r="AB68" s="101"/>
      <c r="AC68" s="212"/>
      <c r="AD68" s="212"/>
      <c r="AE68" s="216"/>
      <c r="AF68" s="216"/>
      <c r="AG68" s="116"/>
      <c r="AH68" s="115"/>
      <c r="AI68" s="115"/>
      <c r="AJ68" s="116"/>
      <c r="AK68" s="116"/>
      <c r="AL68" s="161"/>
      <c r="AM68" s="161"/>
      <c r="AN68" s="161"/>
      <c r="AO68" s="161"/>
      <c r="AP68" s="161"/>
      <c r="AQ68" s="161"/>
      <c r="AR68" s="161"/>
      <c r="AS68" s="161"/>
      <c r="AT68" s="161"/>
      <c r="AU68" s="161"/>
      <c r="AV68" s="161"/>
      <c r="AW68" s="161"/>
      <c r="AX68" s="161"/>
      <c r="AY68" s="161"/>
      <c r="AZ68" s="161"/>
      <c r="BA68" s="161"/>
    </row>
    <row r="69" spans="1:53" ht="15.75" x14ac:dyDescent="0.2">
      <c r="A69" s="322"/>
      <c r="B69" s="101"/>
      <c r="C69" s="101"/>
      <c r="D69" s="101"/>
      <c r="E69" s="101"/>
      <c r="F69" s="212"/>
      <c r="G69" s="212"/>
      <c r="H69" s="212"/>
      <c r="I69" s="212"/>
      <c r="J69" s="101"/>
      <c r="K69" s="101"/>
      <c r="L69" s="101"/>
      <c r="M69" s="101"/>
      <c r="N69" s="101"/>
      <c r="O69" s="101"/>
      <c r="P69" s="101"/>
      <c r="Q69" s="101"/>
      <c r="R69" s="213"/>
      <c r="S69" s="213"/>
      <c r="T69" s="213"/>
      <c r="U69" s="213"/>
      <c r="V69" s="213"/>
      <c r="W69" s="213"/>
      <c r="X69" s="101"/>
      <c r="Y69" s="101"/>
      <c r="Z69" s="217"/>
      <c r="AA69" s="217"/>
      <c r="AB69" s="101"/>
      <c r="AC69" s="212"/>
      <c r="AD69" s="212"/>
      <c r="AE69" s="215"/>
      <c r="AF69" s="215"/>
      <c r="AG69" s="116"/>
      <c r="AH69" s="116"/>
      <c r="AI69" s="116"/>
      <c r="AJ69" s="116"/>
      <c r="AK69" s="116"/>
      <c r="AL69" s="161"/>
      <c r="AM69" s="161"/>
      <c r="AN69" s="161"/>
      <c r="AO69" s="161"/>
      <c r="AP69" s="161"/>
      <c r="AQ69" s="161"/>
      <c r="AR69" s="161"/>
      <c r="AS69" s="161"/>
      <c r="AT69" s="161"/>
      <c r="AU69" s="161"/>
      <c r="AV69" s="161"/>
      <c r="AW69" s="161"/>
      <c r="AX69" s="161"/>
      <c r="AY69" s="161"/>
      <c r="AZ69" s="161"/>
      <c r="BA69" s="161"/>
    </row>
    <row r="70" spans="1:53" ht="26.25" customHeight="1" x14ac:dyDescent="0.2">
      <c r="A70" s="322">
        <v>4.2</v>
      </c>
      <c r="B70" s="524" t="s">
        <v>1443</v>
      </c>
      <c r="C70" s="525"/>
      <c r="D70" s="525"/>
      <c r="E70" s="526"/>
      <c r="F70" s="524" t="s">
        <v>1444</v>
      </c>
      <c r="G70" s="525"/>
      <c r="H70" s="525"/>
      <c r="I70" s="525"/>
      <c r="J70" s="525"/>
      <c r="K70" s="525"/>
      <c r="L70" s="525"/>
      <c r="M70" s="525"/>
      <c r="N70" s="525"/>
      <c r="O70" s="526"/>
      <c r="P70" s="103"/>
      <c r="Q70" s="564"/>
      <c r="R70" s="564"/>
      <c r="S70" s="564"/>
      <c r="T70" s="564"/>
      <c r="U70" s="564"/>
      <c r="V70" s="564"/>
      <c r="W70" s="564"/>
      <c r="X70" s="564"/>
      <c r="Y70" s="104"/>
      <c r="AF70" s="101"/>
      <c r="AG70" s="116"/>
      <c r="AH70" s="116"/>
      <c r="AI70" s="116"/>
      <c r="AJ70" s="116"/>
      <c r="AK70" s="116"/>
      <c r="AL70" s="161"/>
      <c r="AM70" s="161"/>
      <c r="AN70" s="161"/>
      <c r="AO70" s="161"/>
      <c r="AP70" s="161"/>
      <c r="AQ70" s="161"/>
      <c r="AR70" s="161"/>
      <c r="AS70" s="161"/>
      <c r="AT70" s="161"/>
      <c r="AU70" s="161"/>
      <c r="AV70" s="161"/>
      <c r="AW70" s="161"/>
      <c r="AX70" s="161"/>
      <c r="AY70" s="161"/>
      <c r="AZ70" s="161"/>
      <c r="BA70" s="161"/>
    </row>
    <row r="71" spans="1:53" ht="66" customHeight="1" x14ac:dyDescent="0.2">
      <c r="A71" s="322"/>
      <c r="B71" s="523" t="s">
        <v>59</v>
      </c>
      <c r="C71" s="523"/>
      <c r="D71" s="523"/>
      <c r="E71" s="523"/>
      <c r="F71" s="308" t="s">
        <v>1529</v>
      </c>
      <c r="G71" s="121"/>
      <c r="H71" s="121" t="s">
        <v>11</v>
      </c>
      <c r="I71" s="121"/>
      <c r="J71" s="121" t="s">
        <v>14</v>
      </c>
      <c r="K71" s="121"/>
      <c r="L71" s="121" t="s">
        <v>51</v>
      </c>
      <c r="M71" s="121" t="s">
        <v>1438</v>
      </c>
      <c r="N71" s="121"/>
      <c r="O71" s="124" t="s">
        <v>51</v>
      </c>
      <c r="P71" s="432"/>
      <c r="Q71" s="155"/>
      <c r="R71" s="155"/>
      <c r="S71" s="424"/>
      <c r="T71" s="424"/>
      <c r="U71" s="424"/>
      <c r="V71" s="155"/>
      <c r="W71" s="424"/>
      <c r="X71" s="424"/>
      <c r="Y71" s="436" t="s">
        <v>100</v>
      </c>
      <c r="AF71" s="102"/>
      <c r="AG71" s="116"/>
      <c r="AH71" s="95"/>
      <c r="AI71" s="95"/>
      <c r="AJ71" s="95"/>
      <c r="AK71" s="95"/>
      <c r="AL71" s="161"/>
      <c r="AM71" s="95"/>
      <c r="AN71" s="95"/>
      <c r="AO71" s="95"/>
      <c r="AP71" s="95"/>
      <c r="AQ71" s="161"/>
      <c r="AR71" s="95"/>
      <c r="AS71" s="95"/>
      <c r="AT71" s="161"/>
      <c r="AU71" s="161"/>
      <c r="AV71" s="161"/>
      <c r="AW71" s="161"/>
      <c r="AX71" s="161"/>
      <c r="AY71" s="161"/>
      <c r="AZ71" s="161"/>
      <c r="BA71" s="161"/>
    </row>
    <row r="72" spans="1:53" ht="44.25" customHeight="1" x14ac:dyDescent="0.2">
      <c r="A72" s="322"/>
      <c r="B72" s="520"/>
      <c r="C72" s="520"/>
      <c r="D72" s="520"/>
      <c r="E72" s="520"/>
      <c r="F72" s="442"/>
      <c r="G72" s="442"/>
      <c r="H72" s="442">
        <v>1</v>
      </c>
      <c r="I72" s="442"/>
      <c r="J72" s="303">
        <v>25</v>
      </c>
      <c r="K72" s="305"/>
      <c r="L72" s="306">
        <f>+J72*H72</f>
        <v>25</v>
      </c>
      <c r="M72" s="120" t="s">
        <v>1436</v>
      </c>
      <c r="N72" s="120"/>
      <c r="O72" s="296">
        <f>IF(M72="FACTURA",L72*1,IF(M72="RECIBO",L72/0.845,IF(M72="SIN IMPUESTO",L72*1,IF(M72="ALQUILER SIN RECIBO",L72/0.84,IF(M72="VIATICOS",L72/0.87,IF(M72=Hoja2!$H$12,0))))))</f>
        <v>29.585798816568047</v>
      </c>
      <c r="P72" s="433" t="e">
        <f>+O72/$O$68</f>
        <v>#DIV/0!</v>
      </c>
      <c r="Q72" s="424"/>
      <c r="R72" s="437"/>
      <c r="S72" s="437"/>
      <c r="T72" s="437"/>
      <c r="U72" s="437"/>
      <c r="V72" s="126"/>
      <c r="W72" s="424"/>
      <c r="X72" s="437"/>
      <c r="Y72" s="430" t="b">
        <f>IF(W72="FACTURA",V72*0.87,IF(W72="RECIBO",V72/0.845,IF(W72="SIN IMPUESTO",V72*1,IF(W72="ALQUILER SIN RECIBO",V72/0.84,IF(W72="VIATICOS",V72/0.87)))))</f>
        <v>0</v>
      </c>
      <c r="AF72" s="209"/>
      <c r="AG72" s="130"/>
      <c r="AH72" s="130"/>
      <c r="AI72" s="130"/>
      <c r="AJ72" s="130"/>
      <c r="AK72" s="130"/>
      <c r="AL72" s="161"/>
      <c r="AM72" s="130"/>
      <c r="AN72" s="130"/>
      <c r="AO72" s="130"/>
      <c r="AP72" s="130"/>
      <c r="AQ72" s="161"/>
      <c r="AR72" s="95"/>
      <c r="AS72" s="95"/>
      <c r="AT72" s="161"/>
      <c r="AU72" s="161"/>
      <c r="AV72" s="161"/>
      <c r="AW72" s="161"/>
      <c r="AX72" s="161"/>
      <c r="AY72" s="161"/>
      <c r="AZ72" s="161"/>
      <c r="BA72" s="161"/>
    </row>
    <row r="73" spans="1:53" ht="44.25" customHeight="1" x14ac:dyDescent="0.2">
      <c r="A73" s="322"/>
      <c r="B73" s="494"/>
      <c r="C73" s="495"/>
      <c r="D73" s="495"/>
      <c r="E73" s="496"/>
      <c r="F73" s="218"/>
      <c r="G73" s="218"/>
      <c r="H73" s="219"/>
      <c r="I73" s="219"/>
      <c r="J73" s="305"/>
      <c r="K73" s="305"/>
      <c r="L73" s="306">
        <f t="shared" ref="L73:L86" si="23">+J73*H73</f>
        <v>0</v>
      </c>
      <c r="M73" s="298" t="s">
        <v>66</v>
      </c>
      <c r="N73" s="120"/>
      <c r="O73" s="344">
        <f>IF(M73="FACTURA",L73*1,IF(M73="RECIBO",L73/0.845,IF(M73="SIN IMPUESTO",L73*1,IF(M73="ALQUILER SIN RECIBO",L73/0.84,IF(M73="VIATICOS",L73/0.87,IF(M73=Hoja2!$H$12,0))))))</f>
        <v>0</v>
      </c>
      <c r="P73" s="433" t="e">
        <f t="shared" ref="P73:P86" si="24">+O73/$O$68</f>
        <v>#DIV/0!</v>
      </c>
      <c r="Q73" s="424"/>
      <c r="R73" s="437"/>
      <c r="S73" s="437"/>
      <c r="T73" s="437"/>
      <c r="U73" s="437"/>
      <c r="V73" s="126"/>
      <c r="W73" s="424"/>
      <c r="X73" s="437"/>
      <c r="Y73" s="430" t="b">
        <f t="shared" ref="Y73:Y86" si="25">IF(W73="FACTURA",V73*0.87,IF(W73="RECIBO",V73/0.845,IF(W73="SIN IMPUESTO",V73*1,IF(W73="ALQUILER SIN RECIBO",V73/0.84,IF(W73="VIATICOS",V73/0.87)))))</f>
        <v>0</v>
      </c>
      <c r="AF73" s="209"/>
      <c r="AG73" s="130"/>
      <c r="AH73" s="130"/>
      <c r="AI73" s="130"/>
      <c r="AJ73" s="130"/>
      <c r="AK73" s="130"/>
      <c r="AL73" s="161"/>
      <c r="AM73" s="130"/>
      <c r="AN73" s="130"/>
      <c r="AO73" s="130"/>
      <c r="AP73" s="130"/>
      <c r="AQ73" s="161"/>
      <c r="AR73" s="95"/>
      <c r="AS73" s="95"/>
      <c r="AT73" s="161"/>
      <c r="AU73" s="161"/>
      <c r="AV73" s="161"/>
      <c r="AW73" s="161"/>
      <c r="AX73" s="161"/>
      <c r="AY73" s="161"/>
      <c r="AZ73" s="161"/>
      <c r="BA73" s="161"/>
    </row>
    <row r="74" spans="1:53" ht="44.25" customHeight="1" x14ac:dyDescent="0.2">
      <c r="A74" s="322"/>
      <c r="B74" s="494"/>
      <c r="C74" s="495"/>
      <c r="D74" s="495"/>
      <c r="E74" s="496"/>
      <c r="F74" s="218"/>
      <c r="G74" s="218"/>
      <c r="H74" s="219"/>
      <c r="I74" s="219"/>
      <c r="J74" s="305"/>
      <c r="K74" s="305"/>
      <c r="L74" s="306">
        <f t="shared" si="23"/>
        <v>0</v>
      </c>
      <c r="M74" s="298" t="s">
        <v>66</v>
      </c>
      <c r="N74" s="120"/>
      <c r="O74" s="344">
        <f>IF(M74="FACTURA",L74*1,IF(M74="RECIBO",L74/0.845,IF(M74="SIN IMPUESTO",L74*1,IF(M74="ALQUILER SIN RECIBO",L74/0.84,IF(M74="VIATICOS",L74/0.87,IF(M74=Hoja2!$H$12,0))))))</f>
        <v>0</v>
      </c>
      <c r="P74" s="433" t="e">
        <f t="shared" si="24"/>
        <v>#DIV/0!</v>
      </c>
      <c r="Q74" s="424"/>
      <c r="R74" s="437"/>
      <c r="S74" s="437"/>
      <c r="T74" s="437"/>
      <c r="U74" s="437"/>
      <c r="V74" s="126"/>
      <c r="W74" s="424"/>
      <c r="X74" s="437"/>
      <c r="Y74" s="430" t="b">
        <f t="shared" si="25"/>
        <v>0</v>
      </c>
      <c r="AF74" s="209"/>
      <c r="AG74" s="130"/>
      <c r="AH74" s="130"/>
      <c r="AI74" s="130"/>
      <c r="AJ74" s="130"/>
      <c r="AK74" s="130"/>
      <c r="AL74" s="161"/>
      <c r="AM74" s="130"/>
      <c r="AN74" s="130"/>
      <c r="AO74" s="130"/>
      <c r="AP74" s="130"/>
      <c r="AQ74" s="161"/>
      <c r="AR74" s="95"/>
      <c r="AS74" s="95"/>
      <c r="AT74" s="161"/>
      <c r="AU74" s="161"/>
      <c r="AV74" s="161"/>
      <c r="AW74" s="161"/>
      <c r="AX74" s="161"/>
      <c r="AY74" s="161"/>
      <c r="AZ74" s="161"/>
      <c r="BA74" s="161"/>
    </row>
    <row r="75" spans="1:53" ht="44.25" customHeight="1" x14ac:dyDescent="0.2">
      <c r="A75" s="322"/>
      <c r="B75" s="494"/>
      <c r="C75" s="495"/>
      <c r="D75" s="495"/>
      <c r="E75" s="496"/>
      <c r="F75" s="218"/>
      <c r="G75" s="218"/>
      <c r="H75" s="219"/>
      <c r="I75" s="219"/>
      <c r="J75" s="305"/>
      <c r="K75" s="305"/>
      <c r="L75" s="306">
        <f t="shared" si="23"/>
        <v>0</v>
      </c>
      <c r="M75" s="298" t="s">
        <v>66</v>
      </c>
      <c r="N75" s="120"/>
      <c r="O75" s="344">
        <f>IF(M75="FACTURA",L75*1,IF(M75="RECIBO",L75/0.845,IF(M75="SIN IMPUESTO",L75*1,IF(M75="ALQUILER SIN RECIBO",L75/0.84,IF(M75="VIATICOS",L75/0.87,IF(M75=Hoja2!$H$12,0))))))</f>
        <v>0</v>
      </c>
      <c r="P75" s="433" t="e">
        <f t="shared" si="24"/>
        <v>#DIV/0!</v>
      </c>
      <c r="Q75" s="424"/>
      <c r="R75" s="437"/>
      <c r="S75" s="437"/>
      <c r="T75" s="437"/>
      <c r="U75" s="437"/>
      <c r="V75" s="126"/>
      <c r="W75" s="424"/>
      <c r="X75" s="437"/>
      <c r="Y75" s="430" t="b">
        <f t="shared" si="25"/>
        <v>0</v>
      </c>
      <c r="AF75" s="209"/>
      <c r="AG75" s="130"/>
      <c r="AH75" s="130"/>
      <c r="AI75" s="130"/>
      <c r="AJ75" s="130"/>
      <c r="AK75" s="130"/>
      <c r="AL75" s="161"/>
      <c r="AM75" s="130"/>
      <c r="AN75" s="130"/>
      <c r="AO75" s="130"/>
      <c r="AP75" s="130"/>
      <c r="AQ75" s="161"/>
      <c r="AR75" s="95"/>
      <c r="AS75" s="95"/>
      <c r="AT75" s="161"/>
      <c r="AU75" s="161"/>
      <c r="AV75" s="161"/>
      <c r="AW75" s="161"/>
      <c r="AX75" s="161"/>
      <c r="AY75" s="161"/>
      <c r="AZ75" s="161"/>
      <c r="BA75" s="161"/>
    </row>
    <row r="76" spans="1:53" ht="44.25" customHeight="1" x14ac:dyDescent="0.2">
      <c r="A76" s="322"/>
      <c r="B76" s="494"/>
      <c r="C76" s="495"/>
      <c r="D76" s="495"/>
      <c r="E76" s="496"/>
      <c r="F76" s="218"/>
      <c r="G76" s="218"/>
      <c r="H76" s="219"/>
      <c r="I76" s="219"/>
      <c r="J76" s="305"/>
      <c r="K76" s="305"/>
      <c r="L76" s="306">
        <f t="shared" si="23"/>
        <v>0</v>
      </c>
      <c r="M76" s="298" t="s">
        <v>66</v>
      </c>
      <c r="N76" s="120"/>
      <c r="O76" s="344">
        <f>IF(M76="FACTURA",L76*1,IF(M76="RECIBO",L76/0.845,IF(M76="SIN IMPUESTO",L76*1,IF(M76="ALQUILER SIN RECIBO",L76/0.84,IF(M76="VIATICOS",L76/0.87,IF(M76=Hoja2!$H$12,0))))))</f>
        <v>0</v>
      </c>
      <c r="P76" s="433" t="e">
        <f t="shared" si="24"/>
        <v>#DIV/0!</v>
      </c>
      <c r="Q76" s="424"/>
      <c r="R76" s="437"/>
      <c r="S76" s="437"/>
      <c r="T76" s="437"/>
      <c r="U76" s="437"/>
      <c r="V76" s="126"/>
      <c r="W76" s="424"/>
      <c r="X76" s="437"/>
      <c r="Y76" s="430" t="b">
        <f t="shared" si="25"/>
        <v>0</v>
      </c>
      <c r="AF76" s="209"/>
      <c r="AG76" s="130"/>
      <c r="AH76" s="130"/>
      <c r="AI76" s="130"/>
      <c r="AJ76" s="130"/>
      <c r="AK76" s="130"/>
      <c r="AL76" s="161"/>
      <c r="AM76" s="130"/>
      <c r="AN76" s="130"/>
      <c r="AO76" s="130"/>
      <c r="AP76" s="130"/>
      <c r="AQ76" s="161"/>
      <c r="AR76" s="95"/>
      <c r="AS76" s="95"/>
      <c r="AT76" s="161"/>
      <c r="AU76" s="161"/>
      <c r="AV76" s="161"/>
      <c r="AW76" s="161"/>
      <c r="AX76" s="161"/>
      <c r="AY76" s="161"/>
      <c r="AZ76" s="161"/>
      <c r="BA76" s="161"/>
    </row>
    <row r="77" spans="1:53" ht="44.25" customHeight="1" x14ac:dyDescent="0.2">
      <c r="A77" s="322"/>
      <c r="B77" s="494"/>
      <c r="C77" s="495"/>
      <c r="D77" s="495"/>
      <c r="E77" s="496"/>
      <c r="F77" s="218"/>
      <c r="G77" s="218"/>
      <c r="H77" s="219"/>
      <c r="I77" s="219"/>
      <c r="J77" s="305"/>
      <c r="K77" s="305"/>
      <c r="L77" s="306">
        <f t="shared" si="23"/>
        <v>0</v>
      </c>
      <c r="M77" s="298" t="s">
        <v>66</v>
      </c>
      <c r="N77" s="120"/>
      <c r="O77" s="344">
        <f>IF(M77="FACTURA",L77*1,IF(M77="RECIBO",L77/0.845,IF(M77="SIN IMPUESTO",L77*1,IF(M77="ALQUILER SIN RECIBO",L77/0.84,IF(M77="VIATICOS",L77/0.87,IF(M77=Hoja2!$H$12,0))))))</f>
        <v>0</v>
      </c>
      <c r="P77" s="433" t="e">
        <f t="shared" si="24"/>
        <v>#DIV/0!</v>
      </c>
      <c r="Q77" s="424"/>
      <c r="R77" s="437"/>
      <c r="S77" s="437"/>
      <c r="T77" s="437"/>
      <c r="U77" s="437"/>
      <c r="V77" s="126"/>
      <c r="W77" s="424"/>
      <c r="X77" s="437"/>
      <c r="Y77" s="430" t="b">
        <f t="shared" si="25"/>
        <v>0</v>
      </c>
      <c r="AF77" s="209"/>
      <c r="AG77" s="130"/>
      <c r="AH77" s="130"/>
      <c r="AI77" s="130"/>
      <c r="AJ77" s="130"/>
      <c r="AK77" s="130"/>
      <c r="AL77" s="161"/>
      <c r="AM77" s="130"/>
      <c r="AN77" s="130"/>
      <c r="AO77" s="130"/>
      <c r="AP77" s="130"/>
      <c r="AQ77" s="161"/>
      <c r="AR77" s="95"/>
      <c r="AS77" s="95"/>
      <c r="AT77" s="161"/>
      <c r="AU77" s="161"/>
      <c r="AV77" s="161"/>
      <c r="AW77" s="161"/>
      <c r="AX77" s="161"/>
      <c r="AY77" s="161"/>
      <c r="AZ77" s="161"/>
      <c r="BA77" s="161"/>
    </row>
    <row r="78" spans="1:53" ht="44.25" customHeight="1" x14ac:dyDescent="0.2">
      <c r="A78" s="322"/>
      <c r="B78" s="494"/>
      <c r="C78" s="495"/>
      <c r="D78" s="495"/>
      <c r="E78" s="496"/>
      <c r="F78" s="218"/>
      <c r="G78" s="218"/>
      <c r="H78" s="219"/>
      <c r="I78" s="219"/>
      <c r="J78" s="305"/>
      <c r="K78" s="305"/>
      <c r="L78" s="306">
        <f t="shared" si="23"/>
        <v>0</v>
      </c>
      <c r="M78" s="298" t="s">
        <v>66</v>
      </c>
      <c r="N78" s="120"/>
      <c r="O78" s="344">
        <f>IF(M78="FACTURA",L78*1,IF(M78="RECIBO",L78/0.845,IF(M78="SIN IMPUESTO",L78*1,IF(M78="ALQUILER SIN RECIBO",L78/0.84,IF(M78="VIATICOS",L78/0.87,IF(M78=Hoja2!$H$12,0))))))</f>
        <v>0</v>
      </c>
      <c r="P78" s="433" t="e">
        <f t="shared" si="24"/>
        <v>#DIV/0!</v>
      </c>
      <c r="Q78" s="424"/>
      <c r="R78" s="437"/>
      <c r="S78" s="437"/>
      <c r="T78" s="437"/>
      <c r="U78" s="437"/>
      <c r="V78" s="126"/>
      <c r="W78" s="424"/>
      <c r="X78" s="437"/>
      <c r="Y78" s="430" t="b">
        <f t="shared" si="25"/>
        <v>0</v>
      </c>
      <c r="AF78" s="209"/>
      <c r="AG78" s="130"/>
      <c r="AH78" s="130"/>
      <c r="AI78" s="130"/>
      <c r="AJ78" s="130"/>
      <c r="AK78" s="130"/>
      <c r="AL78" s="161"/>
      <c r="AM78" s="130"/>
      <c r="AN78" s="130"/>
      <c r="AO78" s="130"/>
      <c r="AP78" s="130"/>
      <c r="AQ78" s="161"/>
      <c r="AR78" s="95"/>
      <c r="AS78" s="95"/>
      <c r="AT78" s="161"/>
      <c r="AU78" s="161"/>
      <c r="AV78" s="161"/>
      <c r="AW78" s="161"/>
      <c r="AX78" s="161"/>
      <c r="AY78" s="161"/>
      <c r="AZ78" s="161"/>
      <c r="BA78" s="161"/>
    </row>
    <row r="79" spans="1:53" ht="44.25" customHeight="1" x14ac:dyDescent="0.2">
      <c r="A79" s="322"/>
      <c r="B79" s="494"/>
      <c r="C79" s="495"/>
      <c r="D79" s="495"/>
      <c r="E79" s="496"/>
      <c r="F79" s="218"/>
      <c r="G79" s="218"/>
      <c r="H79" s="219"/>
      <c r="I79" s="219"/>
      <c r="J79" s="305"/>
      <c r="K79" s="305"/>
      <c r="L79" s="306">
        <f t="shared" si="23"/>
        <v>0</v>
      </c>
      <c r="M79" s="298" t="s">
        <v>66</v>
      </c>
      <c r="N79" s="120"/>
      <c r="O79" s="344">
        <f>IF(M79="FACTURA",L79*1,IF(M79="RECIBO",L79/0.845,IF(M79="SIN IMPUESTO",L79*1,IF(M79="ALQUILER SIN RECIBO",L79/0.84,IF(M79="VIATICOS",L79/0.87,IF(M79=Hoja2!$H$12,0))))))</f>
        <v>0</v>
      </c>
      <c r="P79" s="433" t="e">
        <f t="shared" si="24"/>
        <v>#DIV/0!</v>
      </c>
      <c r="Q79" s="424"/>
      <c r="R79" s="437"/>
      <c r="S79" s="437"/>
      <c r="T79" s="437"/>
      <c r="U79" s="437"/>
      <c r="V79" s="126"/>
      <c r="W79" s="424"/>
      <c r="X79" s="437"/>
      <c r="Y79" s="430" t="b">
        <f t="shared" si="25"/>
        <v>0</v>
      </c>
      <c r="AF79" s="209"/>
      <c r="AG79" s="130"/>
      <c r="AH79" s="130"/>
      <c r="AI79" s="130"/>
      <c r="AJ79" s="130"/>
      <c r="AK79" s="130"/>
      <c r="AL79" s="161"/>
      <c r="AM79" s="130"/>
      <c r="AN79" s="130"/>
      <c r="AO79" s="130"/>
      <c r="AP79" s="130"/>
      <c r="AQ79" s="161"/>
      <c r="AR79" s="95"/>
      <c r="AS79" s="95"/>
      <c r="AT79" s="161"/>
      <c r="AU79" s="161"/>
      <c r="AV79" s="161"/>
      <c r="AW79" s="161"/>
      <c r="AX79" s="161"/>
      <c r="AY79" s="161"/>
      <c r="AZ79" s="161"/>
      <c r="BA79" s="161"/>
    </row>
    <row r="80" spans="1:53" ht="44.25" customHeight="1" x14ac:dyDescent="0.2">
      <c r="A80" s="322"/>
      <c r="B80" s="494"/>
      <c r="C80" s="495"/>
      <c r="D80" s="495"/>
      <c r="E80" s="496"/>
      <c r="F80" s="218"/>
      <c r="G80" s="218"/>
      <c r="H80" s="219"/>
      <c r="I80" s="220"/>
      <c r="J80" s="305"/>
      <c r="K80" s="305"/>
      <c r="L80" s="306">
        <f t="shared" si="23"/>
        <v>0</v>
      </c>
      <c r="M80" s="298" t="s">
        <v>66</v>
      </c>
      <c r="N80" s="120"/>
      <c r="O80" s="344">
        <f>IF(M80="FACTURA",L80*1,IF(M80="RECIBO",L80/0.845,IF(M80="SIN IMPUESTO",L80*1,IF(M80="ALQUILER SIN RECIBO",L80/0.84,IF(M80="VIATICOS",L80/0.87,IF(M80=Hoja2!$H$12,0))))))</f>
        <v>0</v>
      </c>
      <c r="P80" s="433" t="e">
        <f t="shared" si="24"/>
        <v>#DIV/0!</v>
      </c>
      <c r="Q80" s="424"/>
      <c r="R80" s="437"/>
      <c r="S80" s="437"/>
      <c r="T80" s="437"/>
      <c r="U80" s="437"/>
      <c r="V80" s="126"/>
      <c r="W80" s="424"/>
      <c r="X80" s="437"/>
      <c r="Y80" s="430" t="b">
        <f t="shared" si="25"/>
        <v>0</v>
      </c>
      <c r="AF80" s="209"/>
      <c r="AG80" s="130"/>
      <c r="AH80" s="130"/>
      <c r="AI80" s="130"/>
      <c r="AJ80" s="130"/>
      <c r="AK80" s="130"/>
      <c r="AL80" s="161"/>
      <c r="AM80" s="130"/>
      <c r="AN80" s="130"/>
      <c r="AO80" s="130"/>
      <c r="AP80" s="130"/>
      <c r="AQ80" s="161"/>
      <c r="AR80" s="95"/>
      <c r="AS80" s="95"/>
      <c r="AT80" s="161"/>
      <c r="AU80" s="161"/>
      <c r="AV80" s="161"/>
      <c r="AW80" s="161"/>
      <c r="AX80" s="161"/>
      <c r="AY80" s="161"/>
      <c r="AZ80" s="161"/>
      <c r="BA80" s="161"/>
    </row>
    <row r="81" spans="1:53" ht="44.25" customHeight="1" x14ac:dyDescent="0.2">
      <c r="A81" s="322"/>
      <c r="B81" s="494"/>
      <c r="C81" s="495"/>
      <c r="D81" s="495"/>
      <c r="E81" s="496"/>
      <c r="F81" s="218"/>
      <c r="G81" s="218"/>
      <c r="H81" s="219"/>
      <c r="I81" s="220"/>
      <c r="J81" s="305"/>
      <c r="K81" s="305"/>
      <c r="L81" s="306">
        <f t="shared" si="23"/>
        <v>0</v>
      </c>
      <c r="M81" s="298" t="s">
        <v>66</v>
      </c>
      <c r="N81" s="120"/>
      <c r="O81" s="344">
        <f>IF(M81="FACTURA",L81*1,IF(M81="RECIBO",L81/0.845,IF(M81="SIN IMPUESTO",L81*1,IF(M81="ALQUILER SIN RECIBO",L81/0.84,IF(M81="VIATICOS",L81/0.87,IF(M81=Hoja2!$H$12,0))))))</f>
        <v>0</v>
      </c>
      <c r="P81" s="433" t="e">
        <f t="shared" si="24"/>
        <v>#DIV/0!</v>
      </c>
      <c r="Q81" s="424"/>
      <c r="R81" s="437"/>
      <c r="S81" s="437"/>
      <c r="T81" s="437"/>
      <c r="U81" s="437"/>
      <c r="V81" s="126"/>
      <c r="W81" s="424"/>
      <c r="X81" s="437"/>
      <c r="Y81" s="430" t="b">
        <f t="shared" si="25"/>
        <v>0</v>
      </c>
      <c r="AF81" s="209"/>
      <c r="AG81" s="130"/>
      <c r="AH81" s="130"/>
      <c r="AI81" s="130"/>
      <c r="AJ81" s="130"/>
      <c r="AK81" s="130"/>
      <c r="AL81" s="161"/>
      <c r="AM81" s="130"/>
      <c r="AN81" s="130"/>
      <c r="AO81" s="130"/>
      <c r="AP81" s="130"/>
      <c r="AQ81" s="161"/>
      <c r="AR81" s="95"/>
      <c r="AS81" s="95"/>
      <c r="AT81" s="161"/>
      <c r="AU81" s="161"/>
      <c r="AV81" s="161"/>
      <c r="AW81" s="161"/>
      <c r="AX81" s="161"/>
      <c r="AY81" s="161"/>
      <c r="AZ81" s="161"/>
      <c r="BA81" s="161"/>
    </row>
    <row r="82" spans="1:53" ht="44.25" customHeight="1" x14ac:dyDescent="0.2">
      <c r="A82" s="322"/>
      <c r="B82" s="494"/>
      <c r="C82" s="495"/>
      <c r="D82" s="495"/>
      <c r="E82" s="496"/>
      <c r="F82" s="218"/>
      <c r="G82" s="218"/>
      <c r="H82" s="219"/>
      <c r="I82" s="220"/>
      <c r="J82" s="305"/>
      <c r="K82" s="305"/>
      <c r="L82" s="306">
        <f t="shared" si="23"/>
        <v>0</v>
      </c>
      <c r="M82" s="298" t="s">
        <v>66</v>
      </c>
      <c r="N82" s="120"/>
      <c r="O82" s="344">
        <f>IF(M82="FACTURA",L82*1,IF(M82="RECIBO",L82/0.845,IF(M82="SIN IMPUESTO",L82*1,IF(M82="ALQUILER SIN RECIBO",L82/0.84,IF(M82="VIATICOS",L82/0.87,IF(M82=Hoja2!$H$12,0))))))</f>
        <v>0</v>
      </c>
      <c r="P82" s="433" t="e">
        <f t="shared" si="24"/>
        <v>#DIV/0!</v>
      </c>
      <c r="Q82" s="424"/>
      <c r="R82" s="437"/>
      <c r="S82" s="437"/>
      <c r="T82" s="437"/>
      <c r="U82" s="437"/>
      <c r="V82" s="126"/>
      <c r="W82" s="424"/>
      <c r="X82" s="437"/>
      <c r="Y82" s="430" t="b">
        <f t="shared" si="25"/>
        <v>0</v>
      </c>
      <c r="AF82" s="209"/>
      <c r="AG82" s="130"/>
      <c r="AH82" s="130"/>
      <c r="AI82" s="130"/>
      <c r="AJ82" s="130"/>
      <c r="AK82" s="130"/>
      <c r="AL82" s="161"/>
      <c r="AM82" s="130"/>
      <c r="AN82" s="130"/>
      <c r="AO82" s="130"/>
      <c r="AP82" s="130"/>
      <c r="AQ82" s="161"/>
      <c r="AR82" s="95"/>
      <c r="AS82" s="95"/>
      <c r="AT82" s="161"/>
      <c r="AU82" s="161"/>
      <c r="AV82" s="161"/>
      <c r="AW82" s="161"/>
      <c r="AX82" s="161"/>
      <c r="AY82" s="161"/>
      <c r="AZ82" s="161"/>
      <c r="BA82" s="161"/>
    </row>
    <row r="83" spans="1:53" ht="44.25" customHeight="1" x14ac:dyDescent="0.2">
      <c r="A83" s="322"/>
      <c r="B83" s="494"/>
      <c r="C83" s="495"/>
      <c r="D83" s="495"/>
      <c r="E83" s="496"/>
      <c r="F83" s="218"/>
      <c r="G83" s="218"/>
      <c r="H83" s="219"/>
      <c r="I83" s="220"/>
      <c r="J83" s="305"/>
      <c r="K83" s="305"/>
      <c r="L83" s="306">
        <f t="shared" si="23"/>
        <v>0</v>
      </c>
      <c r="M83" s="298" t="s">
        <v>66</v>
      </c>
      <c r="N83" s="120"/>
      <c r="O83" s="344">
        <f>IF(M83="FACTURA",L83*1,IF(M83="RECIBO",L83/0.845,IF(M83="SIN IMPUESTO",L83*1,IF(M83="ALQUILER SIN RECIBO",L83/0.84,IF(M83="VIATICOS",L83/0.87,IF(M83=Hoja2!$H$12,0))))))</f>
        <v>0</v>
      </c>
      <c r="P83" s="433" t="e">
        <f t="shared" si="24"/>
        <v>#DIV/0!</v>
      </c>
      <c r="Q83" s="424"/>
      <c r="R83" s="437"/>
      <c r="S83" s="437"/>
      <c r="T83" s="437"/>
      <c r="U83" s="437"/>
      <c r="V83" s="126"/>
      <c r="W83" s="424"/>
      <c r="X83" s="437"/>
      <c r="Y83" s="430" t="b">
        <f t="shared" si="25"/>
        <v>0</v>
      </c>
      <c r="AF83" s="209"/>
      <c r="AG83" s="130"/>
      <c r="AH83" s="130"/>
      <c r="AI83" s="130"/>
      <c r="AJ83" s="130"/>
      <c r="AK83" s="130"/>
      <c r="AL83" s="161"/>
      <c r="AM83" s="130"/>
      <c r="AN83" s="130"/>
      <c r="AO83" s="130"/>
      <c r="AP83" s="130"/>
      <c r="AQ83" s="161"/>
      <c r="AR83" s="95"/>
      <c r="AS83" s="95"/>
      <c r="AT83" s="161"/>
      <c r="AU83" s="161"/>
      <c r="AV83" s="161"/>
      <c r="AW83" s="161"/>
      <c r="AX83" s="161"/>
      <c r="AY83" s="161"/>
      <c r="AZ83" s="161"/>
      <c r="BA83" s="161"/>
    </row>
    <row r="84" spans="1:53" ht="44.25" customHeight="1" x14ac:dyDescent="0.2">
      <c r="A84" s="322"/>
      <c r="B84" s="494"/>
      <c r="C84" s="495"/>
      <c r="D84" s="495"/>
      <c r="E84" s="496"/>
      <c r="F84" s="218"/>
      <c r="G84" s="218"/>
      <c r="H84" s="219"/>
      <c r="I84" s="220"/>
      <c r="J84" s="305"/>
      <c r="K84" s="305"/>
      <c r="L84" s="306">
        <f t="shared" si="23"/>
        <v>0</v>
      </c>
      <c r="M84" s="298" t="s">
        <v>66</v>
      </c>
      <c r="N84" s="120"/>
      <c r="O84" s="344">
        <f>IF(M84="FACTURA",L84*1,IF(M84="RECIBO",L84/0.845,IF(M84="SIN IMPUESTO",L84*1,IF(M84="ALQUILER SIN RECIBO",L84/0.84,IF(M84="VIATICOS",L84/0.87,IF(M84=Hoja2!$H$12,0))))))</f>
        <v>0</v>
      </c>
      <c r="P84" s="433" t="e">
        <f t="shared" si="24"/>
        <v>#DIV/0!</v>
      </c>
      <c r="Q84" s="424"/>
      <c r="R84" s="437"/>
      <c r="S84" s="437"/>
      <c r="T84" s="437"/>
      <c r="U84" s="437"/>
      <c r="V84" s="126"/>
      <c r="W84" s="424"/>
      <c r="X84" s="437"/>
      <c r="Y84" s="430" t="b">
        <f t="shared" si="25"/>
        <v>0</v>
      </c>
      <c r="AF84" s="209"/>
      <c r="AG84" s="130"/>
      <c r="AH84" s="130"/>
      <c r="AI84" s="130"/>
      <c r="AJ84" s="130"/>
      <c r="AK84" s="130"/>
      <c r="AL84" s="161"/>
      <c r="AM84" s="130"/>
      <c r="AN84" s="130"/>
      <c r="AO84" s="130"/>
      <c r="AP84" s="130"/>
      <c r="AQ84" s="161"/>
      <c r="AR84" s="95"/>
      <c r="AS84" s="95"/>
      <c r="AT84" s="161"/>
      <c r="AU84" s="161"/>
      <c r="AV84" s="161"/>
      <c r="AW84" s="161"/>
      <c r="AX84" s="161"/>
      <c r="AY84" s="161"/>
      <c r="AZ84" s="161"/>
      <c r="BA84" s="161"/>
    </row>
    <row r="85" spans="1:53" ht="44.25" customHeight="1" x14ac:dyDescent="0.2">
      <c r="A85" s="322"/>
      <c r="B85" s="494"/>
      <c r="C85" s="495"/>
      <c r="D85" s="495"/>
      <c r="E85" s="496"/>
      <c r="F85" s="218"/>
      <c r="G85" s="218"/>
      <c r="H85" s="219"/>
      <c r="I85" s="220"/>
      <c r="J85" s="305"/>
      <c r="K85" s="305"/>
      <c r="L85" s="306">
        <f t="shared" si="23"/>
        <v>0</v>
      </c>
      <c r="M85" s="298" t="s">
        <v>66</v>
      </c>
      <c r="N85" s="120"/>
      <c r="O85" s="344">
        <f>IF(M85="FACTURA",L85*1,IF(M85="RECIBO",L85/0.845,IF(M85="SIN IMPUESTO",L85*1,IF(M85="ALQUILER SIN RECIBO",L85/0.84,IF(M85="VIATICOS",L85/0.87,IF(M85=Hoja2!$H$12,0))))))</f>
        <v>0</v>
      </c>
      <c r="P85" s="433" t="e">
        <f t="shared" si="24"/>
        <v>#DIV/0!</v>
      </c>
      <c r="Q85" s="424"/>
      <c r="R85" s="437"/>
      <c r="S85" s="437"/>
      <c r="T85" s="437"/>
      <c r="U85" s="437"/>
      <c r="V85" s="126"/>
      <c r="W85" s="424"/>
      <c r="X85" s="437"/>
      <c r="Y85" s="430" t="b">
        <f t="shared" si="25"/>
        <v>0</v>
      </c>
      <c r="AF85" s="209"/>
      <c r="AG85" s="130"/>
      <c r="AH85" s="130"/>
      <c r="AI85" s="130"/>
      <c r="AJ85" s="130"/>
      <c r="AK85" s="130"/>
      <c r="AL85" s="161"/>
      <c r="AM85" s="130"/>
      <c r="AN85" s="130"/>
      <c r="AO85" s="130"/>
      <c r="AP85" s="130"/>
      <c r="AQ85" s="161"/>
      <c r="AR85" s="95"/>
      <c r="AS85" s="95"/>
      <c r="AT85" s="161"/>
      <c r="AU85" s="161"/>
      <c r="AV85" s="161"/>
      <c r="AW85" s="161"/>
      <c r="AX85" s="161"/>
      <c r="AY85" s="161"/>
      <c r="AZ85" s="161"/>
      <c r="BA85" s="161"/>
    </row>
    <row r="86" spans="1:53" ht="44.25" customHeight="1" x14ac:dyDescent="0.2">
      <c r="A86" s="322"/>
      <c r="B86" s="494"/>
      <c r="C86" s="495"/>
      <c r="D86" s="495"/>
      <c r="E86" s="496"/>
      <c r="F86" s="218"/>
      <c r="G86" s="218"/>
      <c r="H86" s="219"/>
      <c r="I86" s="220"/>
      <c r="J86" s="305"/>
      <c r="K86" s="305"/>
      <c r="L86" s="306">
        <f t="shared" si="23"/>
        <v>0</v>
      </c>
      <c r="M86" s="298" t="s">
        <v>66</v>
      </c>
      <c r="N86" s="120"/>
      <c r="O86" s="344">
        <f>IF(M86="FACTURA",L86*1,IF(M86="RECIBO",L86/0.845,IF(M86="SIN IMPUESTO",L86*1,IF(M86="ALQUILER SIN RECIBO",L86/0.84,IF(M86="VIATICOS",L86/0.87,IF(M86=Hoja2!$H$12,0))))))</f>
        <v>0</v>
      </c>
      <c r="P86" s="433" t="e">
        <f t="shared" si="24"/>
        <v>#DIV/0!</v>
      </c>
      <c r="Q86" s="424"/>
      <c r="R86" s="437"/>
      <c r="S86" s="437"/>
      <c r="T86" s="437"/>
      <c r="U86" s="437"/>
      <c r="V86" s="126"/>
      <c r="W86" s="424"/>
      <c r="X86" s="437"/>
      <c r="Y86" s="430" t="b">
        <f t="shared" si="25"/>
        <v>0</v>
      </c>
      <c r="AF86" s="209"/>
      <c r="AG86" s="130"/>
      <c r="AH86" s="130"/>
      <c r="AI86" s="130"/>
      <c r="AJ86" s="130"/>
      <c r="AK86" s="130"/>
      <c r="AL86" s="161"/>
      <c r="AM86" s="130"/>
      <c r="AN86" s="130"/>
      <c r="AO86" s="130"/>
      <c r="AP86" s="130"/>
      <c r="AQ86" s="161"/>
      <c r="AR86" s="95"/>
      <c r="AS86" s="95"/>
      <c r="AT86" s="161"/>
      <c r="AU86" s="161"/>
      <c r="AV86" s="161"/>
      <c r="AW86" s="161"/>
      <c r="AX86" s="161"/>
      <c r="AY86" s="161"/>
      <c r="AZ86" s="161"/>
      <c r="BA86" s="161"/>
    </row>
    <row r="87" spans="1:53" ht="51" customHeight="1" x14ac:dyDescent="0.2">
      <c r="A87" s="322"/>
      <c r="B87" s="535" t="s">
        <v>1455</v>
      </c>
      <c r="C87" s="536"/>
      <c r="D87" s="536"/>
      <c r="E87" s="537"/>
      <c r="F87" s="121"/>
      <c r="G87" s="121"/>
      <c r="H87" s="121"/>
      <c r="I87" s="121"/>
      <c r="J87" s="121"/>
      <c r="K87" s="121"/>
      <c r="L87" s="122">
        <f>SUM(L72:L86)</f>
        <v>25</v>
      </c>
      <c r="M87" s="122"/>
      <c r="N87" s="221"/>
      <c r="O87" s="122">
        <f>SUM(O72:O86)</f>
        <v>29.585798816568047</v>
      </c>
      <c r="P87" s="432"/>
      <c r="Q87" s="423"/>
      <c r="R87" s="423"/>
      <c r="S87" s="423"/>
      <c r="T87" s="423"/>
      <c r="U87" s="423"/>
      <c r="V87" s="423"/>
      <c r="W87" s="423"/>
      <c r="X87" s="423"/>
      <c r="Y87" s="430">
        <f>SUM(Y72:Y86)</f>
        <v>0</v>
      </c>
      <c r="AF87" s="209"/>
      <c r="AG87" s="130"/>
      <c r="AH87" s="130"/>
      <c r="AI87" s="130"/>
      <c r="AJ87" s="130"/>
      <c r="AK87" s="130"/>
      <c r="AL87" s="161"/>
      <c r="AM87" s="130"/>
      <c r="AN87" s="130"/>
      <c r="AO87" s="130"/>
      <c r="AP87" s="130"/>
      <c r="AQ87" s="161"/>
      <c r="AR87" s="222"/>
      <c r="AS87" s="222"/>
      <c r="AT87" s="161"/>
      <c r="AU87" s="161"/>
      <c r="AV87" s="161"/>
      <c r="AW87" s="161"/>
      <c r="AX87" s="161"/>
      <c r="AY87" s="161"/>
      <c r="AZ87" s="161"/>
      <c r="BA87" s="161"/>
    </row>
    <row r="88" spans="1:53" ht="51" customHeight="1" x14ac:dyDescent="0.2">
      <c r="A88" s="322"/>
      <c r="B88" s="505" t="s">
        <v>1453</v>
      </c>
      <c r="C88" s="505"/>
      <c r="D88" s="505"/>
      <c r="E88" s="505"/>
      <c r="F88" s="505"/>
      <c r="G88" s="505"/>
      <c r="H88" s="505"/>
      <c r="I88" s="505"/>
      <c r="J88" s="505"/>
      <c r="K88" s="121"/>
      <c r="L88" s="310">
        <f>+L87+L64</f>
        <v>45</v>
      </c>
      <c r="M88" s="310"/>
      <c r="N88" s="310">
        <f>+N87+N64</f>
        <v>0</v>
      </c>
      <c r="O88" s="122">
        <f>+O87+O64</f>
        <v>51.324929251350653</v>
      </c>
      <c r="P88" s="434" t="e">
        <f t="shared" ref="P88" si="26">+P87+P64</f>
        <v>#DIV/0!</v>
      </c>
      <c r="Q88" s="423"/>
      <c r="R88" s="423"/>
      <c r="S88" s="423"/>
      <c r="T88" s="423"/>
      <c r="U88" s="423"/>
      <c r="V88" s="423"/>
      <c r="W88" s="423"/>
      <c r="X88" s="423"/>
      <c r="Y88" s="430">
        <f>+Y87+Y64</f>
        <v>0</v>
      </c>
      <c r="AF88" s="209"/>
      <c r="AG88" s="130"/>
      <c r="AH88" s="130"/>
      <c r="AI88" s="130"/>
      <c r="AJ88" s="130"/>
      <c r="AK88" s="130"/>
      <c r="AL88" s="161"/>
      <c r="AM88" s="130"/>
      <c r="AN88" s="130"/>
      <c r="AO88" s="130"/>
      <c r="AP88" s="130"/>
      <c r="AQ88" s="161"/>
      <c r="AR88" s="222"/>
      <c r="AS88" s="222"/>
      <c r="AT88" s="161"/>
      <c r="AU88" s="161"/>
      <c r="AV88" s="161"/>
      <c r="AW88" s="161"/>
      <c r="AX88" s="161"/>
      <c r="AY88" s="161"/>
      <c r="AZ88" s="161"/>
      <c r="BA88" s="161"/>
    </row>
    <row r="89" spans="1:53" ht="57" customHeight="1" x14ac:dyDescent="0.2">
      <c r="A89" s="322"/>
      <c r="L89" s="223"/>
      <c r="M89" s="223"/>
      <c r="N89" s="223"/>
      <c r="O89" s="223"/>
      <c r="P89" s="435"/>
      <c r="Q89" s="438"/>
      <c r="R89" s="438"/>
      <c r="S89" s="438"/>
      <c r="T89" s="438"/>
      <c r="U89" s="438"/>
      <c r="V89" s="438"/>
      <c r="W89" s="565"/>
      <c r="X89" s="565"/>
      <c r="AE89" s="224"/>
      <c r="AF89" s="224"/>
      <c r="AG89" s="161"/>
      <c r="AH89" s="130"/>
      <c r="AI89" s="130"/>
      <c r="AJ89" s="161"/>
      <c r="AK89" s="161"/>
      <c r="AL89" s="161"/>
      <c r="AM89" s="161"/>
      <c r="AN89" s="161"/>
      <c r="AO89" s="161"/>
      <c r="AP89" s="161"/>
      <c r="AQ89" s="161"/>
      <c r="AR89" s="222"/>
      <c r="AS89" s="222"/>
      <c r="AT89" s="161"/>
      <c r="AU89" s="161"/>
      <c r="AV89" s="161"/>
      <c r="AW89" s="161"/>
      <c r="AX89" s="161"/>
      <c r="AY89" s="161"/>
      <c r="AZ89" s="161"/>
      <c r="BA89" s="161"/>
    </row>
    <row r="90" spans="1:53" ht="57" customHeight="1" x14ac:dyDescent="0.2">
      <c r="A90" s="322"/>
      <c r="L90" s="225"/>
      <c r="M90" s="225"/>
      <c r="N90" s="225"/>
      <c r="O90" s="225"/>
      <c r="P90" s="225"/>
      <c r="Q90" s="225"/>
      <c r="R90" s="225"/>
      <c r="S90" s="225"/>
      <c r="T90" s="225"/>
      <c r="U90" s="225"/>
      <c r="V90" s="225"/>
      <c r="W90" s="214"/>
      <c r="AE90" s="224"/>
      <c r="AF90" s="224"/>
      <c r="AG90" s="161"/>
      <c r="AH90" s="130"/>
      <c r="AI90" s="130"/>
      <c r="AJ90" s="161"/>
      <c r="AK90" s="161"/>
      <c r="AL90" s="161"/>
      <c r="AM90" s="161"/>
      <c r="AN90" s="161"/>
      <c r="AO90" s="161"/>
      <c r="AP90" s="161"/>
      <c r="AQ90" s="161"/>
      <c r="AR90" s="222"/>
      <c r="AS90" s="222"/>
      <c r="AT90" s="161"/>
      <c r="AU90" s="161"/>
      <c r="AV90" s="161"/>
      <c r="AW90" s="161"/>
      <c r="AX90" s="161"/>
      <c r="AY90" s="161"/>
      <c r="AZ90" s="161"/>
      <c r="BA90" s="161"/>
    </row>
    <row r="91" spans="1:53" ht="57" customHeight="1" x14ac:dyDescent="0.2">
      <c r="A91" s="322"/>
      <c r="L91" s="225"/>
      <c r="M91" s="225"/>
      <c r="N91" s="225"/>
      <c r="O91" s="225"/>
      <c r="P91" s="225"/>
      <c r="Q91" s="225"/>
      <c r="R91" s="225"/>
      <c r="S91" s="225"/>
      <c r="T91" s="225"/>
      <c r="U91" s="225"/>
      <c r="V91" s="225"/>
      <c r="W91" s="214"/>
      <c r="AE91" s="224"/>
      <c r="AF91" s="224"/>
      <c r="AG91" s="161"/>
      <c r="AH91" s="312"/>
      <c r="AI91" s="312"/>
      <c r="AJ91" s="161"/>
      <c r="AK91" s="161"/>
      <c r="AL91" s="161"/>
      <c r="AM91" s="161"/>
      <c r="AN91" s="161"/>
      <c r="AO91" s="161"/>
      <c r="AP91" s="161"/>
      <c r="AQ91" s="161"/>
      <c r="AR91" s="222"/>
      <c r="AS91" s="222"/>
      <c r="AT91" s="161"/>
      <c r="AU91" s="161"/>
      <c r="AV91" s="161"/>
      <c r="AW91" s="161"/>
      <c r="AX91" s="161"/>
      <c r="AY91" s="161"/>
      <c r="AZ91" s="161"/>
      <c r="BA91" s="161"/>
    </row>
    <row r="92" spans="1:53" ht="57" customHeight="1" x14ac:dyDescent="0.2">
      <c r="A92" s="322" t="s">
        <v>1538</v>
      </c>
      <c r="B92" s="553" t="s">
        <v>1533</v>
      </c>
      <c r="C92" s="499"/>
      <c r="D92" s="499"/>
      <c r="E92" s="499"/>
      <c r="F92" s="499"/>
      <c r="G92" s="499"/>
      <c r="H92" s="499"/>
      <c r="I92" s="499"/>
      <c r="J92" s="499"/>
      <c r="K92" s="499"/>
      <c r="L92" s="499"/>
      <c r="M92" s="499"/>
      <c r="N92" s="499"/>
      <c r="O92" s="499"/>
      <c r="P92" s="499"/>
      <c r="Q92" s="499"/>
      <c r="R92" s="499"/>
      <c r="S92" s="225"/>
      <c r="T92" s="225"/>
      <c r="U92" s="225"/>
      <c r="V92" s="225"/>
      <c r="W92" s="214"/>
      <c r="X92" s="150"/>
      <c r="AE92" s="224"/>
      <c r="AF92" s="224"/>
      <c r="AG92" s="161"/>
      <c r="AH92" s="130"/>
      <c r="AI92" s="130"/>
      <c r="AJ92" s="161"/>
      <c r="AK92" s="161"/>
      <c r="AL92" s="161"/>
      <c r="AM92" s="161"/>
      <c r="AN92" s="161"/>
      <c r="AO92" s="161"/>
      <c r="AP92" s="161"/>
      <c r="AQ92" s="161"/>
      <c r="AR92" s="222"/>
      <c r="AS92" s="222"/>
      <c r="AT92" s="161"/>
      <c r="AU92" s="161"/>
      <c r="AV92" s="161"/>
      <c r="AW92" s="161"/>
      <c r="AX92" s="161"/>
      <c r="AY92" s="161"/>
      <c r="AZ92" s="161"/>
      <c r="BA92" s="161"/>
    </row>
    <row r="93" spans="1:53" ht="57" customHeight="1" x14ac:dyDescent="0.2">
      <c r="A93" s="322"/>
      <c r="J93" s="150"/>
      <c r="K93" s="150"/>
      <c r="L93" s="225"/>
      <c r="M93" s="225"/>
      <c r="N93" s="225"/>
      <c r="O93" s="225"/>
      <c r="P93" s="225"/>
      <c r="Q93" s="225"/>
      <c r="R93" s="225"/>
      <c r="S93" s="225"/>
      <c r="T93" s="225"/>
      <c r="U93" s="225"/>
      <c r="V93" s="225"/>
      <c r="W93" s="214"/>
      <c r="X93" s="150"/>
      <c r="AE93" s="224"/>
      <c r="AF93" s="224"/>
      <c r="AG93" s="161"/>
      <c r="AH93" s="130"/>
      <c r="AI93" s="130"/>
      <c r="AJ93" s="161"/>
      <c r="AK93" s="161"/>
      <c r="AL93" s="161"/>
      <c r="AM93" s="161"/>
      <c r="AN93" s="161"/>
      <c r="AO93" s="161"/>
      <c r="AP93" s="161"/>
      <c r="AQ93" s="161"/>
      <c r="AR93" s="222"/>
      <c r="AS93" s="222"/>
      <c r="AT93" s="161"/>
      <c r="AU93" s="161"/>
      <c r="AV93" s="161"/>
      <c r="AW93" s="161"/>
      <c r="AX93" s="161"/>
      <c r="AY93" s="161"/>
      <c r="AZ93" s="161"/>
      <c r="BA93" s="161"/>
    </row>
    <row r="94" spans="1:53" s="226" customFormat="1" ht="57" customHeight="1" x14ac:dyDescent="0.25">
      <c r="A94" s="322" t="s">
        <v>1538</v>
      </c>
      <c r="B94" s="520" t="s">
        <v>1483</v>
      </c>
      <c r="C94" s="492" t="s">
        <v>1479</v>
      </c>
      <c r="D94" s="492"/>
      <c r="E94" s="492"/>
      <c r="F94" s="492"/>
      <c r="G94" s="109"/>
      <c r="H94" s="490" t="s">
        <v>1507</v>
      </c>
      <c r="I94" s="490"/>
      <c r="J94" s="490"/>
      <c r="K94" s="172"/>
      <c r="L94" s="225"/>
      <c r="M94" s="225" t="s">
        <v>1539</v>
      </c>
      <c r="N94" s="225"/>
      <c r="O94" s="520" t="s">
        <v>1483</v>
      </c>
      <c r="P94" s="492" t="s">
        <v>1517</v>
      </c>
      <c r="Q94" s="492"/>
      <c r="R94" s="492"/>
      <c r="S94" s="108" t="s">
        <v>1507</v>
      </c>
      <c r="T94" s="112"/>
      <c r="U94" s="490" t="s">
        <v>1507</v>
      </c>
      <c r="V94" s="490"/>
      <c r="W94" s="490"/>
      <c r="X94" s="172"/>
      <c r="AE94" s="224"/>
      <c r="AF94" s="224"/>
      <c r="AG94" s="227"/>
      <c r="AH94" s="130"/>
      <c r="AI94" s="130"/>
      <c r="AJ94" s="227"/>
      <c r="AK94" s="227"/>
      <c r="AL94" s="227"/>
      <c r="AM94" s="227"/>
      <c r="AN94" s="227"/>
      <c r="AO94" s="227"/>
      <c r="AP94" s="227"/>
      <c r="AQ94" s="227"/>
      <c r="AR94" s="228"/>
      <c r="AS94" s="228"/>
      <c r="AT94" s="227"/>
      <c r="AU94" s="227"/>
      <c r="AV94" s="227"/>
      <c r="AW94" s="227"/>
      <c r="AX94" s="227"/>
      <c r="AY94" s="227"/>
      <c r="AZ94" s="227"/>
      <c r="BA94" s="227"/>
    </row>
    <row r="95" spans="1:53" s="226" customFormat="1" ht="42.75" customHeight="1" x14ac:dyDescent="0.25">
      <c r="A95" s="322"/>
      <c r="B95" s="520"/>
      <c r="C95" s="492"/>
      <c r="D95" s="492"/>
      <c r="E95" s="492"/>
      <c r="F95" s="492"/>
      <c r="G95" s="111"/>
      <c r="H95" s="493" t="s">
        <v>1480</v>
      </c>
      <c r="I95" s="493"/>
      <c r="J95" s="493"/>
      <c r="K95" s="172"/>
      <c r="L95" s="225"/>
      <c r="M95" s="225"/>
      <c r="N95" s="225"/>
      <c r="O95" s="520"/>
      <c r="P95" s="492"/>
      <c r="Q95" s="492"/>
      <c r="R95" s="492"/>
      <c r="S95" s="110" t="s">
        <v>1480</v>
      </c>
      <c r="T95" s="111"/>
      <c r="U95" s="493" t="s">
        <v>1480</v>
      </c>
      <c r="V95" s="493"/>
      <c r="W95" s="493"/>
      <c r="X95" s="172"/>
      <c r="AE95" s="224"/>
      <c r="AF95" s="224"/>
      <c r="AG95" s="227"/>
      <c r="AH95" s="130"/>
      <c r="AI95" s="130"/>
      <c r="AJ95" s="227"/>
      <c r="AK95" s="227"/>
      <c r="AL95" s="227"/>
      <c r="AM95" s="227"/>
      <c r="AN95" s="227"/>
      <c r="AO95" s="227"/>
      <c r="AP95" s="227"/>
      <c r="AQ95" s="227"/>
      <c r="AR95" s="228"/>
      <c r="AS95" s="228"/>
      <c r="AT95" s="227"/>
      <c r="AU95" s="227"/>
      <c r="AV95" s="227"/>
      <c r="AW95" s="227"/>
      <c r="AX95" s="227"/>
      <c r="AY95" s="227"/>
      <c r="AZ95" s="227"/>
      <c r="BA95" s="227"/>
    </row>
    <row r="96" spans="1:53" s="226" customFormat="1" ht="42.75" customHeight="1" x14ac:dyDescent="0.25">
      <c r="A96" s="322"/>
      <c r="B96" s="520"/>
      <c r="C96" s="492"/>
      <c r="D96" s="492"/>
      <c r="E96" s="492"/>
      <c r="F96" s="492"/>
      <c r="G96" s="319"/>
      <c r="H96" s="540" t="s">
        <v>1508</v>
      </c>
      <c r="I96" s="541"/>
      <c r="J96" s="542"/>
      <c r="K96" s="172"/>
      <c r="L96" s="225"/>
      <c r="M96" s="225"/>
      <c r="N96" s="225"/>
      <c r="O96" s="520"/>
      <c r="P96" s="492"/>
      <c r="Q96" s="492"/>
      <c r="R96" s="492"/>
      <c r="S96" s="105" t="s">
        <v>11</v>
      </c>
      <c r="T96" s="106"/>
      <c r="U96" s="540" t="s">
        <v>1508</v>
      </c>
      <c r="V96" s="541"/>
      <c r="W96" s="542"/>
      <c r="X96" s="172"/>
      <c r="AE96" s="224"/>
      <c r="AF96" s="224"/>
      <c r="AG96" s="227"/>
      <c r="AH96" s="130"/>
      <c r="AI96" s="130"/>
      <c r="AJ96" s="227"/>
      <c r="AK96" s="227"/>
      <c r="AL96" s="227"/>
      <c r="AM96" s="227"/>
      <c r="AN96" s="227"/>
      <c r="AO96" s="227"/>
      <c r="AP96" s="227"/>
      <c r="AQ96" s="227"/>
      <c r="AR96" s="228"/>
      <c r="AS96" s="228"/>
      <c r="AT96" s="227"/>
      <c r="AU96" s="227"/>
      <c r="AV96" s="227"/>
      <c r="AW96" s="227"/>
      <c r="AX96" s="227"/>
      <c r="AY96" s="227"/>
      <c r="AZ96" s="227"/>
      <c r="BA96" s="227"/>
    </row>
    <row r="97" spans="1:53" s="226" customFormat="1" ht="42.75" customHeight="1" x14ac:dyDescent="0.25">
      <c r="A97" s="322"/>
      <c r="B97" s="118">
        <v>1</v>
      </c>
      <c r="C97" s="494" t="s">
        <v>1520</v>
      </c>
      <c r="D97" s="495"/>
      <c r="E97" s="495"/>
      <c r="F97" s="496"/>
      <c r="G97" s="107"/>
      <c r="H97" s="229">
        <v>0.5</v>
      </c>
      <c r="I97" s="204"/>
      <c r="J97" s="307">
        <f t="shared" ref="J97:J104" si="27">+H97*$J$113</f>
        <v>1727.9407574207924</v>
      </c>
      <c r="K97" s="101"/>
      <c r="L97" s="101"/>
      <c r="M97" s="101"/>
      <c r="N97" s="101"/>
      <c r="O97" s="118">
        <v>1</v>
      </c>
      <c r="P97" s="520" t="s">
        <v>1524</v>
      </c>
      <c r="Q97" s="520"/>
      <c r="R97" s="520"/>
      <c r="S97" s="120">
        <v>1</v>
      </c>
      <c r="T97" s="107"/>
      <c r="U97" s="230">
        <v>0</v>
      </c>
      <c r="V97" s="231"/>
      <c r="W97" s="307">
        <f t="shared" ref="W97:W106" si="28">+U97*$J$113</f>
        <v>0</v>
      </c>
      <c r="X97" s="172"/>
      <c r="AE97" s="224"/>
      <c r="AF97" s="224"/>
      <c r="AG97" s="227"/>
      <c r="AH97" s="130"/>
      <c r="AI97" s="130"/>
      <c r="AJ97" s="227"/>
      <c r="AK97" s="227"/>
      <c r="AL97" s="227"/>
      <c r="AM97" s="227"/>
      <c r="AN97" s="227"/>
      <c r="AO97" s="227"/>
      <c r="AP97" s="227"/>
      <c r="AQ97" s="227"/>
      <c r="AR97" s="228"/>
      <c r="AS97" s="228"/>
      <c r="AT97" s="227"/>
      <c r="AU97" s="227"/>
      <c r="AV97" s="227"/>
      <c r="AW97" s="227"/>
      <c r="AX97" s="227"/>
      <c r="AY97" s="227"/>
      <c r="AZ97" s="227"/>
      <c r="BA97" s="227"/>
    </row>
    <row r="98" spans="1:53" s="226" customFormat="1" ht="42.75" customHeight="1" x14ac:dyDescent="0.25">
      <c r="A98" s="322"/>
      <c r="B98" s="118">
        <v>2</v>
      </c>
      <c r="C98" s="494" t="s">
        <v>1521</v>
      </c>
      <c r="D98" s="495"/>
      <c r="E98" s="495"/>
      <c r="F98" s="496"/>
      <c r="G98" s="107"/>
      <c r="H98" s="229">
        <v>0</v>
      </c>
      <c r="I98" s="204"/>
      <c r="J98" s="307">
        <f t="shared" si="27"/>
        <v>0</v>
      </c>
      <c r="K98" s="101"/>
      <c r="L98" s="101"/>
      <c r="M98" s="101"/>
      <c r="N98" s="101"/>
      <c r="O98" s="118">
        <v>2</v>
      </c>
      <c r="P98" s="520" t="s">
        <v>1525</v>
      </c>
      <c r="Q98" s="520"/>
      <c r="R98" s="520"/>
      <c r="S98" s="120">
        <v>1</v>
      </c>
      <c r="T98" s="107"/>
      <c r="U98" s="230">
        <v>0</v>
      </c>
      <c r="V98" s="231"/>
      <c r="W98" s="307">
        <f t="shared" si="28"/>
        <v>0</v>
      </c>
      <c r="X98" s="172"/>
      <c r="AE98" s="224"/>
      <c r="AF98" s="224"/>
      <c r="AG98" s="227"/>
      <c r="AH98" s="130"/>
      <c r="AI98" s="130"/>
      <c r="AJ98" s="227"/>
      <c r="AK98" s="227"/>
      <c r="AL98" s="227"/>
      <c r="AM98" s="227"/>
      <c r="AN98" s="227"/>
      <c r="AO98" s="227"/>
      <c r="AP98" s="227"/>
      <c r="AQ98" s="227"/>
      <c r="AR98" s="228"/>
      <c r="AS98" s="228"/>
      <c r="AT98" s="227"/>
      <c r="AU98" s="227"/>
      <c r="AV98" s="227"/>
      <c r="AW98" s="227"/>
      <c r="AX98" s="227"/>
      <c r="AY98" s="227"/>
      <c r="AZ98" s="227"/>
      <c r="BA98" s="227"/>
    </row>
    <row r="99" spans="1:53" s="226" customFormat="1" ht="42.75" customHeight="1" x14ac:dyDescent="0.25">
      <c r="A99" s="322"/>
      <c r="B99" s="118">
        <v>3</v>
      </c>
      <c r="C99" s="494" t="s">
        <v>1522</v>
      </c>
      <c r="D99" s="495"/>
      <c r="E99" s="495"/>
      <c r="F99" s="496"/>
      <c r="G99" s="107"/>
      <c r="H99" s="229">
        <v>0</v>
      </c>
      <c r="I99" s="204"/>
      <c r="J99" s="307">
        <f t="shared" si="27"/>
        <v>0</v>
      </c>
      <c r="K99" s="101"/>
      <c r="L99" s="101"/>
      <c r="M99" s="101"/>
      <c r="N99" s="101"/>
      <c r="O99" s="118">
        <v>3</v>
      </c>
      <c r="P99" s="520"/>
      <c r="Q99" s="520"/>
      <c r="R99" s="520"/>
      <c r="S99" s="120"/>
      <c r="T99" s="107"/>
      <c r="U99" s="230"/>
      <c r="V99" s="231"/>
      <c r="W99" s="307">
        <f t="shared" si="28"/>
        <v>0</v>
      </c>
      <c r="X99" s="172"/>
      <c r="AE99" s="224"/>
      <c r="AF99" s="224"/>
      <c r="AG99" s="227"/>
      <c r="AH99" s="130"/>
      <c r="AI99" s="130"/>
      <c r="AJ99" s="227"/>
      <c r="AK99" s="227"/>
      <c r="AL99" s="227"/>
      <c r="AM99" s="227"/>
      <c r="AN99" s="227"/>
      <c r="AO99" s="227"/>
      <c r="AP99" s="227"/>
      <c r="AQ99" s="227"/>
      <c r="AR99" s="228"/>
      <c r="AS99" s="228"/>
      <c r="AT99" s="227"/>
      <c r="AU99" s="227"/>
      <c r="AV99" s="227"/>
      <c r="AW99" s="227"/>
      <c r="AX99" s="227"/>
      <c r="AY99" s="227"/>
      <c r="AZ99" s="227"/>
      <c r="BA99" s="227"/>
    </row>
    <row r="100" spans="1:53" s="226" customFormat="1" ht="42.75" customHeight="1" x14ac:dyDescent="0.25">
      <c r="A100" s="322"/>
      <c r="B100" s="118">
        <v>4</v>
      </c>
      <c r="C100" s="494" t="s">
        <v>1523</v>
      </c>
      <c r="D100" s="495"/>
      <c r="E100" s="495"/>
      <c r="F100" s="496"/>
      <c r="G100" s="107"/>
      <c r="H100" s="229">
        <v>0</v>
      </c>
      <c r="I100" s="204"/>
      <c r="J100" s="307">
        <f t="shared" si="27"/>
        <v>0</v>
      </c>
      <c r="K100" s="101"/>
      <c r="L100" s="101"/>
      <c r="M100" s="101"/>
      <c r="N100" s="101"/>
      <c r="O100" s="118">
        <v>4</v>
      </c>
      <c r="P100" s="520"/>
      <c r="Q100" s="520"/>
      <c r="R100" s="520"/>
      <c r="S100" s="120"/>
      <c r="T100" s="107"/>
      <c r="U100" s="230"/>
      <c r="V100" s="231"/>
      <c r="W100" s="307">
        <f t="shared" si="28"/>
        <v>0</v>
      </c>
      <c r="X100" s="172"/>
      <c r="AE100" s="224"/>
      <c r="AF100" s="224"/>
      <c r="AG100" s="227"/>
      <c r="AH100" s="130"/>
      <c r="AI100" s="130"/>
      <c r="AJ100" s="227"/>
      <c r="AK100" s="227"/>
      <c r="AL100" s="227"/>
      <c r="AM100" s="227"/>
      <c r="AN100" s="227"/>
      <c r="AO100" s="227"/>
      <c r="AP100" s="227"/>
      <c r="AQ100" s="227"/>
      <c r="AR100" s="228"/>
      <c r="AS100" s="228"/>
      <c r="AT100" s="227"/>
      <c r="AU100" s="227"/>
      <c r="AV100" s="227"/>
      <c r="AW100" s="227"/>
      <c r="AX100" s="227"/>
      <c r="AY100" s="227"/>
      <c r="AZ100" s="227"/>
      <c r="BA100" s="227"/>
    </row>
    <row r="101" spans="1:53" s="226" customFormat="1" ht="42.75" customHeight="1" x14ac:dyDescent="0.25">
      <c r="A101" s="322"/>
      <c r="B101" s="118">
        <v>5</v>
      </c>
      <c r="C101" s="494"/>
      <c r="D101" s="495"/>
      <c r="E101" s="495"/>
      <c r="F101" s="496"/>
      <c r="G101" s="107"/>
      <c r="H101" s="229"/>
      <c r="I101" s="204"/>
      <c r="J101" s="307">
        <f t="shared" si="27"/>
        <v>0</v>
      </c>
      <c r="K101" s="101"/>
      <c r="L101" s="101"/>
      <c r="M101" s="101"/>
      <c r="N101" s="101"/>
      <c r="O101" s="118">
        <v>5</v>
      </c>
      <c r="P101" s="520"/>
      <c r="Q101" s="520"/>
      <c r="R101" s="520"/>
      <c r="S101" s="120">
        <v>1</v>
      </c>
      <c r="T101" s="107"/>
      <c r="U101" s="230"/>
      <c r="V101" s="231"/>
      <c r="W101" s="307">
        <f t="shared" si="28"/>
        <v>0</v>
      </c>
      <c r="X101" s="172"/>
      <c r="AE101" s="224"/>
      <c r="AF101" s="224"/>
      <c r="AG101" s="227"/>
      <c r="AH101" s="130"/>
      <c r="AI101" s="130"/>
      <c r="AJ101" s="227"/>
      <c r="AK101" s="227"/>
      <c r="AL101" s="227"/>
      <c r="AM101" s="227"/>
      <c r="AN101" s="227"/>
      <c r="AO101" s="227"/>
      <c r="AP101" s="227"/>
      <c r="AQ101" s="227"/>
      <c r="AR101" s="228"/>
      <c r="AS101" s="228"/>
      <c r="AT101" s="227"/>
      <c r="AU101" s="227"/>
      <c r="AV101" s="227"/>
      <c r="AW101" s="227"/>
      <c r="AX101" s="227"/>
      <c r="AY101" s="227"/>
      <c r="AZ101" s="227"/>
      <c r="BA101" s="227"/>
    </row>
    <row r="102" spans="1:53" s="226" customFormat="1" ht="42.75" customHeight="1" x14ac:dyDescent="0.25">
      <c r="A102" s="322"/>
      <c r="B102" s="118">
        <v>6</v>
      </c>
      <c r="C102" s="494"/>
      <c r="D102" s="495"/>
      <c r="E102" s="495"/>
      <c r="F102" s="496"/>
      <c r="G102" s="107"/>
      <c r="H102" s="229"/>
      <c r="I102" s="204"/>
      <c r="J102" s="307">
        <f t="shared" si="27"/>
        <v>0</v>
      </c>
      <c r="K102" s="101"/>
      <c r="L102" s="101"/>
      <c r="M102" s="101"/>
      <c r="N102" s="101"/>
      <c r="O102" s="118">
        <v>6</v>
      </c>
      <c r="P102" s="494"/>
      <c r="Q102" s="495"/>
      <c r="R102" s="496"/>
      <c r="S102" s="120"/>
      <c r="T102" s="107"/>
      <c r="U102" s="230"/>
      <c r="V102" s="231"/>
      <c r="W102" s="307">
        <f t="shared" si="28"/>
        <v>0</v>
      </c>
      <c r="X102" s="172"/>
      <c r="AE102" s="224"/>
      <c r="AF102" s="224"/>
      <c r="AG102" s="227"/>
      <c r="AH102" s="130"/>
      <c r="AI102" s="130"/>
      <c r="AJ102" s="227"/>
      <c r="AK102" s="227"/>
      <c r="AL102" s="227"/>
      <c r="AM102" s="227"/>
      <c r="AN102" s="227"/>
      <c r="AO102" s="227"/>
      <c r="AP102" s="227"/>
      <c r="AQ102" s="227"/>
      <c r="AR102" s="228"/>
      <c r="AS102" s="228"/>
      <c r="AT102" s="227"/>
      <c r="AU102" s="227"/>
      <c r="AV102" s="227"/>
      <c r="AW102" s="227"/>
      <c r="AX102" s="227"/>
      <c r="AY102" s="227"/>
      <c r="AZ102" s="227"/>
      <c r="BA102" s="227"/>
    </row>
    <row r="103" spans="1:53" s="226" customFormat="1" ht="42.75" customHeight="1" x14ac:dyDescent="0.25">
      <c r="A103" s="322"/>
      <c r="B103" s="118">
        <v>7</v>
      </c>
      <c r="C103" s="494"/>
      <c r="D103" s="495"/>
      <c r="E103" s="495"/>
      <c r="F103" s="496"/>
      <c r="G103" s="107"/>
      <c r="H103" s="229"/>
      <c r="I103" s="204"/>
      <c r="J103" s="307">
        <f t="shared" si="27"/>
        <v>0</v>
      </c>
      <c r="K103" s="101"/>
      <c r="L103" s="101"/>
      <c r="M103" s="101"/>
      <c r="N103" s="101"/>
      <c r="O103" s="118">
        <v>7</v>
      </c>
      <c r="P103" s="494"/>
      <c r="Q103" s="495"/>
      <c r="R103" s="496"/>
      <c r="S103" s="120"/>
      <c r="T103" s="107"/>
      <c r="U103" s="230"/>
      <c r="V103" s="231"/>
      <c r="W103" s="307">
        <f t="shared" si="28"/>
        <v>0</v>
      </c>
      <c r="X103" s="172"/>
      <c r="AE103" s="224"/>
      <c r="AF103" s="224"/>
      <c r="AG103" s="227"/>
      <c r="AH103" s="130"/>
      <c r="AI103" s="130"/>
      <c r="AJ103" s="227"/>
      <c r="AK103" s="227"/>
      <c r="AL103" s="227"/>
      <c r="AM103" s="227"/>
      <c r="AN103" s="227"/>
      <c r="AO103" s="227"/>
      <c r="AP103" s="227"/>
      <c r="AQ103" s="227"/>
      <c r="AR103" s="228"/>
      <c r="AS103" s="228"/>
      <c r="AT103" s="227"/>
      <c r="AU103" s="227"/>
      <c r="AV103" s="227"/>
      <c r="AW103" s="227"/>
      <c r="AX103" s="227"/>
      <c r="AY103" s="227"/>
      <c r="AZ103" s="227"/>
      <c r="BA103" s="227"/>
    </row>
    <row r="104" spans="1:53" s="226" customFormat="1" ht="42.75" customHeight="1" x14ac:dyDescent="0.25">
      <c r="A104" s="322"/>
      <c r="B104" s="118">
        <v>8</v>
      </c>
      <c r="C104" s="494"/>
      <c r="D104" s="495"/>
      <c r="E104" s="495"/>
      <c r="F104" s="496"/>
      <c r="G104" s="107"/>
      <c r="H104" s="229"/>
      <c r="I104" s="204"/>
      <c r="J104" s="307">
        <f t="shared" si="27"/>
        <v>0</v>
      </c>
      <c r="K104" s="101"/>
      <c r="L104" s="101"/>
      <c r="M104" s="101"/>
      <c r="N104" s="101"/>
      <c r="O104" s="118">
        <v>8</v>
      </c>
      <c r="P104" s="494"/>
      <c r="Q104" s="495"/>
      <c r="R104" s="496"/>
      <c r="S104" s="120"/>
      <c r="T104" s="107"/>
      <c r="U104" s="230"/>
      <c r="V104" s="231"/>
      <c r="W104" s="307">
        <f t="shared" si="28"/>
        <v>0</v>
      </c>
      <c r="X104" s="172"/>
      <c r="AE104" s="224"/>
      <c r="AF104" s="224"/>
      <c r="AG104" s="227"/>
      <c r="AH104" s="130"/>
      <c r="AI104" s="130"/>
      <c r="AJ104" s="227"/>
      <c r="AK104" s="227"/>
      <c r="AL104" s="227"/>
      <c r="AM104" s="227"/>
      <c r="AN104" s="227"/>
      <c r="AO104" s="227"/>
      <c r="AP104" s="227"/>
      <c r="AQ104" s="227"/>
      <c r="AR104" s="228"/>
      <c r="AS104" s="228"/>
      <c r="AT104" s="227"/>
      <c r="AU104" s="227"/>
      <c r="AV104" s="227"/>
      <c r="AW104" s="227"/>
      <c r="AX104" s="227"/>
      <c r="AY104" s="227"/>
      <c r="AZ104" s="227"/>
      <c r="BA104" s="227"/>
    </row>
    <row r="105" spans="1:53" s="226" customFormat="1" ht="42.75" customHeight="1" x14ac:dyDescent="0.25">
      <c r="A105" s="322"/>
      <c r="B105" s="118">
        <v>9</v>
      </c>
      <c r="C105" s="524"/>
      <c r="D105" s="525"/>
      <c r="E105" s="525"/>
      <c r="F105" s="526"/>
      <c r="G105" s="119"/>
      <c r="H105" s="229"/>
      <c r="I105" s="204"/>
      <c r="J105" s="307"/>
      <c r="K105" s="101"/>
      <c r="L105" s="101"/>
      <c r="M105" s="101"/>
      <c r="N105" s="101"/>
      <c r="O105" s="118">
        <v>9</v>
      </c>
      <c r="P105" s="523"/>
      <c r="Q105" s="523"/>
      <c r="R105" s="523"/>
      <c r="S105" s="117"/>
      <c r="T105" s="119"/>
      <c r="U105" s="230"/>
      <c r="V105" s="231"/>
      <c r="W105" s="307">
        <f t="shared" si="28"/>
        <v>0</v>
      </c>
      <c r="X105" s="172"/>
      <c r="AE105" s="224"/>
      <c r="AF105" s="224"/>
      <c r="AG105" s="227"/>
      <c r="AH105" s="130"/>
      <c r="AI105" s="130"/>
      <c r="AJ105" s="227"/>
      <c r="AK105" s="227"/>
      <c r="AL105" s="227"/>
      <c r="AM105" s="227"/>
      <c r="AN105" s="227"/>
      <c r="AO105" s="227"/>
      <c r="AP105" s="227"/>
      <c r="AQ105" s="227"/>
      <c r="AR105" s="228"/>
      <c r="AS105" s="228"/>
      <c r="AT105" s="227"/>
      <c r="AU105" s="227"/>
      <c r="AV105" s="227"/>
      <c r="AW105" s="227"/>
      <c r="AX105" s="227"/>
      <c r="AY105" s="227"/>
      <c r="AZ105" s="227"/>
      <c r="BA105" s="227"/>
    </row>
    <row r="106" spans="1:53" s="226" customFormat="1" ht="42.75" customHeight="1" x14ac:dyDescent="0.25">
      <c r="A106" s="322"/>
      <c r="B106" s="118">
        <v>10</v>
      </c>
      <c r="C106" s="494"/>
      <c r="D106" s="495"/>
      <c r="E106" s="495"/>
      <c r="F106" s="496"/>
      <c r="G106" s="107"/>
      <c r="H106" s="229"/>
      <c r="I106" s="204"/>
      <c r="J106" s="307"/>
      <c r="K106" s="101"/>
      <c r="L106" s="213">
        <f>+'HOJA 1 aux'!G27</f>
        <v>684.49998225460638</v>
      </c>
      <c r="M106" s="101"/>
      <c r="N106" s="101"/>
      <c r="O106" s="118">
        <v>10</v>
      </c>
      <c r="P106" s="520"/>
      <c r="Q106" s="520"/>
      <c r="R106" s="520"/>
      <c r="S106" s="120">
        <v>0</v>
      </c>
      <c r="T106" s="107"/>
      <c r="U106" s="230"/>
      <c r="V106" s="231"/>
      <c r="W106" s="307">
        <f t="shared" si="28"/>
        <v>0</v>
      </c>
      <c r="X106" s="172"/>
      <c r="AE106" s="224"/>
      <c r="AF106" s="224"/>
      <c r="AG106" s="227"/>
      <c r="AH106" s="130"/>
      <c r="AI106" s="130"/>
      <c r="AJ106" s="227"/>
      <c r="AK106" s="227"/>
      <c r="AL106" s="227"/>
      <c r="AM106" s="227"/>
      <c r="AN106" s="227"/>
      <c r="AO106" s="227"/>
      <c r="AP106" s="227"/>
      <c r="AQ106" s="227"/>
      <c r="AR106" s="228"/>
      <c r="AS106" s="228"/>
      <c r="AT106" s="227"/>
      <c r="AU106" s="227"/>
      <c r="AV106" s="227"/>
      <c r="AW106" s="227"/>
      <c r="AX106" s="227"/>
      <c r="AY106" s="227"/>
      <c r="AZ106" s="227"/>
      <c r="BA106" s="227"/>
    </row>
    <row r="107" spans="1:53" s="226" customFormat="1" ht="57" customHeight="1" x14ac:dyDescent="0.25">
      <c r="A107" s="322"/>
      <c r="B107" s="550" t="s">
        <v>1453</v>
      </c>
      <c r="C107" s="551"/>
      <c r="D107" s="551"/>
      <c r="E107" s="551"/>
      <c r="F107" s="552"/>
      <c r="G107" s="232"/>
      <c r="H107" s="233">
        <f>SUM(H97:H106)</f>
        <v>0.5</v>
      </c>
      <c r="I107" s="201"/>
      <c r="J107" s="125">
        <f>SUM(J97:J106)</f>
        <v>1727.9407574207924</v>
      </c>
      <c r="K107" s="172"/>
      <c r="L107" s="443"/>
      <c r="M107" s="225"/>
      <c r="N107" s="225"/>
      <c r="O107" s="486" t="s">
        <v>1453</v>
      </c>
      <c r="P107" s="486"/>
      <c r="Q107" s="486"/>
      <c r="R107" s="486"/>
      <c r="S107" s="234">
        <f>SUM(S97:S106)</f>
        <v>3</v>
      </c>
      <c r="T107" s="232"/>
      <c r="U107" s="233">
        <f>SUM(U97:U106)</f>
        <v>0</v>
      </c>
      <c r="V107" s="201"/>
      <c r="W107" s="125">
        <f>SUM(W97:W106)</f>
        <v>0</v>
      </c>
      <c r="X107" s="172"/>
      <c r="AE107" s="224"/>
      <c r="AF107" s="224"/>
      <c r="AG107" s="227"/>
      <c r="AH107" s="130"/>
      <c r="AI107" s="130"/>
      <c r="AJ107" s="227"/>
      <c r="AK107" s="227"/>
      <c r="AL107" s="227"/>
      <c r="AM107" s="227"/>
      <c r="AN107" s="227"/>
      <c r="AO107" s="227"/>
      <c r="AP107" s="227"/>
      <c r="AQ107" s="227"/>
      <c r="AR107" s="228"/>
      <c r="AS107" s="228"/>
      <c r="AT107" s="227"/>
      <c r="AU107" s="227"/>
      <c r="AV107" s="227"/>
      <c r="AW107" s="227"/>
      <c r="AX107" s="227"/>
      <c r="AY107" s="227"/>
      <c r="AZ107" s="227"/>
      <c r="BA107" s="227"/>
    </row>
    <row r="108" spans="1:53" ht="57" customHeight="1" x14ac:dyDescent="0.2">
      <c r="A108" s="322"/>
      <c r="B108" s="235"/>
      <c r="C108" s="235"/>
      <c r="D108" s="235"/>
      <c r="E108" s="235"/>
      <c r="F108" s="236"/>
      <c r="G108" s="236"/>
      <c r="H108" s="126"/>
      <c r="I108" s="126"/>
      <c r="J108" s="126"/>
      <c r="K108" s="150"/>
      <c r="L108" s="225"/>
      <c r="M108" s="225"/>
      <c r="N108" s="225"/>
      <c r="O108" s="543" t="s">
        <v>1518</v>
      </c>
      <c r="P108" s="543"/>
      <c r="Q108" s="543"/>
      <c r="R108" s="543"/>
      <c r="S108" s="543"/>
      <c r="T108" s="543"/>
      <c r="U108" s="544">
        <f>+J107+W107+'GASTO AUX '!G195</f>
        <v>2737.9999290184255</v>
      </c>
      <c r="V108" s="544"/>
      <c r="W108" s="544"/>
      <c r="X108" s="150"/>
      <c r="AE108" s="224"/>
      <c r="AF108" s="224"/>
      <c r="AG108" s="161"/>
      <c r="AH108" s="130"/>
      <c r="AI108" s="130"/>
      <c r="AJ108" s="161"/>
      <c r="AK108" s="161"/>
      <c r="AL108" s="161"/>
      <c r="AM108" s="161"/>
      <c r="AN108" s="161"/>
      <c r="AO108" s="161"/>
      <c r="AP108" s="161"/>
      <c r="AQ108" s="161"/>
      <c r="AR108" s="222"/>
      <c r="AS108" s="222"/>
      <c r="AT108" s="161"/>
      <c r="AU108" s="161"/>
      <c r="AV108" s="161"/>
      <c r="AW108" s="161"/>
      <c r="AX108" s="161"/>
      <c r="AY108" s="161"/>
      <c r="AZ108" s="161"/>
      <c r="BA108" s="161"/>
    </row>
    <row r="109" spans="1:53" ht="57" customHeight="1" x14ac:dyDescent="0.2">
      <c r="A109" s="322"/>
      <c r="B109" s="235"/>
      <c r="C109" s="235"/>
      <c r="D109" s="235"/>
      <c r="E109" s="235"/>
      <c r="F109" s="236"/>
      <c r="G109" s="236"/>
      <c r="H109" s="126"/>
      <c r="I109" s="126"/>
      <c r="J109" s="126"/>
      <c r="K109" s="150"/>
      <c r="L109" s="225"/>
      <c r="M109" s="225"/>
      <c r="N109" s="225"/>
      <c r="O109" s="155"/>
      <c r="P109" s="155"/>
      <c r="Q109" s="155"/>
      <c r="R109" s="155"/>
      <c r="S109" s="155"/>
      <c r="T109" s="155"/>
      <c r="U109" s="312"/>
      <c r="V109" s="312"/>
      <c r="W109" s="312"/>
      <c r="X109" s="150"/>
      <c r="AE109" s="224"/>
      <c r="AF109" s="224"/>
      <c r="AG109" s="161"/>
      <c r="AH109" s="312"/>
      <c r="AI109" s="312"/>
      <c r="AJ109" s="161"/>
      <c r="AK109" s="161"/>
      <c r="AL109" s="161"/>
      <c r="AM109" s="161"/>
      <c r="AN109" s="161"/>
      <c r="AO109" s="161"/>
      <c r="AP109" s="161"/>
      <c r="AQ109" s="161"/>
      <c r="AR109" s="222"/>
      <c r="AS109" s="222"/>
      <c r="AT109" s="161"/>
      <c r="AU109" s="161"/>
      <c r="AV109" s="161"/>
      <c r="AW109" s="161"/>
      <c r="AX109" s="161"/>
      <c r="AY109" s="161"/>
      <c r="AZ109" s="161"/>
      <c r="BA109" s="161"/>
    </row>
    <row r="110" spans="1:53" ht="57" customHeight="1" x14ac:dyDescent="0.2">
      <c r="A110" s="322">
        <v>5</v>
      </c>
      <c r="B110" s="554" t="s">
        <v>1534</v>
      </c>
      <c r="C110" s="555"/>
      <c r="D110" s="555"/>
      <c r="E110" s="555"/>
      <c r="F110" s="555"/>
      <c r="G110" s="555"/>
      <c r="H110" s="555"/>
      <c r="I110" s="555"/>
      <c r="J110" s="555"/>
      <c r="K110" s="150"/>
      <c r="L110" s="225"/>
      <c r="M110" s="225"/>
      <c r="N110" s="225"/>
      <c r="O110" s="155"/>
      <c r="P110" s="155"/>
      <c r="Q110" s="155"/>
      <c r="R110" s="155"/>
      <c r="S110" s="155"/>
      <c r="T110" s="155"/>
      <c r="U110" s="312"/>
      <c r="V110" s="312"/>
      <c r="W110" s="312"/>
      <c r="X110" s="150"/>
      <c r="AE110" s="224"/>
      <c r="AF110" s="224"/>
      <c r="AG110" s="161"/>
      <c r="AH110" s="312"/>
      <c r="AI110" s="312"/>
      <c r="AJ110" s="161"/>
      <c r="AK110" s="161"/>
      <c r="AL110" s="161"/>
      <c r="AM110" s="161"/>
      <c r="AN110" s="161"/>
      <c r="AO110" s="161"/>
      <c r="AP110" s="161"/>
      <c r="AQ110" s="161"/>
      <c r="AR110" s="222"/>
      <c r="AS110" s="222"/>
      <c r="AT110" s="161"/>
      <c r="AU110" s="161"/>
      <c r="AV110" s="161"/>
      <c r="AW110" s="161"/>
      <c r="AX110" s="161"/>
      <c r="AY110" s="161"/>
      <c r="AZ110" s="161"/>
      <c r="BA110" s="161"/>
    </row>
    <row r="111" spans="1:53" ht="57" customHeight="1" thickBot="1" x14ac:dyDescent="0.25">
      <c r="A111" s="322"/>
      <c r="K111" s="150"/>
      <c r="L111" s="225"/>
      <c r="M111" s="225"/>
      <c r="N111" s="225"/>
      <c r="O111" s="155"/>
      <c r="P111" s="155"/>
      <c r="Q111" s="155"/>
      <c r="R111" s="155"/>
      <c r="S111" s="165"/>
      <c r="T111" s="155"/>
      <c r="U111" s="155"/>
      <c r="V111" s="155"/>
      <c r="W111" s="155"/>
      <c r="X111" s="150"/>
      <c r="AE111" s="224"/>
      <c r="AF111" s="224"/>
      <c r="AG111" s="161"/>
      <c r="AH111" s="130"/>
      <c r="AI111" s="130"/>
      <c r="AJ111" s="161"/>
      <c r="AK111" s="161"/>
      <c r="AL111" s="161"/>
      <c r="AM111" s="161"/>
      <c r="AN111" s="161"/>
      <c r="AO111" s="161"/>
      <c r="AP111" s="161"/>
      <c r="AQ111" s="161"/>
      <c r="AR111" s="222"/>
      <c r="AS111" s="222"/>
      <c r="AT111" s="161"/>
      <c r="AU111" s="161"/>
      <c r="AV111" s="161"/>
      <c r="AW111" s="161"/>
      <c r="AX111" s="161"/>
      <c r="AY111" s="161"/>
      <c r="AZ111" s="161"/>
      <c r="BA111" s="161"/>
    </row>
    <row r="112" spans="1:53" ht="57" customHeight="1" thickBot="1" x14ac:dyDescent="0.25">
      <c r="A112" s="322">
        <v>5.0999999999999996</v>
      </c>
      <c r="B112" s="548" t="s">
        <v>1513</v>
      </c>
      <c r="C112" s="549"/>
      <c r="D112" s="549"/>
      <c r="E112" s="549"/>
      <c r="F112" s="237" t="s">
        <v>1514</v>
      </c>
      <c r="G112" s="238"/>
      <c r="H112" s="237" t="s">
        <v>1515</v>
      </c>
      <c r="I112" s="238" t="s">
        <v>1516</v>
      </c>
      <c r="J112" s="237" t="s">
        <v>1535</v>
      </c>
      <c r="K112" s="150"/>
      <c r="L112" s="225"/>
      <c r="M112" s="225"/>
      <c r="N112" s="225"/>
      <c r="O112" s="155"/>
      <c r="P112" s="155"/>
      <c r="Q112" s="155"/>
      <c r="R112" s="155"/>
      <c r="S112" s="165"/>
      <c r="T112" s="155"/>
      <c r="U112" s="155"/>
      <c r="V112" s="155"/>
      <c r="W112" s="155"/>
      <c r="X112" s="150"/>
      <c r="AE112" s="224"/>
      <c r="AF112" s="224"/>
      <c r="AG112" s="161"/>
      <c r="AH112" s="130"/>
      <c r="AI112" s="130"/>
      <c r="AJ112" s="161"/>
      <c r="AK112" s="161"/>
      <c r="AL112" s="161"/>
      <c r="AM112" s="161"/>
      <c r="AN112" s="161"/>
      <c r="AO112" s="161"/>
      <c r="AP112" s="161"/>
      <c r="AQ112" s="161"/>
      <c r="AR112" s="222"/>
      <c r="AS112" s="222"/>
      <c r="AT112" s="161"/>
      <c r="AU112" s="161"/>
      <c r="AV112" s="161"/>
      <c r="AW112" s="161"/>
      <c r="AX112" s="161"/>
      <c r="AY112" s="161"/>
      <c r="AZ112" s="161"/>
      <c r="BA112" s="161"/>
    </row>
    <row r="113" spans="1:53" ht="39.75" customHeight="1" thickBot="1" x14ac:dyDescent="0.25">
      <c r="A113" s="322"/>
      <c r="B113" s="239"/>
      <c r="C113" s="240"/>
      <c r="D113" s="240"/>
      <c r="E113" s="240"/>
      <c r="F113" s="125">
        <f>(O88)+BB44+'GASTO AUX '!G195</f>
        <v>20328.714793185791</v>
      </c>
      <c r="G113" s="241"/>
      <c r="H113" s="242">
        <v>0.17</v>
      </c>
      <c r="I113" s="241">
        <f>+H113*F113</f>
        <v>3455.8815148415847</v>
      </c>
      <c r="J113" s="125">
        <f>+F113*H113</f>
        <v>3455.8815148415847</v>
      </c>
      <c r="K113" s="150"/>
      <c r="L113" s="225"/>
      <c r="M113" s="225"/>
      <c r="N113" s="225"/>
      <c r="O113" s="155"/>
      <c r="P113" s="155"/>
      <c r="Q113" s="155"/>
      <c r="R113" s="155"/>
      <c r="S113" s="165"/>
      <c r="T113" s="155"/>
      <c r="U113" s="155"/>
      <c r="V113" s="155"/>
      <c r="W113" s="155"/>
      <c r="X113" s="150"/>
      <c r="AE113" s="224"/>
      <c r="AF113" s="224"/>
      <c r="AG113" s="161"/>
      <c r="AH113" s="130"/>
      <c r="AI113" s="130"/>
      <c r="AJ113" s="161"/>
      <c r="AK113" s="161"/>
      <c r="AL113" s="161"/>
      <c r="AM113" s="161"/>
      <c r="AN113" s="161"/>
      <c r="AO113" s="161"/>
      <c r="AP113" s="161"/>
      <c r="AQ113" s="161"/>
      <c r="AR113" s="222"/>
      <c r="AS113" s="222"/>
      <c r="AT113" s="161"/>
      <c r="AU113" s="161"/>
      <c r="AV113" s="161"/>
      <c r="AW113" s="161"/>
      <c r="AX113" s="161"/>
      <c r="AY113" s="161"/>
      <c r="AZ113" s="161"/>
      <c r="BA113" s="161"/>
    </row>
    <row r="114" spans="1:53" ht="15.75" x14ac:dyDescent="0.2">
      <c r="A114" s="322"/>
      <c r="L114" s="161"/>
      <c r="M114" s="161"/>
      <c r="N114" s="161"/>
      <c r="O114" s="161"/>
      <c r="P114" s="161"/>
      <c r="Q114" s="161"/>
      <c r="T114" s="243"/>
      <c r="AJ114" s="161"/>
      <c r="AK114" s="161"/>
      <c r="AL114" s="161"/>
      <c r="AM114" s="161"/>
      <c r="AN114" s="161"/>
      <c r="AO114" s="161"/>
      <c r="AP114" s="161"/>
      <c r="AQ114" s="161"/>
      <c r="AR114" s="222"/>
      <c r="AS114" s="222"/>
      <c r="AT114" s="161"/>
      <c r="AU114" s="161"/>
      <c r="AV114" s="161"/>
    </row>
    <row r="115" spans="1:53" ht="77.25" customHeight="1" x14ac:dyDescent="0.2">
      <c r="A115" s="322">
        <v>5.2</v>
      </c>
      <c r="B115" s="494" t="s">
        <v>86</v>
      </c>
      <c r="C115" s="495"/>
      <c r="D115" s="495"/>
      <c r="E115" s="496"/>
      <c r="F115" s="237" t="s">
        <v>61</v>
      </c>
      <c r="G115" s="237"/>
      <c r="H115" s="237" t="s">
        <v>101</v>
      </c>
      <c r="I115" s="237"/>
      <c r="J115" s="237" t="s">
        <v>92</v>
      </c>
      <c r="K115" s="244"/>
      <c r="L115" s="245"/>
      <c r="M115" s="245"/>
      <c r="N115" s="245"/>
      <c r="O115" s="245"/>
      <c r="P115" s="245"/>
      <c r="Q115" s="245"/>
      <c r="R115" s="246"/>
      <c r="S115" s="246"/>
      <c r="T115" s="246"/>
      <c r="U115" s="246"/>
      <c r="V115" s="246"/>
      <c r="W115" s="246"/>
      <c r="AA115" s="247"/>
      <c r="AJ115" s="161"/>
      <c r="AK115" s="161"/>
      <c r="AL115" s="161"/>
      <c r="AM115" s="161"/>
      <c r="AN115" s="161"/>
      <c r="AO115" s="161"/>
      <c r="AP115" s="161"/>
      <c r="AQ115" s="161"/>
      <c r="AR115" s="222"/>
      <c r="AS115" s="222"/>
      <c r="AT115" s="161"/>
      <c r="AU115" s="161"/>
      <c r="AV115" s="161"/>
    </row>
    <row r="116" spans="1:53" ht="42.75" customHeight="1" x14ac:dyDescent="0.2">
      <c r="B116" s="545"/>
      <c r="C116" s="546"/>
      <c r="D116" s="546"/>
      <c r="E116" s="547"/>
      <c r="F116" s="248">
        <f>+F19</f>
        <v>30</v>
      </c>
      <c r="G116" s="248"/>
      <c r="H116" s="249">
        <f>+Hoja2!F41</f>
        <v>5.4487179487179495E-4</v>
      </c>
      <c r="I116" s="249"/>
      <c r="J116" s="125">
        <f>+H116*F116*(U108+O88+BB44)</f>
        <v>360.54148496183842</v>
      </c>
      <c r="K116" s="250"/>
      <c r="L116" s="338"/>
      <c r="M116" s="341"/>
      <c r="N116" s="251"/>
      <c r="O116" s="130"/>
      <c r="P116" s="157"/>
      <c r="Q116" s="157"/>
      <c r="R116" s="130"/>
      <c r="S116" s="130"/>
      <c r="T116" s="130"/>
      <c r="U116" s="130"/>
      <c r="V116" s="130"/>
      <c r="W116" s="157"/>
      <c r="AA116" s="209"/>
      <c r="AJ116" s="161"/>
      <c r="AK116" s="161"/>
      <c r="AL116" s="161"/>
      <c r="AM116" s="161"/>
      <c r="AN116" s="161"/>
      <c r="AO116" s="161"/>
      <c r="AP116" s="161"/>
      <c r="AQ116" s="161"/>
      <c r="AR116" s="222"/>
      <c r="AS116" s="222"/>
      <c r="AT116" s="161"/>
      <c r="AU116" s="161"/>
      <c r="AV116" s="161"/>
    </row>
    <row r="117" spans="1:53" x14ac:dyDescent="0.2">
      <c r="L117" s="161"/>
      <c r="M117" s="161"/>
      <c r="N117" s="161"/>
      <c r="O117" s="161"/>
      <c r="P117" s="161"/>
      <c r="Q117" s="161"/>
      <c r="AJ117" s="161"/>
      <c r="AK117" s="161"/>
      <c r="AL117" s="161"/>
      <c r="AM117" s="161"/>
      <c r="AN117" s="161"/>
      <c r="AO117" s="161"/>
      <c r="AP117" s="161"/>
      <c r="AQ117" s="161"/>
      <c r="AR117" s="222"/>
      <c r="AS117" s="222"/>
      <c r="AT117" s="161"/>
      <c r="AU117" s="161"/>
      <c r="AV117" s="161"/>
    </row>
    <row r="118" spans="1:53" x14ac:dyDescent="0.2">
      <c r="M118" s="161"/>
      <c r="N118" s="161"/>
      <c r="O118" s="161"/>
      <c r="P118" s="161"/>
      <c r="Q118" s="161"/>
      <c r="AE118" s="128"/>
      <c r="AF118" s="128"/>
      <c r="AJ118" s="161"/>
      <c r="AK118" s="161"/>
      <c r="AL118" s="161"/>
      <c r="AM118" s="161"/>
      <c r="AN118" s="161"/>
      <c r="AO118" s="161"/>
      <c r="AP118" s="161"/>
      <c r="AQ118" s="161"/>
      <c r="AR118" s="222"/>
      <c r="AS118" s="222"/>
      <c r="AT118" s="161"/>
      <c r="AU118" s="161"/>
      <c r="AV118" s="161"/>
    </row>
    <row r="119" spans="1:53" hidden="1" x14ac:dyDescent="0.2">
      <c r="J119" s="161">
        <f>(O88*H116*F116)/BA44</f>
        <v>0.20974129742138492</v>
      </c>
      <c r="K119" s="128"/>
      <c r="L119" s="161"/>
      <c r="M119" s="129"/>
      <c r="N119" s="161"/>
      <c r="O119" s="161"/>
      <c r="P119" s="161"/>
      <c r="Q119" s="161"/>
      <c r="AB119" s="128"/>
      <c r="AG119" s="128"/>
      <c r="AJ119" s="161"/>
      <c r="AK119" s="161"/>
      <c r="AL119" s="161"/>
      <c r="AM119" s="161"/>
      <c r="AN119" s="161"/>
      <c r="AO119" s="161"/>
      <c r="AP119" s="161"/>
      <c r="AQ119" s="161"/>
      <c r="AR119" s="222"/>
      <c r="AS119" s="222"/>
      <c r="AT119" s="161"/>
      <c r="AU119" s="161"/>
      <c r="AV119" s="161"/>
    </row>
    <row r="120" spans="1:53" x14ac:dyDescent="0.2">
      <c r="Z120" s="161"/>
      <c r="AA120" s="161"/>
      <c r="AB120" s="129"/>
      <c r="AC120" s="161"/>
      <c r="AG120" s="128"/>
      <c r="AJ120" s="161"/>
      <c r="AK120" s="161"/>
      <c r="AL120" s="161"/>
      <c r="AM120" s="161"/>
      <c r="AN120" s="161"/>
      <c r="AO120" s="161"/>
      <c r="AP120" s="161"/>
      <c r="AQ120" s="161"/>
      <c r="AR120" s="222"/>
      <c r="AS120" s="222"/>
      <c r="AT120" s="161"/>
      <c r="AU120" s="161"/>
      <c r="AV120" s="161"/>
    </row>
    <row r="121" spans="1:53" ht="22.5" customHeight="1" x14ac:dyDescent="0.2">
      <c r="J121" s="128"/>
      <c r="Z121" s="161"/>
      <c r="AA121" s="161"/>
      <c r="AB121" s="534"/>
      <c r="AC121" s="503"/>
      <c r="AD121" s="252"/>
      <c r="AJ121" s="161"/>
      <c r="AK121" s="161"/>
      <c r="AL121" s="161"/>
      <c r="AM121" s="161"/>
      <c r="AN121" s="161"/>
      <c r="AO121" s="161"/>
      <c r="AP121" s="161"/>
      <c r="AQ121" s="161"/>
      <c r="AR121" s="222"/>
      <c r="AS121" s="222"/>
      <c r="AT121" s="161"/>
      <c r="AU121" s="161"/>
      <c r="AV121" s="161"/>
    </row>
    <row r="122" spans="1:53" x14ac:dyDescent="0.2">
      <c r="Z122" s="161"/>
      <c r="AA122" s="161"/>
      <c r="AB122" s="161"/>
      <c r="AC122" s="161"/>
      <c r="AJ122" s="161"/>
      <c r="AK122" s="161"/>
      <c r="AL122" s="161"/>
      <c r="AM122" s="161"/>
      <c r="AN122" s="161"/>
      <c r="AO122" s="161"/>
      <c r="AP122" s="161"/>
      <c r="AQ122" s="161"/>
      <c r="AR122" s="222"/>
      <c r="AS122" s="222"/>
      <c r="AT122" s="161"/>
      <c r="AU122" s="161"/>
      <c r="AV122" s="161"/>
    </row>
    <row r="123" spans="1:53" ht="18.75" x14ac:dyDescent="0.3">
      <c r="R123" s="539" t="s">
        <v>58</v>
      </c>
      <c r="S123" s="539"/>
      <c r="T123" s="539"/>
      <c r="U123" s="539"/>
      <c r="V123" s="539"/>
      <c r="W123" s="539"/>
      <c r="X123" s="150"/>
      <c r="Y123" s="150"/>
      <c r="Z123" s="556" t="s">
        <v>1658</v>
      </c>
      <c r="AA123" s="556"/>
      <c r="AB123" s="556"/>
      <c r="AC123" s="556"/>
      <c r="AJ123" s="207"/>
      <c r="AK123" s="207"/>
      <c r="AL123" s="207"/>
      <c r="AM123" s="207"/>
      <c r="AN123" s="207"/>
      <c r="AO123" s="207"/>
      <c r="AP123" s="207"/>
      <c r="AQ123" s="207"/>
      <c r="AR123" s="222"/>
      <c r="AS123" s="222"/>
      <c r="AT123" s="161"/>
      <c r="AU123" s="161"/>
      <c r="AV123" s="161"/>
    </row>
    <row r="124" spans="1:53" ht="27.75" customHeight="1" x14ac:dyDescent="0.2">
      <c r="D124" s="538" t="s">
        <v>74</v>
      </c>
      <c r="E124" s="538"/>
      <c r="F124" s="538"/>
      <c r="G124" s="538"/>
      <c r="H124" s="538"/>
      <c r="I124" s="538"/>
      <c r="J124" s="538"/>
      <c r="K124" s="538"/>
      <c r="L124" s="538"/>
      <c r="M124" s="538"/>
      <c r="N124" s="253"/>
      <c r="O124" s="225"/>
      <c r="P124" s="225"/>
      <c r="Q124" s="225"/>
      <c r="R124" s="530">
        <f>+(((J116+U108+BB44)+(O88/H17)))</f>
        <v>22370.149183754682</v>
      </c>
      <c r="S124" s="530"/>
      <c r="T124" s="530"/>
      <c r="U124" s="530"/>
      <c r="V124" s="530"/>
      <c r="W124" s="530"/>
      <c r="X124" s="225"/>
      <c r="Y124" s="225"/>
      <c r="Z124" s="415" t="s">
        <v>1659</v>
      </c>
      <c r="AA124" s="416"/>
      <c r="AB124" s="557">
        <f>+'Carta PDF'!F74</f>
        <v>382922.53174922825</v>
      </c>
      <c r="AC124" s="557"/>
      <c r="AJ124" s="141"/>
      <c r="AK124" s="141"/>
      <c r="AL124" s="141"/>
      <c r="AM124" s="141"/>
      <c r="AN124" s="141"/>
      <c r="AO124" s="141"/>
      <c r="AP124" s="141"/>
      <c r="AQ124" s="141"/>
      <c r="AR124" s="222"/>
      <c r="AS124" s="222"/>
      <c r="AT124" s="161"/>
      <c r="AU124" s="161"/>
      <c r="AV124" s="161"/>
    </row>
    <row r="125" spans="1:53" ht="27.75" customHeight="1" x14ac:dyDescent="0.2">
      <c r="C125" s="322">
        <v>6.1</v>
      </c>
      <c r="D125" s="559" t="s">
        <v>1509</v>
      </c>
      <c r="E125" s="560"/>
      <c r="F125" s="561">
        <v>0.13</v>
      </c>
      <c r="G125" s="562"/>
      <c r="H125" s="562"/>
      <c r="I125" s="562"/>
      <c r="J125" s="562"/>
      <c r="K125" s="562"/>
      <c r="L125" s="562"/>
      <c r="M125" s="563"/>
      <c r="N125" s="254"/>
      <c r="O125" s="255"/>
      <c r="P125" s="255"/>
      <c r="Q125" s="255"/>
      <c r="R125" s="531">
        <f>+F125*R124</f>
        <v>2908.1193938881088</v>
      </c>
      <c r="S125" s="531"/>
      <c r="T125" s="531"/>
      <c r="U125" s="531"/>
      <c r="V125" s="531"/>
      <c r="W125" s="531"/>
      <c r="X125" s="340"/>
      <c r="Y125" s="255"/>
      <c r="Z125" s="415" t="s">
        <v>1660</v>
      </c>
      <c r="AA125" s="416"/>
      <c r="AB125" s="557">
        <f>+'Carta PDF'!F112</f>
        <v>69.044250064316955</v>
      </c>
      <c r="AC125" s="557"/>
      <c r="AJ125" s="141"/>
      <c r="AK125" s="141"/>
      <c r="AL125" s="141"/>
      <c r="AM125" s="141"/>
      <c r="AN125" s="141"/>
      <c r="AO125" s="141"/>
      <c r="AP125" s="141"/>
      <c r="AQ125" s="141"/>
      <c r="AR125" s="222"/>
      <c r="AS125" s="222"/>
      <c r="AT125" s="161"/>
      <c r="AU125" s="161"/>
      <c r="AV125" s="161"/>
    </row>
    <row r="126" spans="1:53" ht="27.75" customHeight="1" x14ac:dyDescent="0.2">
      <c r="D126" s="538" t="s">
        <v>76</v>
      </c>
      <c r="E126" s="538"/>
      <c r="F126" s="538"/>
      <c r="G126" s="538"/>
      <c r="H126" s="538"/>
      <c r="I126" s="538"/>
      <c r="J126" s="538"/>
      <c r="K126" s="538"/>
      <c r="L126" s="538"/>
      <c r="M126" s="538"/>
      <c r="N126" s="253"/>
      <c r="O126" s="225"/>
      <c r="P126" s="225"/>
      <c r="Q126" s="225"/>
      <c r="R126" s="530">
        <f>+R125+R124</f>
        <v>25278.26857764279</v>
      </c>
      <c r="S126" s="530"/>
      <c r="T126" s="530"/>
      <c r="U126" s="530"/>
      <c r="V126" s="530"/>
      <c r="W126" s="530"/>
      <c r="X126" s="225"/>
      <c r="Y126" s="225"/>
      <c r="Z126" s="415"/>
      <c r="AA126" s="416"/>
      <c r="AB126" s="557"/>
      <c r="AC126" s="557"/>
      <c r="AJ126" s="141"/>
      <c r="AK126" s="141"/>
      <c r="AL126" s="141"/>
      <c r="AM126" s="141"/>
      <c r="AN126" s="141"/>
      <c r="AO126" s="141"/>
      <c r="AP126" s="141"/>
      <c r="AQ126" s="141"/>
      <c r="AR126" s="222"/>
      <c r="AS126" s="222"/>
      <c r="AT126" s="161"/>
      <c r="AU126" s="161"/>
      <c r="AV126" s="161"/>
    </row>
    <row r="127" spans="1:53" ht="27.75" customHeight="1" x14ac:dyDescent="0.25">
      <c r="D127" s="533" t="s">
        <v>75</v>
      </c>
      <c r="E127" s="533"/>
      <c r="F127" s="533"/>
      <c r="G127" s="533"/>
      <c r="H127" s="533"/>
      <c r="I127" s="533"/>
      <c r="J127" s="533"/>
      <c r="K127" s="533"/>
      <c r="L127" s="533"/>
      <c r="M127" s="533"/>
      <c r="N127" s="256"/>
      <c r="O127" s="225"/>
      <c r="P127" s="225"/>
      <c r="Q127" s="225"/>
      <c r="R127" s="530">
        <f>+R126/0.84</f>
        <v>30093.17687814618</v>
      </c>
      <c r="S127" s="530"/>
      <c r="T127" s="530"/>
      <c r="U127" s="530"/>
      <c r="V127" s="530"/>
      <c r="W127" s="530"/>
      <c r="X127" s="225"/>
      <c r="Y127" s="225"/>
      <c r="Z127" s="417" t="s">
        <v>51</v>
      </c>
      <c r="AA127" s="418"/>
      <c r="AB127" s="558">
        <f>+AB124+AB125</f>
        <v>382991.57599929255</v>
      </c>
      <c r="AC127" s="558"/>
      <c r="AE127" s="128"/>
      <c r="AJ127" s="141"/>
      <c r="AK127" s="141"/>
      <c r="AL127" s="141"/>
      <c r="AM127" s="141"/>
      <c r="AN127" s="141"/>
      <c r="AO127" s="141"/>
      <c r="AP127" s="141"/>
      <c r="AQ127" s="141"/>
      <c r="AR127" s="228"/>
      <c r="AS127" s="228"/>
      <c r="AT127" s="257"/>
      <c r="AU127" s="257"/>
      <c r="AV127" s="161"/>
    </row>
    <row r="128" spans="1:53" x14ac:dyDescent="0.2">
      <c r="X128" s="150"/>
      <c r="Y128" s="150"/>
      <c r="Z128" s="161"/>
      <c r="AA128" s="161"/>
      <c r="AB128" s="161"/>
      <c r="AC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AV128" s="161"/>
    </row>
    <row r="129" spans="19:48" x14ac:dyDescent="0.2">
      <c r="X129" s="150"/>
      <c r="Y129" s="150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AV129" s="161"/>
    </row>
    <row r="130" spans="19:48" x14ac:dyDescent="0.2">
      <c r="X130" s="150"/>
      <c r="Y130" s="150"/>
      <c r="AB130" s="128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AV130" s="161"/>
    </row>
    <row r="131" spans="19:48" ht="15.75" x14ac:dyDescent="0.2">
      <c r="S131" s="128" t="e">
        <f>+R127-#REF!</f>
        <v>#REF!</v>
      </c>
      <c r="X131" s="532"/>
      <c r="Y131" s="532"/>
      <c r="Z131" s="532"/>
      <c r="AA131" s="128"/>
      <c r="AB131" s="128"/>
      <c r="AC131" s="128"/>
      <c r="AD131" s="128"/>
      <c r="AE131" s="128"/>
      <c r="AF131" s="128"/>
      <c r="AG131" s="128"/>
      <c r="AH131" s="128"/>
      <c r="AI131" s="128"/>
      <c r="AJ131" s="129"/>
      <c r="AK131" s="129"/>
      <c r="AL131" s="129"/>
      <c r="AM131" s="129"/>
      <c r="AN131" s="161"/>
      <c r="AO131" s="161"/>
      <c r="AP131" s="161"/>
      <c r="AQ131" s="161"/>
      <c r="AR131" s="161"/>
      <c r="AS131" s="161"/>
      <c r="AT131" s="161"/>
      <c r="AU131" s="161"/>
      <c r="AV131" s="161"/>
    </row>
    <row r="132" spans="19:48" x14ac:dyDescent="0.2">
      <c r="X132" s="128"/>
      <c r="Y132" s="128"/>
      <c r="Z132" s="128"/>
      <c r="AA132" s="128"/>
      <c r="AB132" s="128"/>
      <c r="AC132" s="128"/>
      <c r="AD132" s="128"/>
      <c r="AE132" s="128"/>
      <c r="AF132" s="128"/>
      <c r="AG132" s="128"/>
      <c r="AH132" s="128"/>
      <c r="AI132" s="128"/>
      <c r="AJ132" s="129"/>
      <c r="AK132" s="129"/>
      <c r="AL132" s="129"/>
      <c r="AM132" s="129"/>
      <c r="AN132" s="161"/>
      <c r="AO132" s="161"/>
      <c r="AP132" s="161"/>
      <c r="AQ132" s="161"/>
      <c r="AR132" s="161"/>
      <c r="AS132" s="161"/>
      <c r="AT132" s="161"/>
      <c r="AU132" s="161"/>
      <c r="AV132" s="161"/>
    </row>
    <row r="133" spans="19:48" x14ac:dyDescent="0.2"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161"/>
      <c r="AV133" s="161"/>
    </row>
    <row r="134" spans="19:48" x14ac:dyDescent="0.2">
      <c r="W134" s="128"/>
      <c r="X134" s="128"/>
      <c r="Y134" s="128"/>
      <c r="Z134" s="128"/>
      <c r="AA134" s="128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161"/>
      <c r="AV134" s="161"/>
    </row>
    <row r="135" spans="19:48" x14ac:dyDescent="0.2">
      <c r="W135" s="128"/>
      <c r="X135" s="128"/>
      <c r="Y135" s="128"/>
      <c r="Z135" s="128"/>
      <c r="AA135" s="128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161"/>
      <c r="AV135" s="161"/>
    </row>
    <row r="136" spans="19:48" x14ac:dyDescent="0.2">
      <c r="W136" s="128"/>
      <c r="X136" s="128"/>
      <c r="Y136" s="128"/>
      <c r="Z136" s="128"/>
      <c r="AJ136" s="161"/>
      <c r="AK136" s="161"/>
      <c r="AL136" s="161"/>
      <c r="AM136" s="161"/>
      <c r="AN136" s="161"/>
      <c r="AO136" s="161"/>
      <c r="AP136" s="161"/>
      <c r="AQ136" s="161"/>
      <c r="AR136" s="161"/>
      <c r="AS136" s="161"/>
      <c r="AT136" s="161"/>
      <c r="AU136" s="161"/>
      <c r="AV136" s="161"/>
    </row>
    <row r="137" spans="19:48" x14ac:dyDescent="0.2">
      <c r="W137" s="128"/>
      <c r="X137" s="128"/>
      <c r="Y137" s="128"/>
      <c r="Z137" s="128"/>
      <c r="AJ137" s="161"/>
      <c r="AK137" s="161"/>
      <c r="AL137" s="161"/>
      <c r="AM137" s="161"/>
      <c r="AN137" s="161"/>
      <c r="AO137" s="161"/>
      <c r="AP137" s="161"/>
      <c r="AQ137" s="161"/>
      <c r="AR137" s="161"/>
      <c r="AS137" s="161"/>
      <c r="AT137" s="161"/>
      <c r="AU137" s="161"/>
      <c r="AV137" s="161"/>
    </row>
    <row r="138" spans="19:48" x14ac:dyDescent="0.2">
      <c r="AB138" s="128"/>
      <c r="AJ138" s="161"/>
      <c r="AK138" s="161"/>
      <c r="AL138" s="161"/>
      <c r="AM138" s="161"/>
      <c r="AN138" s="161"/>
      <c r="AO138" s="161"/>
      <c r="AP138" s="161"/>
      <c r="AQ138" s="161"/>
      <c r="AR138" s="161"/>
      <c r="AS138" s="161"/>
      <c r="AT138" s="161"/>
      <c r="AU138" s="161"/>
      <c r="AV138" s="161"/>
    </row>
    <row r="139" spans="19:48" x14ac:dyDescent="0.2">
      <c r="AJ139" s="161"/>
      <c r="AK139" s="161"/>
      <c r="AL139" s="161"/>
      <c r="AM139" s="161"/>
      <c r="AN139" s="161"/>
      <c r="AO139" s="161"/>
      <c r="AP139" s="161"/>
      <c r="AQ139" s="161"/>
      <c r="AR139" s="161"/>
      <c r="AS139" s="161"/>
      <c r="AT139" s="161"/>
      <c r="AU139" s="161"/>
      <c r="AV139" s="161"/>
    </row>
    <row r="140" spans="19:48" x14ac:dyDescent="0.2">
      <c r="AJ140" s="161"/>
      <c r="AK140" s="161"/>
      <c r="AL140" s="161"/>
      <c r="AM140" s="161"/>
      <c r="AN140" s="161"/>
      <c r="AO140" s="161"/>
      <c r="AP140" s="161"/>
      <c r="AQ140" s="161"/>
      <c r="AR140" s="161"/>
      <c r="AS140" s="161"/>
      <c r="AT140" s="161"/>
      <c r="AU140" s="161"/>
      <c r="AV140" s="161"/>
    </row>
    <row r="141" spans="19:48" x14ac:dyDescent="0.2">
      <c r="AJ141" s="161"/>
      <c r="AK141" s="161"/>
      <c r="AL141" s="161"/>
      <c r="AM141" s="161"/>
      <c r="AN141" s="161"/>
      <c r="AO141" s="161"/>
      <c r="AP141" s="161"/>
      <c r="AQ141" s="161"/>
      <c r="AR141" s="161"/>
      <c r="AS141" s="161"/>
      <c r="AT141" s="161"/>
      <c r="AU141" s="161"/>
      <c r="AV141" s="161"/>
    </row>
    <row r="142" spans="19:48" x14ac:dyDescent="0.2">
      <c r="AJ142" s="161"/>
      <c r="AK142" s="161"/>
      <c r="AL142" s="161"/>
      <c r="AM142" s="161"/>
      <c r="AN142" s="161"/>
      <c r="AO142" s="161"/>
      <c r="AP142" s="161"/>
      <c r="AQ142" s="161"/>
      <c r="AR142" s="161"/>
      <c r="AS142" s="161"/>
      <c r="AT142" s="161"/>
      <c r="AU142" s="161"/>
      <c r="AV142" s="161"/>
    </row>
    <row r="143" spans="19:48" x14ac:dyDescent="0.2"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161"/>
      <c r="AV143" s="161"/>
    </row>
    <row r="144" spans="19:48" x14ac:dyDescent="0.2"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161"/>
      <c r="AV144" s="161"/>
    </row>
    <row r="145" spans="1:48" ht="29.25" customHeight="1" x14ac:dyDescent="0.25">
      <c r="A145" s="153" t="s">
        <v>77</v>
      </c>
      <c r="B145" s="258"/>
      <c r="C145" s="258"/>
      <c r="D145" s="259"/>
      <c r="E145" s="260"/>
      <c r="F145" s="261"/>
      <c r="G145" s="261"/>
      <c r="H145" s="262" t="s">
        <v>78</v>
      </c>
      <c r="I145" s="262"/>
      <c r="J145" s="258"/>
      <c r="K145" s="258"/>
      <c r="L145" s="258"/>
      <c r="M145" s="258"/>
      <c r="N145" s="258"/>
      <c r="O145" s="258"/>
      <c r="P145" s="258"/>
      <c r="Q145" s="258"/>
      <c r="R145" s="263"/>
      <c r="S145" s="263"/>
      <c r="T145" s="263"/>
      <c r="U145" s="263"/>
      <c r="V145" s="263"/>
      <c r="W145" s="258"/>
      <c r="X145" s="260"/>
      <c r="Y145" s="260"/>
      <c r="Z145" s="260"/>
      <c r="AA145" s="260"/>
      <c r="AB145" s="261"/>
      <c r="AC145" s="262" t="s">
        <v>79</v>
      </c>
      <c r="AD145" s="262"/>
      <c r="AE145" s="529"/>
      <c r="AF145" s="529"/>
      <c r="AG145" s="529"/>
      <c r="AH145" s="529"/>
      <c r="AI145" s="264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161"/>
      <c r="AV145" s="161"/>
    </row>
    <row r="146" spans="1:48" x14ac:dyDescent="0.2">
      <c r="A146" s="265"/>
      <c r="AB146" s="136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161"/>
      <c r="AV146" s="161"/>
    </row>
    <row r="147" spans="1:48" x14ac:dyDescent="0.2">
      <c r="A147" s="265"/>
      <c r="AB147" s="136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161"/>
      <c r="AV147" s="161"/>
    </row>
    <row r="148" spans="1:48" x14ac:dyDescent="0.2">
      <c r="A148" s="265"/>
      <c r="AB148" s="136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161"/>
      <c r="AV148" s="161"/>
    </row>
    <row r="149" spans="1:48" x14ac:dyDescent="0.2"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161"/>
      <c r="AV149" s="161"/>
    </row>
    <row r="150" spans="1:48" x14ac:dyDescent="0.2"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161"/>
      <c r="AV150" s="161"/>
    </row>
    <row r="151" spans="1:48" x14ac:dyDescent="0.2"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161"/>
      <c r="AV151" s="161"/>
    </row>
    <row r="152" spans="1:48" x14ac:dyDescent="0.2"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161"/>
      <c r="AV152" s="161"/>
    </row>
    <row r="153" spans="1:48" x14ac:dyDescent="0.2"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161"/>
      <c r="AV153" s="161"/>
    </row>
    <row r="154" spans="1:48" x14ac:dyDescent="0.2"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161"/>
      <c r="AV154" s="161"/>
    </row>
    <row r="155" spans="1:48" x14ac:dyDescent="0.2"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161"/>
      <c r="AV155" s="161"/>
    </row>
    <row r="156" spans="1:48" x14ac:dyDescent="0.2"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161"/>
      <c r="AV156" s="161"/>
    </row>
    <row r="157" spans="1:48" x14ac:dyDescent="0.2"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161"/>
      <c r="AV157" s="161"/>
    </row>
    <row r="158" spans="1:48" x14ac:dyDescent="0.2"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161"/>
      <c r="AV158" s="161"/>
    </row>
    <row r="159" spans="1:48" x14ac:dyDescent="0.2"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161"/>
      <c r="AV159" s="161"/>
    </row>
    <row r="160" spans="1:48" x14ac:dyDescent="0.2"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161"/>
      <c r="AV160" s="161"/>
    </row>
    <row r="161" spans="36:48" x14ac:dyDescent="0.2"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T161" s="161"/>
      <c r="AU161" s="161"/>
      <c r="AV161" s="161"/>
    </row>
    <row r="162" spans="36:48" x14ac:dyDescent="0.2">
      <c r="AJ162" s="161"/>
      <c r="AK162" s="161"/>
      <c r="AL162" s="161"/>
      <c r="AM162" s="161"/>
      <c r="AN162" s="161"/>
      <c r="AO162" s="161"/>
      <c r="AP162" s="161"/>
      <c r="AQ162" s="161"/>
      <c r="AR162" s="161"/>
      <c r="AS162" s="161"/>
      <c r="AT162" s="161"/>
      <c r="AU162" s="161"/>
      <c r="AV162" s="161"/>
    </row>
    <row r="163" spans="36:48" x14ac:dyDescent="0.2">
      <c r="AJ163" s="161"/>
      <c r="AK163" s="161"/>
      <c r="AL163" s="161"/>
      <c r="AM163" s="161"/>
      <c r="AN163" s="161"/>
      <c r="AO163" s="161"/>
      <c r="AP163" s="161"/>
      <c r="AQ163" s="161"/>
      <c r="AR163" s="161"/>
      <c r="AS163" s="161"/>
      <c r="AT163" s="161"/>
      <c r="AU163" s="161"/>
      <c r="AV163" s="161"/>
    </row>
    <row r="164" spans="36:48" x14ac:dyDescent="0.2">
      <c r="AJ164" s="161"/>
      <c r="AK164" s="161"/>
      <c r="AL164" s="161"/>
      <c r="AM164" s="161"/>
      <c r="AN164" s="161"/>
      <c r="AO164" s="161"/>
      <c r="AP164" s="161"/>
      <c r="AQ164" s="161"/>
      <c r="AR164" s="161"/>
      <c r="AS164" s="161"/>
      <c r="AT164" s="161"/>
      <c r="AU164" s="161"/>
      <c r="AV164" s="161"/>
    </row>
    <row r="165" spans="36:48" x14ac:dyDescent="0.2">
      <c r="AJ165" s="161"/>
      <c r="AK165" s="161"/>
      <c r="AL165" s="161"/>
      <c r="AM165" s="161"/>
      <c r="AN165" s="161"/>
      <c r="AO165" s="161"/>
      <c r="AP165" s="161"/>
      <c r="AQ165" s="161"/>
      <c r="AR165" s="161"/>
      <c r="AS165" s="161"/>
      <c r="AT165" s="161"/>
      <c r="AU165" s="161"/>
      <c r="AV165" s="161"/>
    </row>
    <row r="166" spans="36:48" x14ac:dyDescent="0.2">
      <c r="AJ166" s="161"/>
      <c r="AK166" s="161"/>
      <c r="AL166" s="161"/>
      <c r="AM166" s="161"/>
      <c r="AN166" s="161"/>
      <c r="AO166" s="161"/>
      <c r="AP166" s="161"/>
      <c r="AQ166" s="161"/>
      <c r="AR166" s="161"/>
      <c r="AS166" s="161"/>
      <c r="AT166" s="161"/>
      <c r="AU166" s="161"/>
      <c r="AV166" s="161"/>
    </row>
    <row r="167" spans="36:48" x14ac:dyDescent="0.2">
      <c r="AJ167" s="161"/>
      <c r="AK167" s="161"/>
      <c r="AL167" s="161"/>
      <c r="AM167" s="161"/>
      <c r="AN167" s="161"/>
      <c r="AO167" s="161"/>
      <c r="AP167" s="161"/>
      <c r="AQ167" s="161"/>
      <c r="AR167" s="161"/>
      <c r="AS167" s="161"/>
      <c r="AT167" s="161"/>
      <c r="AU167" s="161"/>
      <c r="AV167" s="161"/>
    </row>
    <row r="168" spans="36:48" x14ac:dyDescent="0.2">
      <c r="AJ168" s="161"/>
      <c r="AK168" s="161"/>
      <c r="AL168" s="161"/>
      <c r="AM168" s="161"/>
      <c r="AN168" s="161"/>
      <c r="AO168" s="161"/>
      <c r="AP168" s="161"/>
      <c r="AQ168" s="161"/>
      <c r="AR168" s="161"/>
      <c r="AS168" s="161"/>
      <c r="AT168" s="161"/>
      <c r="AU168" s="161"/>
      <c r="AV168" s="161"/>
    </row>
    <row r="169" spans="36:48" x14ac:dyDescent="0.2">
      <c r="AJ169" s="161"/>
      <c r="AK169" s="161"/>
      <c r="AL169" s="161"/>
      <c r="AM169" s="161"/>
      <c r="AN169" s="161"/>
      <c r="AO169" s="161"/>
      <c r="AP169" s="161"/>
      <c r="AQ169" s="161"/>
      <c r="AR169" s="161"/>
      <c r="AS169" s="161"/>
      <c r="AT169" s="161"/>
      <c r="AU169" s="161"/>
      <c r="AV169" s="161"/>
    </row>
    <row r="170" spans="36:48" x14ac:dyDescent="0.2">
      <c r="AJ170" s="161"/>
      <c r="AK170" s="161"/>
      <c r="AL170" s="161"/>
      <c r="AM170" s="161"/>
      <c r="AN170" s="161"/>
      <c r="AO170" s="161"/>
      <c r="AP170" s="161"/>
      <c r="AQ170" s="161"/>
      <c r="AR170" s="161"/>
      <c r="AS170" s="161"/>
      <c r="AT170" s="161"/>
      <c r="AU170" s="161"/>
      <c r="AV170" s="161"/>
    </row>
    <row r="171" spans="36:48" x14ac:dyDescent="0.2">
      <c r="AJ171" s="161"/>
      <c r="AK171" s="161"/>
      <c r="AL171" s="161"/>
      <c r="AM171" s="161"/>
      <c r="AN171" s="161"/>
      <c r="AO171" s="161"/>
      <c r="AP171" s="161"/>
      <c r="AQ171" s="161"/>
      <c r="AR171" s="161"/>
      <c r="AS171" s="161"/>
      <c r="AT171" s="161"/>
      <c r="AU171" s="161"/>
      <c r="AV171" s="161"/>
    </row>
    <row r="172" spans="36:48" x14ac:dyDescent="0.2">
      <c r="AJ172" s="161"/>
      <c r="AK172" s="161"/>
      <c r="AL172" s="161"/>
      <c r="AM172" s="161"/>
      <c r="AN172" s="161"/>
      <c r="AO172" s="161"/>
      <c r="AP172" s="161"/>
      <c r="AQ172" s="161"/>
      <c r="AR172" s="161"/>
      <c r="AS172" s="161"/>
      <c r="AT172" s="161"/>
      <c r="AU172" s="161"/>
      <c r="AV172" s="161"/>
    </row>
    <row r="173" spans="36:48" x14ac:dyDescent="0.2">
      <c r="AJ173" s="161"/>
      <c r="AK173" s="161"/>
      <c r="AL173" s="161"/>
      <c r="AM173" s="161"/>
      <c r="AN173" s="161"/>
      <c r="AO173" s="161"/>
      <c r="AP173" s="161"/>
      <c r="AQ173" s="161"/>
      <c r="AR173" s="161"/>
      <c r="AS173" s="161"/>
      <c r="AT173" s="161"/>
      <c r="AU173" s="161"/>
      <c r="AV173" s="161"/>
    </row>
    <row r="174" spans="36:48" x14ac:dyDescent="0.2">
      <c r="AJ174" s="161"/>
      <c r="AK174" s="161"/>
      <c r="AL174" s="161"/>
      <c r="AM174" s="161"/>
      <c r="AN174" s="161"/>
      <c r="AO174" s="161"/>
      <c r="AP174" s="161"/>
      <c r="AQ174" s="161"/>
      <c r="AR174" s="161"/>
      <c r="AS174" s="161"/>
      <c r="AT174" s="161"/>
      <c r="AU174" s="161"/>
      <c r="AV174" s="161"/>
    </row>
    <row r="175" spans="36:48" x14ac:dyDescent="0.2">
      <c r="AJ175" s="161"/>
      <c r="AK175" s="161"/>
      <c r="AL175" s="161"/>
      <c r="AM175" s="161"/>
      <c r="AN175" s="161"/>
      <c r="AO175" s="161"/>
      <c r="AP175" s="161"/>
      <c r="AQ175" s="161"/>
      <c r="AR175" s="161"/>
      <c r="AS175" s="161"/>
      <c r="AT175" s="161"/>
      <c r="AU175" s="161"/>
      <c r="AV175" s="161"/>
    </row>
    <row r="176" spans="36:48" x14ac:dyDescent="0.2">
      <c r="AJ176" s="161"/>
      <c r="AK176" s="161"/>
      <c r="AL176" s="161"/>
      <c r="AM176" s="161"/>
      <c r="AN176" s="161"/>
      <c r="AO176" s="161"/>
      <c r="AP176" s="161"/>
      <c r="AQ176" s="161"/>
      <c r="AR176" s="161"/>
      <c r="AS176" s="161"/>
      <c r="AT176" s="161"/>
      <c r="AU176" s="161"/>
      <c r="AV176" s="161"/>
    </row>
    <row r="177" spans="36:48" x14ac:dyDescent="0.2">
      <c r="AJ177" s="161"/>
      <c r="AK177" s="161"/>
      <c r="AL177" s="161"/>
      <c r="AM177" s="161"/>
      <c r="AN177" s="161"/>
      <c r="AO177" s="161"/>
      <c r="AP177" s="161"/>
      <c r="AQ177" s="161"/>
      <c r="AR177" s="161"/>
      <c r="AS177" s="161"/>
      <c r="AT177" s="161"/>
      <c r="AU177" s="161"/>
      <c r="AV177" s="161"/>
    </row>
    <row r="178" spans="36:48" x14ac:dyDescent="0.2">
      <c r="AJ178" s="161"/>
      <c r="AK178" s="161"/>
      <c r="AL178" s="161"/>
      <c r="AM178" s="161"/>
      <c r="AN178" s="161"/>
      <c r="AO178" s="161"/>
      <c r="AP178" s="161"/>
      <c r="AQ178" s="161"/>
      <c r="AR178" s="161"/>
      <c r="AS178" s="161"/>
      <c r="AT178" s="161"/>
      <c r="AU178" s="161"/>
      <c r="AV178" s="161"/>
    </row>
    <row r="179" spans="36:48" x14ac:dyDescent="0.2">
      <c r="AJ179" s="161"/>
      <c r="AK179" s="161"/>
      <c r="AL179" s="161"/>
      <c r="AM179" s="161"/>
      <c r="AN179" s="161"/>
      <c r="AO179" s="161"/>
      <c r="AP179" s="161"/>
      <c r="AQ179" s="161"/>
      <c r="AR179" s="161"/>
      <c r="AS179" s="161"/>
      <c r="AT179" s="161"/>
      <c r="AU179" s="161"/>
      <c r="AV179" s="161"/>
    </row>
    <row r="180" spans="36:48" x14ac:dyDescent="0.2">
      <c r="AJ180" s="161"/>
      <c r="AK180" s="161"/>
      <c r="AL180" s="161"/>
      <c r="AM180" s="161"/>
      <c r="AN180" s="161"/>
      <c r="AO180" s="161"/>
      <c r="AP180" s="161"/>
      <c r="AQ180" s="161"/>
      <c r="AR180" s="161"/>
      <c r="AS180" s="161"/>
      <c r="AT180" s="161"/>
      <c r="AU180" s="161"/>
      <c r="AV180" s="161"/>
    </row>
    <row r="181" spans="36:48" x14ac:dyDescent="0.2">
      <c r="AJ181" s="161"/>
      <c r="AK181" s="161"/>
      <c r="AL181" s="161"/>
      <c r="AM181" s="161"/>
      <c r="AN181" s="161"/>
      <c r="AO181" s="161"/>
      <c r="AP181" s="161"/>
      <c r="AQ181" s="161"/>
      <c r="AR181" s="161"/>
      <c r="AS181" s="161"/>
      <c r="AT181" s="161"/>
      <c r="AU181" s="161"/>
      <c r="AV181" s="161"/>
    </row>
    <row r="182" spans="36:48" x14ac:dyDescent="0.2">
      <c r="AJ182" s="161"/>
      <c r="AK182" s="161"/>
      <c r="AL182" s="161"/>
      <c r="AM182" s="161"/>
      <c r="AN182" s="161"/>
      <c r="AO182" s="161"/>
      <c r="AP182" s="161"/>
      <c r="AQ182" s="161"/>
      <c r="AR182" s="161"/>
      <c r="AS182" s="161"/>
      <c r="AT182" s="161"/>
      <c r="AU182" s="161"/>
      <c r="AV182" s="161"/>
    </row>
    <row r="183" spans="36:48" x14ac:dyDescent="0.2">
      <c r="AJ183" s="161"/>
      <c r="AK183" s="161"/>
      <c r="AL183" s="161"/>
      <c r="AM183" s="161"/>
      <c r="AN183" s="161"/>
      <c r="AO183" s="161"/>
      <c r="AP183" s="161"/>
      <c r="AQ183" s="161"/>
      <c r="AR183" s="161"/>
      <c r="AS183" s="161"/>
      <c r="AT183" s="161"/>
      <c r="AU183" s="161"/>
      <c r="AV183" s="161"/>
    </row>
    <row r="184" spans="36:48" x14ac:dyDescent="0.2">
      <c r="AJ184" s="161"/>
      <c r="AK184" s="161"/>
      <c r="AL184" s="161"/>
      <c r="AM184" s="161"/>
      <c r="AN184" s="161"/>
      <c r="AO184" s="161"/>
      <c r="AP184" s="161"/>
      <c r="AQ184" s="161"/>
      <c r="AR184" s="161"/>
      <c r="AS184" s="161"/>
      <c r="AT184" s="161"/>
      <c r="AU184" s="161"/>
      <c r="AV184" s="161"/>
    </row>
    <row r="185" spans="36:48" x14ac:dyDescent="0.2">
      <c r="AJ185" s="161"/>
      <c r="AK185" s="161"/>
      <c r="AL185" s="161"/>
      <c r="AM185" s="161"/>
      <c r="AN185" s="161"/>
      <c r="AO185" s="161"/>
      <c r="AP185" s="161"/>
      <c r="AQ185" s="161"/>
      <c r="AR185" s="161"/>
      <c r="AS185" s="161"/>
      <c r="AT185" s="161"/>
      <c r="AU185" s="161"/>
      <c r="AV185" s="161"/>
    </row>
    <row r="186" spans="36:48" x14ac:dyDescent="0.2">
      <c r="AJ186" s="161"/>
      <c r="AK186" s="161"/>
      <c r="AL186" s="161"/>
      <c r="AM186" s="161"/>
      <c r="AN186" s="161"/>
      <c r="AO186" s="161"/>
      <c r="AP186" s="161"/>
      <c r="AQ186" s="161"/>
      <c r="AR186" s="161"/>
      <c r="AS186" s="161"/>
      <c r="AT186" s="161"/>
      <c r="AU186" s="161"/>
      <c r="AV186" s="161"/>
    </row>
    <row r="187" spans="36:48" x14ac:dyDescent="0.2">
      <c r="AJ187" s="161"/>
      <c r="AK187" s="161"/>
      <c r="AL187" s="161"/>
      <c r="AM187" s="161"/>
      <c r="AN187" s="161"/>
      <c r="AO187" s="161"/>
      <c r="AP187" s="161"/>
      <c r="AQ187" s="161"/>
      <c r="AR187" s="161"/>
      <c r="AS187" s="161"/>
      <c r="AT187" s="161"/>
      <c r="AU187" s="161"/>
      <c r="AV187" s="161"/>
    </row>
    <row r="188" spans="36:48" x14ac:dyDescent="0.2">
      <c r="AJ188" s="161"/>
      <c r="AK188" s="161"/>
      <c r="AL188" s="161"/>
      <c r="AM188" s="161"/>
      <c r="AN188" s="161"/>
      <c r="AO188" s="161"/>
      <c r="AP188" s="161"/>
      <c r="AQ188" s="161"/>
      <c r="AR188" s="161"/>
      <c r="AS188" s="161"/>
      <c r="AT188" s="161"/>
      <c r="AU188" s="161"/>
      <c r="AV188" s="161"/>
    </row>
    <row r="189" spans="36:48" x14ac:dyDescent="0.2">
      <c r="AJ189" s="161"/>
      <c r="AK189" s="161"/>
      <c r="AL189" s="161"/>
      <c r="AM189" s="161"/>
      <c r="AN189" s="161"/>
      <c r="AO189" s="161"/>
      <c r="AP189" s="161"/>
      <c r="AQ189" s="161"/>
      <c r="AR189" s="161"/>
      <c r="AS189" s="161"/>
      <c r="AT189" s="161"/>
      <c r="AU189" s="161"/>
      <c r="AV189" s="161"/>
    </row>
    <row r="190" spans="36:48" x14ac:dyDescent="0.2">
      <c r="AJ190" s="161"/>
      <c r="AK190" s="161"/>
      <c r="AL190" s="161"/>
      <c r="AM190" s="161"/>
      <c r="AN190" s="161"/>
      <c r="AO190" s="161"/>
      <c r="AP190" s="161"/>
      <c r="AQ190" s="161"/>
      <c r="AR190" s="161"/>
      <c r="AS190" s="161"/>
      <c r="AT190" s="161"/>
      <c r="AU190" s="161"/>
      <c r="AV190" s="161"/>
    </row>
    <row r="191" spans="36:48" x14ac:dyDescent="0.2">
      <c r="AJ191" s="161"/>
      <c r="AK191" s="161"/>
      <c r="AL191" s="161"/>
      <c r="AM191" s="161"/>
      <c r="AN191" s="161"/>
      <c r="AO191" s="161"/>
      <c r="AP191" s="161"/>
      <c r="AQ191" s="161"/>
      <c r="AR191" s="161"/>
      <c r="AS191" s="161"/>
      <c r="AT191" s="161"/>
      <c r="AU191" s="161"/>
      <c r="AV191" s="161"/>
    </row>
    <row r="192" spans="36:48" x14ac:dyDescent="0.2">
      <c r="AJ192" s="161"/>
      <c r="AK192" s="161"/>
      <c r="AL192" s="161"/>
      <c r="AM192" s="161"/>
      <c r="AN192" s="161"/>
      <c r="AO192" s="161"/>
      <c r="AP192" s="161"/>
      <c r="AQ192" s="161"/>
      <c r="AR192" s="161"/>
      <c r="AS192" s="161"/>
      <c r="AT192" s="161"/>
      <c r="AU192" s="161"/>
      <c r="AV192" s="161"/>
    </row>
    <row r="193" spans="36:48" x14ac:dyDescent="0.2">
      <c r="AJ193" s="161"/>
      <c r="AK193" s="161"/>
      <c r="AL193" s="161"/>
      <c r="AM193" s="161"/>
      <c r="AN193" s="161"/>
      <c r="AO193" s="161"/>
      <c r="AP193" s="161"/>
      <c r="AQ193" s="161"/>
      <c r="AR193" s="161"/>
      <c r="AS193" s="161"/>
      <c r="AT193" s="161"/>
      <c r="AU193" s="161"/>
      <c r="AV193" s="161"/>
    </row>
    <row r="194" spans="36:48" x14ac:dyDescent="0.2">
      <c r="AJ194" s="161"/>
      <c r="AK194" s="161"/>
      <c r="AL194" s="161"/>
      <c r="AM194" s="161"/>
      <c r="AN194" s="161"/>
      <c r="AO194" s="161"/>
      <c r="AP194" s="161"/>
      <c r="AQ194" s="161"/>
      <c r="AR194" s="161"/>
      <c r="AS194" s="161"/>
      <c r="AT194" s="161"/>
      <c r="AU194" s="161"/>
      <c r="AV194" s="161"/>
    </row>
    <row r="195" spans="36:48" x14ac:dyDescent="0.2">
      <c r="AJ195" s="161"/>
      <c r="AK195" s="161"/>
      <c r="AL195" s="161"/>
      <c r="AM195" s="161"/>
      <c r="AN195" s="161"/>
      <c r="AO195" s="161"/>
      <c r="AP195" s="161"/>
      <c r="AQ195" s="161"/>
      <c r="AR195" s="161"/>
      <c r="AS195" s="161"/>
      <c r="AT195" s="161"/>
      <c r="AU195" s="161"/>
      <c r="AV195" s="161"/>
    </row>
    <row r="196" spans="36:48" x14ac:dyDescent="0.2">
      <c r="AJ196" s="161"/>
      <c r="AK196" s="161"/>
      <c r="AL196" s="161"/>
      <c r="AM196" s="161"/>
      <c r="AN196" s="161"/>
      <c r="AO196" s="161"/>
      <c r="AP196" s="161"/>
      <c r="AQ196" s="161"/>
      <c r="AR196" s="161"/>
      <c r="AS196" s="161"/>
      <c r="AT196" s="161"/>
      <c r="AU196" s="161"/>
      <c r="AV196" s="161"/>
    </row>
    <row r="197" spans="36:48" x14ac:dyDescent="0.2">
      <c r="AJ197" s="161"/>
      <c r="AK197" s="161"/>
      <c r="AL197" s="161"/>
      <c r="AM197" s="161"/>
      <c r="AN197" s="161"/>
      <c r="AO197" s="161"/>
      <c r="AP197" s="161"/>
      <c r="AQ197" s="161"/>
      <c r="AR197" s="161"/>
      <c r="AS197" s="161"/>
      <c r="AT197" s="161"/>
      <c r="AU197" s="161"/>
      <c r="AV197" s="161"/>
    </row>
    <row r="198" spans="36:48" x14ac:dyDescent="0.2">
      <c r="AJ198" s="161"/>
      <c r="AK198" s="161"/>
      <c r="AL198" s="161"/>
      <c r="AM198" s="161"/>
      <c r="AN198" s="161"/>
      <c r="AO198" s="161"/>
      <c r="AP198" s="161"/>
      <c r="AQ198" s="161"/>
      <c r="AR198" s="161"/>
      <c r="AS198" s="161"/>
      <c r="AT198" s="161"/>
      <c r="AU198" s="161"/>
      <c r="AV198" s="161"/>
    </row>
    <row r="199" spans="36:48" x14ac:dyDescent="0.2">
      <c r="AJ199" s="161"/>
      <c r="AK199" s="161"/>
      <c r="AL199" s="161"/>
      <c r="AM199" s="161"/>
      <c r="AN199" s="161"/>
      <c r="AO199" s="161"/>
      <c r="AP199" s="161"/>
      <c r="AQ199" s="161"/>
      <c r="AR199" s="161"/>
      <c r="AS199" s="161"/>
      <c r="AT199" s="161"/>
      <c r="AU199" s="161"/>
      <c r="AV199" s="161"/>
    </row>
    <row r="200" spans="36:48" x14ac:dyDescent="0.2">
      <c r="AJ200" s="161"/>
      <c r="AK200" s="161"/>
      <c r="AL200" s="161"/>
      <c r="AM200" s="161"/>
      <c r="AN200" s="161"/>
      <c r="AO200" s="161"/>
      <c r="AP200" s="161"/>
      <c r="AQ200" s="161"/>
      <c r="AR200" s="161"/>
      <c r="AS200" s="161"/>
      <c r="AT200" s="161"/>
      <c r="AU200" s="161"/>
      <c r="AV200" s="161"/>
    </row>
    <row r="201" spans="36:48" x14ac:dyDescent="0.2">
      <c r="AJ201" s="161"/>
      <c r="AK201" s="161"/>
      <c r="AL201" s="161"/>
      <c r="AM201" s="161"/>
      <c r="AN201" s="161"/>
      <c r="AO201" s="161"/>
      <c r="AP201" s="161"/>
      <c r="AQ201" s="161"/>
      <c r="AR201" s="161"/>
      <c r="AS201" s="161"/>
      <c r="AT201" s="161"/>
      <c r="AU201" s="161"/>
      <c r="AV201" s="161"/>
    </row>
    <row r="202" spans="36:48" x14ac:dyDescent="0.2">
      <c r="AJ202" s="161"/>
      <c r="AK202" s="161"/>
      <c r="AL202" s="161"/>
      <c r="AM202" s="161"/>
      <c r="AN202" s="161"/>
      <c r="AO202" s="161"/>
      <c r="AP202" s="161"/>
      <c r="AQ202" s="161"/>
      <c r="AR202" s="161"/>
      <c r="AS202" s="161"/>
      <c r="AT202" s="161"/>
      <c r="AU202" s="161"/>
      <c r="AV202" s="161"/>
    </row>
    <row r="203" spans="36:48" x14ac:dyDescent="0.2">
      <c r="AJ203" s="161"/>
      <c r="AK203" s="161"/>
      <c r="AL203" s="161"/>
      <c r="AM203" s="161"/>
      <c r="AN203" s="161"/>
      <c r="AO203" s="161"/>
      <c r="AP203" s="161"/>
      <c r="AQ203" s="161"/>
      <c r="AR203" s="161"/>
      <c r="AS203" s="161"/>
      <c r="AT203" s="161"/>
      <c r="AU203" s="161"/>
      <c r="AV203" s="161"/>
    </row>
    <row r="204" spans="36:48" x14ac:dyDescent="0.2">
      <c r="AJ204" s="161"/>
      <c r="AK204" s="161"/>
      <c r="AL204" s="161"/>
      <c r="AM204" s="161"/>
      <c r="AN204" s="161"/>
      <c r="AO204" s="161"/>
      <c r="AP204" s="161"/>
      <c r="AQ204" s="161"/>
      <c r="AR204" s="161"/>
      <c r="AS204" s="161"/>
      <c r="AT204" s="161"/>
      <c r="AU204" s="161"/>
      <c r="AV204" s="161"/>
    </row>
    <row r="205" spans="36:48" x14ac:dyDescent="0.2">
      <c r="AJ205" s="161"/>
      <c r="AK205" s="161"/>
      <c r="AL205" s="161"/>
      <c r="AM205" s="161"/>
      <c r="AN205" s="161"/>
      <c r="AO205" s="161"/>
      <c r="AP205" s="161"/>
      <c r="AQ205" s="161"/>
      <c r="AR205" s="161"/>
      <c r="AS205" s="161"/>
      <c r="AT205" s="161"/>
      <c r="AU205" s="161"/>
      <c r="AV205" s="161"/>
    </row>
    <row r="206" spans="36:48" x14ac:dyDescent="0.2">
      <c r="AJ206" s="161"/>
      <c r="AK206" s="161"/>
      <c r="AL206" s="161"/>
      <c r="AM206" s="161"/>
      <c r="AN206" s="161"/>
      <c r="AO206" s="161"/>
      <c r="AP206" s="161"/>
      <c r="AQ206" s="161"/>
      <c r="AR206" s="161"/>
      <c r="AS206" s="161"/>
      <c r="AT206" s="161"/>
      <c r="AU206" s="161"/>
      <c r="AV206" s="161"/>
    </row>
    <row r="207" spans="36:48" x14ac:dyDescent="0.2">
      <c r="AJ207" s="161"/>
      <c r="AK207" s="161"/>
      <c r="AL207" s="161"/>
      <c r="AM207" s="161"/>
      <c r="AN207" s="161"/>
      <c r="AO207" s="161"/>
      <c r="AP207" s="161"/>
      <c r="AQ207" s="161"/>
      <c r="AR207" s="161"/>
      <c r="AS207" s="161"/>
      <c r="AT207" s="161"/>
      <c r="AU207" s="161"/>
      <c r="AV207" s="161"/>
    </row>
    <row r="208" spans="36:48" x14ac:dyDescent="0.2">
      <c r="AJ208" s="161"/>
      <c r="AK208" s="161"/>
      <c r="AL208" s="161"/>
      <c r="AM208" s="161"/>
      <c r="AN208" s="161"/>
      <c r="AO208" s="161"/>
      <c r="AP208" s="161"/>
      <c r="AQ208" s="161"/>
      <c r="AR208" s="161"/>
      <c r="AS208" s="161"/>
      <c r="AT208" s="161"/>
      <c r="AU208" s="161"/>
      <c r="AV208" s="161"/>
    </row>
    <row r="209" spans="36:48" x14ac:dyDescent="0.2">
      <c r="AJ209" s="161"/>
      <c r="AK209" s="161"/>
      <c r="AL209" s="161"/>
      <c r="AM209" s="161"/>
      <c r="AN209" s="161"/>
      <c r="AO209" s="161"/>
      <c r="AP209" s="161"/>
      <c r="AQ209" s="161"/>
      <c r="AR209" s="161"/>
      <c r="AS209" s="161"/>
      <c r="AT209" s="161"/>
      <c r="AU209" s="161"/>
      <c r="AV209" s="161"/>
    </row>
    <row r="210" spans="36:48" x14ac:dyDescent="0.2">
      <c r="AJ210" s="161"/>
      <c r="AK210" s="161"/>
      <c r="AL210" s="161"/>
      <c r="AM210" s="161"/>
      <c r="AN210" s="161"/>
      <c r="AO210" s="161"/>
      <c r="AP210" s="161"/>
      <c r="AQ210" s="161"/>
      <c r="AR210" s="161"/>
      <c r="AS210" s="161"/>
      <c r="AT210" s="161"/>
      <c r="AU210" s="161"/>
      <c r="AV210" s="161"/>
    </row>
    <row r="211" spans="36:48" x14ac:dyDescent="0.2">
      <c r="AJ211" s="161"/>
      <c r="AK211" s="161"/>
      <c r="AL211" s="161"/>
      <c r="AM211" s="161"/>
      <c r="AN211" s="161"/>
      <c r="AO211" s="161"/>
      <c r="AP211" s="161"/>
      <c r="AQ211" s="161"/>
      <c r="AR211" s="161"/>
      <c r="AS211" s="161"/>
      <c r="AT211" s="161"/>
      <c r="AU211" s="161"/>
      <c r="AV211" s="161"/>
    </row>
    <row r="212" spans="36:48" x14ac:dyDescent="0.2">
      <c r="AJ212" s="161"/>
      <c r="AK212" s="161"/>
      <c r="AL212" s="161"/>
      <c r="AM212" s="161"/>
      <c r="AN212" s="161"/>
      <c r="AO212" s="161"/>
      <c r="AP212" s="161"/>
      <c r="AQ212" s="161"/>
      <c r="AR212" s="161"/>
      <c r="AS212" s="161"/>
      <c r="AT212" s="161"/>
      <c r="AU212" s="161"/>
      <c r="AV212" s="161"/>
    </row>
    <row r="213" spans="36:48" x14ac:dyDescent="0.2">
      <c r="AJ213" s="161"/>
      <c r="AK213" s="161"/>
      <c r="AL213" s="161"/>
      <c r="AM213" s="161"/>
      <c r="AN213" s="161"/>
      <c r="AO213" s="161"/>
      <c r="AP213" s="161"/>
      <c r="AQ213" s="161"/>
      <c r="AR213" s="161"/>
      <c r="AS213" s="161"/>
      <c r="AT213" s="161"/>
      <c r="AU213" s="161"/>
      <c r="AV213" s="161"/>
    </row>
    <row r="214" spans="36:48" x14ac:dyDescent="0.2">
      <c r="AJ214" s="161"/>
      <c r="AK214" s="161"/>
      <c r="AL214" s="161"/>
      <c r="AM214" s="161"/>
      <c r="AN214" s="161"/>
      <c r="AO214" s="161"/>
      <c r="AP214" s="161"/>
      <c r="AQ214" s="161"/>
      <c r="AR214" s="161"/>
      <c r="AS214" s="161"/>
      <c r="AT214" s="161"/>
      <c r="AU214" s="161"/>
      <c r="AV214" s="161"/>
    </row>
    <row r="215" spans="36:48" x14ac:dyDescent="0.2">
      <c r="AJ215" s="161"/>
      <c r="AK215" s="161"/>
      <c r="AL215" s="161"/>
      <c r="AM215" s="161"/>
      <c r="AN215" s="161"/>
      <c r="AO215" s="161"/>
      <c r="AP215" s="161"/>
      <c r="AQ215" s="161"/>
      <c r="AR215" s="161"/>
      <c r="AS215" s="161"/>
      <c r="AT215" s="161"/>
      <c r="AU215" s="161"/>
      <c r="AV215" s="161"/>
    </row>
    <row r="216" spans="36:48" x14ac:dyDescent="0.2">
      <c r="AJ216" s="161"/>
      <c r="AK216" s="161"/>
      <c r="AL216" s="161"/>
      <c r="AM216" s="161"/>
      <c r="AN216" s="161"/>
      <c r="AO216" s="161"/>
      <c r="AP216" s="161"/>
      <c r="AQ216" s="161"/>
      <c r="AR216" s="161"/>
      <c r="AS216" s="161"/>
      <c r="AT216" s="161"/>
      <c r="AU216" s="161"/>
      <c r="AV216" s="161"/>
    </row>
    <row r="217" spans="36:48" x14ac:dyDescent="0.2">
      <c r="AJ217" s="161"/>
      <c r="AK217" s="161"/>
      <c r="AL217" s="161"/>
      <c r="AM217" s="161"/>
      <c r="AN217" s="161"/>
      <c r="AO217" s="161"/>
      <c r="AP217" s="161"/>
      <c r="AQ217" s="161"/>
      <c r="AR217" s="161"/>
      <c r="AS217" s="161"/>
      <c r="AT217" s="161"/>
      <c r="AU217" s="161"/>
      <c r="AV217" s="161"/>
    </row>
    <row r="218" spans="36:48" x14ac:dyDescent="0.2">
      <c r="AJ218" s="161"/>
      <c r="AK218" s="161"/>
      <c r="AL218" s="161"/>
      <c r="AM218" s="161"/>
      <c r="AN218" s="161"/>
      <c r="AO218" s="161"/>
      <c r="AP218" s="161"/>
      <c r="AQ218" s="161"/>
      <c r="AR218" s="161"/>
      <c r="AS218" s="161"/>
      <c r="AT218" s="161"/>
      <c r="AU218" s="161"/>
      <c r="AV218" s="161"/>
    </row>
    <row r="219" spans="36:48" x14ac:dyDescent="0.2">
      <c r="AJ219" s="161"/>
      <c r="AK219" s="161"/>
      <c r="AL219" s="161"/>
      <c r="AM219" s="161"/>
      <c r="AN219" s="161"/>
      <c r="AO219" s="161"/>
      <c r="AP219" s="161"/>
      <c r="AQ219" s="161"/>
      <c r="AR219" s="161"/>
      <c r="AS219" s="161"/>
      <c r="AT219" s="161"/>
      <c r="AU219" s="161"/>
      <c r="AV219" s="161"/>
    </row>
    <row r="220" spans="36:48" x14ac:dyDescent="0.2">
      <c r="AJ220" s="161"/>
      <c r="AK220" s="161"/>
      <c r="AL220" s="161"/>
      <c r="AM220" s="161"/>
      <c r="AN220" s="161"/>
      <c r="AO220" s="161"/>
      <c r="AP220" s="161"/>
      <c r="AQ220" s="161"/>
      <c r="AR220" s="161"/>
      <c r="AS220" s="161"/>
      <c r="AT220" s="161"/>
      <c r="AU220" s="161"/>
      <c r="AV220" s="161"/>
    </row>
    <row r="221" spans="36:48" x14ac:dyDescent="0.2">
      <c r="AJ221" s="161"/>
      <c r="AK221" s="161"/>
      <c r="AL221" s="161"/>
      <c r="AM221" s="161"/>
      <c r="AN221" s="161"/>
      <c r="AO221" s="161"/>
      <c r="AP221" s="161"/>
      <c r="AQ221" s="161"/>
      <c r="AR221" s="161"/>
      <c r="AS221" s="161"/>
      <c r="AT221" s="161"/>
      <c r="AU221" s="161"/>
      <c r="AV221" s="161"/>
    </row>
    <row r="222" spans="36:48" x14ac:dyDescent="0.2">
      <c r="AJ222" s="161"/>
      <c r="AK222" s="161"/>
      <c r="AL222" s="161"/>
      <c r="AM222" s="161"/>
      <c r="AN222" s="161"/>
      <c r="AO222" s="161"/>
      <c r="AP222" s="161"/>
      <c r="AQ222" s="161"/>
      <c r="AR222" s="161"/>
      <c r="AS222" s="161"/>
      <c r="AT222" s="161"/>
      <c r="AU222" s="161"/>
      <c r="AV222" s="161"/>
    </row>
    <row r="223" spans="36:48" x14ac:dyDescent="0.2">
      <c r="AJ223" s="161"/>
      <c r="AK223" s="161"/>
      <c r="AL223" s="161"/>
      <c r="AM223" s="161"/>
      <c r="AN223" s="161"/>
      <c r="AO223" s="161"/>
      <c r="AP223" s="161"/>
      <c r="AQ223" s="161"/>
      <c r="AR223" s="161"/>
      <c r="AS223" s="161"/>
      <c r="AT223" s="161"/>
      <c r="AU223" s="161"/>
      <c r="AV223" s="161"/>
    </row>
    <row r="224" spans="36:48" x14ac:dyDescent="0.2">
      <c r="AJ224" s="161"/>
      <c r="AK224" s="161"/>
      <c r="AL224" s="161"/>
      <c r="AM224" s="161"/>
      <c r="AN224" s="161"/>
      <c r="AO224" s="161"/>
      <c r="AP224" s="161"/>
      <c r="AQ224" s="161"/>
      <c r="AR224" s="161"/>
      <c r="AS224" s="161"/>
      <c r="AT224" s="161"/>
      <c r="AU224" s="161"/>
      <c r="AV224" s="161"/>
    </row>
    <row r="225" spans="36:48" x14ac:dyDescent="0.2">
      <c r="AJ225" s="161"/>
      <c r="AK225" s="161"/>
      <c r="AL225" s="161"/>
      <c r="AM225" s="161"/>
      <c r="AN225" s="161"/>
      <c r="AO225" s="161"/>
      <c r="AP225" s="161"/>
      <c r="AQ225" s="161"/>
      <c r="AR225" s="161"/>
      <c r="AS225" s="161"/>
      <c r="AT225" s="161"/>
      <c r="AU225" s="161"/>
      <c r="AV225" s="161"/>
    </row>
    <row r="226" spans="36:48" x14ac:dyDescent="0.2">
      <c r="AJ226" s="161"/>
      <c r="AK226" s="161"/>
      <c r="AL226" s="161"/>
      <c r="AM226" s="161"/>
      <c r="AN226" s="161"/>
      <c r="AO226" s="161"/>
      <c r="AP226" s="161"/>
      <c r="AQ226" s="161"/>
      <c r="AR226" s="161"/>
      <c r="AS226" s="161"/>
      <c r="AT226" s="161"/>
      <c r="AU226" s="161"/>
      <c r="AV226" s="161"/>
    </row>
    <row r="227" spans="36:48" x14ac:dyDescent="0.2">
      <c r="AJ227" s="161"/>
      <c r="AK227" s="161"/>
      <c r="AL227" s="161"/>
      <c r="AM227" s="161"/>
      <c r="AN227" s="161"/>
      <c r="AO227" s="161"/>
      <c r="AP227" s="161"/>
      <c r="AQ227" s="161"/>
      <c r="AR227" s="161"/>
      <c r="AS227" s="161"/>
      <c r="AT227" s="161"/>
      <c r="AU227" s="161"/>
      <c r="AV227" s="161"/>
    </row>
    <row r="228" spans="36:48" x14ac:dyDescent="0.2">
      <c r="AJ228" s="161"/>
      <c r="AK228" s="161"/>
      <c r="AL228" s="161"/>
      <c r="AM228" s="161"/>
      <c r="AN228" s="161"/>
      <c r="AO228" s="161"/>
      <c r="AP228" s="161"/>
      <c r="AQ228" s="161"/>
      <c r="AR228" s="161"/>
      <c r="AS228" s="161"/>
      <c r="AT228" s="161"/>
      <c r="AU228" s="161"/>
      <c r="AV228" s="161"/>
    </row>
    <row r="229" spans="36:48" x14ac:dyDescent="0.2">
      <c r="AJ229" s="161"/>
      <c r="AK229" s="161"/>
      <c r="AL229" s="161"/>
      <c r="AM229" s="161"/>
      <c r="AN229" s="161"/>
      <c r="AO229" s="161"/>
      <c r="AP229" s="161"/>
      <c r="AQ229" s="161"/>
      <c r="AR229" s="161"/>
      <c r="AS229" s="161"/>
      <c r="AT229" s="161"/>
      <c r="AU229" s="161"/>
      <c r="AV229" s="161"/>
    </row>
    <row r="230" spans="36:48" x14ac:dyDescent="0.2">
      <c r="AJ230" s="161"/>
      <c r="AK230" s="161"/>
      <c r="AL230" s="161"/>
      <c r="AM230" s="161"/>
      <c r="AN230" s="161"/>
      <c r="AO230" s="161"/>
      <c r="AP230" s="161"/>
      <c r="AQ230" s="161"/>
      <c r="AR230" s="161"/>
      <c r="AS230" s="161"/>
      <c r="AT230" s="161"/>
      <c r="AU230" s="161"/>
      <c r="AV230" s="161"/>
    </row>
    <row r="231" spans="36:48" x14ac:dyDescent="0.2">
      <c r="AJ231" s="161"/>
      <c r="AK231" s="161"/>
      <c r="AL231" s="161"/>
      <c r="AM231" s="161"/>
      <c r="AN231" s="161"/>
      <c r="AO231" s="161"/>
      <c r="AP231" s="161"/>
      <c r="AQ231" s="161"/>
      <c r="AR231" s="161"/>
      <c r="AS231" s="161"/>
      <c r="AT231" s="161"/>
      <c r="AU231" s="161"/>
      <c r="AV231" s="161"/>
    </row>
    <row r="232" spans="36:48" x14ac:dyDescent="0.2">
      <c r="AJ232" s="161"/>
      <c r="AK232" s="161"/>
      <c r="AL232" s="161"/>
      <c r="AM232" s="161"/>
      <c r="AN232" s="161"/>
      <c r="AO232" s="161"/>
      <c r="AP232" s="161"/>
      <c r="AQ232" s="161"/>
      <c r="AR232" s="161"/>
      <c r="AS232" s="161"/>
      <c r="AT232" s="161"/>
      <c r="AU232" s="161"/>
      <c r="AV232" s="161"/>
    </row>
    <row r="233" spans="36:48" x14ac:dyDescent="0.2">
      <c r="AJ233" s="161"/>
      <c r="AK233" s="161"/>
      <c r="AL233" s="161"/>
      <c r="AM233" s="161"/>
      <c r="AN233" s="161"/>
      <c r="AO233" s="161"/>
      <c r="AP233" s="161"/>
      <c r="AQ233" s="161"/>
      <c r="AR233" s="161"/>
      <c r="AS233" s="161"/>
      <c r="AT233" s="161"/>
      <c r="AU233" s="161"/>
      <c r="AV233" s="161"/>
    </row>
    <row r="234" spans="36:48" x14ac:dyDescent="0.2">
      <c r="AJ234" s="161"/>
      <c r="AK234" s="161"/>
      <c r="AL234" s="161"/>
      <c r="AM234" s="161"/>
      <c r="AN234" s="161"/>
      <c r="AO234" s="161"/>
      <c r="AP234" s="161"/>
      <c r="AQ234" s="161"/>
      <c r="AR234" s="161"/>
      <c r="AS234" s="161"/>
      <c r="AT234" s="161"/>
      <c r="AU234" s="161"/>
      <c r="AV234" s="161"/>
    </row>
    <row r="235" spans="36:48" x14ac:dyDescent="0.2">
      <c r="AJ235" s="161"/>
      <c r="AK235" s="161"/>
      <c r="AL235" s="161"/>
      <c r="AM235" s="161"/>
      <c r="AN235" s="161"/>
      <c r="AO235" s="161"/>
      <c r="AP235" s="161"/>
      <c r="AQ235" s="161"/>
      <c r="AR235" s="161"/>
      <c r="AS235" s="161"/>
      <c r="AT235" s="161"/>
      <c r="AU235" s="161"/>
      <c r="AV235" s="161"/>
    </row>
    <row r="236" spans="36:48" x14ac:dyDescent="0.2">
      <c r="AJ236" s="161"/>
      <c r="AK236" s="161"/>
      <c r="AL236" s="161"/>
      <c r="AM236" s="161"/>
      <c r="AN236" s="161"/>
      <c r="AO236" s="161"/>
      <c r="AP236" s="161"/>
      <c r="AQ236" s="161"/>
      <c r="AR236" s="161"/>
      <c r="AS236" s="161"/>
      <c r="AT236" s="161"/>
      <c r="AU236" s="161"/>
      <c r="AV236" s="161"/>
    </row>
    <row r="237" spans="36:48" x14ac:dyDescent="0.2">
      <c r="AJ237" s="161"/>
      <c r="AK237" s="161"/>
      <c r="AL237" s="161"/>
      <c r="AM237" s="161"/>
      <c r="AN237" s="161"/>
      <c r="AO237" s="161"/>
      <c r="AP237" s="161"/>
      <c r="AQ237" s="161"/>
      <c r="AR237" s="161"/>
      <c r="AS237" s="161"/>
      <c r="AT237" s="161"/>
      <c r="AU237" s="161"/>
      <c r="AV237" s="161"/>
    </row>
    <row r="238" spans="36:48" x14ac:dyDescent="0.2">
      <c r="AJ238" s="161"/>
      <c r="AK238" s="161"/>
      <c r="AL238" s="161"/>
      <c r="AM238" s="161"/>
      <c r="AN238" s="161"/>
      <c r="AO238" s="161"/>
      <c r="AP238" s="161"/>
      <c r="AQ238" s="161"/>
      <c r="AR238" s="161"/>
      <c r="AS238" s="161"/>
      <c r="AT238" s="161"/>
      <c r="AU238" s="161"/>
      <c r="AV238" s="161"/>
    </row>
    <row r="239" spans="36:48" x14ac:dyDescent="0.2">
      <c r="AJ239" s="161"/>
      <c r="AK239" s="161"/>
      <c r="AL239" s="161"/>
      <c r="AM239" s="161"/>
      <c r="AN239" s="161"/>
      <c r="AO239" s="161"/>
      <c r="AP239" s="161"/>
      <c r="AQ239" s="161"/>
      <c r="AR239" s="161"/>
      <c r="AS239" s="161"/>
      <c r="AT239" s="161"/>
      <c r="AU239" s="161"/>
      <c r="AV239" s="161"/>
    </row>
    <row r="240" spans="36:48" x14ac:dyDescent="0.2">
      <c r="AJ240" s="161"/>
      <c r="AK240" s="161"/>
      <c r="AL240" s="161"/>
      <c r="AM240" s="161"/>
      <c r="AN240" s="161"/>
      <c r="AO240" s="161"/>
      <c r="AP240" s="161"/>
      <c r="AQ240" s="161"/>
      <c r="AR240" s="161"/>
      <c r="AS240" s="161"/>
      <c r="AT240" s="161"/>
      <c r="AU240" s="161"/>
      <c r="AV240" s="161"/>
    </row>
    <row r="241" spans="36:48" x14ac:dyDescent="0.2">
      <c r="AJ241" s="161"/>
      <c r="AK241" s="161"/>
      <c r="AL241" s="161"/>
      <c r="AM241" s="161"/>
      <c r="AN241" s="161"/>
      <c r="AO241" s="161"/>
      <c r="AP241" s="161"/>
      <c r="AQ241" s="161"/>
      <c r="AR241" s="161"/>
      <c r="AS241" s="161"/>
      <c r="AT241" s="161"/>
      <c r="AU241" s="161"/>
      <c r="AV241" s="161"/>
    </row>
    <row r="242" spans="36:48" x14ac:dyDescent="0.2">
      <c r="AJ242" s="161"/>
      <c r="AK242" s="161"/>
      <c r="AL242" s="161"/>
      <c r="AM242" s="161"/>
      <c r="AN242" s="161"/>
      <c r="AO242" s="161"/>
      <c r="AP242" s="161"/>
      <c r="AQ242" s="161"/>
      <c r="AR242" s="161"/>
      <c r="AS242" s="161"/>
      <c r="AT242" s="161"/>
      <c r="AU242" s="161"/>
      <c r="AV242" s="161"/>
    </row>
    <row r="243" spans="36:48" x14ac:dyDescent="0.2">
      <c r="AJ243" s="161"/>
      <c r="AK243" s="161"/>
      <c r="AL243" s="161"/>
      <c r="AM243" s="161"/>
      <c r="AN243" s="161"/>
      <c r="AO243" s="161"/>
      <c r="AP243" s="161"/>
      <c r="AQ243" s="161"/>
      <c r="AR243" s="161"/>
      <c r="AS243" s="161"/>
      <c r="AT243" s="161"/>
      <c r="AU243" s="161"/>
      <c r="AV243" s="161"/>
    </row>
    <row r="244" spans="36:48" x14ac:dyDescent="0.2">
      <c r="AJ244" s="161"/>
      <c r="AK244" s="161"/>
      <c r="AL244" s="161"/>
      <c r="AM244" s="161"/>
      <c r="AN244" s="161"/>
      <c r="AO244" s="161"/>
      <c r="AP244" s="161"/>
      <c r="AQ244" s="161"/>
      <c r="AR244" s="161"/>
      <c r="AS244" s="161"/>
      <c r="AT244" s="161"/>
      <c r="AU244" s="161"/>
      <c r="AV244" s="161"/>
    </row>
    <row r="245" spans="36:48" x14ac:dyDescent="0.2">
      <c r="AJ245" s="161"/>
      <c r="AK245" s="161"/>
      <c r="AL245" s="161"/>
      <c r="AM245" s="161"/>
      <c r="AN245" s="161"/>
      <c r="AO245" s="161"/>
      <c r="AP245" s="161"/>
      <c r="AQ245" s="161"/>
      <c r="AR245" s="161"/>
      <c r="AS245" s="161"/>
      <c r="AT245" s="161"/>
      <c r="AU245" s="161"/>
      <c r="AV245" s="161"/>
    </row>
    <row r="246" spans="36:48" x14ac:dyDescent="0.2">
      <c r="AJ246" s="161"/>
      <c r="AK246" s="161"/>
      <c r="AL246" s="161"/>
      <c r="AM246" s="161"/>
      <c r="AN246" s="161"/>
      <c r="AO246" s="161"/>
      <c r="AP246" s="161"/>
      <c r="AQ246" s="161"/>
      <c r="AR246" s="161"/>
      <c r="AS246" s="161"/>
      <c r="AT246" s="161"/>
      <c r="AU246" s="161"/>
      <c r="AV246" s="161"/>
    </row>
    <row r="247" spans="36:48" x14ac:dyDescent="0.2">
      <c r="AJ247" s="161"/>
      <c r="AK247" s="161"/>
      <c r="AL247" s="161"/>
      <c r="AM247" s="161"/>
      <c r="AN247" s="161"/>
      <c r="AO247" s="161"/>
      <c r="AP247" s="161"/>
      <c r="AQ247" s="161"/>
      <c r="AR247" s="161"/>
      <c r="AS247" s="161"/>
      <c r="AT247" s="161"/>
      <c r="AU247" s="161"/>
      <c r="AV247" s="161"/>
    </row>
    <row r="248" spans="36:48" x14ac:dyDescent="0.2">
      <c r="AJ248" s="161"/>
      <c r="AK248" s="161"/>
      <c r="AL248" s="161"/>
      <c r="AM248" s="161"/>
      <c r="AN248" s="161"/>
      <c r="AO248" s="161"/>
      <c r="AP248" s="161"/>
      <c r="AQ248" s="161"/>
      <c r="AR248" s="161"/>
      <c r="AS248" s="161"/>
      <c r="AT248" s="161"/>
      <c r="AU248" s="161"/>
      <c r="AV248" s="161"/>
    </row>
    <row r="249" spans="36:48" x14ac:dyDescent="0.2">
      <c r="AJ249" s="161"/>
      <c r="AK249" s="161"/>
      <c r="AL249" s="161"/>
      <c r="AM249" s="161"/>
      <c r="AN249" s="161"/>
      <c r="AO249" s="161"/>
      <c r="AP249" s="161"/>
      <c r="AQ249" s="161"/>
      <c r="AR249" s="161"/>
      <c r="AS249" s="161"/>
      <c r="AT249" s="161"/>
      <c r="AU249" s="161"/>
      <c r="AV249" s="161"/>
    </row>
    <row r="250" spans="36:48" x14ac:dyDescent="0.2">
      <c r="AJ250" s="161"/>
      <c r="AK250" s="161"/>
      <c r="AL250" s="161"/>
      <c r="AM250" s="161"/>
      <c r="AN250" s="161"/>
      <c r="AO250" s="161"/>
      <c r="AP250" s="161"/>
      <c r="AQ250" s="161"/>
      <c r="AR250" s="161"/>
      <c r="AS250" s="161"/>
      <c r="AT250" s="161"/>
      <c r="AU250" s="161"/>
      <c r="AV250" s="161"/>
    </row>
    <row r="251" spans="36:48" x14ac:dyDescent="0.2">
      <c r="AJ251" s="161"/>
      <c r="AK251" s="161"/>
      <c r="AL251" s="161"/>
      <c r="AM251" s="161"/>
      <c r="AN251" s="161"/>
      <c r="AO251" s="161"/>
      <c r="AP251" s="161"/>
      <c r="AQ251" s="161"/>
      <c r="AR251" s="161"/>
      <c r="AS251" s="161"/>
      <c r="AT251" s="161"/>
      <c r="AU251" s="161"/>
      <c r="AV251" s="161"/>
    </row>
    <row r="252" spans="36:48" x14ac:dyDescent="0.2">
      <c r="AJ252" s="161"/>
      <c r="AK252" s="161"/>
      <c r="AL252" s="161"/>
      <c r="AM252" s="161"/>
      <c r="AN252" s="161"/>
      <c r="AO252" s="161"/>
      <c r="AP252" s="161"/>
      <c r="AQ252" s="161"/>
      <c r="AR252" s="161"/>
      <c r="AS252" s="161"/>
      <c r="AT252" s="161"/>
      <c r="AU252" s="161"/>
      <c r="AV252" s="161"/>
    </row>
    <row r="253" spans="36:48" x14ac:dyDescent="0.2">
      <c r="AJ253" s="161"/>
      <c r="AK253" s="161"/>
      <c r="AL253" s="161"/>
      <c r="AM253" s="161"/>
      <c r="AN253" s="161"/>
      <c r="AO253" s="161"/>
      <c r="AP253" s="161"/>
      <c r="AQ253" s="161"/>
      <c r="AR253" s="161"/>
      <c r="AS253" s="161"/>
      <c r="AT253" s="161"/>
      <c r="AU253" s="161"/>
      <c r="AV253" s="161"/>
    </row>
    <row r="254" spans="36:48" x14ac:dyDescent="0.2">
      <c r="AJ254" s="161"/>
      <c r="AK254" s="161"/>
      <c r="AL254" s="161"/>
      <c r="AM254" s="161"/>
      <c r="AN254" s="161"/>
      <c r="AO254" s="161"/>
      <c r="AP254" s="161"/>
      <c r="AQ254" s="161"/>
      <c r="AR254" s="161"/>
      <c r="AS254" s="161"/>
      <c r="AT254" s="161"/>
      <c r="AU254" s="161"/>
      <c r="AV254" s="161"/>
    </row>
    <row r="255" spans="36:48" x14ac:dyDescent="0.2">
      <c r="AJ255" s="161"/>
      <c r="AK255" s="161"/>
      <c r="AL255" s="161"/>
      <c r="AM255" s="161"/>
      <c r="AN255" s="161"/>
      <c r="AO255" s="161"/>
      <c r="AP255" s="161"/>
      <c r="AQ255" s="161"/>
      <c r="AR255" s="161"/>
      <c r="AS255" s="161"/>
      <c r="AT255" s="161"/>
      <c r="AU255" s="161"/>
      <c r="AV255" s="161"/>
    </row>
    <row r="256" spans="36:48" x14ac:dyDescent="0.2">
      <c r="AJ256" s="161"/>
      <c r="AK256" s="161"/>
      <c r="AL256" s="161"/>
      <c r="AM256" s="161"/>
      <c r="AN256" s="161"/>
      <c r="AO256" s="161"/>
      <c r="AP256" s="161"/>
      <c r="AQ256" s="161"/>
      <c r="AR256" s="161"/>
      <c r="AS256" s="161"/>
      <c r="AT256" s="161"/>
      <c r="AU256" s="161"/>
      <c r="AV256" s="161"/>
    </row>
    <row r="257" spans="36:48" x14ac:dyDescent="0.2">
      <c r="AJ257" s="161"/>
      <c r="AK257" s="161"/>
      <c r="AL257" s="161"/>
      <c r="AM257" s="161"/>
      <c r="AN257" s="161"/>
      <c r="AO257" s="161"/>
      <c r="AP257" s="161"/>
      <c r="AQ257" s="161"/>
      <c r="AR257" s="161"/>
      <c r="AS257" s="161"/>
      <c r="AT257" s="161"/>
      <c r="AU257" s="161"/>
      <c r="AV257" s="161"/>
    </row>
    <row r="258" spans="36:48" x14ac:dyDescent="0.2">
      <c r="AJ258" s="161"/>
      <c r="AK258" s="161"/>
      <c r="AL258" s="161"/>
      <c r="AM258" s="161"/>
      <c r="AN258" s="161"/>
      <c r="AO258" s="161"/>
      <c r="AP258" s="161"/>
      <c r="AQ258" s="161"/>
      <c r="AR258" s="161"/>
      <c r="AS258" s="161"/>
      <c r="AT258" s="161"/>
      <c r="AU258" s="161"/>
      <c r="AV258" s="161"/>
    </row>
    <row r="259" spans="36:48" x14ac:dyDescent="0.2">
      <c r="AJ259" s="161"/>
      <c r="AK259" s="161"/>
      <c r="AL259" s="161"/>
      <c r="AM259" s="161"/>
      <c r="AN259" s="161"/>
      <c r="AO259" s="161"/>
      <c r="AP259" s="161"/>
      <c r="AQ259" s="161"/>
      <c r="AR259" s="161"/>
      <c r="AS259" s="161"/>
      <c r="AT259" s="161"/>
      <c r="AU259" s="161"/>
      <c r="AV259" s="161"/>
    </row>
    <row r="260" spans="36:48" x14ac:dyDescent="0.2">
      <c r="AJ260" s="161"/>
      <c r="AK260" s="161"/>
      <c r="AL260" s="161"/>
      <c r="AM260" s="161"/>
      <c r="AN260" s="161"/>
      <c r="AO260" s="161"/>
      <c r="AP260" s="161"/>
      <c r="AQ260" s="161"/>
      <c r="AR260" s="161"/>
      <c r="AS260" s="161"/>
      <c r="AT260" s="161"/>
      <c r="AU260" s="161"/>
      <c r="AV260" s="161"/>
    </row>
    <row r="261" spans="36:48" x14ac:dyDescent="0.2">
      <c r="AJ261" s="161"/>
      <c r="AK261" s="161"/>
      <c r="AL261" s="161"/>
      <c r="AM261" s="161"/>
      <c r="AN261" s="161"/>
      <c r="AO261" s="161"/>
      <c r="AP261" s="161"/>
      <c r="AQ261" s="161"/>
      <c r="AR261" s="161"/>
      <c r="AS261" s="161"/>
      <c r="AT261" s="161"/>
      <c r="AU261" s="161"/>
      <c r="AV261" s="161"/>
    </row>
    <row r="262" spans="36:48" x14ac:dyDescent="0.2">
      <c r="AJ262" s="161"/>
      <c r="AK262" s="161"/>
      <c r="AL262" s="161"/>
      <c r="AM262" s="161"/>
      <c r="AN262" s="161"/>
      <c r="AO262" s="161"/>
      <c r="AP262" s="161"/>
      <c r="AQ262" s="161"/>
      <c r="AR262" s="161"/>
      <c r="AS262" s="161"/>
      <c r="AT262" s="161"/>
      <c r="AU262" s="161"/>
      <c r="AV262" s="161"/>
    </row>
    <row r="263" spans="36:48" x14ac:dyDescent="0.2">
      <c r="AJ263" s="161"/>
      <c r="AK263" s="161"/>
      <c r="AL263" s="161"/>
      <c r="AM263" s="161"/>
      <c r="AN263" s="161"/>
      <c r="AO263" s="161"/>
      <c r="AP263" s="161"/>
      <c r="AQ263" s="161"/>
      <c r="AR263" s="161"/>
      <c r="AS263" s="161"/>
      <c r="AT263" s="161"/>
      <c r="AU263" s="161"/>
      <c r="AV263" s="161"/>
    </row>
    <row r="264" spans="36:48" x14ac:dyDescent="0.2">
      <c r="AJ264" s="161"/>
      <c r="AK264" s="161"/>
      <c r="AL264" s="161"/>
      <c r="AM264" s="161"/>
      <c r="AN264" s="161"/>
      <c r="AO264" s="161"/>
      <c r="AP264" s="161"/>
      <c r="AQ264" s="161"/>
      <c r="AR264" s="161"/>
      <c r="AS264" s="161"/>
      <c r="AT264" s="161"/>
      <c r="AU264" s="161"/>
      <c r="AV264" s="161"/>
    </row>
    <row r="265" spans="36:48" x14ac:dyDescent="0.2">
      <c r="AJ265" s="161"/>
      <c r="AK265" s="161"/>
      <c r="AL265" s="161"/>
      <c r="AM265" s="161"/>
      <c r="AN265" s="161"/>
      <c r="AO265" s="161"/>
      <c r="AP265" s="161"/>
      <c r="AQ265" s="161"/>
      <c r="AR265" s="161"/>
      <c r="AS265" s="161"/>
      <c r="AT265" s="161"/>
      <c r="AU265" s="161"/>
      <c r="AV265" s="161"/>
    </row>
    <row r="266" spans="36:48" x14ac:dyDescent="0.2">
      <c r="AJ266" s="161"/>
      <c r="AK266" s="161"/>
      <c r="AL266" s="161"/>
      <c r="AM266" s="161"/>
      <c r="AN266" s="161"/>
      <c r="AO266" s="161"/>
      <c r="AP266" s="161"/>
      <c r="AQ266" s="161"/>
      <c r="AR266" s="161"/>
      <c r="AS266" s="161"/>
      <c r="AT266" s="161"/>
      <c r="AU266" s="161"/>
      <c r="AV266" s="161"/>
    </row>
    <row r="267" spans="36:48" x14ac:dyDescent="0.2">
      <c r="AJ267" s="161"/>
      <c r="AK267" s="161"/>
      <c r="AL267" s="161"/>
      <c r="AM267" s="161"/>
      <c r="AN267" s="161"/>
      <c r="AO267" s="161"/>
      <c r="AP267" s="161"/>
      <c r="AQ267" s="161"/>
      <c r="AR267" s="161"/>
      <c r="AS267" s="161"/>
      <c r="AT267" s="161"/>
      <c r="AU267" s="161"/>
      <c r="AV267" s="161"/>
    </row>
    <row r="268" spans="36:48" x14ac:dyDescent="0.2">
      <c r="AJ268" s="161"/>
      <c r="AK268" s="161"/>
      <c r="AL268" s="161"/>
      <c r="AM268" s="161"/>
      <c r="AN268" s="161"/>
      <c r="AO268" s="161"/>
      <c r="AP268" s="161"/>
      <c r="AQ268" s="161"/>
      <c r="AR268" s="161"/>
      <c r="AS268" s="161"/>
      <c r="AT268" s="161"/>
      <c r="AU268" s="161"/>
      <c r="AV268" s="161"/>
    </row>
    <row r="269" spans="36:48" x14ac:dyDescent="0.2">
      <c r="AJ269" s="161"/>
      <c r="AK269" s="161"/>
      <c r="AL269" s="161"/>
      <c r="AM269" s="161"/>
      <c r="AN269" s="161"/>
      <c r="AO269" s="161"/>
      <c r="AP269" s="161"/>
      <c r="AQ269" s="161"/>
      <c r="AR269" s="161"/>
      <c r="AS269" s="161"/>
      <c r="AT269" s="161"/>
      <c r="AU269" s="161"/>
      <c r="AV269" s="161"/>
    </row>
    <row r="270" spans="36:48" x14ac:dyDescent="0.2">
      <c r="AJ270" s="161"/>
      <c r="AK270" s="161"/>
      <c r="AL270" s="161"/>
      <c r="AM270" s="161"/>
      <c r="AN270" s="161"/>
      <c r="AO270" s="161"/>
      <c r="AP270" s="161"/>
      <c r="AQ270" s="161"/>
      <c r="AR270" s="161"/>
      <c r="AS270" s="161"/>
      <c r="AT270" s="161"/>
      <c r="AU270" s="161"/>
      <c r="AV270" s="161"/>
    </row>
    <row r="271" spans="36:48" x14ac:dyDescent="0.2">
      <c r="AJ271" s="161"/>
      <c r="AK271" s="161"/>
      <c r="AL271" s="161"/>
      <c r="AM271" s="161"/>
      <c r="AN271" s="161"/>
      <c r="AO271" s="161"/>
      <c r="AP271" s="161"/>
      <c r="AQ271" s="161"/>
      <c r="AR271" s="161"/>
      <c r="AS271" s="161"/>
      <c r="AT271" s="161"/>
      <c r="AU271" s="161"/>
      <c r="AV271" s="161"/>
    </row>
    <row r="272" spans="36:48" x14ac:dyDescent="0.2">
      <c r="AJ272" s="161"/>
      <c r="AK272" s="161"/>
      <c r="AL272" s="161"/>
      <c r="AM272" s="161"/>
      <c r="AN272" s="161"/>
      <c r="AO272" s="161"/>
      <c r="AP272" s="161"/>
      <c r="AQ272" s="161"/>
      <c r="AR272" s="161"/>
      <c r="AS272" s="161"/>
      <c r="AT272" s="161"/>
      <c r="AU272" s="161"/>
      <c r="AV272" s="161"/>
    </row>
    <row r="273" spans="36:48" x14ac:dyDescent="0.2">
      <c r="AJ273" s="161"/>
      <c r="AK273" s="161"/>
      <c r="AL273" s="161"/>
      <c r="AM273" s="161"/>
      <c r="AN273" s="161"/>
      <c r="AO273" s="161"/>
      <c r="AP273" s="161"/>
      <c r="AQ273" s="161"/>
      <c r="AR273" s="161"/>
      <c r="AS273" s="161"/>
      <c r="AT273" s="161"/>
      <c r="AU273" s="161"/>
      <c r="AV273" s="161"/>
    </row>
    <row r="274" spans="36:48" x14ac:dyDescent="0.2">
      <c r="AJ274" s="161"/>
      <c r="AK274" s="161"/>
      <c r="AL274" s="161"/>
      <c r="AM274" s="161"/>
      <c r="AN274" s="161"/>
      <c r="AO274" s="161"/>
      <c r="AP274" s="161"/>
      <c r="AQ274" s="161"/>
      <c r="AR274" s="161"/>
      <c r="AS274" s="161"/>
      <c r="AT274" s="161"/>
      <c r="AU274" s="161"/>
      <c r="AV274" s="161"/>
    </row>
    <row r="275" spans="36:48" x14ac:dyDescent="0.2">
      <c r="AJ275" s="161"/>
      <c r="AK275" s="161"/>
      <c r="AL275" s="161"/>
      <c r="AM275" s="161"/>
      <c r="AN275" s="161"/>
      <c r="AO275" s="161"/>
      <c r="AP275" s="161"/>
      <c r="AQ275" s="161"/>
      <c r="AR275" s="161"/>
      <c r="AS275" s="161"/>
      <c r="AT275" s="161"/>
      <c r="AU275" s="161"/>
      <c r="AV275" s="161"/>
    </row>
    <row r="276" spans="36:48" x14ac:dyDescent="0.2">
      <c r="AJ276" s="161"/>
      <c r="AK276" s="161"/>
      <c r="AL276" s="161"/>
      <c r="AM276" s="161"/>
      <c r="AN276" s="161"/>
      <c r="AO276" s="161"/>
      <c r="AP276" s="161"/>
      <c r="AQ276" s="161"/>
      <c r="AR276" s="161"/>
      <c r="AS276" s="161"/>
      <c r="AT276" s="161"/>
      <c r="AU276" s="161"/>
      <c r="AV276" s="161"/>
    </row>
    <row r="277" spans="36:48" x14ac:dyDescent="0.2">
      <c r="AJ277" s="161"/>
      <c r="AK277" s="161"/>
      <c r="AL277" s="161"/>
      <c r="AM277" s="161"/>
      <c r="AN277" s="161"/>
      <c r="AO277" s="161"/>
      <c r="AP277" s="161"/>
      <c r="AQ277" s="161"/>
      <c r="AR277" s="161"/>
      <c r="AS277" s="161"/>
      <c r="AT277" s="161"/>
      <c r="AU277" s="161"/>
      <c r="AV277" s="161"/>
    </row>
    <row r="278" spans="36:48" x14ac:dyDescent="0.2">
      <c r="AJ278" s="161"/>
      <c r="AK278" s="161"/>
      <c r="AL278" s="161"/>
      <c r="AM278" s="161"/>
      <c r="AN278" s="161"/>
      <c r="AO278" s="161"/>
      <c r="AP278" s="161"/>
      <c r="AQ278" s="161"/>
      <c r="AR278" s="161"/>
      <c r="AS278" s="161"/>
      <c r="AT278" s="161"/>
      <c r="AU278" s="161"/>
      <c r="AV278" s="161"/>
    </row>
    <row r="279" spans="36:48" x14ac:dyDescent="0.2">
      <c r="AJ279" s="161"/>
      <c r="AK279" s="161"/>
      <c r="AL279" s="161"/>
      <c r="AM279" s="161"/>
      <c r="AN279" s="161"/>
      <c r="AO279" s="161"/>
      <c r="AP279" s="161"/>
      <c r="AQ279" s="161"/>
      <c r="AR279" s="161"/>
      <c r="AS279" s="161"/>
      <c r="AT279" s="161"/>
      <c r="AU279" s="161"/>
      <c r="AV279" s="161"/>
    </row>
    <row r="280" spans="36:48" x14ac:dyDescent="0.2">
      <c r="AJ280" s="161"/>
      <c r="AK280" s="161"/>
      <c r="AL280" s="161"/>
      <c r="AM280" s="161"/>
      <c r="AN280" s="161"/>
      <c r="AO280" s="161"/>
      <c r="AP280" s="161"/>
      <c r="AQ280" s="161"/>
      <c r="AR280" s="161"/>
      <c r="AS280" s="161"/>
      <c r="AT280" s="161"/>
      <c r="AU280" s="161"/>
      <c r="AV280" s="161"/>
    </row>
    <row r="281" spans="36:48" x14ac:dyDescent="0.2">
      <c r="AJ281" s="161"/>
      <c r="AK281" s="161"/>
      <c r="AL281" s="161"/>
      <c r="AM281" s="161"/>
      <c r="AN281" s="161"/>
      <c r="AO281" s="161"/>
      <c r="AP281" s="161"/>
      <c r="AQ281" s="161"/>
      <c r="AR281" s="161"/>
      <c r="AS281" s="161"/>
      <c r="AT281" s="161"/>
      <c r="AU281" s="161"/>
      <c r="AV281" s="161"/>
    </row>
    <row r="282" spans="36:48" x14ac:dyDescent="0.2">
      <c r="AJ282" s="161"/>
      <c r="AK282" s="161"/>
      <c r="AL282" s="161"/>
      <c r="AM282" s="161"/>
      <c r="AN282" s="161"/>
      <c r="AO282" s="161"/>
      <c r="AP282" s="161"/>
      <c r="AQ282" s="161"/>
      <c r="AR282" s="161"/>
      <c r="AS282" s="161"/>
      <c r="AT282" s="161"/>
      <c r="AU282" s="161"/>
      <c r="AV282" s="161"/>
    </row>
    <row r="283" spans="36:48" x14ac:dyDescent="0.2">
      <c r="AJ283" s="161"/>
      <c r="AK283" s="161"/>
      <c r="AL283" s="161"/>
      <c r="AM283" s="161"/>
      <c r="AN283" s="161"/>
      <c r="AO283" s="161"/>
      <c r="AP283" s="161"/>
      <c r="AQ283" s="161"/>
      <c r="AR283" s="161"/>
      <c r="AS283" s="161"/>
      <c r="AT283" s="161"/>
      <c r="AU283" s="161"/>
      <c r="AV283" s="161"/>
    </row>
    <row r="284" spans="36:48" x14ac:dyDescent="0.2">
      <c r="AJ284" s="161"/>
      <c r="AK284" s="161"/>
      <c r="AL284" s="161"/>
      <c r="AM284" s="161"/>
      <c r="AN284" s="161"/>
      <c r="AO284" s="161"/>
      <c r="AP284" s="161"/>
      <c r="AQ284" s="161"/>
      <c r="AR284" s="161"/>
      <c r="AS284" s="161"/>
      <c r="AT284" s="161"/>
      <c r="AU284" s="161"/>
      <c r="AV284" s="161"/>
    </row>
    <row r="285" spans="36:48" x14ac:dyDescent="0.2">
      <c r="AJ285" s="161"/>
      <c r="AK285" s="161"/>
      <c r="AL285" s="161"/>
      <c r="AM285" s="161"/>
      <c r="AN285" s="161"/>
      <c r="AO285" s="161"/>
      <c r="AP285" s="161"/>
      <c r="AQ285" s="161"/>
      <c r="AR285" s="161"/>
      <c r="AS285" s="161"/>
      <c r="AT285" s="161"/>
      <c r="AU285" s="161"/>
      <c r="AV285" s="161"/>
    </row>
    <row r="286" spans="36:48" x14ac:dyDescent="0.2">
      <c r="AJ286" s="161"/>
      <c r="AK286" s="161"/>
      <c r="AL286" s="161"/>
      <c r="AM286" s="161"/>
      <c r="AN286" s="161"/>
      <c r="AO286" s="161"/>
      <c r="AP286" s="161"/>
      <c r="AQ286" s="161"/>
      <c r="AR286" s="161"/>
      <c r="AS286" s="161"/>
      <c r="AT286" s="161"/>
      <c r="AU286" s="161"/>
      <c r="AV286" s="161"/>
    </row>
    <row r="287" spans="36:48" x14ac:dyDescent="0.2">
      <c r="AJ287" s="161"/>
      <c r="AK287" s="161"/>
      <c r="AL287" s="161"/>
      <c r="AM287" s="161"/>
      <c r="AN287" s="161"/>
      <c r="AO287" s="161"/>
      <c r="AP287" s="161"/>
      <c r="AQ287" s="161"/>
      <c r="AR287" s="161"/>
      <c r="AS287" s="161"/>
      <c r="AT287" s="161"/>
      <c r="AU287" s="161"/>
      <c r="AV287" s="161"/>
    </row>
    <row r="288" spans="36:48" x14ac:dyDescent="0.2">
      <c r="AJ288" s="161"/>
      <c r="AK288" s="161"/>
      <c r="AL288" s="161"/>
      <c r="AM288" s="161"/>
      <c r="AN288" s="161"/>
      <c r="AO288" s="161"/>
      <c r="AP288" s="161"/>
      <c r="AQ288" s="161"/>
      <c r="AR288" s="161"/>
      <c r="AS288" s="161"/>
      <c r="AT288" s="161"/>
      <c r="AU288" s="161"/>
      <c r="AV288" s="161"/>
    </row>
    <row r="289" spans="36:48" x14ac:dyDescent="0.2">
      <c r="AJ289" s="161"/>
      <c r="AK289" s="161"/>
      <c r="AL289" s="161"/>
      <c r="AM289" s="161"/>
      <c r="AN289" s="161"/>
      <c r="AO289" s="161"/>
      <c r="AP289" s="161"/>
      <c r="AQ289" s="161"/>
      <c r="AR289" s="161"/>
      <c r="AS289" s="161"/>
      <c r="AT289" s="161"/>
      <c r="AU289" s="161"/>
      <c r="AV289" s="161"/>
    </row>
    <row r="290" spans="36:48" x14ac:dyDescent="0.2">
      <c r="AJ290" s="161"/>
      <c r="AK290" s="161"/>
      <c r="AL290" s="161"/>
      <c r="AM290" s="161"/>
      <c r="AN290" s="161"/>
      <c r="AO290" s="161"/>
      <c r="AP290" s="161"/>
      <c r="AQ290" s="161"/>
      <c r="AR290" s="161"/>
      <c r="AS290" s="161"/>
      <c r="AT290" s="161"/>
      <c r="AU290" s="161"/>
      <c r="AV290" s="161"/>
    </row>
    <row r="291" spans="36:48" x14ac:dyDescent="0.2">
      <c r="AJ291" s="161"/>
      <c r="AK291" s="161"/>
      <c r="AL291" s="161"/>
      <c r="AM291" s="161"/>
      <c r="AN291" s="161"/>
      <c r="AO291" s="161"/>
      <c r="AP291" s="161"/>
      <c r="AQ291" s="161"/>
      <c r="AR291" s="161"/>
      <c r="AS291" s="161"/>
      <c r="AT291" s="161"/>
      <c r="AU291" s="161"/>
      <c r="AV291" s="161"/>
    </row>
    <row r="292" spans="36:48" x14ac:dyDescent="0.2">
      <c r="AJ292" s="161"/>
      <c r="AK292" s="161"/>
      <c r="AL292" s="161"/>
      <c r="AM292" s="161"/>
      <c r="AN292" s="161"/>
      <c r="AO292" s="161"/>
      <c r="AP292" s="161"/>
      <c r="AQ292" s="161"/>
      <c r="AR292" s="161"/>
      <c r="AS292" s="161"/>
      <c r="AT292" s="161"/>
      <c r="AU292" s="161"/>
      <c r="AV292" s="161"/>
    </row>
    <row r="293" spans="36:48" x14ac:dyDescent="0.2">
      <c r="AJ293" s="161"/>
      <c r="AK293" s="161"/>
      <c r="AL293" s="161"/>
      <c r="AM293" s="161"/>
      <c r="AN293" s="161"/>
      <c r="AO293" s="161"/>
      <c r="AP293" s="161"/>
      <c r="AQ293" s="161"/>
      <c r="AR293" s="161"/>
      <c r="AS293" s="161"/>
      <c r="AT293" s="161"/>
      <c r="AU293" s="161"/>
      <c r="AV293" s="161"/>
    </row>
    <row r="294" spans="36:48" x14ac:dyDescent="0.2">
      <c r="AJ294" s="161"/>
      <c r="AK294" s="161"/>
      <c r="AL294" s="161"/>
      <c r="AM294" s="161"/>
      <c r="AN294" s="161"/>
      <c r="AO294" s="161"/>
      <c r="AP294" s="161"/>
      <c r="AQ294" s="161"/>
      <c r="AR294" s="161"/>
      <c r="AS294" s="161"/>
      <c r="AT294" s="161"/>
      <c r="AU294" s="161"/>
      <c r="AV294" s="161"/>
    </row>
    <row r="295" spans="36:48" x14ac:dyDescent="0.2">
      <c r="AJ295" s="161"/>
      <c r="AK295" s="161"/>
      <c r="AL295" s="161"/>
      <c r="AM295" s="161"/>
      <c r="AN295" s="161"/>
      <c r="AO295" s="161"/>
      <c r="AP295" s="161"/>
      <c r="AQ295" s="161"/>
      <c r="AR295" s="161"/>
      <c r="AS295" s="161"/>
      <c r="AT295" s="161"/>
      <c r="AU295" s="161"/>
      <c r="AV295" s="161"/>
    </row>
    <row r="296" spans="36:48" x14ac:dyDescent="0.2">
      <c r="AJ296" s="161"/>
      <c r="AK296" s="161"/>
      <c r="AL296" s="161"/>
      <c r="AM296" s="161"/>
      <c r="AN296" s="161"/>
      <c r="AO296" s="161"/>
      <c r="AP296" s="161"/>
      <c r="AQ296" s="161"/>
      <c r="AR296" s="161"/>
      <c r="AS296" s="161"/>
      <c r="AT296" s="161"/>
      <c r="AU296" s="161"/>
      <c r="AV296" s="161"/>
    </row>
  </sheetData>
  <protectedRanges>
    <protectedRange sqref="E11 E13 E15 E19:F19 E22 AE11 AE13 AE15 AE19 AE22 F125 C97:H106 P97:U106" name="Rango2"/>
    <protectedRange sqref="F36:AY36 E29:E31 L29:L30 M50:M63 Q50:R63 W50:W63 M72:M86 Q72:R86 W72:W86 C97:H106 P97:U106 F125 R29:R31 L38:M43 Q38:R43 W38:X43 AB38:AC43 AG38:AH43 AL38:AM43 AQ38:AR43 AV38:AW43 B50:J63 C38:H43 B72:J86" name="Rango1"/>
  </protectedRanges>
  <customSheetViews>
    <customSheetView guid="{D98A1565-B6EB-4D88-8DB8-23EB436D0197}" scale="70" fitToPage="1" hiddenColumns="1" topLeftCell="A104">
      <selection activeCell="J124" sqref="J124"/>
      <pageMargins left="0.70866141732283472" right="0.70866141732283472" top="0.74803149606299213" bottom="0.74803149606299213" header="0.31496062992125984" footer="0.31496062992125984"/>
      <pageSetup scale="25" orientation="portrait" horizontalDpi="4294967293" r:id="rId1"/>
    </customSheetView>
  </customSheetViews>
  <mergeCells count="164">
    <mergeCell ref="Z123:AC123"/>
    <mergeCell ref="AB124:AC124"/>
    <mergeCell ref="AB125:AC125"/>
    <mergeCell ref="AB126:AC126"/>
    <mergeCell ref="AB127:AC127"/>
    <mergeCell ref="D125:E125"/>
    <mergeCell ref="F125:M125"/>
    <mergeCell ref="Q48:X48"/>
    <mergeCell ref="F48:O48"/>
    <mergeCell ref="Q70:X70"/>
    <mergeCell ref="W89:X89"/>
    <mergeCell ref="B52:E52"/>
    <mergeCell ref="B53:E53"/>
    <mergeCell ref="B54:E54"/>
    <mergeCell ref="B55:E55"/>
    <mergeCell ref="B56:E56"/>
    <mergeCell ref="B50:E50"/>
    <mergeCell ref="B51:E51"/>
    <mergeCell ref="B62:E62"/>
    <mergeCell ref="B57:E57"/>
    <mergeCell ref="B59:E59"/>
    <mergeCell ref="B60:E60"/>
    <mergeCell ref="P103:R103"/>
    <mergeCell ref="P104:R104"/>
    <mergeCell ref="B112:E112"/>
    <mergeCell ref="B107:F107"/>
    <mergeCell ref="B76:E76"/>
    <mergeCell ref="B77:E77"/>
    <mergeCell ref="B78:E78"/>
    <mergeCell ref="B79:E79"/>
    <mergeCell ref="B80:E80"/>
    <mergeCell ref="B92:R92"/>
    <mergeCell ref="B110:J110"/>
    <mergeCell ref="P105:R105"/>
    <mergeCell ref="P106:R106"/>
    <mergeCell ref="C94:F96"/>
    <mergeCell ref="C97:F97"/>
    <mergeCell ref="C98:F98"/>
    <mergeCell ref="C99:F99"/>
    <mergeCell ref="C100:F100"/>
    <mergeCell ref="C101:F101"/>
    <mergeCell ref="C102:F102"/>
    <mergeCell ref="C103:F103"/>
    <mergeCell ref="P100:R100"/>
    <mergeCell ref="P101:R101"/>
    <mergeCell ref="P98:R98"/>
    <mergeCell ref="P97:R97"/>
    <mergeCell ref="P102:R102"/>
    <mergeCell ref="AE145:AH145"/>
    <mergeCell ref="B71:E71"/>
    <mergeCell ref="R127:W127"/>
    <mergeCell ref="R125:W125"/>
    <mergeCell ref="R126:W126"/>
    <mergeCell ref="X131:Z131"/>
    <mergeCell ref="D127:M127"/>
    <mergeCell ref="AB121:AC121"/>
    <mergeCell ref="R124:W124"/>
    <mergeCell ref="B87:E87"/>
    <mergeCell ref="D124:M124"/>
    <mergeCell ref="B72:E72"/>
    <mergeCell ref="B73:E73"/>
    <mergeCell ref="D126:M126"/>
    <mergeCell ref="B86:E86"/>
    <mergeCell ref="R123:W123"/>
    <mergeCell ref="H96:J96"/>
    <mergeCell ref="O108:T108"/>
    <mergeCell ref="U108:W108"/>
    <mergeCell ref="B88:J88"/>
    <mergeCell ref="B81:E81"/>
    <mergeCell ref="B116:E116"/>
    <mergeCell ref="B115:E115"/>
    <mergeCell ref="U96:W96"/>
    <mergeCell ref="O107:R107"/>
    <mergeCell ref="AG35:AJ35"/>
    <mergeCell ref="B35:B37"/>
    <mergeCell ref="P99:R99"/>
    <mergeCell ref="C39:E39"/>
    <mergeCell ref="C40:E40"/>
    <mergeCell ref="B94:B96"/>
    <mergeCell ref="U94:W94"/>
    <mergeCell ref="C105:F105"/>
    <mergeCell ref="C106:F106"/>
    <mergeCell ref="H94:J94"/>
    <mergeCell ref="H95:J95"/>
    <mergeCell ref="B75:E75"/>
    <mergeCell ref="U95:W95"/>
    <mergeCell ref="B61:E61"/>
    <mergeCell ref="B49:E49"/>
    <mergeCell ref="C104:F104"/>
    <mergeCell ref="O94:O96"/>
    <mergeCell ref="P94:R96"/>
    <mergeCell ref="B85:E85"/>
    <mergeCell ref="E15:H15"/>
    <mergeCell ref="E22:H22"/>
    <mergeCell ref="C38:E38"/>
    <mergeCell ref="AB36:AE36"/>
    <mergeCell ref="Z15:AC15"/>
    <mergeCell ref="AE15:AH15"/>
    <mergeCell ref="C43:E43"/>
    <mergeCell ref="B84:E84"/>
    <mergeCell ref="B74:E74"/>
    <mergeCell ref="B48:E48"/>
    <mergeCell ref="F70:O70"/>
    <mergeCell ref="B70:E70"/>
    <mergeCell ref="B58:E58"/>
    <mergeCell ref="B63:E63"/>
    <mergeCell ref="B64:E64"/>
    <mergeCell ref="B46:L46"/>
    <mergeCell ref="O29:Q29"/>
    <mergeCell ref="O30:Q30"/>
    <mergeCell ref="O31:Q31"/>
    <mergeCell ref="B28:D28"/>
    <mergeCell ref="B31:D31"/>
    <mergeCell ref="L36:O36"/>
    <mergeCell ref="B82:E82"/>
    <mergeCell ref="B83:E83"/>
    <mergeCell ref="B8:AC8"/>
    <mergeCell ref="AG8:AH8"/>
    <mergeCell ref="Z13:AC13"/>
    <mergeCell ref="AE13:AH13"/>
    <mergeCell ref="B9:AC9"/>
    <mergeCell ref="B29:D29"/>
    <mergeCell ref="B30:D30"/>
    <mergeCell ref="F29:J29"/>
    <mergeCell ref="F30:J30"/>
    <mergeCell ref="B22:D22"/>
    <mergeCell ref="B24:D24"/>
    <mergeCell ref="Z19:AC19"/>
    <mergeCell ref="B11:D11"/>
    <mergeCell ref="E11:O11"/>
    <mergeCell ref="B13:D13"/>
    <mergeCell ref="Z11:AC11"/>
    <mergeCell ref="AE11:AH11"/>
    <mergeCell ref="Z22:AC22"/>
    <mergeCell ref="AE22:AH22"/>
    <mergeCell ref="E13:O13"/>
    <mergeCell ref="B15:D15"/>
    <mergeCell ref="B17:D17"/>
    <mergeCell ref="B19:D19"/>
    <mergeCell ref="B27:J27"/>
    <mergeCell ref="BA35:BA37"/>
    <mergeCell ref="BB35:BB37"/>
    <mergeCell ref="B44:E44"/>
    <mergeCell ref="F31:J31"/>
    <mergeCell ref="AL35:AO35"/>
    <mergeCell ref="AQ35:AT35"/>
    <mergeCell ref="AV35:AY35"/>
    <mergeCell ref="C35:E37"/>
    <mergeCell ref="F35:J35"/>
    <mergeCell ref="L35:O35"/>
    <mergeCell ref="Q35:U35"/>
    <mergeCell ref="W35:Z35"/>
    <mergeCell ref="AB35:AE35"/>
    <mergeCell ref="AG36:AJ36"/>
    <mergeCell ref="AL36:AO36"/>
    <mergeCell ref="AQ36:AT36"/>
    <mergeCell ref="AV36:AY36"/>
    <mergeCell ref="C41:E41"/>
    <mergeCell ref="C42:E42"/>
    <mergeCell ref="Q36:U36"/>
    <mergeCell ref="W36:Z36"/>
    <mergeCell ref="B33:H33"/>
    <mergeCell ref="B32:D32"/>
    <mergeCell ref="F36:J36"/>
  </mergeCells>
  <dataValidations count="1">
    <dataValidation type="list" allowBlank="1" showInputMessage="1" showErrorMessage="1" sqref="J17">
      <formula1>"SI,NO"</formula1>
    </dataValidation>
  </dataValidations>
  <pageMargins left="0.25" right="0.25" top="0.75" bottom="0.75" header="0.3" footer="0.3"/>
  <pageSetup scale="20" orientation="landscape" horizontalDpi="4294967293" r:id="rId2"/>
  <ignoredErrors>
    <ignoredError sqref="P64" formula="1"/>
  </ignoredErrors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Hoja2!$H$2:$H$4</xm:f>
          </x14:formula1>
          <xm:sqref>N50:N63</xm:sqref>
        </x14:dataValidation>
        <x14:dataValidation type="list" allowBlank="1" showInputMessage="1" showErrorMessage="1">
          <x14:formula1>
            <xm:f>Hoja2!$N$2:$N$3</xm:f>
          </x14:formula1>
          <xm:sqref>E24:E28</xm:sqref>
        </x14:dataValidation>
        <x14:dataValidation type="list" allowBlank="1" showInputMessage="1" showErrorMessage="1">
          <x14:formula1>
            <xm:f>Hoja2!$O$2:$O$15</xm:f>
          </x14:formula1>
          <xm:sqref>H25:I28</xm:sqref>
        </x14:dataValidation>
        <x14:dataValidation type="list" allowBlank="1" showInputMessage="1" showErrorMessage="1">
          <x14:formula1>
            <xm:f>Hoja2!$L$2:$L$12</xm:f>
          </x14:formula1>
          <xm:sqref>Y125</xm:sqref>
        </x14:dataValidation>
        <x14:dataValidation type="list" allowBlank="1" showInputMessage="1" showErrorMessage="1">
          <x14:formula1>
            <xm:f>Hoja2!$H$7:$H$11</xm:f>
          </x14:formula1>
          <xm:sqref>N72:N86</xm:sqref>
        </x14:dataValidation>
        <x14:dataValidation type="list" allowBlank="1" showInputMessage="1" showErrorMessage="1">
          <x14:formula1>
            <xm:f>'E:\Users\Dell\Downloads\[RICHAR.xlsx]Hoja2'!#REF!</xm:f>
          </x14:formula1>
          <xm:sqref>E47</xm:sqref>
        </x14:dataValidation>
        <x14:dataValidation type="list" allowBlank="1" showInputMessage="1" showErrorMessage="1">
          <x14:formula1>
            <xm:f>Hoja2!$B$2:$B$3</xm:f>
          </x14:formula1>
          <xm:sqref>E19 E32</xm:sqref>
        </x14:dataValidation>
        <x14:dataValidation type="list" allowBlank="1" showInputMessage="1" showErrorMessage="1">
          <x14:formula1>
            <xm:f>Hoja2!$J$2:$J$3</xm:f>
          </x14:formula1>
          <xm:sqref>AE19:AF19</xm:sqref>
        </x14:dataValidation>
        <x14:dataValidation type="list" allowBlank="1" showInputMessage="1" showErrorMessage="1">
          <x14:formula1>
            <xm:f>Hoja2!$H$2:$H$5</xm:f>
          </x14:formula1>
          <xm:sqref>M50:M63</xm:sqref>
        </x14:dataValidation>
        <x14:dataValidation type="list" allowBlank="1" showInputMessage="1" showErrorMessage="1">
          <x14:formula1>
            <xm:f>Hoja2!$H$7:$H$12</xm:f>
          </x14:formula1>
          <xm:sqref>M72:M86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P617"/>
  <sheetViews>
    <sheetView topLeftCell="A31" workbookViewId="0">
      <selection activeCell="E41" sqref="E41"/>
    </sheetView>
  </sheetViews>
  <sheetFormatPr baseColWidth="10" defaultRowHeight="15" x14ac:dyDescent="0.25"/>
  <cols>
    <col min="2" max="2" width="17.85546875" customWidth="1"/>
    <col min="4" max="4" width="32.28515625" customWidth="1"/>
    <col min="5" max="5" width="14.85546875" customWidth="1"/>
    <col min="16" max="16" width="11.7109375" bestFit="1" customWidth="1"/>
  </cols>
  <sheetData>
    <row r="2" spans="1:16" x14ac:dyDescent="0.25">
      <c r="B2" t="s">
        <v>94</v>
      </c>
      <c r="E2">
        <v>15</v>
      </c>
      <c r="H2" t="s">
        <v>66</v>
      </c>
      <c r="J2" t="s">
        <v>97</v>
      </c>
      <c r="L2" s="70">
        <v>0</v>
      </c>
      <c r="N2" t="s">
        <v>64</v>
      </c>
      <c r="O2">
        <v>1</v>
      </c>
      <c r="P2">
        <v>5</v>
      </c>
    </row>
    <row r="3" spans="1:16" x14ac:dyDescent="0.25">
      <c r="B3" t="s">
        <v>95</v>
      </c>
      <c r="C3" s="93"/>
      <c r="D3">
        <v>120</v>
      </c>
      <c r="E3">
        <v>30</v>
      </c>
      <c r="H3" t="s">
        <v>96</v>
      </c>
      <c r="J3" t="s">
        <v>98</v>
      </c>
      <c r="L3" s="70">
        <v>0.05</v>
      </c>
      <c r="N3" t="s">
        <v>103</v>
      </c>
      <c r="O3">
        <v>1.5</v>
      </c>
    </row>
    <row r="4" spans="1:16" x14ac:dyDescent="0.25">
      <c r="C4" s="94"/>
      <c r="E4">
        <v>45</v>
      </c>
      <c r="H4" t="s">
        <v>85</v>
      </c>
      <c r="L4" s="70">
        <v>0.1</v>
      </c>
      <c r="O4">
        <v>2</v>
      </c>
    </row>
    <row r="5" spans="1:16" x14ac:dyDescent="0.25">
      <c r="E5">
        <v>60</v>
      </c>
      <c r="L5" s="70">
        <v>0.15</v>
      </c>
      <c r="O5">
        <v>2.5</v>
      </c>
    </row>
    <row r="6" spans="1:16" x14ac:dyDescent="0.25">
      <c r="E6">
        <v>75</v>
      </c>
      <c r="L6" s="70">
        <v>0.2</v>
      </c>
      <c r="O6">
        <v>3</v>
      </c>
    </row>
    <row r="7" spans="1:16" x14ac:dyDescent="0.25">
      <c r="E7">
        <v>90</v>
      </c>
      <c r="H7" t="s">
        <v>66</v>
      </c>
      <c r="L7" s="70">
        <v>0.25</v>
      </c>
      <c r="O7">
        <v>3.5</v>
      </c>
    </row>
    <row r="8" spans="1:16" x14ac:dyDescent="0.25">
      <c r="E8">
        <v>120</v>
      </c>
      <c r="H8" t="s">
        <v>1436</v>
      </c>
      <c r="L8" s="70">
        <v>0.3</v>
      </c>
      <c r="O8">
        <v>4</v>
      </c>
    </row>
    <row r="9" spans="1:16" x14ac:dyDescent="0.25">
      <c r="H9" t="s">
        <v>1437</v>
      </c>
      <c r="L9" s="70">
        <v>0.35</v>
      </c>
      <c r="O9">
        <v>4.5</v>
      </c>
    </row>
    <row r="10" spans="1:16" x14ac:dyDescent="0.25">
      <c r="H10" t="s">
        <v>1440</v>
      </c>
      <c r="L10" s="70">
        <v>0.4</v>
      </c>
      <c r="O10">
        <v>5</v>
      </c>
    </row>
    <row r="11" spans="1:16" x14ac:dyDescent="0.25">
      <c r="H11" t="s">
        <v>1439</v>
      </c>
      <c r="L11" s="70">
        <v>0.5</v>
      </c>
      <c r="O11">
        <v>5.5</v>
      </c>
    </row>
    <row r="12" spans="1:16" x14ac:dyDescent="0.25">
      <c r="A12" t="s">
        <v>60</v>
      </c>
      <c r="L12" s="70">
        <v>0.6</v>
      </c>
      <c r="O12">
        <v>6</v>
      </c>
    </row>
    <row r="13" spans="1:16" ht="79.5" customHeight="1" x14ac:dyDescent="0.25">
      <c r="B13" s="77" t="s">
        <v>84</v>
      </c>
      <c r="C13" s="77" t="s">
        <v>67</v>
      </c>
      <c r="D13" s="77" t="s">
        <v>68</v>
      </c>
      <c r="E13" s="77" t="s">
        <v>69</v>
      </c>
      <c r="F13" s="78" t="s">
        <v>71</v>
      </c>
      <c r="G13" s="77" t="s">
        <v>83</v>
      </c>
      <c r="H13" s="77" t="s">
        <v>81</v>
      </c>
      <c r="I13" s="77" t="s">
        <v>82</v>
      </c>
      <c r="J13" s="77" t="s">
        <v>80</v>
      </c>
      <c r="K13" s="77" t="s">
        <v>70</v>
      </c>
      <c r="L13" s="77" t="s">
        <v>72</v>
      </c>
      <c r="M13" s="77" t="s">
        <v>73</v>
      </c>
      <c r="N13" s="85" t="s">
        <v>99</v>
      </c>
      <c r="O13">
        <v>6.5</v>
      </c>
    </row>
    <row r="14" spans="1:16" ht="15.75" customHeight="1" x14ac:dyDescent="0.25">
      <c r="B14" s="68"/>
      <c r="C14" s="68"/>
      <c r="D14" s="72">
        <v>0.1671</v>
      </c>
      <c r="E14" s="68"/>
      <c r="F14" s="68"/>
      <c r="G14" s="68"/>
      <c r="H14" s="73">
        <v>8.3299999999999999E-2</v>
      </c>
      <c r="I14" s="73">
        <v>8.3299999999999999E-2</v>
      </c>
      <c r="J14" s="68"/>
      <c r="K14" s="68"/>
      <c r="L14" s="68"/>
      <c r="M14" s="68"/>
      <c r="N14" s="68"/>
      <c r="O14">
        <v>7</v>
      </c>
    </row>
    <row r="15" spans="1:16" x14ac:dyDescent="0.25">
      <c r="B15" s="74" t="s">
        <v>1416</v>
      </c>
      <c r="C15" s="71"/>
      <c r="D15" s="75"/>
      <c r="E15" s="71"/>
      <c r="F15" s="71"/>
      <c r="G15" s="71">
        <f>+F20/4</f>
        <v>97314.842722971269</v>
      </c>
      <c r="H15" s="71">
        <f>+H14*G15</f>
        <v>8106.3263988235067</v>
      </c>
      <c r="I15" s="71">
        <f>+I14*G15</f>
        <v>8106.3263988235067</v>
      </c>
      <c r="J15" s="71">
        <f>+I15+H15+G15</f>
        <v>113527.49552061828</v>
      </c>
      <c r="K15" s="68">
        <v>208</v>
      </c>
      <c r="L15" s="87">
        <f>+J15/K15</f>
        <v>545.8052669260494</v>
      </c>
      <c r="M15" s="71">
        <f>+L15*8*1.1</f>
        <v>4803.0863489492349</v>
      </c>
      <c r="N15" s="68">
        <f>+M15/8</f>
        <v>600.38579361865436</v>
      </c>
    </row>
    <row r="16" spans="1:16" x14ac:dyDescent="0.25">
      <c r="B16" s="74" t="s">
        <v>1417</v>
      </c>
      <c r="C16" s="71">
        <v>79714.487542499992</v>
      </c>
      <c r="D16" s="75">
        <v>0.1671</v>
      </c>
      <c r="E16" s="71">
        <f>+C16*D16</f>
        <v>13320.290868351749</v>
      </c>
      <c r="F16" s="71">
        <f>+E16+C16</f>
        <v>93034.778410851737</v>
      </c>
      <c r="G16" s="68"/>
      <c r="H16" s="68"/>
      <c r="I16" s="68"/>
      <c r="J16" s="68"/>
      <c r="K16" s="68"/>
      <c r="L16" s="68"/>
      <c r="M16" s="71"/>
      <c r="N16" s="68"/>
    </row>
    <row r="17" spans="2:16" x14ac:dyDescent="0.25">
      <c r="B17" s="74" t="s">
        <v>1418</v>
      </c>
      <c r="C17" s="71">
        <v>79296.91</v>
      </c>
      <c r="D17" s="75">
        <v>0.1671</v>
      </c>
      <c r="E17" s="71">
        <f>+C17*D17</f>
        <v>13250.513661000001</v>
      </c>
      <c r="F17" s="71">
        <f>+E17+C17</f>
        <v>92547.423661000008</v>
      </c>
      <c r="G17" s="68"/>
      <c r="H17" s="68"/>
      <c r="I17" s="68"/>
      <c r="J17" s="68"/>
      <c r="K17" s="68">
        <v>30</v>
      </c>
      <c r="L17" s="68"/>
      <c r="M17" s="71">
        <f>+J15/K17*1.1</f>
        <v>4162.6748357560036</v>
      </c>
      <c r="N17" s="68"/>
    </row>
    <row r="18" spans="2:16" x14ac:dyDescent="0.25">
      <c r="B18" s="74" t="s">
        <v>1419</v>
      </c>
      <c r="C18" s="71">
        <v>88462.75</v>
      </c>
      <c r="D18" s="75">
        <v>0.1671</v>
      </c>
      <c r="E18" s="71">
        <f>+C18*D18</f>
        <v>14782.125524999999</v>
      </c>
      <c r="F18" s="71">
        <f>+E18+C18</f>
        <v>103244.875525</v>
      </c>
      <c r="G18" s="68"/>
      <c r="H18" s="68"/>
      <c r="I18" s="68"/>
      <c r="J18" s="68"/>
      <c r="K18" s="68"/>
      <c r="L18" s="68"/>
      <c r="M18" s="71"/>
      <c r="N18" s="68"/>
      <c r="P18" s="84"/>
    </row>
    <row r="19" spans="2:16" x14ac:dyDescent="0.25">
      <c r="B19" s="74" t="s">
        <v>1420</v>
      </c>
      <c r="C19" s="71">
        <v>86052.860333333345</v>
      </c>
      <c r="D19" s="75">
        <v>0.1671</v>
      </c>
      <c r="E19" s="71">
        <f>+C19*D19</f>
        <v>14379.432961700002</v>
      </c>
      <c r="F19" s="71">
        <f>+E19+C19</f>
        <v>100432.29329503335</v>
      </c>
      <c r="G19" s="68"/>
      <c r="H19" s="68"/>
      <c r="I19" s="68"/>
      <c r="J19" s="68"/>
      <c r="K19" s="68"/>
      <c r="L19" s="68"/>
      <c r="M19" s="71"/>
      <c r="N19" s="68"/>
    </row>
    <row r="20" spans="2:16" x14ac:dyDescent="0.25">
      <c r="B20" s="68" t="s">
        <v>51</v>
      </c>
      <c r="C20" s="71">
        <f>SUM(C15:C19)</f>
        <v>333527.00787583331</v>
      </c>
      <c r="D20" s="68"/>
      <c r="E20" s="68"/>
      <c r="F20" s="86">
        <f>SUM(F15:F19)</f>
        <v>389259.37089188508</v>
      </c>
      <c r="G20" s="68"/>
      <c r="H20" s="68"/>
      <c r="I20" s="68"/>
      <c r="J20" s="68"/>
      <c r="K20" s="68"/>
      <c r="L20" s="68"/>
      <c r="M20" s="68"/>
      <c r="N20" s="68"/>
    </row>
    <row r="23" spans="2:16" x14ac:dyDescent="0.25">
      <c r="B23" t="s">
        <v>84</v>
      </c>
      <c r="C23" t="s">
        <v>1409</v>
      </c>
      <c r="D23" t="s">
        <v>1410</v>
      </c>
      <c r="E23" t="s">
        <v>51</v>
      </c>
    </row>
    <row r="24" spans="2:16" x14ac:dyDescent="0.25">
      <c r="K24" t="s">
        <v>1446</v>
      </c>
      <c r="L24" t="s">
        <v>1447</v>
      </c>
      <c r="M24" t="s">
        <v>1448</v>
      </c>
    </row>
    <row r="25" spans="2:16" x14ac:dyDescent="0.25">
      <c r="B25" s="84" t="s">
        <v>1411</v>
      </c>
      <c r="C25" s="84">
        <f>69419.4352-H25</f>
        <v>47686.745200000005</v>
      </c>
      <c r="D25" s="84">
        <v>11706.78024892879</v>
      </c>
      <c r="E25" s="84">
        <f>+D25+C25</f>
        <v>59393.525448928791</v>
      </c>
      <c r="H25">
        <v>21732.69</v>
      </c>
      <c r="I25">
        <f>SUM(H25:H29)</f>
        <v>107363.85</v>
      </c>
      <c r="J25">
        <f>+I25/5</f>
        <v>21472.77</v>
      </c>
      <c r="K25">
        <f>+J25*1.1671</f>
        <v>25060.869867000001</v>
      </c>
      <c r="L25">
        <f>+K25*0.0833</f>
        <v>2087.5704599210999</v>
      </c>
      <c r="M25">
        <f>+K25*0.0833</f>
        <v>2087.5704599210999</v>
      </c>
      <c r="N25">
        <f>+M25+L25+K25</f>
        <v>29236.010786842202</v>
      </c>
      <c r="O25">
        <f>+N25*12</f>
        <v>350832.12944210641</v>
      </c>
    </row>
    <row r="26" spans="2:16" x14ac:dyDescent="0.25">
      <c r="B26" s="84" t="s">
        <v>1412</v>
      </c>
      <c r="C26" s="84">
        <f>63092.6776-H26</f>
        <v>41684.887600000002</v>
      </c>
      <c r="D26" s="84">
        <v>21779.779961912536</v>
      </c>
      <c r="E26" s="84">
        <f>+D26+C26</f>
        <v>63464.667561912538</v>
      </c>
      <c r="H26">
        <v>21407.79</v>
      </c>
    </row>
    <row r="27" spans="2:16" x14ac:dyDescent="0.25">
      <c r="B27" s="84" t="s">
        <v>1413</v>
      </c>
      <c r="C27" s="84">
        <f>60723.82-H27</f>
        <v>39316.03</v>
      </c>
      <c r="D27" s="84">
        <v>18972.311773107533</v>
      </c>
      <c r="E27" s="84">
        <f>+D27+C27</f>
        <v>58288.341773107531</v>
      </c>
      <c r="H27">
        <v>21407.79</v>
      </c>
    </row>
    <row r="28" spans="2:16" x14ac:dyDescent="0.25">
      <c r="B28" s="84" t="s">
        <v>1414</v>
      </c>
      <c r="C28" s="84">
        <f>70056.48-H28</f>
        <v>48648.689999999995</v>
      </c>
      <c r="D28" s="84">
        <v>15703.682438958036</v>
      </c>
      <c r="E28" s="84">
        <f>+D28+C28</f>
        <v>64352.372438958031</v>
      </c>
      <c r="H28">
        <v>21407.79</v>
      </c>
    </row>
    <row r="29" spans="2:16" x14ac:dyDescent="0.25">
      <c r="B29" s="84" t="s">
        <v>1415</v>
      </c>
      <c r="C29" s="84">
        <f>67579.04-H29</f>
        <v>46171.249999999993</v>
      </c>
      <c r="D29" s="84">
        <v>4053.3675440386314</v>
      </c>
      <c r="E29" s="84">
        <f>+D29+C29</f>
        <v>50224.617544038621</v>
      </c>
      <c r="H29" s="96">
        <v>21407.79</v>
      </c>
    </row>
    <row r="30" spans="2:16" x14ac:dyDescent="0.25">
      <c r="B30" s="84"/>
      <c r="C30" s="84"/>
      <c r="D30" s="84"/>
    </row>
    <row r="33" spans="2:13" ht="75" x14ac:dyDescent="0.25">
      <c r="B33" s="76" t="s">
        <v>1449</v>
      </c>
      <c r="C33" s="77"/>
      <c r="D33" s="77" t="s">
        <v>1450</v>
      </c>
      <c r="E33" s="77"/>
      <c r="F33" s="77" t="s">
        <v>1451</v>
      </c>
      <c r="G33" s="77" t="s">
        <v>1452</v>
      </c>
      <c r="H33" s="77"/>
      <c r="I33" s="77"/>
      <c r="J33" s="77"/>
      <c r="K33" s="77"/>
    </row>
    <row r="35" spans="2:13" ht="36.75" customHeight="1" x14ac:dyDescent="0.25">
      <c r="B35" s="97">
        <v>12810942.899442106</v>
      </c>
      <c r="C35" s="69"/>
      <c r="D35" s="69">
        <v>2179769.7994421064</v>
      </c>
      <c r="E35" s="97">
        <f>+D35+B35</f>
        <v>14990712.698884213</v>
      </c>
      <c r="F35" s="69">
        <f>+D35/B35</f>
        <v>0.17014905277089568</v>
      </c>
      <c r="G35" s="69">
        <v>0.2</v>
      </c>
      <c r="H35" s="69"/>
      <c r="I35" s="69"/>
      <c r="J35" s="69"/>
      <c r="K35" s="69"/>
    </row>
    <row r="40" spans="2:13" ht="42.75" customHeight="1" x14ac:dyDescent="0.25">
      <c r="B40" s="81" t="s">
        <v>87</v>
      </c>
      <c r="C40" s="81" t="s">
        <v>88</v>
      </c>
      <c r="D40" s="81" t="s">
        <v>89</v>
      </c>
      <c r="E40" s="81" t="s">
        <v>90</v>
      </c>
      <c r="F40" s="81" t="s">
        <v>91</v>
      </c>
    </row>
    <row r="41" spans="2:13" ht="24.75" customHeight="1" x14ac:dyDescent="0.25">
      <c r="B41" s="80">
        <v>0.17</v>
      </c>
      <c r="C41" s="79">
        <v>208</v>
      </c>
      <c r="D41" s="79">
        <f>+C41*12</f>
        <v>2496</v>
      </c>
      <c r="E41" s="83">
        <f>+B41/D41</f>
        <v>6.8108974358974369E-5</v>
      </c>
      <c r="F41" s="82">
        <f>+E41*8</f>
        <v>5.4487179487179495E-4</v>
      </c>
    </row>
    <row r="44" spans="2:13" x14ac:dyDescent="0.25">
      <c r="B44" s="84"/>
      <c r="F44" s="84"/>
    </row>
    <row r="46" spans="2:13" x14ac:dyDescent="0.25">
      <c r="B46" t="str">
        <f>CONCATENATE(C46,"*",D46)</f>
        <v>01*TIGO</v>
      </c>
      <c r="C46" s="88" t="s">
        <v>104</v>
      </c>
      <c r="D46" s="89" t="s">
        <v>105</v>
      </c>
      <c r="F46" t="str">
        <f>CONCATENATE(G46,"*",H46)</f>
        <v>01*PRODUCTOS PUBLICITARIOS PARA CLIENTES</v>
      </c>
      <c r="G46" t="s">
        <v>104</v>
      </c>
      <c r="H46" t="s">
        <v>258</v>
      </c>
      <c r="L46" t="s">
        <v>276</v>
      </c>
      <c r="M46" t="s">
        <v>277</v>
      </c>
    </row>
    <row r="47" spans="2:13" x14ac:dyDescent="0.25">
      <c r="B47" t="str">
        <f t="shared" ref="B47:B110" si="0">CONCATENATE(C47,"*",D47)</f>
        <v>02*UNILEVER</v>
      </c>
      <c r="C47" s="88" t="s">
        <v>106</v>
      </c>
      <c r="D47" s="89" t="s">
        <v>107</v>
      </c>
      <c r="F47" t="str">
        <f t="shared" ref="F47:F110" si="1">CONCATENATE(G47,"*",H47)</f>
        <v>02*EQUIPOS PARA VENTA A CLIENTES</v>
      </c>
      <c r="G47" t="s">
        <v>106</v>
      </c>
      <c r="H47" t="s">
        <v>259</v>
      </c>
      <c r="L47" t="s">
        <v>278</v>
      </c>
      <c r="M47" t="s">
        <v>279</v>
      </c>
    </row>
    <row r="48" spans="2:13" x14ac:dyDescent="0.25">
      <c r="B48" t="str">
        <f t="shared" si="0"/>
        <v>03*ESIKA</v>
      </c>
      <c r="C48" s="88" t="s">
        <v>108</v>
      </c>
      <c r="D48" s="89" t="s">
        <v>109</v>
      </c>
      <c r="F48" t="str">
        <f t="shared" si="1"/>
        <v>03*EVENTOS</v>
      </c>
      <c r="G48" t="s">
        <v>108</v>
      </c>
      <c r="H48" t="s">
        <v>260</v>
      </c>
      <c r="L48" t="s">
        <v>280</v>
      </c>
      <c r="M48" t="s">
        <v>281</v>
      </c>
    </row>
    <row r="49" spans="2:13" x14ac:dyDescent="0.25">
      <c r="B49" t="str">
        <f t="shared" si="0"/>
        <v>04*KIMBERLY</v>
      </c>
      <c r="C49" s="88" t="s">
        <v>110</v>
      </c>
      <c r="D49" s="89" t="s">
        <v>111</v>
      </c>
      <c r="F49" t="str">
        <f t="shared" si="1"/>
        <v>04*FERIAS Y EXPOSICIONES</v>
      </c>
      <c r="G49" t="s">
        <v>110</v>
      </c>
      <c r="H49" t="s">
        <v>261</v>
      </c>
      <c r="L49" t="s">
        <v>282</v>
      </c>
      <c r="M49" t="s">
        <v>283</v>
      </c>
    </row>
    <row r="50" spans="2:13" x14ac:dyDescent="0.25">
      <c r="B50" t="str">
        <f t="shared" si="0"/>
        <v>05*ROBERTO LICHTENFELD</v>
      </c>
      <c r="C50" s="88" t="s">
        <v>112</v>
      </c>
      <c r="D50" s="89" t="s">
        <v>113</v>
      </c>
      <c r="F50" t="str">
        <f t="shared" si="1"/>
        <v>05*AUSPICIOS MENORES</v>
      </c>
      <c r="G50" t="s">
        <v>112</v>
      </c>
      <c r="H50" t="s">
        <v>262</v>
      </c>
      <c r="L50" t="s">
        <v>284</v>
      </c>
      <c r="M50" t="s">
        <v>285</v>
      </c>
    </row>
    <row r="51" spans="2:13" x14ac:dyDescent="0.25">
      <c r="B51" t="str">
        <f t="shared" si="0"/>
        <v>06*TUA CASA</v>
      </c>
      <c r="C51" s="88" t="s">
        <v>114</v>
      </c>
      <c r="D51" s="89" t="s">
        <v>115</v>
      </c>
      <c r="F51" t="str">
        <f t="shared" si="1"/>
        <v>06*SERVICIO DE LOGISTICA Y ARMADO DE IMAGEN</v>
      </c>
      <c r="G51" t="s">
        <v>114</v>
      </c>
      <c r="H51" t="s">
        <v>263</v>
      </c>
      <c r="L51" t="s">
        <v>286</v>
      </c>
      <c r="M51" t="s">
        <v>287</v>
      </c>
    </row>
    <row r="52" spans="2:13" x14ac:dyDescent="0.25">
      <c r="B52" t="str">
        <f t="shared" si="0"/>
        <v>07*GRUPO REGIONAL S.R.L.</v>
      </c>
      <c r="C52" s="88" t="s">
        <v>116</v>
      </c>
      <c r="D52" s="89" t="s">
        <v>117</v>
      </c>
      <c r="F52" t="str">
        <f t="shared" si="1"/>
        <v>07*EVENTOS CINE POP</v>
      </c>
      <c r="G52" t="s">
        <v>116</v>
      </c>
      <c r="H52" t="s">
        <v>264</v>
      </c>
      <c r="L52" t="s">
        <v>288</v>
      </c>
      <c r="M52" t="s">
        <v>289</v>
      </c>
    </row>
    <row r="53" spans="2:13" x14ac:dyDescent="0.25">
      <c r="B53" t="str">
        <f t="shared" si="0"/>
        <v>08*CGM</v>
      </c>
      <c r="C53" s="88" t="s">
        <v>118</v>
      </c>
      <c r="D53" s="89" t="s">
        <v>119</v>
      </c>
      <c r="F53" t="str">
        <f t="shared" si="1"/>
        <v>08*SERVICIOS DE DISEÑO</v>
      </c>
      <c r="G53" t="s">
        <v>118</v>
      </c>
      <c r="H53" t="s">
        <v>265</v>
      </c>
      <c r="L53" t="s">
        <v>290</v>
      </c>
      <c r="M53" t="s">
        <v>291</v>
      </c>
    </row>
    <row r="54" spans="2:13" x14ac:dyDescent="0.25">
      <c r="B54" t="str">
        <f t="shared" si="0"/>
        <v>09*BV FISCALIZADORA</v>
      </c>
      <c r="C54" s="88" t="s">
        <v>120</v>
      </c>
      <c r="D54" s="89" t="s">
        <v>121</v>
      </c>
      <c r="F54" t="str">
        <f t="shared" si="1"/>
        <v>09*SERVICIOS DE PUBLICIDAD</v>
      </c>
      <c r="G54" t="s">
        <v>120</v>
      </c>
      <c r="H54" t="s">
        <v>266</v>
      </c>
      <c r="L54" t="s">
        <v>292</v>
      </c>
      <c r="M54" t="s">
        <v>293</v>
      </c>
    </row>
    <row r="55" spans="2:13" x14ac:dyDescent="0.25">
      <c r="B55" t="str">
        <f t="shared" si="0"/>
        <v>10*E-FECTIVO ESPM S.A.</v>
      </c>
      <c r="C55" s="88" t="s">
        <v>122</v>
      </c>
      <c r="D55" s="89" t="s">
        <v>123</v>
      </c>
      <c r="F55" t="str">
        <f t="shared" si="1"/>
        <v>10*SERVICIO DE ALQUILER</v>
      </c>
      <c r="G55" t="s">
        <v>122</v>
      </c>
      <c r="H55" t="s">
        <v>267</v>
      </c>
      <c r="L55" t="s">
        <v>294</v>
      </c>
      <c r="M55" t="s">
        <v>295</v>
      </c>
    </row>
    <row r="56" spans="2:13" x14ac:dyDescent="0.25">
      <c r="B56" t="str">
        <f t="shared" si="0"/>
        <v>11*FEDERACION BOLIVIANA DE GOLF</v>
      </c>
      <c r="C56" s="88" t="s">
        <v>124</v>
      </c>
      <c r="D56" s="89" t="s">
        <v>125</v>
      </c>
      <c r="F56" t="str">
        <f t="shared" si="1"/>
        <v>11*SERVICIOS VARIOS</v>
      </c>
      <c r="G56" t="s">
        <v>124</v>
      </c>
      <c r="H56" t="s">
        <v>268</v>
      </c>
      <c r="L56" t="s">
        <v>296</v>
      </c>
      <c r="M56" t="s">
        <v>297</v>
      </c>
    </row>
    <row r="57" spans="2:13" x14ac:dyDescent="0.25">
      <c r="B57" t="str">
        <f t="shared" si="0"/>
        <v>12*BASE POPULAR</v>
      </c>
      <c r="C57" s="88" t="s">
        <v>126</v>
      </c>
      <c r="D57" s="89" t="s">
        <v>127</v>
      </c>
      <c r="F57" t="str">
        <f t="shared" si="1"/>
        <v xml:space="preserve">12*BTL IMPULSADORAS </v>
      </c>
      <c r="G57" t="s">
        <v>126</v>
      </c>
      <c r="H57" t="s">
        <v>269</v>
      </c>
      <c r="L57" t="s">
        <v>298</v>
      </c>
      <c r="M57" t="s">
        <v>299</v>
      </c>
    </row>
    <row r="58" spans="2:13" x14ac:dyDescent="0.25">
      <c r="B58" t="str">
        <f t="shared" si="0"/>
        <v>13*CBN</v>
      </c>
      <c r="C58" s="88" t="s">
        <v>128</v>
      </c>
      <c r="D58" s="89" t="s">
        <v>129</v>
      </c>
      <c r="F58" t="str">
        <f t="shared" si="1"/>
        <v xml:space="preserve">13*BTL REGISTRADORAS </v>
      </c>
      <c r="G58" t="s">
        <v>128</v>
      </c>
      <c r="H58" t="s">
        <v>270</v>
      </c>
      <c r="L58" t="s">
        <v>300</v>
      </c>
      <c r="M58" t="s">
        <v>301</v>
      </c>
    </row>
    <row r="59" spans="2:13" x14ac:dyDescent="0.25">
      <c r="B59" t="str">
        <f t="shared" si="0"/>
        <v>14*IMCRUZ</v>
      </c>
      <c r="C59" s="88" t="s">
        <v>130</v>
      </c>
      <c r="D59" s="89" t="s">
        <v>131</v>
      </c>
      <c r="F59" t="str">
        <f t="shared" si="1"/>
        <v>14*ADMINISTRACIÓN</v>
      </c>
      <c r="G59" t="s">
        <v>130</v>
      </c>
      <c r="H59" t="s">
        <v>271</v>
      </c>
      <c r="L59" t="s">
        <v>302</v>
      </c>
      <c r="M59" t="s">
        <v>303</v>
      </c>
    </row>
    <row r="60" spans="2:13" x14ac:dyDescent="0.25">
      <c r="B60" t="str">
        <f t="shared" si="0"/>
        <v>15*MARIO KISEN</v>
      </c>
      <c r="C60" s="88" t="s">
        <v>132</v>
      </c>
      <c r="D60" s="89" t="s">
        <v>133</v>
      </c>
      <c r="F60" t="str">
        <f t="shared" si="1"/>
        <v>15*TERCERIZACION PERSONAL</v>
      </c>
      <c r="G60" t="s">
        <v>132</v>
      </c>
      <c r="H60" t="s">
        <v>272</v>
      </c>
      <c r="L60" t="s">
        <v>304</v>
      </c>
      <c r="M60" t="s">
        <v>305</v>
      </c>
    </row>
    <row r="61" spans="2:13" x14ac:dyDescent="0.25">
      <c r="B61" t="str">
        <f t="shared" si="0"/>
        <v>16*SOFIA LTDA.</v>
      </c>
      <c r="C61" s="88" t="s">
        <v>134</v>
      </c>
      <c r="D61" s="89" t="s">
        <v>135</v>
      </c>
      <c r="F61" t="str">
        <f t="shared" si="1"/>
        <v>16*IMPORTACION PRODUCTOS</v>
      </c>
      <c r="G61" t="s">
        <v>134</v>
      </c>
      <c r="H61" t="s">
        <v>273</v>
      </c>
      <c r="L61" t="s">
        <v>306</v>
      </c>
      <c r="M61" t="s">
        <v>307</v>
      </c>
    </row>
    <row r="62" spans="2:13" x14ac:dyDescent="0.25">
      <c r="B62" t="str">
        <f t="shared" si="0"/>
        <v>17*ALICORP</v>
      </c>
      <c r="C62" s="88" t="s">
        <v>136</v>
      </c>
      <c r="D62" s="89" t="s">
        <v>137</v>
      </c>
      <c r="F62" t="str">
        <f t="shared" si="1"/>
        <v>17*VENTA DE COMIDA</v>
      </c>
      <c r="G62" t="s">
        <v>136</v>
      </c>
      <c r="H62" t="s">
        <v>274</v>
      </c>
      <c r="L62" t="s">
        <v>308</v>
      </c>
      <c r="M62" t="s">
        <v>309</v>
      </c>
    </row>
    <row r="63" spans="2:13" x14ac:dyDescent="0.25">
      <c r="B63" t="str">
        <f t="shared" si="0"/>
        <v>18*D&amp;M</v>
      </c>
      <c r="C63" s="88" t="s">
        <v>138</v>
      </c>
      <c r="D63" s="89" t="s">
        <v>139</v>
      </c>
      <c r="F63" t="str">
        <f t="shared" si="1"/>
        <v>18*SERVICIO DE IMPRESIÓN</v>
      </c>
      <c r="G63" t="s">
        <v>138</v>
      </c>
      <c r="H63" t="s">
        <v>275</v>
      </c>
      <c r="L63" t="s">
        <v>310</v>
      </c>
      <c r="M63" t="s">
        <v>311</v>
      </c>
    </row>
    <row r="64" spans="2:13" x14ac:dyDescent="0.25">
      <c r="B64" t="str">
        <f t="shared" si="0"/>
        <v>19*COMPANEX</v>
      </c>
      <c r="C64" s="88" t="s">
        <v>140</v>
      </c>
      <c r="D64" s="89" t="s">
        <v>141</v>
      </c>
      <c r="F64" t="str">
        <f t="shared" si="1"/>
        <v>19*</v>
      </c>
      <c r="G64" t="s">
        <v>140</v>
      </c>
      <c r="L64" t="s">
        <v>312</v>
      </c>
      <c r="M64" t="s">
        <v>313</v>
      </c>
    </row>
    <row r="65" spans="2:13" x14ac:dyDescent="0.25">
      <c r="B65" t="str">
        <f t="shared" si="0"/>
        <v>20*COMERCIAL IPORRE</v>
      </c>
      <c r="C65" s="88" t="s">
        <v>142</v>
      </c>
      <c r="D65" s="89" t="s">
        <v>143</v>
      </c>
      <c r="F65" t="str">
        <f t="shared" si="1"/>
        <v>20*</v>
      </c>
      <c r="G65" t="s">
        <v>142</v>
      </c>
      <c r="L65" t="s">
        <v>314</v>
      </c>
      <c r="M65" t="s">
        <v>315</v>
      </c>
    </row>
    <row r="66" spans="2:13" x14ac:dyDescent="0.25">
      <c r="B66" t="str">
        <f t="shared" si="0"/>
        <v>21*LUXOR AUTOMOTORS</v>
      </c>
      <c r="C66" s="88" t="s">
        <v>144</v>
      </c>
      <c r="D66" s="89" t="s">
        <v>145</v>
      </c>
      <c r="F66" t="str">
        <f t="shared" si="1"/>
        <v>21*</v>
      </c>
      <c r="G66" t="s">
        <v>144</v>
      </c>
      <c r="L66" t="s">
        <v>316</v>
      </c>
      <c r="M66" t="s">
        <v>317</v>
      </c>
    </row>
    <row r="67" spans="2:13" x14ac:dyDescent="0.25">
      <c r="B67" t="str">
        <f t="shared" si="0"/>
        <v>22*ELIZABETH ZURCO</v>
      </c>
      <c r="C67" s="88" t="s">
        <v>146</v>
      </c>
      <c r="D67" s="89" t="s">
        <v>147</v>
      </c>
      <c r="F67" t="str">
        <f t="shared" si="1"/>
        <v>22*</v>
      </c>
      <c r="G67" t="s">
        <v>146</v>
      </c>
      <c r="L67" t="s">
        <v>318</v>
      </c>
      <c r="M67" t="s">
        <v>319</v>
      </c>
    </row>
    <row r="68" spans="2:13" x14ac:dyDescent="0.25">
      <c r="B68" t="str">
        <f t="shared" si="0"/>
        <v>23*3 M</v>
      </c>
      <c r="C68" s="88" t="s">
        <v>148</v>
      </c>
      <c r="D68" s="89" t="s">
        <v>149</v>
      </c>
      <c r="F68" t="str">
        <f t="shared" si="1"/>
        <v>23*</v>
      </c>
      <c r="G68" t="s">
        <v>148</v>
      </c>
      <c r="L68" t="s">
        <v>320</v>
      </c>
      <c r="M68" t="s">
        <v>321</v>
      </c>
    </row>
    <row r="69" spans="2:13" x14ac:dyDescent="0.25">
      <c r="B69" t="str">
        <f t="shared" si="0"/>
        <v>24*LA HERRADURA</v>
      </c>
      <c r="C69" s="88" t="s">
        <v>150</v>
      </c>
      <c r="D69" s="89" t="s">
        <v>151</v>
      </c>
      <c r="F69" t="str">
        <f t="shared" si="1"/>
        <v>24*</v>
      </c>
      <c r="G69" t="s">
        <v>150</v>
      </c>
      <c r="L69" t="s">
        <v>322</v>
      </c>
      <c r="M69" t="s">
        <v>323</v>
      </c>
    </row>
    <row r="70" spans="2:13" x14ac:dyDescent="0.25">
      <c r="B70" t="str">
        <f t="shared" si="0"/>
        <v>25*RTC PERU</v>
      </c>
      <c r="C70" s="88" t="s">
        <v>152</v>
      </c>
      <c r="D70" s="89" t="s">
        <v>153</v>
      </c>
      <c r="F70" t="str">
        <f t="shared" si="1"/>
        <v>25*</v>
      </c>
      <c r="G70" t="s">
        <v>152</v>
      </c>
      <c r="L70" t="s">
        <v>324</v>
      </c>
      <c r="M70" t="s">
        <v>325</v>
      </c>
    </row>
    <row r="71" spans="2:13" x14ac:dyDescent="0.25">
      <c r="B71" t="str">
        <f t="shared" si="0"/>
        <v>26*PUBLICARTE</v>
      </c>
      <c r="C71" s="88" t="s">
        <v>154</v>
      </c>
      <c r="D71" s="89" t="s">
        <v>155</v>
      </c>
      <c r="F71" t="str">
        <f t="shared" si="1"/>
        <v>26*</v>
      </c>
      <c r="G71" t="s">
        <v>154</v>
      </c>
      <c r="L71" t="s">
        <v>326</v>
      </c>
      <c r="M71" t="s">
        <v>327</v>
      </c>
    </row>
    <row r="72" spans="2:13" x14ac:dyDescent="0.25">
      <c r="B72" t="str">
        <f t="shared" si="0"/>
        <v>27*SACI</v>
      </c>
      <c r="C72" s="88" t="s">
        <v>156</v>
      </c>
      <c r="D72" s="89" t="s">
        <v>157</v>
      </c>
      <c r="F72" t="str">
        <f t="shared" si="1"/>
        <v>27*</v>
      </c>
      <c r="G72" t="s">
        <v>156</v>
      </c>
      <c r="L72" t="s">
        <v>328</v>
      </c>
      <c r="M72" t="s">
        <v>329</v>
      </c>
    </row>
    <row r="73" spans="2:13" x14ac:dyDescent="0.25">
      <c r="B73" t="str">
        <f t="shared" si="0"/>
        <v>28*MADISA</v>
      </c>
      <c r="C73" s="88" t="s">
        <v>158</v>
      </c>
      <c r="D73" s="89" t="s">
        <v>159</v>
      </c>
      <c r="F73" t="str">
        <f t="shared" si="1"/>
        <v>28*</v>
      </c>
      <c r="G73" t="s">
        <v>158</v>
      </c>
      <c r="L73" t="s">
        <v>330</v>
      </c>
      <c r="M73" t="s">
        <v>331</v>
      </c>
    </row>
    <row r="74" spans="2:13" x14ac:dyDescent="0.25">
      <c r="B74" t="str">
        <f t="shared" si="0"/>
        <v>29*GUIDO SALVATIERRA ZABALA</v>
      </c>
      <c r="C74" s="88" t="s">
        <v>160</v>
      </c>
      <c r="D74" s="89" t="s">
        <v>161</v>
      </c>
      <c r="F74" t="str">
        <f t="shared" si="1"/>
        <v>29*</v>
      </c>
      <c r="G74" t="s">
        <v>160</v>
      </c>
      <c r="L74" t="s">
        <v>332</v>
      </c>
      <c r="M74" t="s">
        <v>333</v>
      </c>
    </row>
    <row r="75" spans="2:13" x14ac:dyDescent="0.25">
      <c r="B75" t="str">
        <f t="shared" si="0"/>
        <v>30*CORPORACION HOTELERA TEKA S.A.</v>
      </c>
      <c r="C75" s="88" t="s">
        <v>162</v>
      </c>
      <c r="D75" s="89" t="s">
        <v>163</v>
      </c>
      <c r="F75" t="str">
        <f t="shared" si="1"/>
        <v>30*</v>
      </c>
      <c r="G75" t="s">
        <v>162</v>
      </c>
      <c r="L75" t="s">
        <v>334</v>
      </c>
      <c r="M75" t="s">
        <v>335</v>
      </c>
    </row>
    <row r="76" spans="2:13" x14ac:dyDescent="0.25">
      <c r="B76" t="str">
        <f t="shared" si="0"/>
        <v>31*AUTOS CHERY</v>
      </c>
      <c r="C76" s="88" t="s">
        <v>164</v>
      </c>
      <c r="D76" s="89" t="s">
        <v>165</v>
      </c>
      <c r="F76" t="str">
        <f t="shared" si="1"/>
        <v>31*</v>
      </c>
      <c r="G76" t="s">
        <v>164</v>
      </c>
      <c r="L76" t="s">
        <v>336</v>
      </c>
      <c r="M76" t="s">
        <v>337</v>
      </c>
    </row>
    <row r="77" spans="2:13" x14ac:dyDescent="0.25">
      <c r="B77" t="str">
        <f t="shared" si="0"/>
        <v>32*ASTRIX</v>
      </c>
      <c r="C77" s="88" t="s">
        <v>166</v>
      </c>
      <c r="D77" s="89" t="s">
        <v>167</v>
      </c>
      <c r="F77" t="str">
        <f t="shared" si="1"/>
        <v>32*</v>
      </c>
      <c r="G77" t="s">
        <v>166</v>
      </c>
      <c r="L77" t="s">
        <v>338</v>
      </c>
      <c r="M77" t="s">
        <v>339</v>
      </c>
    </row>
    <row r="78" spans="2:13" x14ac:dyDescent="0.25">
      <c r="B78" t="str">
        <f t="shared" si="0"/>
        <v>33*NESTLE</v>
      </c>
      <c r="C78" s="88" t="s">
        <v>168</v>
      </c>
      <c r="D78" s="89" t="s">
        <v>169</v>
      </c>
      <c r="F78" t="str">
        <f t="shared" si="1"/>
        <v>33*</v>
      </c>
      <c r="G78" t="s">
        <v>168</v>
      </c>
      <c r="L78" t="s">
        <v>340</v>
      </c>
      <c r="M78" t="s">
        <v>341</v>
      </c>
    </row>
    <row r="79" spans="2:13" x14ac:dyDescent="0.25">
      <c r="B79" t="str">
        <f t="shared" si="0"/>
        <v>34*IASA</v>
      </c>
      <c r="C79" s="88" t="s">
        <v>170</v>
      </c>
      <c r="D79" s="89" t="s">
        <v>171</v>
      </c>
      <c r="F79" t="str">
        <f t="shared" si="1"/>
        <v>34*</v>
      </c>
      <c r="G79" t="s">
        <v>170</v>
      </c>
      <c r="L79" t="s">
        <v>342</v>
      </c>
      <c r="M79" t="s">
        <v>343</v>
      </c>
    </row>
    <row r="80" spans="2:13" x14ac:dyDescent="0.25">
      <c r="B80" t="str">
        <f t="shared" si="0"/>
        <v>35*FAGAL</v>
      </c>
      <c r="C80" s="88" t="s">
        <v>172</v>
      </c>
      <c r="D80" s="90" t="s">
        <v>173</v>
      </c>
      <c r="F80" t="str">
        <f t="shared" si="1"/>
        <v>35*</v>
      </c>
      <c r="G80" t="s">
        <v>172</v>
      </c>
      <c r="L80" t="s">
        <v>344</v>
      </c>
      <c r="M80" t="s">
        <v>345</v>
      </c>
    </row>
    <row r="81" spans="2:13" x14ac:dyDescent="0.25">
      <c r="B81" t="str">
        <f t="shared" si="0"/>
        <v>36*FONDO DE LA COMUNIDAD</v>
      </c>
      <c r="C81" s="88" t="s">
        <v>174</v>
      </c>
      <c r="D81" s="90" t="s">
        <v>175</v>
      </c>
      <c r="F81" t="str">
        <f t="shared" si="1"/>
        <v>36*</v>
      </c>
      <c r="G81" t="s">
        <v>174</v>
      </c>
      <c r="L81" t="s">
        <v>346</v>
      </c>
      <c r="M81" t="s">
        <v>347</v>
      </c>
    </row>
    <row r="82" spans="2:13" x14ac:dyDescent="0.25">
      <c r="B82" t="str">
        <f t="shared" si="0"/>
        <v>37*BATA</v>
      </c>
      <c r="C82" s="88" t="s">
        <v>176</v>
      </c>
      <c r="D82" s="90" t="s">
        <v>177</v>
      </c>
      <c r="F82" t="str">
        <f t="shared" si="1"/>
        <v>37*</v>
      </c>
      <c r="G82" t="s">
        <v>176</v>
      </c>
      <c r="L82" t="s">
        <v>348</v>
      </c>
      <c r="M82" t="s">
        <v>349</v>
      </c>
    </row>
    <row r="83" spans="2:13" x14ac:dyDescent="0.25">
      <c r="B83" t="str">
        <f t="shared" si="0"/>
        <v>38*ARCOR</v>
      </c>
      <c r="C83" s="88" t="s">
        <v>178</v>
      </c>
      <c r="D83" s="90" t="s">
        <v>102</v>
      </c>
      <c r="F83" t="str">
        <f t="shared" si="1"/>
        <v>38*</v>
      </c>
      <c r="G83" t="s">
        <v>178</v>
      </c>
      <c r="L83" t="s">
        <v>350</v>
      </c>
      <c r="M83" t="s">
        <v>351</v>
      </c>
    </row>
    <row r="84" spans="2:13" ht="30" x14ac:dyDescent="0.25">
      <c r="B84" t="str">
        <f t="shared" si="0"/>
        <v>39*CONSTRUCTORA COMERCIAL ARAUCARIA SRL</v>
      </c>
      <c r="C84" s="88" t="s">
        <v>179</v>
      </c>
      <c r="D84" s="90" t="s">
        <v>180</v>
      </c>
      <c r="F84" t="str">
        <f t="shared" si="1"/>
        <v>39*</v>
      </c>
      <c r="G84" t="s">
        <v>179</v>
      </c>
      <c r="L84" t="s">
        <v>352</v>
      </c>
      <c r="M84" t="s">
        <v>353</v>
      </c>
    </row>
    <row r="85" spans="2:13" ht="30" x14ac:dyDescent="0.25">
      <c r="B85" t="str">
        <f t="shared" si="0"/>
        <v>40*PROYECTOS INMOBILIARIOS EL DORAL S.A.</v>
      </c>
      <c r="C85" s="88" t="s">
        <v>181</v>
      </c>
      <c r="D85" s="90" t="s">
        <v>182</v>
      </c>
      <c r="F85" t="str">
        <f t="shared" si="1"/>
        <v>40*</v>
      </c>
      <c r="G85" t="s">
        <v>181</v>
      </c>
      <c r="L85" t="s">
        <v>354</v>
      </c>
      <c r="M85" t="s">
        <v>355</v>
      </c>
    </row>
    <row r="86" spans="2:13" x14ac:dyDescent="0.25">
      <c r="B86" t="str">
        <f t="shared" si="0"/>
        <v>41*CIMAL</v>
      </c>
      <c r="C86" s="88" t="s">
        <v>183</v>
      </c>
      <c r="D86" s="90" t="s">
        <v>184</v>
      </c>
      <c r="F86" t="str">
        <f t="shared" si="1"/>
        <v>41*</v>
      </c>
      <c r="G86" t="s">
        <v>183</v>
      </c>
      <c r="L86" t="s">
        <v>356</v>
      </c>
      <c r="M86" t="s">
        <v>357</v>
      </c>
    </row>
    <row r="87" spans="2:13" x14ac:dyDescent="0.25">
      <c r="B87" t="str">
        <f t="shared" si="0"/>
        <v>42*IMCRUZ</v>
      </c>
      <c r="C87" s="88" t="s">
        <v>185</v>
      </c>
      <c r="D87" s="90" t="s">
        <v>131</v>
      </c>
      <c r="F87" t="str">
        <f t="shared" si="1"/>
        <v>42*</v>
      </c>
      <c r="G87" t="s">
        <v>185</v>
      </c>
      <c r="L87" t="s">
        <v>358</v>
      </c>
      <c r="M87" t="s">
        <v>359</v>
      </c>
    </row>
    <row r="88" spans="2:13" x14ac:dyDescent="0.25">
      <c r="B88" t="str">
        <f t="shared" si="0"/>
        <v>43*FACTORY</v>
      </c>
      <c r="C88" s="88" t="s">
        <v>186</v>
      </c>
      <c r="D88" s="90" t="s">
        <v>187</v>
      </c>
      <c r="F88" t="str">
        <f t="shared" si="1"/>
        <v>43*</v>
      </c>
      <c r="G88" t="s">
        <v>186</v>
      </c>
      <c r="L88" t="s">
        <v>360</v>
      </c>
      <c r="M88" t="s">
        <v>361</v>
      </c>
    </row>
    <row r="89" spans="2:13" x14ac:dyDescent="0.25">
      <c r="B89" t="str">
        <f t="shared" si="0"/>
        <v>44*QUALITAT Y CAVO</v>
      </c>
      <c r="C89" s="88" t="s">
        <v>188</v>
      </c>
      <c r="D89" s="90" t="s">
        <v>189</v>
      </c>
      <c r="F89" t="str">
        <f t="shared" si="1"/>
        <v>44*</v>
      </c>
      <c r="G89" t="s">
        <v>188</v>
      </c>
      <c r="L89" t="s">
        <v>362</v>
      </c>
      <c r="M89" t="s">
        <v>363</v>
      </c>
    </row>
    <row r="90" spans="2:13" x14ac:dyDescent="0.25">
      <c r="B90" t="str">
        <f t="shared" si="0"/>
        <v>45*BELLCOS S.A.</v>
      </c>
      <c r="C90" s="88" t="s">
        <v>190</v>
      </c>
      <c r="D90" s="90" t="s">
        <v>191</v>
      </c>
      <c r="F90" t="str">
        <f t="shared" si="1"/>
        <v>45*</v>
      </c>
      <c r="G90" t="s">
        <v>190</v>
      </c>
      <c r="L90" t="s">
        <v>364</v>
      </c>
      <c r="M90" t="s">
        <v>365</v>
      </c>
    </row>
    <row r="91" spans="2:13" x14ac:dyDescent="0.25">
      <c r="B91" t="str">
        <f t="shared" si="0"/>
        <v>46*FANABOL S.R.L</v>
      </c>
      <c r="C91" s="88" t="s">
        <v>192</v>
      </c>
      <c r="D91" s="90" t="s">
        <v>193</v>
      </c>
      <c r="F91" t="str">
        <f t="shared" si="1"/>
        <v>46*</v>
      </c>
      <c r="G91" t="s">
        <v>192</v>
      </c>
      <c r="L91" t="s">
        <v>366</v>
      </c>
      <c r="M91" t="s">
        <v>367</v>
      </c>
    </row>
    <row r="92" spans="2:13" x14ac:dyDescent="0.25">
      <c r="B92" t="str">
        <f t="shared" si="0"/>
        <v>47*RELEVANT COMMS LTDA.</v>
      </c>
      <c r="C92" s="88" t="s">
        <v>194</v>
      </c>
      <c r="D92" s="90" t="s">
        <v>195</v>
      </c>
      <c r="F92" t="str">
        <f t="shared" si="1"/>
        <v>47*</v>
      </c>
      <c r="G92" t="s">
        <v>194</v>
      </c>
      <c r="L92" t="s">
        <v>368</v>
      </c>
      <c r="M92" t="s">
        <v>369</v>
      </c>
    </row>
    <row r="93" spans="2:13" x14ac:dyDescent="0.25">
      <c r="B93" t="str">
        <f t="shared" si="0"/>
        <v>48*BNB</v>
      </c>
      <c r="C93" s="88" t="s">
        <v>196</v>
      </c>
      <c r="D93" s="90" t="s">
        <v>197</v>
      </c>
      <c r="F93" t="str">
        <f t="shared" si="1"/>
        <v>48*</v>
      </c>
      <c r="G93" t="s">
        <v>196</v>
      </c>
      <c r="L93" t="s">
        <v>370</v>
      </c>
      <c r="M93" t="s">
        <v>371</v>
      </c>
    </row>
    <row r="94" spans="2:13" x14ac:dyDescent="0.25">
      <c r="B94" t="str">
        <f t="shared" si="0"/>
        <v>49*RIVERO</v>
      </c>
      <c r="C94" s="88" t="s">
        <v>198</v>
      </c>
      <c r="D94" s="90" t="s">
        <v>199</v>
      </c>
      <c r="F94" t="str">
        <f t="shared" si="1"/>
        <v>49*</v>
      </c>
      <c r="G94" t="s">
        <v>198</v>
      </c>
      <c r="L94" t="s">
        <v>372</v>
      </c>
      <c r="M94" t="s">
        <v>373</v>
      </c>
    </row>
    <row r="95" spans="2:13" x14ac:dyDescent="0.25">
      <c r="B95" t="str">
        <f t="shared" si="0"/>
        <v>50*OLIVA</v>
      </c>
      <c r="C95" s="88" t="s">
        <v>200</v>
      </c>
      <c r="D95" s="90" t="s">
        <v>201</v>
      </c>
      <c r="F95" t="str">
        <f t="shared" si="1"/>
        <v>50*</v>
      </c>
      <c r="G95" t="s">
        <v>200</v>
      </c>
      <c r="L95" t="s">
        <v>374</v>
      </c>
      <c r="M95" t="s">
        <v>375</v>
      </c>
    </row>
    <row r="96" spans="2:13" x14ac:dyDescent="0.25">
      <c r="B96" t="str">
        <f t="shared" si="0"/>
        <v>51*BUGGY</v>
      </c>
      <c r="C96" s="88" t="s">
        <v>202</v>
      </c>
      <c r="D96" s="90" t="s">
        <v>203</v>
      </c>
      <c r="F96" t="str">
        <f t="shared" si="1"/>
        <v>51*</v>
      </c>
      <c r="G96" t="s">
        <v>202</v>
      </c>
      <c r="L96" t="s">
        <v>376</v>
      </c>
      <c r="M96" t="s">
        <v>377</v>
      </c>
    </row>
    <row r="97" spans="2:13" x14ac:dyDescent="0.25">
      <c r="B97" t="str">
        <f t="shared" si="0"/>
        <v>52*GALINDO</v>
      </c>
      <c r="C97" s="88" t="s">
        <v>204</v>
      </c>
      <c r="D97" s="90" t="s">
        <v>205</v>
      </c>
      <c r="F97" t="str">
        <f t="shared" si="1"/>
        <v>52*</v>
      </c>
      <c r="G97" t="s">
        <v>204</v>
      </c>
      <c r="L97" t="s">
        <v>378</v>
      </c>
      <c r="M97" t="s">
        <v>379</v>
      </c>
    </row>
    <row r="98" spans="2:13" x14ac:dyDescent="0.25">
      <c r="B98" t="str">
        <f t="shared" si="0"/>
        <v>53*EL CORTIJO</v>
      </c>
      <c r="C98" s="88" t="s">
        <v>206</v>
      </c>
      <c r="D98" s="90" t="s">
        <v>207</v>
      </c>
      <c r="F98" t="str">
        <f t="shared" si="1"/>
        <v>53*</v>
      </c>
      <c r="G98" t="s">
        <v>206</v>
      </c>
      <c r="L98" t="s">
        <v>380</v>
      </c>
      <c r="M98" t="s">
        <v>381</v>
      </c>
    </row>
    <row r="99" spans="2:13" x14ac:dyDescent="0.25">
      <c r="B99" t="str">
        <f t="shared" si="0"/>
        <v>54*ROJAS</v>
      </c>
      <c r="C99" s="88" t="s">
        <v>208</v>
      </c>
      <c r="D99" s="90" t="s">
        <v>209</v>
      </c>
      <c r="F99" t="str">
        <f t="shared" si="1"/>
        <v>54*</v>
      </c>
      <c r="G99" t="s">
        <v>208</v>
      </c>
      <c r="L99" t="s">
        <v>382</v>
      </c>
      <c r="M99" t="s">
        <v>383</v>
      </c>
    </row>
    <row r="100" spans="2:13" x14ac:dyDescent="0.25">
      <c r="B100" t="str">
        <f t="shared" si="0"/>
        <v>55*TROPICAL TOURS LTDA.</v>
      </c>
      <c r="C100" s="88" t="s">
        <v>210</v>
      </c>
      <c r="D100" s="90" t="s">
        <v>211</v>
      </c>
      <c r="F100" t="str">
        <f t="shared" si="1"/>
        <v>55*</v>
      </c>
      <c r="G100" t="s">
        <v>210</v>
      </c>
      <c r="L100" t="s">
        <v>384</v>
      </c>
      <c r="M100" t="s">
        <v>385</v>
      </c>
    </row>
    <row r="101" spans="2:13" x14ac:dyDescent="0.25">
      <c r="B101" t="str">
        <f t="shared" si="0"/>
        <v>56*</v>
      </c>
      <c r="C101" s="88" t="s">
        <v>212</v>
      </c>
      <c r="D101" s="91"/>
      <c r="F101" t="str">
        <f t="shared" si="1"/>
        <v>56*</v>
      </c>
      <c r="G101" t="s">
        <v>212</v>
      </c>
      <c r="L101" t="s">
        <v>386</v>
      </c>
      <c r="M101" t="s">
        <v>387</v>
      </c>
    </row>
    <row r="102" spans="2:13" x14ac:dyDescent="0.25">
      <c r="B102" t="str">
        <f t="shared" si="0"/>
        <v>57*</v>
      </c>
      <c r="C102" s="88" t="s">
        <v>213</v>
      </c>
      <c r="D102" s="91"/>
      <c r="F102" t="str">
        <f t="shared" si="1"/>
        <v>57*</v>
      </c>
      <c r="G102" t="s">
        <v>213</v>
      </c>
      <c r="L102" t="s">
        <v>388</v>
      </c>
      <c r="M102" t="s">
        <v>389</v>
      </c>
    </row>
    <row r="103" spans="2:13" x14ac:dyDescent="0.25">
      <c r="B103" t="str">
        <f t="shared" si="0"/>
        <v>58*</v>
      </c>
      <c r="C103" s="88" t="s">
        <v>214</v>
      </c>
      <c r="D103" s="91"/>
      <c r="F103" t="str">
        <f t="shared" si="1"/>
        <v>58*</v>
      </c>
      <c r="G103" t="s">
        <v>214</v>
      </c>
      <c r="L103" t="s">
        <v>390</v>
      </c>
      <c r="M103" t="s">
        <v>391</v>
      </c>
    </row>
    <row r="104" spans="2:13" x14ac:dyDescent="0.25">
      <c r="B104" t="str">
        <f t="shared" si="0"/>
        <v>59*</v>
      </c>
      <c r="C104" s="88" t="s">
        <v>215</v>
      </c>
      <c r="D104" s="91"/>
      <c r="F104" t="str">
        <f t="shared" si="1"/>
        <v>59*</v>
      </c>
      <c r="G104" t="s">
        <v>215</v>
      </c>
      <c r="L104" t="s">
        <v>392</v>
      </c>
      <c r="M104" t="s">
        <v>393</v>
      </c>
    </row>
    <row r="105" spans="2:13" x14ac:dyDescent="0.25">
      <c r="B105" t="str">
        <f t="shared" si="0"/>
        <v>60*</v>
      </c>
      <c r="C105" s="88" t="s">
        <v>216</v>
      </c>
      <c r="D105" s="91"/>
      <c r="F105" t="str">
        <f t="shared" si="1"/>
        <v>60*</v>
      </c>
      <c r="G105" t="s">
        <v>216</v>
      </c>
      <c r="L105" t="s">
        <v>394</v>
      </c>
      <c r="M105" t="s">
        <v>395</v>
      </c>
    </row>
    <row r="106" spans="2:13" x14ac:dyDescent="0.25">
      <c r="B106" t="str">
        <f t="shared" si="0"/>
        <v>61*</v>
      </c>
      <c r="C106" s="88" t="s">
        <v>217</v>
      </c>
      <c r="D106" s="91"/>
      <c r="F106" t="str">
        <f t="shared" si="1"/>
        <v>61*</v>
      </c>
      <c r="G106" t="s">
        <v>217</v>
      </c>
      <c r="L106" t="s">
        <v>396</v>
      </c>
      <c r="M106" t="s">
        <v>397</v>
      </c>
    </row>
    <row r="107" spans="2:13" x14ac:dyDescent="0.25">
      <c r="B107" t="str">
        <f t="shared" si="0"/>
        <v>62*</v>
      </c>
      <c r="C107" s="88" t="s">
        <v>218</v>
      </c>
      <c r="D107" s="91"/>
      <c r="F107" t="str">
        <f t="shared" si="1"/>
        <v>62*</v>
      </c>
      <c r="G107" t="s">
        <v>218</v>
      </c>
      <c r="L107" t="s">
        <v>398</v>
      </c>
      <c r="M107" t="s">
        <v>399</v>
      </c>
    </row>
    <row r="108" spans="2:13" x14ac:dyDescent="0.25">
      <c r="B108" t="str">
        <f t="shared" si="0"/>
        <v>63*</v>
      </c>
      <c r="C108" s="88" t="s">
        <v>219</v>
      </c>
      <c r="D108" s="91"/>
      <c r="F108" t="str">
        <f t="shared" si="1"/>
        <v>63*</v>
      </c>
      <c r="G108" t="s">
        <v>219</v>
      </c>
      <c r="L108" t="s">
        <v>400</v>
      </c>
      <c r="M108" t="s">
        <v>401</v>
      </c>
    </row>
    <row r="109" spans="2:13" x14ac:dyDescent="0.25">
      <c r="B109" t="str">
        <f t="shared" si="0"/>
        <v>64*</v>
      </c>
      <c r="C109" s="88" t="s">
        <v>220</v>
      </c>
      <c r="D109" s="91"/>
      <c r="F109" t="str">
        <f t="shared" si="1"/>
        <v>64*</v>
      </c>
      <c r="G109" t="s">
        <v>220</v>
      </c>
      <c r="L109" t="s">
        <v>402</v>
      </c>
      <c r="M109" t="s">
        <v>403</v>
      </c>
    </row>
    <row r="110" spans="2:13" x14ac:dyDescent="0.25">
      <c r="B110" t="str">
        <f t="shared" si="0"/>
        <v>65*</v>
      </c>
      <c r="C110" s="88" t="s">
        <v>221</v>
      </c>
      <c r="D110" s="91"/>
      <c r="F110" t="str">
        <f t="shared" si="1"/>
        <v>65*</v>
      </c>
      <c r="G110" t="s">
        <v>221</v>
      </c>
      <c r="L110" t="s">
        <v>404</v>
      </c>
      <c r="M110" t="s">
        <v>405</v>
      </c>
    </row>
    <row r="111" spans="2:13" x14ac:dyDescent="0.25">
      <c r="B111" t="str">
        <f t="shared" ref="B111:B145" si="2">CONCATENATE(C111,"*",D111)</f>
        <v>66*</v>
      </c>
      <c r="C111" s="88" t="s">
        <v>222</v>
      </c>
      <c r="D111" s="91"/>
      <c r="F111" t="str">
        <f t="shared" ref="F111:F145" si="3">CONCATENATE(G111,"*",H111)</f>
        <v>66*</v>
      </c>
      <c r="G111" t="s">
        <v>222</v>
      </c>
      <c r="L111" t="s">
        <v>406</v>
      </c>
      <c r="M111" t="s">
        <v>407</v>
      </c>
    </row>
    <row r="112" spans="2:13" x14ac:dyDescent="0.25">
      <c r="B112" t="str">
        <f t="shared" si="2"/>
        <v>67*</v>
      </c>
      <c r="C112" s="88" t="s">
        <v>223</v>
      </c>
      <c r="D112" s="91"/>
      <c r="F112" t="str">
        <f t="shared" si="3"/>
        <v>67*</v>
      </c>
      <c r="G112" t="s">
        <v>223</v>
      </c>
      <c r="L112" t="s">
        <v>408</v>
      </c>
      <c r="M112" t="s">
        <v>409</v>
      </c>
    </row>
    <row r="113" spans="2:13" x14ac:dyDescent="0.25">
      <c r="B113" t="str">
        <f t="shared" si="2"/>
        <v>68*</v>
      </c>
      <c r="C113" s="88" t="s">
        <v>224</v>
      </c>
      <c r="D113" s="91"/>
      <c r="F113" t="str">
        <f t="shared" si="3"/>
        <v>68*</v>
      </c>
      <c r="G113" t="s">
        <v>224</v>
      </c>
      <c r="L113" t="s">
        <v>410</v>
      </c>
      <c r="M113" t="s">
        <v>411</v>
      </c>
    </row>
    <row r="114" spans="2:13" x14ac:dyDescent="0.25">
      <c r="B114" t="str">
        <f t="shared" si="2"/>
        <v>69*</v>
      </c>
      <c r="C114" s="88" t="s">
        <v>225</v>
      </c>
      <c r="D114" s="91"/>
      <c r="F114" t="str">
        <f t="shared" si="3"/>
        <v>69*</v>
      </c>
      <c r="G114" t="s">
        <v>225</v>
      </c>
      <c r="L114" t="s">
        <v>412</v>
      </c>
      <c r="M114" t="s">
        <v>413</v>
      </c>
    </row>
    <row r="115" spans="2:13" x14ac:dyDescent="0.25">
      <c r="B115" t="str">
        <f t="shared" si="2"/>
        <v>70*</v>
      </c>
      <c r="C115" s="88" t="s">
        <v>226</v>
      </c>
      <c r="D115" s="91"/>
      <c r="F115" t="str">
        <f t="shared" si="3"/>
        <v>70*</v>
      </c>
      <c r="G115" t="s">
        <v>226</v>
      </c>
      <c r="L115" t="s">
        <v>414</v>
      </c>
      <c r="M115" t="s">
        <v>415</v>
      </c>
    </row>
    <row r="116" spans="2:13" x14ac:dyDescent="0.25">
      <c r="B116" t="str">
        <f t="shared" si="2"/>
        <v>71*</v>
      </c>
      <c r="C116" s="88" t="s">
        <v>227</v>
      </c>
      <c r="D116" s="91"/>
      <c r="F116" t="str">
        <f t="shared" si="3"/>
        <v>71*</v>
      </c>
      <c r="G116" t="s">
        <v>227</v>
      </c>
      <c r="L116" t="s">
        <v>416</v>
      </c>
      <c r="M116" t="s">
        <v>417</v>
      </c>
    </row>
    <row r="117" spans="2:13" x14ac:dyDescent="0.25">
      <c r="B117" t="str">
        <f t="shared" si="2"/>
        <v>72*</v>
      </c>
      <c r="C117" s="88" t="s">
        <v>228</v>
      </c>
      <c r="D117" s="91"/>
      <c r="F117" t="str">
        <f t="shared" si="3"/>
        <v>72*</v>
      </c>
      <c r="G117" t="s">
        <v>228</v>
      </c>
      <c r="L117" t="s">
        <v>418</v>
      </c>
      <c r="M117" t="s">
        <v>419</v>
      </c>
    </row>
    <row r="118" spans="2:13" x14ac:dyDescent="0.25">
      <c r="B118" t="str">
        <f t="shared" si="2"/>
        <v>73*</v>
      </c>
      <c r="C118" s="88" t="s">
        <v>229</v>
      </c>
      <c r="D118" s="91"/>
      <c r="F118" t="str">
        <f t="shared" si="3"/>
        <v>73*</v>
      </c>
      <c r="G118" t="s">
        <v>229</v>
      </c>
      <c r="L118" t="s">
        <v>420</v>
      </c>
      <c r="M118" t="s">
        <v>421</v>
      </c>
    </row>
    <row r="119" spans="2:13" x14ac:dyDescent="0.25">
      <c r="B119" t="str">
        <f t="shared" si="2"/>
        <v>74*</v>
      </c>
      <c r="C119" s="88" t="s">
        <v>230</v>
      </c>
      <c r="D119" s="91"/>
      <c r="F119" t="str">
        <f t="shared" si="3"/>
        <v>74*</v>
      </c>
      <c r="G119" t="s">
        <v>230</v>
      </c>
      <c r="L119" t="s">
        <v>422</v>
      </c>
      <c r="M119" t="s">
        <v>423</v>
      </c>
    </row>
    <row r="120" spans="2:13" x14ac:dyDescent="0.25">
      <c r="B120" t="str">
        <f t="shared" si="2"/>
        <v>75*</v>
      </c>
      <c r="C120" s="88" t="s">
        <v>231</v>
      </c>
      <c r="D120" s="91"/>
      <c r="F120" t="str">
        <f t="shared" si="3"/>
        <v>75*</v>
      </c>
      <c r="G120" t="s">
        <v>231</v>
      </c>
      <c r="L120" t="s">
        <v>424</v>
      </c>
      <c r="M120" t="s">
        <v>425</v>
      </c>
    </row>
    <row r="121" spans="2:13" x14ac:dyDescent="0.25">
      <c r="B121" t="str">
        <f t="shared" si="2"/>
        <v>76*</v>
      </c>
      <c r="C121" s="88" t="s">
        <v>232</v>
      </c>
      <c r="D121" s="91"/>
      <c r="F121" t="str">
        <f t="shared" si="3"/>
        <v>76*</v>
      </c>
      <c r="G121" t="s">
        <v>232</v>
      </c>
      <c r="L121" t="s">
        <v>426</v>
      </c>
      <c r="M121" t="s">
        <v>427</v>
      </c>
    </row>
    <row r="122" spans="2:13" x14ac:dyDescent="0.25">
      <c r="B122" t="str">
        <f t="shared" si="2"/>
        <v>77*</v>
      </c>
      <c r="C122" s="88" t="s">
        <v>233</v>
      </c>
      <c r="D122" s="91"/>
      <c r="F122" t="str">
        <f t="shared" si="3"/>
        <v>77*</v>
      </c>
      <c r="G122" t="s">
        <v>233</v>
      </c>
      <c r="L122" t="s">
        <v>428</v>
      </c>
      <c r="M122" t="s">
        <v>429</v>
      </c>
    </row>
    <row r="123" spans="2:13" x14ac:dyDescent="0.25">
      <c r="B123" t="str">
        <f t="shared" si="2"/>
        <v>78*</v>
      </c>
      <c r="C123" s="88" t="s">
        <v>234</v>
      </c>
      <c r="D123" s="91"/>
      <c r="F123" t="str">
        <f t="shared" si="3"/>
        <v>78*</v>
      </c>
      <c r="G123" t="s">
        <v>234</v>
      </c>
      <c r="L123" t="s">
        <v>430</v>
      </c>
      <c r="M123" t="s">
        <v>431</v>
      </c>
    </row>
    <row r="124" spans="2:13" x14ac:dyDescent="0.25">
      <c r="B124" t="str">
        <f t="shared" si="2"/>
        <v>79*</v>
      </c>
      <c r="C124" s="88" t="s">
        <v>235</v>
      </c>
      <c r="D124" s="91"/>
      <c r="F124" t="str">
        <f t="shared" si="3"/>
        <v>79*</v>
      </c>
      <c r="G124" t="s">
        <v>235</v>
      </c>
      <c r="L124" t="s">
        <v>432</v>
      </c>
      <c r="M124" t="s">
        <v>433</v>
      </c>
    </row>
    <row r="125" spans="2:13" x14ac:dyDescent="0.25">
      <c r="B125" t="str">
        <f t="shared" si="2"/>
        <v>80*</v>
      </c>
      <c r="C125" s="88" t="s">
        <v>236</v>
      </c>
      <c r="D125" s="91"/>
      <c r="F125" t="str">
        <f t="shared" si="3"/>
        <v>80*</v>
      </c>
      <c r="G125" t="s">
        <v>236</v>
      </c>
      <c r="L125" t="s">
        <v>434</v>
      </c>
      <c r="M125" t="s">
        <v>435</v>
      </c>
    </row>
    <row r="126" spans="2:13" x14ac:dyDescent="0.25">
      <c r="B126" t="str">
        <f t="shared" si="2"/>
        <v>81*</v>
      </c>
      <c r="C126" s="88" t="s">
        <v>237</v>
      </c>
      <c r="D126" s="91"/>
      <c r="F126" t="str">
        <f t="shared" si="3"/>
        <v>81*</v>
      </c>
      <c r="G126" t="s">
        <v>237</v>
      </c>
      <c r="L126" t="s">
        <v>436</v>
      </c>
      <c r="M126" t="s">
        <v>437</v>
      </c>
    </row>
    <row r="127" spans="2:13" x14ac:dyDescent="0.25">
      <c r="B127" t="str">
        <f t="shared" si="2"/>
        <v>82*</v>
      </c>
      <c r="C127" s="88" t="s">
        <v>238</v>
      </c>
      <c r="D127" s="91"/>
      <c r="F127" t="str">
        <f t="shared" si="3"/>
        <v>82*</v>
      </c>
      <c r="G127" t="s">
        <v>238</v>
      </c>
      <c r="L127" t="s">
        <v>438</v>
      </c>
      <c r="M127" t="s">
        <v>439</v>
      </c>
    </row>
    <row r="128" spans="2:13" x14ac:dyDescent="0.25">
      <c r="B128" t="str">
        <f t="shared" si="2"/>
        <v>83*</v>
      </c>
      <c r="C128" s="88" t="s">
        <v>239</v>
      </c>
      <c r="D128" s="91"/>
      <c r="F128" t="str">
        <f t="shared" si="3"/>
        <v>83*</v>
      </c>
      <c r="G128" t="s">
        <v>239</v>
      </c>
      <c r="L128" t="s">
        <v>440</v>
      </c>
      <c r="M128" t="s">
        <v>441</v>
      </c>
    </row>
    <row r="129" spans="2:13" x14ac:dyDescent="0.25">
      <c r="B129" t="str">
        <f t="shared" si="2"/>
        <v>84*</v>
      </c>
      <c r="C129" s="88" t="s">
        <v>240</v>
      </c>
      <c r="D129" s="91"/>
      <c r="F129" t="str">
        <f t="shared" si="3"/>
        <v>84*</v>
      </c>
      <c r="G129" t="s">
        <v>240</v>
      </c>
      <c r="L129" t="s">
        <v>442</v>
      </c>
      <c r="M129" t="s">
        <v>443</v>
      </c>
    </row>
    <row r="130" spans="2:13" x14ac:dyDescent="0.25">
      <c r="B130" t="str">
        <f t="shared" si="2"/>
        <v>85*</v>
      </c>
      <c r="C130" s="88" t="s">
        <v>241</v>
      </c>
      <c r="D130" s="91"/>
      <c r="F130" t="str">
        <f t="shared" si="3"/>
        <v>85*</v>
      </c>
      <c r="G130" t="s">
        <v>241</v>
      </c>
      <c r="L130" t="s">
        <v>444</v>
      </c>
      <c r="M130" t="s">
        <v>445</v>
      </c>
    </row>
    <row r="131" spans="2:13" x14ac:dyDescent="0.25">
      <c r="B131" t="str">
        <f t="shared" si="2"/>
        <v>86*</v>
      </c>
      <c r="C131" s="88" t="s">
        <v>242</v>
      </c>
      <c r="D131" s="91"/>
      <c r="F131" t="str">
        <f t="shared" si="3"/>
        <v>86*</v>
      </c>
      <c r="G131" t="s">
        <v>242</v>
      </c>
      <c r="L131" t="s">
        <v>446</v>
      </c>
      <c r="M131" t="s">
        <v>447</v>
      </c>
    </row>
    <row r="132" spans="2:13" x14ac:dyDescent="0.25">
      <c r="B132" t="str">
        <f t="shared" si="2"/>
        <v>87*</v>
      </c>
      <c r="C132" s="88" t="s">
        <v>243</v>
      </c>
      <c r="D132" s="91"/>
      <c r="F132" t="str">
        <f t="shared" si="3"/>
        <v>87*</v>
      </c>
      <c r="G132" t="s">
        <v>243</v>
      </c>
      <c r="L132" t="s">
        <v>448</v>
      </c>
      <c r="M132" t="s">
        <v>449</v>
      </c>
    </row>
    <row r="133" spans="2:13" x14ac:dyDescent="0.25">
      <c r="B133" t="str">
        <f t="shared" si="2"/>
        <v>88*</v>
      </c>
      <c r="C133" s="88" t="s">
        <v>244</v>
      </c>
      <c r="D133" s="91"/>
      <c r="F133" t="str">
        <f t="shared" si="3"/>
        <v>88*</v>
      </c>
      <c r="G133" t="s">
        <v>244</v>
      </c>
      <c r="L133" t="s">
        <v>450</v>
      </c>
      <c r="M133" t="s">
        <v>451</v>
      </c>
    </row>
    <row r="134" spans="2:13" x14ac:dyDescent="0.25">
      <c r="B134" t="str">
        <f t="shared" si="2"/>
        <v>89*</v>
      </c>
      <c r="C134" s="88" t="s">
        <v>245</v>
      </c>
      <c r="D134" s="91"/>
      <c r="F134" t="str">
        <f t="shared" si="3"/>
        <v>89*</v>
      </c>
      <c r="G134" t="s">
        <v>245</v>
      </c>
      <c r="L134" t="s">
        <v>452</v>
      </c>
      <c r="M134" t="s">
        <v>453</v>
      </c>
    </row>
    <row r="135" spans="2:13" x14ac:dyDescent="0.25">
      <c r="B135" t="str">
        <f t="shared" si="2"/>
        <v>90*</v>
      </c>
      <c r="C135" s="88" t="s">
        <v>246</v>
      </c>
      <c r="D135" s="91"/>
      <c r="F135" t="str">
        <f t="shared" si="3"/>
        <v>90*</v>
      </c>
      <c r="G135" t="s">
        <v>246</v>
      </c>
      <c r="L135" t="s">
        <v>454</v>
      </c>
      <c r="M135" t="s">
        <v>455</v>
      </c>
    </row>
    <row r="136" spans="2:13" x14ac:dyDescent="0.25">
      <c r="B136" t="str">
        <f t="shared" si="2"/>
        <v>91*</v>
      </c>
      <c r="C136" s="88" t="s">
        <v>247</v>
      </c>
      <c r="D136" s="91"/>
      <c r="F136" t="str">
        <f t="shared" si="3"/>
        <v>91*</v>
      </c>
      <c r="G136" t="s">
        <v>247</v>
      </c>
      <c r="L136" t="s">
        <v>456</v>
      </c>
      <c r="M136" t="s">
        <v>457</v>
      </c>
    </row>
    <row r="137" spans="2:13" x14ac:dyDescent="0.25">
      <c r="B137" t="str">
        <f t="shared" si="2"/>
        <v>92*</v>
      </c>
      <c r="C137" s="88" t="s">
        <v>248</v>
      </c>
      <c r="D137" s="91"/>
      <c r="F137" t="str">
        <f t="shared" si="3"/>
        <v>92*</v>
      </c>
      <c r="G137" t="s">
        <v>248</v>
      </c>
      <c r="L137" t="s">
        <v>458</v>
      </c>
      <c r="M137" t="s">
        <v>459</v>
      </c>
    </row>
    <row r="138" spans="2:13" x14ac:dyDescent="0.25">
      <c r="B138" t="str">
        <f t="shared" si="2"/>
        <v>93*</v>
      </c>
      <c r="C138" s="88" t="s">
        <v>249</v>
      </c>
      <c r="D138" s="91"/>
      <c r="F138" t="str">
        <f t="shared" si="3"/>
        <v>93*</v>
      </c>
      <c r="G138" t="s">
        <v>249</v>
      </c>
      <c r="L138" t="s">
        <v>460</v>
      </c>
      <c r="M138" t="s">
        <v>461</v>
      </c>
    </row>
    <row r="139" spans="2:13" x14ac:dyDescent="0.25">
      <c r="B139" t="str">
        <f t="shared" si="2"/>
        <v>94*</v>
      </c>
      <c r="C139" s="88" t="s">
        <v>250</v>
      </c>
      <c r="D139" s="91"/>
      <c r="F139" t="str">
        <f t="shared" si="3"/>
        <v>94*</v>
      </c>
      <c r="G139" t="s">
        <v>250</v>
      </c>
      <c r="L139" t="s">
        <v>462</v>
      </c>
      <c r="M139" t="s">
        <v>463</v>
      </c>
    </row>
    <row r="140" spans="2:13" x14ac:dyDescent="0.25">
      <c r="B140" t="str">
        <f t="shared" si="2"/>
        <v>95*</v>
      </c>
      <c r="C140" s="88" t="s">
        <v>251</v>
      </c>
      <c r="D140" s="91"/>
      <c r="F140" t="str">
        <f t="shared" si="3"/>
        <v>95*</v>
      </c>
      <c r="G140" t="s">
        <v>251</v>
      </c>
      <c r="L140" t="s">
        <v>464</v>
      </c>
      <c r="M140" t="s">
        <v>465</v>
      </c>
    </row>
    <row r="141" spans="2:13" x14ac:dyDescent="0.25">
      <c r="B141" t="str">
        <f t="shared" si="2"/>
        <v>96*</v>
      </c>
      <c r="C141" s="88" t="s">
        <v>252</v>
      </c>
      <c r="D141" s="91"/>
      <c r="F141" t="str">
        <f t="shared" si="3"/>
        <v>96*</v>
      </c>
      <c r="G141" t="s">
        <v>252</v>
      </c>
      <c r="L141" t="s">
        <v>466</v>
      </c>
      <c r="M141" t="s">
        <v>467</v>
      </c>
    </row>
    <row r="142" spans="2:13" x14ac:dyDescent="0.25">
      <c r="B142" t="str">
        <f t="shared" si="2"/>
        <v>97*</v>
      </c>
      <c r="C142" s="88" t="s">
        <v>253</v>
      </c>
      <c r="D142" s="91"/>
      <c r="F142" t="str">
        <f t="shared" si="3"/>
        <v>97*</v>
      </c>
      <c r="G142" t="s">
        <v>253</v>
      </c>
      <c r="L142" t="s">
        <v>468</v>
      </c>
      <c r="M142" t="s">
        <v>469</v>
      </c>
    </row>
    <row r="143" spans="2:13" x14ac:dyDescent="0.25">
      <c r="B143" t="str">
        <f t="shared" si="2"/>
        <v>98*</v>
      </c>
      <c r="C143" s="88" t="s">
        <v>254</v>
      </c>
      <c r="D143" s="91"/>
      <c r="F143" t="str">
        <f t="shared" si="3"/>
        <v>98*</v>
      </c>
      <c r="G143" t="s">
        <v>254</v>
      </c>
      <c r="L143" t="s">
        <v>470</v>
      </c>
      <c r="M143" t="s">
        <v>471</v>
      </c>
    </row>
    <row r="144" spans="2:13" x14ac:dyDescent="0.25">
      <c r="B144" t="str">
        <f t="shared" si="2"/>
        <v>99*</v>
      </c>
      <c r="C144" s="88" t="s">
        <v>255</v>
      </c>
      <c r="D144" s="91"/>
      <c r="F144" t="str">
        <f t="shared" si="3"/>
        <v>99*</v>
      </c>
      <c r="G144" t="s">
        <v>255</v>
      </c>
      <c r="L144" t="s">
        <v>472</v>
      </c>
      <c r="M144" t="s">
        <v>473</v>
      </c>
    </row>
    <row r="145" spans="2:13" x14ac:dyDescent="0.25">
      <c r="B145" t="str">
        <f t="shared" si="2"/>
        <v>100*</v>
      </c>
      <c r="C145" s="88" t="s">
        <v>256</v>
      </c>
      <c r="D145" s="91"/>
      <c r="F145" t="str">
        <f t="shared" si="3"/>
        <v>100*</v>
      </c>
      <c r="G145" t="s">
        <v>256</v>
      </c>
      <c r="L145" t="s">
        <v>256</v>
      </c>
      <c r="M145" t="s">
        <v>474</v>
      </c>
    </row>
    <row r="146" spans="2:13" x14ac:dyDescent="0.25">
      <c r="C146" s="92" t="s">
        <v>257</v>
      </c>
      <c r="D146" s="92" t="s">
        <v>257</v>
      </c>
      <c r="L146" t="s">
        <v>475</v>
      </c>
      <c r="M146" t="s">
        <v>476</v>
      </c>
    </row>
    <row r="147" spans="2:13" x14ac:dyDescent="0.25">
      <c r="L147" t="s">
        <v>477</v>
      </c>
      <c r="M147" t="s">
        <v>478</v>
      </c>
    </row>
    <row r="148" spans="2:13" x14ac:dyDescent="0.25">
      <c r="L148" t="s">
        <v>479</v>
      </c>
      <c r="M148" t="s">
        <v>480</v>
      </c>
    </row>
    <row r="149" spans="2:13" x14ac:dyDescent="0.25">
      <c r="L149" t="s">
        <v>481</v>
      </c>
      <c r="M149" t="s">
        <v>480</v>
      </c>
    </row>
    <row r="150" spans="2:13" x14ac:dyDescent="0.25">
      <c r="L150" t="s">
        <v>482</v>
      </c>
      <c r="M150" t="s">
        <v>483</v>
      </c>
    </row>
    <row r="151" spans="2:13" x14ac:dyDescent="0.25">
      <c r="L151" t="s">
        <v>484</v>
      </c>
      <c r="M151" t="s">
        <v>485</v>
      </c>
    </row>
    <row r="152" spans="2:13" x14ac:dyDescent="0.25">
      <c r="L152" t="s">
        <v>486</v>
      </c>
      <c r="M152" t="s">
        <v>487</v>
      </c>
    </row>
    <row r="153" spans="2:13" x14ac:dyDescent="0.25">
      <c r="B153" t="s">
        <v>1422</v>
      </c>
      <c r="D153" t="b">
        <v>1</v>
      </c>
      <c r="E153" t="s">
        <v>1435</v>
      </c>
      <c r="F153">
        <f>IF(D153=E153,Hoja2!H45,0)</f>
        <v>0</v>
      </c>
      <c r="L153" t="s">
        <v>488</v>
      </c>
      <c r="M153" t="s">
        <v>489</v>
      </c>
    </row>
    <row r="154" spans="2:13" x14ac:dyDescent="0.25">
      <c r="B154" t="s">
        <v>1423</v>
      </c>
      <c r="E154" t="b">
        <v>0</v>
      </c>
      <c r="L154" t="s">
        <v>490</v>
      </c>
      <c r="M154" t="s">
        <v>491</v>
      </c>
    </row>
    <row r="155" spans="2:13" x14ac:dyDescent="0.25">
      <c r="B155" t="s">
        <v>1424</v>
      </c>
      <c r="L155" t="s">
        <v>492</v>
      </c>
      <c r="M155" t="s">
        <v>493</v>
      </c>
    </row>
    <row r="156" spans="2:13" x14ac:dyDescent="0.25">
      <c r="B156" t="s">
        <v>1425</v>
      </c>
      <c r="L156" t="s">
        <v>494</v>
      </c>
      <c r="M156" t="s">
        <v>495</v>
      </c>
    </row>
    <row r="157" spans="2:13" x14ac:dyDescent="0.25">
      <c r="B157" t="s">
        <v>1426</v>
      </c>
      <c r="L157" t="s">
        <v>496</v>
      </c>
      <c r="M157" t="s">
        <v>497</v>
      </c>
    </row>
    <row r="158" spans="2:13" x14ac:dyDescent="0.25">
      <c r="B158" t="s">
        <v>1427</v>
      </c>
      <c r="L158" t="s">
        <v>498</v>
      </c>
      <c r="M158" t="s">
        <v>499</v>
      </c>
    </row>
    <row r="159" spans="2:13" x14ac:dyDescent="0.25">
      <c r="B159" t="s">
        <v>1428</v>
      </c>
      <c r="L159" t="s">
        <v>500</v>
      </c>
      <c r="M159" t="s">
        <v>501</v>
      </c>
    </row>
    <row r="160" spans="2:13" x14ac:dyDescent="0.25">
      <c r="B160" t="s">
        <v>1429</v>
      </c>
      <c r="L160" t="s">
        <v>502</v>
      </c>
      <c r="M160" t="s">
        <v>503</v>
      </c>
    </row>
    <row r="161" spans="2:13" x14ac:dyDescent="0.25">
      <c r="B161" t="s">
        <v>1430</v>
      </c>
      <c r="L161" t="s">
        <v>504</v>
      </c>
      <c r="M161" t="s">
        <v>505</v>
      </c>
    </row>
    <row r="162" spans="2:13" x14ac:dyDescent="0.25">
      <c r="B162" t="s">
        <v>1431</v>
      </c>
      <c r="L162" t="s">
        <v>506</v>
      </c>
      <c r="M162" t="s">
        <v>507</v>
      </c>
    </row>
    <row r="163" spans="2:13" x14ac:dyDescent="0.25">
      <c r="B163" t="s">
        <v>1432</v>
      </c>
      <c r="L163" t="s">
        <v>508</v>
      </c>
      <c r="M163" t="s">
        <v>509</v>
      </c>
    </row>
    <row r="164" spans="2:13" x14ac:dyDescent="0.25">
      <c r="B164" t="s">
        <v>1433</v>
      </c>
      <c r="L164" t="s">
        <v>510</v>
      </c>
      <c r="M164" t="s">
        <v>511</v>
      </c>
    </row>
    <row r="165" spans="2:13" x14ac:dyDescent="0.25">
      <c r="B165" t="s">
        <v>1434</v>
      </c>
      <c r="L165" t="s">
        <v>512</v>
      </c>
      <c r="M165" t="s">
        <v>513</v>
      </c>
    </row>
    <row r="166" spans="2:13" x14ac:dyDescent="0.25">
      <c r="L166" t="s">
        <v>514</v>
      </c>
      <c r="M166" t="s">
        <v>515</v>
      </c>
    </row>
    <row r="167" spans="2:13" x14ac:dyDescent="0.25">
      <c r="L167" t="s">
        <v>516</v>
      </c>
      <c r="M167" t="s">
        <v>517</v>
      </c>
    </row>
    <row r="168" spans="2:13" x14ac:dyDescent="0.25">
      <c r="L168" t="s">
        <v>518</v>
      </c>
      <c r="M168" t="s">
        <v>519</v>
      </c>
    </row>
    <row r="169" spans="2:13" x14ac:dyDescent="0.25">
      <c r="L169" t="s">
        <v>520</v>
      </c>
      <c r="M169" t="s">
        <v>521</v>
      </c>
    </row>
    <row r="170" spans="2:13" x14ac:dyDescent="0.25">
      <c r="L170" t="s">
        <v>522</v>
      </c>
      <c r="M170" t="s">
        <v>523</v>
      </c>
    </row>
    <row r="171" spans="2:13" x14ac:dyDescent="0.25">
      <c r="L171" t="s">
        <v>524</v>
      </c>
      <c r="M171" t="s">
        <v>525</v>
      </c>
    </row>
    <row r="172" spans="2:13" x14ac:dyDescent="0.25">
      <c r="L172" t="s">
        <v>526</v>
      </c>
      <c r="M172" t="s">
        <v>527</v>
      </c>
    </row>
    <row r="173" spans="2:13" x14ac:dyDescent="0.25">
      <c r="L173" t="s">
        <v>528</v>
      </c>
      <c r="M173" t="s">
        <v>529</v>
      </c>
    </row>
    <row r="174" spans="2:13" x14ac:dyDescent="0.25">
      <c r="L174" t="s">
        <v>530</v>
      </c>
      <c r="M174" t="s">
        <v>531</v>
      </c>
    </row>
    <row r="175" spans="2:13" x14ac:dyDescent="0.25">
      <c r="L175" t="s">
        <v>532</v>
      </c>
      <c r="M175" t="s">
        <v>533</v>
      </c>
    </row>
    <row r="176" spans="2:13" x14ac:dyDescent="0.25">
      <c r="L176" t="s">
        <v>534</v>
      </c>
      <c r="M176" t="s">
        <v>535</v>
      </c>
    </row>
    <row r="177" spans="12:13" x14ac:dyDescent="0.25">
      <c r="L177" t="s">
        <v>536</v>
      </c>
      <c r="M177" t="s">
        <v>537</v>
      </c>
    </row>
    <row r="178" spans="12:13" x14ac:dyDescent="0.25">
      <c r="L178" t="s">
        <v>538</v>
      </c>
      <c r="M178" t="s">
        <v>539</v>
      </c>
    </row>
    <row r="179" spans="12:13" x14ac:dyDescent="0.25">
      <c r="L179" t="s">
        <v>540</v>
      </c>
      <c r="M179" t="s">
        <v>541</v>
      </c>
    </row>
    <row r="180" spans="12:13" x14ac:dyDescent="0.25">
      <c r="L180" t="s">
        <v>542</v>
      </c>
      <c r="M180" t="s">
        <v>543</v>
      </c>
    </row>
    <row r="181" spans="12:13" x14ac:dyDescent="0.25">
      <c r="L181" t="s">
        <v>544</v>
      </c>
      <c r="M181" t="s">
        <v>545</v>
      </c>
    </row>
    <row r="182" spans="12:13" x14ac:dyDescent="0.25">
      <c r="L182" t="s">
        <v>546</v>
      </c>
      <c r="M182" t="s">
        <v>547</v>
      </c>
    </row>
    <row r="183" spans="12:13" x14ac:dyDescent="0.25">
      <c r="L183" t="s">
        <v>548</v>
      </c>
      <c r="M183" t="s">
        <v>549</v>
      </c>
    </row>
    <row r="184" spans="12:13" x14ac:dyDescent="0.25">
      <c r="L184" t="s">
        <v>550</v>
      </c>
      <c r="M184" t="s">
        <v>551</v>
      </c>
    </row>
    <row r="185" spans="12:13" x14ac:dyDescent="0.25">
      <c r="L185" t="s">
        <v>552</v>
      </c>
      <c r="M185" t="s">
        <v>553</v>
      </c>
    </row>
    <row r="186" spans="12:13" x14ac:dyDescent="0.25">
      <c r="L186" t="s">
        <v>554</v>
      </c>
      <c r="M186" t="s">
        <v>555</v>
      </c>
    </row>
    <row r="187" spans="12:13" x14ac:dyDescent="0.25">
      <c r="L187" t="s">
        <v>556</v>
      </c>
      <c r="M187" t="s">
        <v>557</v>
      </c>
    </row>
    <row r="188" spans="12:13" x14ac:dyDescent="0.25">
      <c r="L188" t="s">
        <v>558</v>
      </c>
      <c r="M188" t="s">
        <v>559</v>
      </c>
    </row>
    <row r="189" spans="12:13" x14ac:dyDescent="0.25">
      <c r="L189" t="s">
        <v>560</v>
      </c>
      <c r="M189" t="s">
        <v>561</v>
      </c>
    </row>
    <row r="190" spans="12:13" x14ac:dyDescent="0.25">
      <c r="L190" t="s">
        <v>562</v>
      </c>
      <c r="M190" t="s">
        <v>563</v>
      </c>
    </row>
    <row r="191" spans="12:13" x14ac:dyDescent="0.25">
      <c r="L191" t="s">
        <v>564</v>
      </c>
      <c r="M191" t="s">
        <v>565</v>
      </c>
    </row>
    <row r="192" spans="12:13" x14ac:dyDescent="0.25">
      <c r="L192" t="s">
        <v>566</v>
      </c>
      <c r="M192" t="s">
        <v>567</v>
      </c>
    </row>
    <row r="193" spans="12:13" x14ac:dyDescent="0.25">
      <c r="L193" t="s">
        <v>568</v>
      </c>
      <c r="M193" t="s">
        <v>569</v>
      </c>
    </row>
    <row r="194" spans="12:13" x14ac:dyDescent="0.25">
      <c r="L194" t="s">
        <v>570</v>
      </c>
      <c r="M194" t="s">
        <v>571</v>
      </c>
    </row>
    <row r="195" spans="12:13" x14ac:dyDescent="0.25">
      <c r="L195" t="s">
        <v>572</v>
      </c>
      <c r="M195" t="s">
        <v>573</v>
      </c>
    </row>
    <row r="196" spans="12:13" x14ac:dyDescent="0.25">
      <c r="L196" t="s">
        <v>574</v>
      </c>
      <c r="M196" t="s">
        <v>575</v>
      </c>
    </row>
    <row r="197" spans="12:13" x14ac:dyDescent="0.25">
      <c r="L197" t="s">
        <v>576</v>
      </c>
      <c r="M197" t="s">
        <v>577</v>
      </c>
    </row>
    <row r="198" spans="12:13" x14ac:dyDescent="0.25">
      <c r="L198" t="s">
        <v>578</v>
      </c>
      <c r="M198" t="s">
        <v>579</v>
      </c>
    </row>
    <row r="199" spans="12:13" x14ac:dyDescent="0.25">
      <c r="L199" t="s">
        <v>580</v>
      </c>
      <c r="M199" t="s">
        <v>581</v>
      </c>
    </row>
    <row r="200" spans="12:13" x14ac:dyDescent="0.25">
      <c r="L200" t="s">
        <v>582</v>
      </c>
      <c r="M200" t="s">
        <v>583</v>
      </c>
    </row>
    <row r="201" spans="12:13" x14ac:dyDescent="0.25">
      <c r="L201" t="s">
        <v>584</v>
      </c>
      <c r="M201" t="s">
        <v>585</v>
      </c>
    </row>
    <row r="202" spans="12:13" x14ac:dyDescent="0.25">
      <c r="L202" t="s">
        <v>586</v>
      </c>
      <c r="M202" t="s">
        <v>587</v>
      </c>
    </row>
    <row r="203" spans="12:13" x14ac:dyDescent="0.25">
      <c r="L203" t="s">
        <v>588</v>
      </c>
      <c r="M203" t="s">
        <v>589</v>
      </c>
    </row>
    <row r="204" spans="12:13" x14ac:dyDescent="0.25">
      <c r="L204" t="s">
        <v>590</v>
      </c>
      <c r="M204" t="s">
        <v>591</v>
      </c>
    </row>
    <row r="205" spans="12:13" x14ac:dyDescent="0.25">
      <c r="L205" t="s">
        <v>592</v>
      </c>
      <c r="M205" t="s">
        <v>593</v>
      </c>
    </row>
    <row r="206" spans="12:13" x14ac:dyDescent="0.25">
      <c r="L206" t="s">
        <v>594</v>
      </c>
      <c r="M206" t="s">
        <v>595</v>
      </c>
    </row>
    <row r="207" spans="12:13" x14ac:dyDescent="0.25">
      <c r="L207" t="s">
        <v>596</v>
      </c>
      <c r="M207" t="s">
        <v>597</v>
      </c>
    </row>
    <row r="208" spans="12:13" x14ac:dyDescent="0.25">
      <c r="L208" t="s">
        <v>598</v>
      </c>
      <c r="M208" t="s">
        <v>599</v>
      </c>
    </row>
    <row r="209" spans="12:13" x14ac:dyDescent="0.25">
      <c r="L209" t="s">
        <v>600</v>
      </c>
      <c r="M209" t="s">
        <v>601</v>
      </c>
    </row>
    <row r="210" spans="12:13" x14ac:dyDescent="0.25">
      <c r="L210" t="s">
        <v>602</v>
      </c>
      <c r="M210" t="s">
        <v>603</v>
      </c>
    </row>
    <row r="211" spans="12:13" x14ac:dyDescent="0.25">
      <c r="L211" t="s">
        <v>604</v>
      </c>
      <c r="M211" t="s">
        <v>605</v>
      </c>
    </row>
    <row r="212" spans="12:13" x14ac:dyDescent="0.25">
      <c r="L212" t="s">
        <v>606</v>
      </c>
      <c r="M212" t="s">
        <v>607</v>
      </c>
    </row>
    <row r="213" spans="12:13" x14ac:dyDescent="0.25">
      <c r="L213" t="s">
        <v>608</v>
      </c>
      <c r="M213" t="s">
        <v>609</v>
      </c>
    </row>
    <row r="214" spans="12:13" x14ac:dyDescent="0.25">
      <c r="L214" t="s">
        <v>610</v>
      </c>
      <c r="M214" t="s">
        <v>611</v>
      </c>
    </row>
    <row r="215" spans="12:13" x14ac:dyDescent="0.25">
      <c r="L215" t="s">
        <v>612</v>
      </c>
      <c r="M215" t="s">
        <v>613</v>
      </c>
    </row>
    <row r="216" spans="12:13" x14ac:dyDescent="0.25">
      <c r="L216" t="s">
        <v>614</v>
      </c>
      <c r="M216" t="s">
        <v>615</v>
      </c>
    </row>
    <row r="217" spans="12:13" x14ac:dyDescent="0.25">
      <c r="L217" t="s">
        <v>616</v>
      </c>
      <c r="M217" t="s">
        <v>617</v>
      </c>
    </row>
    <row r="218" spans="12:13" x14ac:dyDescent="0.25">
      <c r="L218" t="s">
        <v>618</v>
      </c>
      <c r="M218" t="s">
        <v>619</v>
      </c>
    </row>
    <row r="219" spans="12:13" x14ac:dyDescent="0.25">
      <c r="L219" t="s">
        <v>620</v>
      </c>
      <c r="M219" t="s">
        <v>621</v>
      </c>
    </row>
    <row r="220" spans="12:13" x14ac:dyDescent="0.25">
      <c r="L220" t="s">
        <v>622</v>
      </c>
      <c r="M220" t="s">
        <v>623</v>
      </c>
    </row>
    <row r="221" spans="12:13" x14ac:dyDescent="0.25">
      <c r="L221" t="s">
        <v>624</v>
      </c>
      <c r="M221" t="s">
        <v>625</v>
      </c>
    </row>
    <row r="222" spans="12:13" x14ac:dyDescent="0.25">
      <c r="L222" t="s">
        <v>626</v>
      </c>
      <c r="M222" t="s">
        <v>627</v>
      </c>
    </row>
    <row r="223" spans="12:13" x14ac:dyDescent="0.25">
      <c r="L223" t="s">
        <v>628</v>
      </c>
      <c r="M223" t="s">
        <v>629</v>
      </c>
    </row>
    <row r="224" spans="12:13" x14ac:dyDescent="0.25">
      <c r="L224" t="s">
        <v>630</v>
      </c>
      <c r="M224" t="s">
        <v>631</v>
      </c>
    </row>
    <row r="225" spans="12:13" x14ac:dyDescent="0.25">
      <c r="L225" t="s">
        <v>632</v>
      </c>
      <c r="M225" t="s">
        <v>633</v>
      </c>
    </row>
    <row r="226" spans="12:13" x14ac:dyDescent="0.25">
      <c r="L226" t="s">
        <v>634</v>
      </c>
      <c r="M226" t="s">
        <v>635</v>
      </c>
    </row>
    <row r="227" spans="12:13" x14ac:dyDescent="0.25">
      <c r="L227" t="s">
        <v>636</v>
      </c>
      <c r="M227" t="s">
        <v>637</v>
      </c>
    </row>
    <row r="228" spans="12:13" x14ac:dyDescent="0.25">
      <c r="L228" t="s">
        <v>638</v>
      </c>
      <c r="M228" t="s">
        <v>639</v>
      </c>
    </row>
    <row r="229" spans="12:13" x14ac:dyDescent="0.25">
      <c r="L229" t="s">
        <v>640</v>
      </c>
      <c r="M229" t="s">
        <v>641</v>
      </c>
    </row>
    <row r="230" spans="12:13" x14ac:dyDescent="0.25">
      <c r="L230" t="s">
        <v>642</v>
      </c>
      <c r="M230" t="s">
        <v>643</v>
      </c>
    </row>
    <row r="231" spans="12:13" x14ac:dyDescent="0.25">
      <c r="L231" t="s">
        <v>644</v>
      </c>
      <c r="M231" t="s">
        <v>645</v>
      </c>
    </row>
    <row r="232" spans="12:13" x14ac:dyDescent="0.25">
      <c r="L232" t="s">
        <v>646</v>
      </c>
      <c r="M232" t="s">
        <v>647</v>
      </c>
    </row>
    <row r="233" spans="12:13" x14ac:dyDescent="0.25">
      <c r="L233" t="s">
        <v>648</v>
      </c>
      <c r="M233" t="s">
        <v>649</v>
      </c>
    </row>
    <row r="234" spans="12:13" x14ac:dyDescent="0.25">
      <c r="L234" t="s">
        <v>650</v>
      </c>
      <c r="M234" t="s">
        <v>651</v>
      </c>
    </row>
    <row r="235" spans="12:13" x14ac:dyDescent="0.25">
      <c r="L235" t="s">
        <v>652</v>
      </c>
      <c r="M235" t="s">
        <v>653</v>
      </c>
    </row>
    <row r="236" spans="12:13" x14ac:dyDescent="0.25">
      <c r="L236" t="s">
        <v>654</v>
      </c>
      <c r="M236" t="s">
        <v>655</v>
      </c>
    </row>
    <row r="237" spans="12:13" x14ac:dyDescent="0.25">
      <c r="L237" t="s">
        <v>656</v>
      </c>
      <c r="M237" t="s">
        <v>657</v>
      </c>
    </row>
    <row r="238" spans="12:13" x14ac:dyDescent="0.25">
      <c r="L238" t="s">
        <v>658</v>
      </c>
      <c r="M238" t="s">
        <v>659</v>
      </c>
    </row>
    <row r="239" spans="12:13" x14ac:dyDescent="0.25">
      <c r="L239" t="s">
        <v>660</v>
      </c>
      <c r="M239" t="s">
        <v>661</v>
      </c>
    </row>
    <row r="240" spans="12:13" x14ac:dyDescent="0.25">
      <c r="L240" t="s">
        <v>662</v>
      </c>
      <c r="M240" t="s">
        <v>663</v>
      </c>
    </row>
    <row r="241" spans="12:13" x14ac:dyDescent="0.25">
      <c r="L241" t="s">
        <v>664</v>
      </c>
      <c r="M241" t="s">
        <v>665</v>
      </c>
    </row>
    <row r="242" spans="12:13" x14ac:dyDescent="0.25">
      <c r="L242" t="s">
        <v>666</v>
      </c>
      <c r="M242" t="s">
        <v>667</v>
      </c>
    </row>
    <row r="243" spans="12:13" x14ac:dyDescent="0.25">
      <c r="L243" t="s">
        <v>668</v>
      </c>
      <c r="M243" t="s">
        <v>669</v>
      </c>
    </row>
    <row r="244" spans="12:13" x14ac:dyDescent="0.25">
      <c r="L244" t="s">
        <v>670</v>
      </c>
      <c r="M244" t="s">
        <v>671</v>
      </c>
    </row>
    <row r="245" spans="12:13" x14ac:dyDescent="0.25">
      <c r="L245" t="s">
        <v>672</v>
      </c>
      <c r="M245" t="s">
        <v>673</v>
      </c>
    </row>
    <row r="246" spans="12:13" x14ac:dyDescent="0.25">
      <c r="L246" t="s">
        <v>674</v>
      </c>
      <c r="M246" t="s">
        <v>675</v>
      </c>
    </row>
    <row r="247" spans="12:13" x14ac:dyDescent="0.25">
      <c r="L247" t="s">
        <v>676</v>
      </c>
      <c r="M247" t="s">
        <v>677</v>
      </c>
    </row>
    <row r="248" spans="12:13" x14ac:dyDescent="0.25">
      <c r="L248" t="s">
        <v>678</v>
      </c>
      <c r="M248" t="s">
        <v>679</v>
      </c>
    </row>
    <row r="249" spans="12:13" x14ac:dyDescent="0.25">
      <c r="L249" t="s">
        <v>680</v>
      </c>
      <c r="M249" t="s">
        <v>333</v>
      </c>
    </row>
    <row r="250" spans="12:13" x14ac:dyDescent="0.25">
      <c r="L250" t="s">
        <v>681</v>
      </c>
      <c r="M250" t="s">
        <v>682</v>
      </c>
    </row>
    <row r="251" spans="12:13" x14ac:dyDescent="0.25">
      <c r="L251" t="s">
        <v>683</v>
      </c>
      <c r="M251" t="s">
        <v>684</v>
      </c>
    </row>
    <row r="252" spans="12:13" x14ac:dyDescent="0.25">
      <c r="L252" t="s">
        <v>685</v>
      </c>
      <c r="M252" t="s">
        <v>686</v>
      </c>
    </row>
    <row r="253" spans="12:13" x14ac:dyDescent="0.25">
      <c r="L253" t="s">
        <v>687</v>
      </c>
      <c r="M253" t="s">
        <v>688</v>
      </c>
    </row>
    <row r="254" spans="12:13" x14ac:dyDescent="0.25">
      <c r="L254" t="s">
        <v>689</v>
      </c>
      <c r="M254" t="s">
        <v>690</v>
      </c>
    </row>
    <row r="255" spans="12:13" x14ac:dyDescent="0.25">
      <c r="L255" t="s">
        <v>691</v>
      </c>
      <c r="M255" t="s">
        <v>692</v>
      </c>
    </row>
    <row r="256" spans="12:13" x14ac:dyDescent="0.25">
      <c r="L256" t="s">
        <v>693</v>
      </c>
      <c r="M256" t="s">
        <v>694</v>
      </c>
    </row>
    <row r="257" spans="12:13" x14ac:dyDescent="0.25">
      <c r="L257" t="s">
        <v>695</v>
      </c>
      <c r="M257" t="s">
        <v>696</v>
      </c>
    </row>
    <row r="258" spans="12:13" x14ac:dyDescent="0.25">
      <c r="L258" t="s">
        <v>697</v>
      </c>
      <c r="M258" t="s">
        <v>698</v>
      </c>
    </row>
    <row r="259" spans="12:13" x14ac:dyDescent="0.25">
      <c r="L259" t="s">
        <v>699</v>
      </c>
      <c r="M259" t="s">
        <v>700</v>
      </c>
    </row>
    <row r="260" spans="12:13" x14ac:dyDescent="0.25">
      <c r="L260" t="s">
        <v>701</v>
      </c>
      <c r="M260" t="s">
        <v>702</v>
      </c>
    </row>
    <row r="261" spans="12:13" x14ac:dyDescent="0.25">
      <c r="L261" t="s">
        <v>703</v>
      </c>
      <c r="M261" t="s">
        <v>704</v>
      </c>
    </row>
    <row r="262" spans="12:13" x14ac:dyDescent="0.25">
      <c r="L262" t="s">
        <v>705</v>
      </c>
      <c r="M262" t="s">
        <v>706</v>
      </c>
    </row>
    <row r="263" spans="12:13" x14ac:dyDescent="0.25">
      <c r="L263" t="s">
        <v>707</v>
      </c>
      <c r="M263" t="s">
        <v>708</v>
      </c>
    </row>
    <row r="264" spans="12:13" x14ac:dyDescent="0.25">
      <c r="L264" t="s">
        <v>709</v>
      </c>
      <c r="M264" t="s">
        <v>710</v>
      </c>
    </row>
    <row r="265" spans="12:13" x14ac:dyDescent="0.25">
      <c r="L265" t="s">
        <v>711</v>
      </c>
      <c r="M265" t="s">
        <v>712</v>
      </c>
    </row>
    <row r="266" spans="12:13" x14ac:dyDescent="0.25">
      <c r="L266" t="s">
        <v>713</v>
      </c>
      <c r="M266" t="s">
        <v>714</v>
      </c>
    </row>
    <row r="267" spans="12:13" x14ac:dyDescent="0.25">
      <c r="L267" t="s">
        <v>715</v>
      </c>
      <c r="M267" t="s">
        <v>716</v>
      </c>
    </row>
    <row r="268" spans="12:13" x14ac:dyDescent="0.25">
      <c r="L268" t="s">
        <v>717</v>
      </c>
      <c r="M268" t="s">
        <v>718</v>
      </c>
    </row>
    <row r="269" spans="12:13" x14ac:dyDescent="0.25">
      <c r="L269" t="s">
        <v>719</v>
      </c>
      <c r="M269" t="s">
        <v>720</v>
      </c>
    </row>
    <row r="270" spans="12:13" x14ac:dyDescent="0.25">
      <c r="L270" t="s">
        <v>721</v>
      </c>
      <c r="M270" t="s">
        <v>722</v>
      </c>
    </row>
    <row r="271" spans="12:13" x14ac:dyDescent="0.25">
      <c r="L271" t="s">
        <v>723</v>
      </c>
      <c r="M271" t="s">
        <v>724</v>
      </c>
    </row>
    <row r="272" spans="12:13" x14ac:dyDescent="0.25">
      <c r="L272" t="s">
        <v>725</v>
      </c>
      <c r="M272" t="s">
        <v>726</v>
      </c>
    </row>
    <row r="273" spans="12:13" x14ac:dyDescent="0.25">
      <c r="L273" t="s">
        <v>727</v>
      </c>
      <c r="M273" t="s">
        <v>728</v>
      </c>
    </row>
    <row r="274" spans="12:13" x14ac:dyDescent="0.25">
      <c r="L274" t="s">
        <v>729</v>
      </c>
      <c r="M274" t="s">
        <v>730</v>
      </c>
    </row>
    <row r="275" spans="12:13" x14ac:dyDescent="0.25">
      <c r="L275" t="s">
        <v>731</v>
      </c>
      <c r="M275" t="s">
        <v>732</v>
      </c>
    </row>
    <row r="276" spans="12:13" x14ac:dyDescent="0.25">
      <c r="L276" t="s">
        <v>733</v>
      </c>
      <c r="M276" t="s">
        <v>734</v>
      </c>
    </row>
    <row r="277" spans="12:13" x14ac:dyDescent="0.25">
      <c r="L277" t="s">
        <v>735</v>
      </c>
      <c r="M277" t="s">
        <v>736</v>
      </c>
    </row>
    <row r="278" spans="12:13" x14ac:dyDescent="0.25">
      <c r="L278" t="s">
        <v>737</v>
      </c>
      <c r="M278" t="s">
        <v>738</v>
      </c>
    </row>
    <row r="279" spans="12:13" x14ac:dyDescent="0.25">
      <c r="L279" t="s">
        <v>739</v>
      </c>
      <c r="M279" t="s">
        <v>740</v>
      </c>
    </row>
    <row r="280" spans="12:13" x14ac:dyDescent="0.25">
      <c r="L280" t="s">
        <v>741</v>
      </c>
      <c r="M280" t="s">
        <v>742</v>
      </c>
    </row>
    <row r="281" spans="12:13" x14ac:dyDescent="0.25">
      <c r="L281" t="s">
        <v>743</v>
      </c>
      <c r="M281" t="s">
        <v>744</v>
      </c>
    </row>
    <row r="282" spans="12:13" x14ac:dyDescent="0.25">
      <c r="L282" t="s">
        <v>745</v>
      </c>
      <c r="M282" t="s">
        <v>746</v>
      </c>
    </row>
    <row r="283" spans="12:13" x14ac:dyDescent="0.25">
      <c r="L283" t="s">
        <v>747</v>
      </c>
      <c r="M283" t="s">
        <v>748</v>
      </c>
    </row>
    <row r="284" spans="12:13" x14ac:dyDescent="0.25">
      <c r="L284" t="s">
        <v>749</v>
      </c>
      <c r="M284" t="s">
        <v>750</v>
      </c>
    </row>
    <row r="285" spans="12:13" x14ac:dyDescent="0.25">
      <c r="L285" t="s">
        <v>751</v>
      </c>
      <c r="M285" t="s">
        <v>752</v>
      </c>
    </row>
    <row r="286" spans="12:13" x14ac:dyDescent="0.25">
      <c r="L286" t="s">
        <v>753</v>
      </c>
      <c r="M286" t="s">
        <v>754</v>
      </c>
    </row>
    <row r="287" spans="12:13" x14ac:dyDescent="0.25">
      <c r="L287" t="s">
        <v>755</v>
      </c>
      <c r="M287" t="s">
        <v>756</v>
      </c>
    </row>
    <row r="288" spans="12:13" x14ac:dyDescent="0.25">
      <c r="L288" t="s">
        <v>757</v>
      </c>
      <c r="M288" t="s">
        <v>758</v>
      </c>
    </row>
    <row r="289" spans="12:13" x14ac:dyDescent="0.25">
      <c r="L289" t="s">
        <v>759</v>
      </c>
      <c r="M289" t="s">
        <v>760</v>
      </c>
    </row>
    <row r="290" spans="12:13" x14ac:dyDescent="0.25">
      <c r="L290" t="s">
        <v>761</v>
      </c>
      <c r="M290" t="s">
        <v>762</v>
      </c>
    </row>
    <row r="291" spans="12:13" x14ac:dyDescent="0.25">
      <c r="L291" t="s">
        <v>763</v>
      </c>
      <c r="M291" t="s">
        <v>764</v>
      </c>
    </row>
    <row r="292" spans="12:13" x14ac:dyDescent="0.25">
      <c r="L292" t="s">
        <v>765</v>
      </c>
      <c r="M292" t="s">
        <v>766</v>
      </c>
    </row>
    <row r="293" spans="12:13" x14ac:dyDescent="0.25">
      <c r="L293" t="s">
        <v>767</v>
      </c>
      <c r="M293" t="s">
        <v>768</v>
      </c>
    </row>
    <row r="294" spans="12:13" x14ac:dyDescent="0.25">
      <c r="L294" t="s">
        <v>769</v>
      </c>
      <c r="M294" t="s">
        <v>770</v>
      </c>
    </row>
    <row r="295" spans="12:13" x14ac:dyDescent="0.25">
      <c r="L295" t="s">
        <v>771</v>
      </c>
      <c r="M295" t="s">
        <v>772</v>
      </c>
    </row>
    <row r="296" spans="12:13" x14ac:dyDescent="0.25">
      <c r="L296" t="s">
        <v>773</v>
      </c>
      <c r="M296" t="s">
        <v>774</v>
      </c>
    </row>
    <row r="297" spans="12:13" x14ac:dyDescent="0.25">
      <c r="L297" t="s">
        <v>775</v>
      </c>
      <c r="M297" t="s">
        <v>776</v>
      </c>
    </row>
    <row r="298" spans="12:13" x14ac:dyDescent="0.25">
      <c r="L298" t="s">
        <v>777</v>
      </c>
      <c r="M298" t="s">
        <v>778</v>
      </c>
    </row>
    <row r="299" spans="12:13" x14ac:dyDescent="0.25">
      <c r="L299" t="s">
        <v>779</v>
      </c>
      <c r="M299" t="s">
        <v>780</v>
      </c>
    </row>
    <row r="300" spans="12:13" x14ac:dyDescent="0.25">
      <c r="L300" t="s">
        <v>781</v>
      </c>
      <c r="M300" t="s">
        <v>782</v>
      </c>
    </row>
    <row r="301" spans="12:13" x14ac:dyDescent="0.25">
      <c r="L301" t="s">
        <v>783</v>
      </c>
      <c r="M301" t="s">
        <v>347</v>
      </c>
    </row>
    <row r="302" spans="12:13" x14ac:dyDescent="0.25">
      <c r="L302" t="s">
        <v>784</v>
      </c>
      <c r="M302" t="s">
        <v>785</v>
      </c>
    </row>
    <row r="303" spans="12:13" x14ac:dyDescent="0.25">
      <c r="L303" t="s">
        <v>786</v>
      </c>
      <c r="M303" t="s">
        <v>787</v>
      </c>
    </row>
    <row r="304" spans="12:13" x14ac:dyDescent="0.25">
      <c r="L304" t="s">
        <v>788</v>
      </c>
      <c r="M304" t="s">
        <v>789</v>
      </c>
    </row>
    <row r="305" spans="12:13" x14ac:dyDescent="0.25">
      <c r="L305" t="s">
        <v>790</v>
      </c>
      <c r="M305" t="s">
        <v>791</v>
      </c>
    </row>
    <row r="306" spans="12:13" x14ac:dyDescent="0.25">
      <c r="L306" t="s">
        <v>792</v>
      </c>
      <c r="M306" t="s">
        <v>793</v>
      </c>
    </row>
    <row r="307" spans="12:13" x14ac:dyDescent="0.25">
      <c r="L307" t="s">
        <v>794</v>
      </c>
      <c r="M307" t="s">
        <v>795</v>
      </c>
    </row>
    <row r="308" spans="12:13" x14ac:dyDescent="0.25">
      <c r="L308" t="s">
        <v>796</v>
      </c>
      <c r="M308" t="s">
        <v>797</v>
      </c>
    </row>
    <row r="309" spans="12:13" x14ac:dyDescent="0.25">
      <c r="L309" t="s">
        <v>798</v>
      </c>
      <c r="M309" t="s">
        <v>799</v>
      </c>
    </row>
    <row r="310" spans="12:13" x14ac:dyDescent="0.25">
      <c r="L310" t="s">
        <v>800</v>
      </c>
      <c r="M310" t="s">
        <v>801</v>
      </c>
    </row>
    <row r="311" spans="12:13" x14ac:dyDescent="0.25">
      <c r="L311" t="s">
        <v>802</v>
      </c>
      <c r="M311" t="s">
        <v>803</v>
      </c>
    </row>
    <row r="312" spans="12:13" x14ac:dyDescent="0.25">
      <c r="L312" t="s">
        <v>804</v>
      </c>
      <c r="M312" t="s">
        <v>805</v>
      </c>
    </row>
    <row r="313" spans="12:13" x14ac:dyDescent="0.25">
      <c r="L313" t="s">
        <v>806</v>
      </c>
      <c r="M313" t="s">
        <v>807</v>
      </c>
    </row>
    <row r="314" spans="12:13" x14ac:dyDescent="0.25">
      <c r="L314" t="s">
        <v>808</v>
      </c>
      <c r="M314" t="s">
        <v>809</v>
      </c>
    </row>
    <row r="315" spans="12:13" x14ac:dyDescent="0.25">
      <c r="L315" t="s">
        <v>810</v>
      </c>
      <c r="M315" t="s">
        <v>811</v>
      </c>
    </row>
    <row r="316" spans="12:13" x14ac:dyDescent="0.25">
      <c r="L316" t="s">
        <v>812</v>
      </c>
      <c r="M316" t="s">
        <v>813</v>
      </c>
    </row>
    <row r="317" spans="12:13" x14ac:dyDescent="0.25">
      <c r="L317" t="s">
        <v>814</v>
      </c>
      <c r="M317" t="s">
        <v>815</v>
      </c>
    </row>
    <row r="318" spans="12:13" x14ac:dyDescent="0.25">
      <c r="L318" t="s">
        <v>816</v>
      </c>
      <c r="M318" t="s">
        <v>817</v>
      </c>
    </row>
    <row r="319" spans="12:13" x14ac:dyDescent="0.25">
      <c r="L319" t="s">
        <v>818</v>
      </c>
      <c r="M319" t="s">
        <v>819</v>
      </c>
    </row>
    <row r="320" spans="12:13" x14ac:dyDescent="0.25">
      <c r="L320" t="s">
        <v>820</v>
      </c>
      <c r="M320" t="s">
        <v>821</v>
      </c>
    </row>
    <row r="321" spans="12:13" x14ac:dyDescent="0.25">
      <c r="L321" t="s">
        <v>822</v>
      </c>
      <c r="M321" t="s">
        <v>823</v>
      </c>
    </row>
    <row r="322" spans="12:13" x14ac:dyDescent="0.25">
      <c r="L322" t="s">
        <v>824</v>
      </c>
      <c r="M322" t="s">
        <v>825</v>
      </c>
    </row>
    <row r="323" spans="12:13" x14ac:dyDescent="0.25">
      <c r="L323" t="s">
        <v>826</v>
      </c>
      <c r="M323" t="s">
        <v>827</v>
      </c>
    </row>
    <row r="324" spans="12:13" x14ac:dyDescent="0.25">
      <c r="L324" t="s">
        <v>828</v>
      </c>
      <c r="M324" t="s">
        <v>829</v>
      </c>
    </row>
    <row r="325" spans="12:13" x14ac:dyDescent="0.25">
      <c r="L325" t="s">
        <v>830</v>
      </c>
      <c r="M325" t="s">
        <v>831</v>
      </c>
    </row>
    <row r="326" spans="12:13" x14ac:dyDescent="0.25">
      <c r="L326" t="s">
        <v>832</v>
      </c>
      <c r="M326" t="s">
        <v>833</v>
      </c>
    </row>
    <row r="327" spans="12:13" x14ac:dyDescent="0.25">
      <c r="L327" t="s">
        <v>834</v>
      </c>
      <c r="M327" t="s">
        <v>835</v>
      </c>
    </row>
    <row r="328" spans="12:13" x14ac:dyDescent="0.25">
      <c r="L328" t="s">
        <v>836</v>
      </c>
      <c r="M328" t="s">
        <v>837</v>
      </c>
    </row>
    <row r="329" spans="12:13" x14ac:dyDescent="0.25">
      <c r="L329" t="s">
        <v>838</v>
      </c>
      <c r="M329" t="s">
        <v>839</v>
      </c>
    </row>
    <row r="330" spans="12:13" x14ac:dyDescent="0.25">
      <c r="L330" t="s">
        <v>840</v>
      </c>
      <c r="M330" t="s">
        <v>841</v>
      </c>
    </row>
    <row r="331" spans="12:13" x14ac:dyDescent="0.25">
      <c r="L331" t="s">
        <v>842</v>
      </c>
      <c r="M331" t="s">
        <v>843</v>
      </c>
    </row>
    <row r="332" spans="12:13" x14ac:dyDescent="0.25">
      <c r="L332" t="s">
        <v>844</v>
      </c>
      <c r="M332" t="s">
        <v>845</v>
      </c>
    </row>
    <row r="333" spans="12:13" x14ac:dyDescent="0.25">
      <c r="L333" t="s">
        <v>846</v>
      </c>
      <c r="M333" t="s">
        <v>847</v>
      </c>
    </row>
    <row r="334" spans="12:13" x14ac:dyDescent="0.25">
      <c r="L334" t="s">
        <v>848</v>
      </c>
      <c r="M334" t="s">
        <v>849</v>
      </c>
    </row>
    <row r="335" spans="12:13" x14ac:dyDescent="0.25">
      <c r="L335" t="s">
        <v>850</v>
      </c>
      <c r="M335" t="s">
        <v>851</v>
      </c>
    </row>
    <row r="336" spans="12:13" x14ac:dyDescent="0.25">
      <c r="L336" t="s">
        <v>852</v>
      </c>
      <c r="M336" t="s">
        <v>853</v>
      </c>
    </row>
    <row r="337" spans="12:13" x14ac:dyDescent="0.25">
      <c r="L337" t="s">
        <v>854</v>
      </c>
      <c r="M337" t="s">
        <v>855</v>
      </c>
    </row>
    <row r="338" spans="12:13" x14ac:dyDescent="0.25">
      <c r="L338" t="s">
        <v>856</v>
      </c>
      <c r="M338" t="s">
        <v>857</v>
      </c>
    </row>
    <row r="339" spans="12:13" x14ac:dyDescent="0.25">
      <c r="L339" t="s">
        <v>858</v>
      </c>
      <c r="M339" t="s">
        <v>859</v>
      </c>
    </row>
    <row r="340" spans="12:13" x14ac:dyDescent="0.25">
      <c r="L340" t="s">
        <v>860</v>
      </c>
      <c r="M340" t="s">
        <v>861</v>
      </c>
    </row>
    <row r="341" spans="12:13" x14ac:dyDescent="0.25">
      <c r="L341" t="s">
        <v>862</v>
      </c>
      <c r="M341" t="s">
        <v>863</v>
      </c>
    </row>
    <row r="342" spans="12:13" x14ac:dyDescent="0.25">
      <c r="L342" t="s">
        <v>864</v>
      </c>
      <c r="M342" t="s">
        <v>865</v>
      </c>
    </row>
    <row r="343" spans="12:13" x14ac:dyDescent="0.25">
      <c r="L343" t="s">
        <v>866</v>
      </c>
      <c r="M343" t="s">
        <v>867</v>
      </c>
    </row>
    <row r="344" spans="12:13" x14ac:dyDescent="0.25">
      <c r="L344" t="s">
        <v>868</v>
      </c>
      <c r="M344" t="s">
        <v>869</v>
      </c>
    </row>
    <row r="345" spans="12:13" x14ac:dyDescent="0.25">
      <c r="L345" t="s">
        <v>870</v>
      </c>
      <c r="M345" t="s">
        <v>871</v>
      </c>
    </row>
    <row r="346" spans="12:13" x14ac:dyDescent="0.25">
      <c r="L346" t="s">
        <v>872</v>
      </c>
      <c r="M346" t="s">
        <v>873</v>
      </c>
    </row>
    <row r="347" spans="12:13" x14ac:dyDescent="0.25">
      <c r="L347" t="s">
        <v>874</v>
      </c>
      <c r="M347" t="s">
        <v>875</v>
      </c>
    </row>
    <row r="348" spans="12:13" x14ac:dyDescent="0.25">
      <c r="L348" t="s">
        <v>876</v>
      </c>
      <c r="M348" t="s">
        <v>877</v>
      </c>
    </row>
    <row r="349" spans="12:13" x14ac:dyDescent="0.25">
      <c r="L349" t="s">
        <v>878</v>
      </c>
      <c r="M349" t="s">
        <v>879</v>
      </c>
    </row>
    <row r="350" spans="12:13" x14ac:dyDescent="0.25">
      <c r="L350" t="s">
        <v>880</v>
      </c>
      <c r="M350" t="s">
        <v>881</v>
      </c>
    </row>
    <row r="351" spans="12:13" x14ac:dyDescent="0.25">
      <c r="L351" t="s">
        <v>882</v>
      </c>
      <c r="M351" t="s">
        <v>883</v>
      </c>
    </row>
    <row r="352" spans="12:13" x14ac:dyDescent="0.25">
      <c r="L352" t="s">
        <v>884</v>
      </c>
      <c r="M352" t="s">
        <v>885</v>
      </c>
    </row>
    <row r="353" spans="12:13" x14ac:dyDescent="0.25">
      <c r="L353" t="s">
        <v>886</v>
      </c>
      <c r="M353" t="s">
        <v>887</v>
      </c>
    </row>
    <row r="354" spans="12:13" x14ac:dyDescent="0.25">
      <c r="L354" t="s">
        <v>888</v>
      </c>
      <c r="M354" t="s">
        <v>889</v>
      </c>
    </row>
    <row r="355" spans="12:13" x14ac:dyDescent="0.25">
      <c r="L355" t="s">
        <v>890</v>
      </c>
      <c r="M355" t="s">
        <v>891</v>
      </c>
    </row>
    <row r="356" spans="12:13" x14ac:dyDescent="0.25">
      <c r="L356" t="s">
        <v>892</v>
      </c>
      <c r="M356" t="s">
        <v>893</v>
      </c>
    </row>
    <row r="357" spans="12:13" x14ac:dyDescent="0.25">
      <c r="L357" t="s">
        <v>894</v>
      </c>
      <c r="M357" t="s">
        <v>895</v>
      </c>
    </row>
    <row r="358" spans="12:13" x14ac:dyDescent="0.25">
      <c r="L358" t="s">
        <v>896</v>
      </c>
      <c r="M358" t="s">
        <v>897</v>
      </c>
    </row>
    <row r="359" spans="12:13" x14ac:dyDescent="0.25">
      <c r="L359" t="s">
        <v>898</v>
      </c>
      <c r="M359" t="s">
        <v>899</v>
      </c>
    </row>
    <row r="360" spans="12:13" x14ac:dyDescent="0.25">
      <c r="L360" t="s">
        <v>900</v>
      </c>
      <c r="M360" t="s">
        <v>901</v>
      </c>
    </row>
    <row r="361" spans="12:13" x14ac:dyDescent="0.25">
      <c r="L361" t="s">
        <v>902</v>
      </c>
      <c r="M361" t="s">
        <v>903</v>
      </c>
    </row>
    <row r="362" spans="12:13" x14ac:dyDescent="0.25">
      <c r="L362" t="s">
        <v>904</v>
      </c>
      <c r="M362" t="s">
        <v>905</v>
      </c>
    </row>
    <row r="363" spans="12:13" x14ac:dyDescent="0.25">
      <c r="L363" t="s">
        <v>906</v>
      </c>
      <c r="M363" t="s">
        <v>907</v>
      </c>
    </row>
    <row r="364" spans="12:13" x14ac:dyDescent="0.25">
      <c r="L364" t="s">
        <v>908</v>
      </c>
      <c r="M364" t="s">
        <v>909</v>
      </c>
    </row>
    <row r="365" spans="12:13" x14ac:dyDescent="0.25">
      <c r="L365" t="s">
        <v>910</v>
      </c>
      <c r="M365" t="s">
        <v>911</v>
      </c>
    </row>
    <row r="366" spans="12:13" x14ac:dyDescent="0.25">
      <c r="L366" t="s">
        <v>912</v>
      </c>
      <c r="M366" t="s">
        <v>913</v>
      </c>
    </row>
    <row r="367" spans="12:13" x14ac:dyDescent="0.25">
      <c r="L367" t="s">
        <v>914</v>
      </c>
      <c r="M367" t="s">
        <v>915</v>
      </c>
    </row>
    <row r="368" spans="12:13" x14ac:dyDescent="0.25">
      <c r="L368" t="s">
        <v>916</v>
      </c>
      <c r="M368" t="s">
        <v>917</v>
      </c>
    </row>
    <row r="369" spans="12:13" x14ac:dyDescent="0.25">
      <c r="L369" t="s">
        <v>918</v>
      </c>
      <c r="M369" t="s">
        <v>919</v>
      </c>
    </row>
    <row r="370" spans="12:13" x14ac:dyDescent="0.25">
      <c r="L370" t="s">
        <v>920</v>
      </c>
      <c r="M370" t="s">
        <v>921</v>
      </c>
    </row>
    <row r="371" spans="12:13" x14ac:dyDescent="0.25">
      <c r="L371" t="s">
        <v>922</v>
      </c>
      <c r="M371" t="s">
        <v>923</v>
      </c>
    </row>
    <row r="372" spans="12:13" x14ac:dyDescent="0.25">
      <c r="L372" t="s">
        <v>924</v>
      </c>
      <c r="M372" t="s">
        <v>925</v>
      </c>
    </row>
    <row r="373" spans="12:13" x14ac:dyDescent="0.25">
      <c r="L373" t="s">
        <v>926</v>
      </c>
      <c r="M373" t="s">
        <v>927</v>
      </c>
    </row>
    <row r="374" spans="12:13" x14ac:dyDescent="0.25">
      <c r="L374" t="s">
        <v>928</v>
      </c>
      <c r="M374" t="s">
        <v>929</v>
      </c>
    </row>
    <row r="375" spans="12:13" x14ac:dyDescent="0.25">
      <c r="L375" t="s">
        <v>930</v>
      </c>
      <c r="M375" t="s">
        <v>931</v>
      </c>
    </row>
    <row r="376" spans="12:13" x14ac:dyDescent="0.25">
      <c r="L376" t="s">
        <v>932</v>
      </c>
      <c r="M376" t="s">
        <v>933</v>
      </c>
    </row>
    <row r="377" spans="12:13" x14ac:dyDescent="0.25">
      <c r="L377" t="s">
        <v>934</v>
      </c>
      <c r="M377" t="s">
        <v>935</v>
      </c>
    </row>
    <row r="378" spans="12:13" x14ac:dyDescent="0.25">
      <c r="L378" t="s">
        <v>936</v>
      </c>
      <c r="M378" t="s">
        <v>937</v>
      </c>
    </row>
    <row r="379" spans="12:13" x14ac:dyDescent="0.25">
      <c r="L379" t="s">
        <v>938</v>
      </c>
      <c r="M379" t="s">
        <v>939</v>
      </c>
    </row>
    <row r="380" spans="12:13" x14ac:dyDescent="0.25">
      <c r="L380" t="s">
        <v>940</v>
      </c>
      <c r="M380" t="s">
        <v>941</v>
      </c>
    </row>
    <row r="381" spans="12:13" x14ac:dyDescent="0.25">
      <c r="L381" t="s">
        <v>942</v>
      </c>
      <c r="M381" t="s">
        <v>943</v>
      </c>
    </row>
    <row r="382" spans="12:13" x14ac:dyDescent="0.25">
      <c r="L382" t="s">
        <v>944</v>
      </c>
      <c r="M382" t="s">
        <v>945</v>
      </c>
    </row>
    <row r="383" spans="12:13" x14ac:dyDescent="0.25">
      <c r="L383" t="s">
        <v>946</v>
      </c>
      <c r="M383" t="s">
        <v>947</v>
      </c>
    </row>
    <row r="384" spans="12:13" x14ac:dyDescent="0.25">
      <c r="L384" t="s">
        <v>948</v>
      </c>
      <c r="M384" t="s">
        <v>949</v>
      </c>
    </row>
    <row r="385" spans="12:13" x14ac:dyDescent="0.25">
      <c r="L385" t="s">
        <v>950</v>
      </c>
      <c r="M385" t="s">
        <v>951</v>
      </c>
    </row>
    <row r="386" spans="12:13" x14ac:dyDescent="0.25">
      <c r="L386" t="s">
        <v>952</v>
      </c>
      <c r="M386" t="s">
        <v>953</v>
      </c>
    </row>
    <row r="387" spans="12:13" x14ac:dyDescent="0.25">
      <c r="L387" t="s">
        <v>954</v>
      </c>
      <c r="M387" t="s">
        <v>955</v>
      </c>
    </row>
    <row r="388" spans="12:13" x14ac:dyDescent="0.25">
      <c r="L388" t="s">
        <v>956</v>
      </c>
      <c r="M388" t="s">
        <v>957</v>
      </c>
    </row>
    <row r="389" spans="12:13" x14ac:dyDescent="0.25">
      <c r="L389" t="s">
        <v>958</v>
      </c>
      <c r="M389" t="s">
        <v>959</v>
      </c>
    </row>
    <row r="390" spans="12:13" x14ac:dyDescent="0.25">
      <c r="L390" t="s">
        <v>960</v>
      </c>
      <c r="M390" t="s">
        <v>961</v>
      </c>
    </row>
    <row r="391" spans="12:13" x14ac:dyDescent="0.25">
      <c r="L391" t="s">
        <v>962</v>
      </c>
      <c r="M391" t="s">
        <v>963</v>
      </c>
    </row>
    <row r="392" spans="12:13" x14ac:dyDescent="0.25">
      <c r="L392" t="s">
        <v>964</v>
      </c>
      <c r="M392" t="s">
        <v>965</v>
      </c>
    </row>
    <row r="393" spans="12:13" x14ac:dyDescent="0.25">
      <c r="L393" t="s">
        <v>966</v>
      </c>
      <c r="M393" t="s">
        <v>967</v>
      </c>
    </row>
    <row r="394" spans="12:13" x14ac:dyDescent="0.25">
      <c r="L394" t="s">
        <v>968</v>
      </c>
      <c r="M394" t="s">
        <v>969</v>
      </c>
    </row>
    <row r="395" spans="12:13" x14ac:dyDescent="0.25">
      <c r="L395" t="s">
        <v>970</v>
      </c>
      <c r="M395" t="s">
        <v>971</v>
      </c>
    </row>
    <row r="396" spans="12:13" x14ac:dyDescent="0.25">
      <c r="L396" t="s">
        <v>972</v>
      </c>
      <c r="M396" t="s">
        <v>973</v>
      </c>
    </row>
    <row r="397" spans="12:13" x14ac:dyDescent="0.25">
      <c r="L397" t="s">
        <v>974</v>
      </c>
      <c r="M397" t="s">
        <v>975</v>
      </c>
    </row>
    <row r="398" spans="12:13" x14ac:dyDescent="0.25">
      <c r="L398" t="s">
        <v>976</v>
      </c>
      <c r="M398" t="s">
        <v>977</v>
      </c>
    </row>
    <row r="399" spans="12:13" x14ac:dyDescent="0.25">
      <c r="L399" t="s">
        <v>978</v>
      </c>
      <c r="M399" t="s">
        <v>979</v>
      </c>
    </row>
    <row r="400" spans="12:13" x14ac:dyDescent="0.25">
      <c r="L400" t="s">
        <v>980</v>
      </c>
      <c r="M400" t="s">
        <v>981</v>
      </c>
    </row>
    <row r="401" spans="12:13" x14ac:dyDescent="0.25">
      <c r="L401" t="s">
        <v>982</v>
      </c>
      <c r="M401" t="s">
        <v>983</v>
      </c>
    </row>
    <row r="402" spans="12:13" x14ac:dyDescent="0.25">
      <c r="L402" t="s">
        <v>984</v>
      </c>
      <c r="M402" t="s">
        <v>985</v>
      </c>
    </row>
    <row r="403" spans="12:13" x14ac:dyDescent="0.25">
      <c r="L403" t="s">
        <v>986</v>
      </c>
      <c r="M403" t="s">
        <v>987</v>
      </c>
    </row>
    <row r="404" spans="12:13" x14ac:dyDescent="0.25">
      <c r="L404" t="s">
        <v>988</v>
      </c>
      <c r="M404" t="s">
        <v>989</v>
      </c>
    </row>
    <row r="405" spans="12:13" x14ac:dyDescent="0.25">
      <c r="L405" t="s">
        <v>990</v>
      </c>
      <c r="M405" t="s">
        <v>991</v>
      </c>
    </row>
    <row r="406" spans="12:13" x14ac:dyDescent="0.25">
      <c r="L406" t="s">
        <v>992</v>
      </c>
      <c r="M406" t="s">
        <v>993</v>
      </c>
    </row>
    <row r="407" spans="12:13" x14ac:dyDescent="0.25">
      <c r="L407" t="s">
        <v>994</v>
      </c>
      <c r="M407" t="s">
        <v>995</v>
      </c>
    </row>
    <row r="408" spans="12:13" x14ac:dyDescent="0.25">
      <c r="L408" t="s">
        <v>996</v>
      </c>
      <c r="M408" t="s">
        <v>997</v>
      </c>
    </row>
    <row r="409" spans="12:13" x14ac:dyDescent="0.25">
      <c r="L409" t="s">
        <v>998</v>
      </c>
      <c r="M409" t="s">
        <v>999</v>
      </c>
    </row>
    <row r="410" spans="12:13" x14ac:dyDescent="0.25">
      <c r="L410" t="s">
        <v>1000</v>
      </c>
      <c r="M410" t="s">
        <v>1001</v>
      </c>
    </row>
    <row r="411" spans="12:13" x14ac:dyDescent="0.25">
      <c r="L411" t="s">
        <v>1002</v>
      </c>
      <c r="M411" t="s">
        <v>1003</v>
      </c>
    </row>
    <row r="412" spans="12:13" x14ac:dyDescent="0.25">
      <c r="L412" t="s">
        <v>1004</v>
      </c>
      <c r="M412" t="s">
        <v>1005</v>
      </c>
    </row>
    <row r="413" spans="12:13" x14ac:dyDescent="0.25">
      <c r="L413" t="s">
        <v>1006</v>
      </c>
      <c r="M413" t="s">
        <v>1007</v>
      </c>
    </row>
    <row r="414" spans="12:13" x14ac:dyDescent="0.25">
      <c r="L414" t="s">
        <v>1008</v>
      </c>
      <c r="M414" t="s">
        <v>1009</v>
      </c>
    </row>
    <row r="415" spans="12:13" x14ac:dyDescent="0.25">
      <c r="L415" t="s">
        <v>1010</v>
      </c>
      <c r="M415" t="s">
        <v>1011</v>
      </c>
    </row>
    <row r="416" spans="12:13" x14ac:dyDescent="0.25">
      <c r="L416" t="s">
        <v>1012</v>
      </c>
      <c r="M416" t="s">
        <v>1013</v>
      </c>
    </row>
    <row r="417" spans="12:13" x14ac:dyDescent="0.25">
      <c r="L417" t="s">
        <v>1014</v>
      </c>
      <c r="M417" t="s">
        <v>1015</v>
      </c>
    </row>
    <row r="418" spans="12:13" x14ac:dyDescent="0.25">
      <c r="L418" t="s">
        <v>1016</v>
      </c>
      <c r="M418" t="s">
        <v>1017</v>
      </c>
    </row>
    <row r="419" spans="12:13" x14ac:dyDescent="0.25">
      <c r="L419" t="s">
        <v>1018</v>
      </c>
      <c r="M419" t="s">
        <v>1019</v>
      </c>
    </row>
    <row r="420" spans="12:13" x14ac:dyDescent="0.25">
      <c r="L420" t="s">
        <v>1020</v>
      </c>
      <c r="M420" t="s">
        <v>1021</v>
      </c>
    </row>
    <row r="421" spans="12:13" x14ac:dyDescent="0.25">
      <c r="L421" t="s">
        <v>1022</v>
      </c>
      <c r="M421" t="s">
        <v>1023</v>
      </c>
    </row>
    <row r="422" spans="12:13" x14ac:dyDescent="0.25">
      <c r="L422" t="s">
        <v>1024</v>
      </c>
      <c r="M422" t="s">
        <v>1025</v>
      </c>
    </row>
    <row r="423" spans="12:13" x14ac:dyDescent="0.25">
      <c r="L423" t="s">
        <v>1026</v>
      </c>
      <c r="M423" t="s">
        <v>1027</v>
      </c>
    </row>
    <row r="424" spans="12:13" x14ac:dyDescent="0.25">
      <c r="L424" t="s">
        <v>1028</v>
      </c>
      <c r="M424" t="s">
        <v>1029</v>
      </c>
    </row>
    <row r="425" spans="12:13" x14ac:dyDescent="0.25">
      <c r="L425" t="s">
        <v>1030</v>
      </c>
      <c r="M425" t="s">
        <v>1031</v>
      </c>
    </row>
    <row r="426" spans="12:13" x14ac:dyDescent="0.25">
      <c r="L426" t="s">
        <v>1032</v>
      </c>
      <c r="M426" t="s">
        <v>1033</v>
      </c>
    </row>
    <row r="427" spans="12:13" x14ac:dyDescent="0.25">
      <c r="L427" t="s">
        <v>1034</v>
      </c>
      <c r="M427" t="s">
        <v>1035</v>
      </c>
    </row>
    <row r="428" spans="12:13" x14ac:dyDescent="0.25">
      <c r="L428" t="s">
        <v>1036</v>
      </c>
      <c r="M428" t="s">
        <v>1037</v>
      </c>
    </row>
    <row r="429" spans="12:13" x14ac:dyDescent="0.25">
      <c r="L429" t="s">
        <v>1038</v>
      </c>
      <c r="M429" t="s">
        <v>1039</v>
      </c>
    </row>
    <row r="430" spans="12:13" x14ac:dyDescent="0.25">
      <c r="L430" t="s">
        <v>1040</v>
      </c>
      <c r="M430" t="s">
        <v>1041</v>
      </c>
    </row>
    <row r="431" spans="12:13" x14ac:dyDescent="0.25">
      <c r="L431" t="s">
        <v>1042</v>
      </c>
      <c r="M431" t="s">
        <v>1043</v>
      </c>
    </row>
    <row r="432" spans="12:13" x14ac:dyDescent="0.25">
      <c r="L432" t="s">
        <v>1044</v>
      </c>
      <c r="M432" t="s">
        <v>1045</v>
      </c>
    </row>
    <row r="433" spans="12:13" x14ac:dyDescent="0.25">
      <c r="L433" t="s">
        <v>1046</v>
      </c>
      <c r="M433" t="s">
        <v>1047</v>
      </c>
    </row>
    <row r="434" spans="12:13" x14ac:dyDescent="0.25">
      <c r="L434" t="s">
        <v>1048</v>
      </c>
      <c r="M434" t="s">
        <v>1049</v>
      </c>
    </row>
    <row r="435" spans="12:13" x14ac:dyDescent="0.25">
      <c r="L435" t="s">
        <v>1050</v>
      </c>
      <c r="M435" t="s">
        <v>1051</v>
      </c>
    </row>
    <row r="436" spans="12:13" x14ac:dyDescent="0.25">
      <c r="L436" t="s">
        <v>1052</v>
      </c>
      <c r="M436" t="s">
        <v>1053</v>
      </c>
    </row>
    <row r="437" spans="12:13" x14ac:dyDescent="0.25">
      <c r="L437" t="s">
        <v>1054</v>
      </c>
      <c r="M437" t="s">
        <v>1055</v>
      </c>
    </row>
    <row r="438" spans="12:13" x14ac:dyDescent="0.25">
      <c r="L438" t="s">
        <v>1056</v>
      </c>
      <c r="M438" t="s">
        <v>1057</v>
      </c>
    </row>
    <row r="439" spans="12:13" x14ac:dyDescent="0.25">
      <c r="L439" t="s">
        <v>1058</v>
      </c>
      <c r="M439" t="s">
        <v>1059</v>
      </c>
    </row>
    <row r="440" spans="12:13" x14ac:dyDescent="0.25">
      <c r="L440" t="s">
        <v>1060</v>
      </c>
      <c r="M440" t="s">
        <v>1061</v>
      </c>
    </row>
    <row r="441" spans="12:13" x14ac:dyDescent="0.25">
      <c r="L441" t="s">
        <v>1062</v>
      </c>
      <c r="M441" t="s">
        <v>1063</v>
      </c>
    </row>
    <row r="442" spans="12:13" x14ac:dyDescent="0.25">
      <c r="L442" t="s">
        <v>1064</v>
      </c>
      <c r="M442" t="s">
        <v>1065</v>
      </c>
    </row>
    <row r="443" spans="12:13" x14ac:dyDescent="0.25">
      <c r="L443" t="s">
        <v>1066</v>
      </c>
      <c r="M443" t="s">
        <v>1067</v>
      </c>
    </row>
    <row r="444" spans="12:13" x14ac:dyDescent="0.25">
      <c r="L444" t="s">
        <v>1068</v>
      </c>
      <c r="M444" t="s">
        <v>1069</v>
      </c>
    </row>
    <row r="445" spans="12:13" x14ac:dyDescent="0.25">
      <c r="L445" t="s">
        <v>1070</v>
      </c>
      <c r="M445" t="s">
        <v>1071</v>
      </c>
    </row>
    <row r="446" spans="12:13" x14ac:dyDescent="0.25">
      <c r="L446" t="s">
        <v>1072</v>
      </c>
      <c r="M446" t="s">
        <v>1073</v>
      </c>
    </row>
    <row r="447" spans="12:13" x14ac:dyDescent="0.25">
      <c r="L447" t="s">
        <v>1074</v>
      </c>
      <c r="M447" t="s">
        <v>1075</v>
      </c>
    </row>
    <row r="448" spans="12:13" x14ac:dyDescent="0.25">
      <c r="L448" t="s">
        <v>1076</v>
      </c>
      <c r="M448" t="s">
        <v>1077</v>
      </c>
    </row>
    <row r="449" spans="12:13" x14ac:dyDescent="0.25">
      <c r="L449" t="s">
        <v>1078</v>
      </c>
      <c r="M449" t="s">
        <v>1079</v>
      </c>
    </row>
    <row r="450" spans="12:13" x14ac:dyDescent="0.25">
      <c r="L450" t="s">
        <v>1080</v>
      </c>
      <c r="M450" t="s">
        <v>1081</v>
      </c>
    </row>
    <row r="451" spans="12:13" x14ac:dyDescent="0.25">
      <c r="L451" t="s">
        <v>1082</v>
      </c>
      <c r="M451" t="s">
        <v>1083</v>
      </c>
    </row>
    <row r="452" spans="12:13" x14ac:dyDescent="0.25">
      <c r="L452" t="s">
        <v>1084</v>
      </c>
      <c r="M452" t="s">
        <v>1085</v>
      </c>
    </row>
    <row r="453" spans="12:13" x14ac:dyDescent="0.25">
      <c r="L453" t="s">
        <v>1086</v>
      </c>
      <c r="M453" t="s">
        <v>1087</v>
      </c>
    </row>
    <row r="454" spans="12:13" x14ac:dyDescent="0.25">
      <c r="L454" t="s">
        <v>1088</v>
      </c>
      <c r="M454" t="s">
        <v>1089</v>
      </c>
    </row>
    <row r="455" spans="12:13" x14ac:dyDescent="0.25">
      <c r="L455" t="s">
        <v>1090</v>
      </c>
      <c r="M455" t="s">
        <v>1091</v>
      </c>
    </row>
    <row r="456" spans="12:13" x14ac:dyDescent="0.25">
      <c r="L456" t="s">
        <v>1092</v>
      </c>
      <c r="M456" t="s">
        <v>1093</v>
      </c>
    </row>
    <row r="457" spans="12:13" x14ac:dyDescent="0.25">
      <c r="L457" t="s">
        <v>1094</v>
      </c>
      <c r="M457" t="s">
        <v>1095</v>
      </c>
    </row>
    <row r="458" spans="12:13" x14ac:dyDescent="0.25">
      <c r="L458" t="s">
        <v>1096</v>
      </c>
      <c r="M458" t="s">
        <v>1097</v>
      </c>
    </row>
    <row r="459" spans="12:13" x14ac:dyDescent="0.25">
      <c r="L459" t="s">
        <v>1098</v>
      </c>
      <c r="M459" t="s">
        <v>1099</v>
      </c>
    </row>
    <row r="460" spans="12:13" x14ac:dyDescent="0.25">
      <c r="L460" t="s">
        <v>1100</v>
      </c>
      <c r="M460" t="s">
        <v>1101</v>
      </c>
    </row>
    <row r="461" spans="12:13" x14ac:dyDescent="0.25">
      <c r="L461" t="s">
        <v>1102</v>
      </c>
      <c r="M461" t="s">
        <v>1103</v>
      </c>
    </row>
    <row r="462" spans="12:13" x14ac:dyDescent="0.25">
      <c r="L462" t="s">
        <v>1104</v>
      </c>
      <c r="M462" t="s">
        <v>1105</v>
      </c>
    </row>
    <row r="463" spans="12:13" x14ac:dyDescent="0.25">
      <c r="L463" t="s">
        <v>1106</v>
      </c>
      <c r="M463" t="s">
        <v>1107</v>
      </c>
    </row>
    <row r="464" spans="12:13" x14ac:dyDescent="0.25">
      <c r="L464" t="s">
        <v>1108</v>
      </c>
      <c r="M464" t="s">
        <v>1109</v>
      </c>
    </row>
    <row r="465" spans="12:13" x14ac:dyDescent="0.25">
      <c r="L465" t="s">
        <v>1110</v>
      </c>
      <c r="M465" t="s">
        <v>1111</v>
      </c>
    </row>
    <row r="466" spans="12:13" x14ac:dyDescent="0.25">
      <c r="L466" t="s">
        <v>1112</v>
      </c>
      <c r="M466" t="s">
        <v>1113</v>
      </c>
    </row>
    <row r="467" spans="12:13" x14ac:dyDescent="0.25">
      <c r="L467" t="s">
        <v>1114</v>
      </c>
      <c r="M467" t="s">
        <v>1115</v>
      </c>
    </row>
    <row r="468" spans="12:13" x14ac:dyDescent="0.25">
      <c r="L468" t="s">
        <v>1116</v>
      </c>
      <c r="M468" t="s">
        <v>1117</v>
      </c>
    </row>
    <row r="469" spans="12:13" x14ac:dyDescent="0.25">
      <c r="L469" t="s">
        <v>1118</v>
      </c>
      <c r="M469" t="s">
        <v>1119</v>
      </c>
    </row>
    <row r="470" spans="12:13" x14ac:dyDescent="0.25">
      <c r="L470" t="s">
        <v>1120</v>
      </c>
      <c r="M470" t="s">
        <v>1121</v>
      </c>
    </row>
    <row r="471" spans="12:13" x14ac:dyDescent="0.25">
      <c r="L471" t="s">
        <v>1122</v>
      </c>
      <c r="M471" t="s">
        <v>1123</v>
      </c>
    </row>
    <row r="472" spans="12:13" x14ac:dyDescent="0.25">
      <c r="L472" t="s">
        <v>1124</v>
      </c>
      <c r="M472" t="s">
        <v>1125</v>
      </c>
    </row>
    <row r="473" spans="12:13" x14ac:dyDescent="0.25">
      <c r="L473" t="s">
        <v>1126</v>
      </c>
      <c r="M473" t="s">
        <v>1127</v>
      </c>
    </row>
    <row r="474" spans="12:13" x14ac:dyDescent="0.25">
      <c r="L474" t="s">
        <v>1128</v>
      </c>
      <c r="M474" t="s">
        <v>1129</v>
      </c>
    </row>
    <row r="475" spans="12:13" x14ac:dyDescent="0.25">
      <c r="L475" t="s">
        <v>1130</v>
      </c>
      <c r="M475" t="s">
        <v>1131</v>
      </c>
    </row>
    <row r="476" spans="12:13" x14ac:dyDescent="0.25">
      <c r="L476" t="s">
        <v>1132</v>
      </c>
      <c r="M476" t="s">
        <v>1133</v>
      </c>
    </row>
    <row r="477" spans="12:13" x14ac:dyDescent="0.25">
      <c r="L477" t="s">
        <v>1134</v>
      </c>
      <c r="M477" t="s">
        <v>1135</v>
      </c>
    </row>
    <row r="478" spans="12:13" x14ac:dyDescent="0.25">
      <c r="L478" t="s">
        <v>1136</v>
      </c>
      <c r="M478" t="s">
        <v>1137</v>
      </c>
    </row>
    <row r="479" spans="12:13" x14ac:dyDescent="0.25">
      <c r="L479" t="s">
        <v>1138</v>
      </c>
      <c r="M479" t="s">
        <v>1139</v>
      </c>
    </row>
    <row r="480" spans="12:13" x14ac:dyDescent="0.25">
      <c r="L480" t="s">
        <v>1140</v>
      </c>
      <c r="M480" t="s">
        <v>563</v>
      </c>
    </row>
    <row r="481" spans="12:13" x14ac:dyDescent="0.25">
      <c r="L481" t="s">
        <v>1141</v>
      </c>
      <c r="M481" t="s">
        <v>1142</v>
      </c>
    </row>
    <row r="482" spans="12:13" x14ac:dyDescent="0.25">
      <c r="L482" t="s">
        <v>1143</v>
      </c>
      <c r="M482" t="s">
        <v>1144</v>
      </c>
    </row>
    <row r="483" spans="12:13" x14ac:dyDescent="0.25">
      <c r="L483" t="s">
        <v>1145</v>
      </c>
      <c r="M483" t="s">
        <v>1146</v>
      </c>
    </row>
    <row r="484" spans="12:13" x14ac:dyDescent="0.25">
      <c r="L484" t="s">
        <v>1147</v>
      </c>
      <c r="M484" t="s">
        <v>1148</v>
      </c>
    </row>
    <row r="485" spans="12:13" x14ac:dyDescent="0.25">
      <c r="L485" t="s">
        <v>1149</v>
      </c>
      <c r="M485" t="s">
        <v>1150</v>
      </c>
    </row>
    <row r="486" spans="12:13" x14ac:dyDescent="0.25">
      <c r="L486" t="s">
        <v>1151</v>
      </c>
      <c r="M486" t="s">
        <v>1152</v>
      </c>
    </row>
    <row r="487" spans="12:13" x14ac:dyDescent="0.25">
      <c r="L487" t="s">
        <v>1153</v>
      </c>
      <c r="M487" t="s">
        <v>1154</v>
      </c>
    </row>
    <row r="488" spans="12:13" x14ac:dyDescent="0.25">
      <c r="L488" t="s">
        <v>1155</v>
      </c>
      <c r="M488" t="s">
        <v>1156</v>
      </c>
    </row>
    <row r="489" spans="12:13" x14ac:dyDescent="0.25">
      <c r="L489" t="s">
        <v>1157</v>
      </c>
      <c r="M489" t="s">
        <v>1158</v>
      </c>
    </row>
    <row r="490" spans="12:13" x14ac:dyDescent="0.25">
      <c r="L490" t="s">
        <v>1159</v>
      </c>
      <c r="M490" t="s">
        <v>1160</v>
      </c>
    </row>
    <row r="491" spans="12:13" x14ac:dyDescent="0.25">
      <c r="L491" t="s">
        <v>1161</v>
      </c>
      <c r="M491" t="s">
        <v>1162</v>
      </c>
    </row>
    <row r="492" spans="12:13" x14ac:dyDescent="0.25">
      <c r="L492" t="s">
        <v>1163</v>
      </c>
      <c r="M492" t="s">
        <v>1164</v>
      </c>
    </row>
    <row r="493" spans="12:13" x14ac:dyDescent="0.25">
      <c r="L493" t="s">
        <v>1165</v>
      </c>
      <c r="M493" t="s">
        <v>1166</v>
      </c>
    </row>
    <row r="494" spans="12:13" x14ac:dyDescent="0.25">
      <c r="L494" t="s">
        <v>1167</v>
      </c>
      <c r="M494" t="s">
        <v>1168</v>
      </c>
    </row>
    <row r="495" spans="12:13" x14ac:dyDescent="0.25">
      <c r="L495" t="s">
        <v>1169</v>
      </c>
      <c r="M495" t="s">
        <v>1170</v>
      </c>
    </row>
    <row r="496" spans="12:13" x14ac:dyDescent="0.25">
      <c r="L496" t="s">
        <v>1171</v>
      </c>
      <c r="M496" t="s">
        <v>1172</v>
      </c>
    </row>
    <row r="497" spans="12:13" x14ac:dyDescent="0.25">
      <c r="L497" t="s">
        <v>1173</v>
      </c>
      <c r="M497" t="s">
        <v>1174</v>
      </c>
    </row>
    <row r="498" spans="12:13" x14ac:dyDescent="0.25">
      <c r="L498" t="s">
        <v>1175</v>
      </c>
      <c r="M498" t="s">
        <v>1176</v>
      </c>
    </row>
    <row r="499" spans="12:13" x14ac:dyDescent="0.25">
      <c r="L499" t="s">
        <v>1177</v>
      </c>
      <c r="M499" t="s">
        <v>1178</v>
      </c>
    </row>
    <row r="500" spans="12:13" x14ac:dyDescent="0.25">
      <c r="L500" t="s">
        <v>1179</v>
      </c>
      <c r="M500" t="s">
        <v>1180</v>
      </c>
    </row>
    <row r="501" spans="12:13" x14ac:dyDescent="0.25">
      <c r="L501" t="s">
        <v>1181</v>
      </c>
      <c r="M501" t="s">
        <v>1182</v>
      </c>
    </row>
    <row r="502" spans="12:13" x14ac:dyDescent="0.25">
      <c r="L502" t="s">
        <v>1183</v>
      </c>
      <c r="M502" t="s">
        <v>1184</v>
      </c>
    </row>
    <row r="503" spans="12:13" x14ac:dyDescent="0.25">
      <c r="L503" t="s">
        <v>1185</v>
      </c>
      <c r="M503" t="s">
        <v>1186</v>
      </c>
    </row>
    <row r="504" spans="12:13" x14ac:dyDescent="0.25">
      <c r="L504" t="s">
        <v>1187</v>
      </c>
      <c r="M504" t="s">
        <v>1188</v>
      </c>
    </row>
    <row r="505" spans="12:13" x14ac:dyDescent="0.25">
      <c r="L505" t="s">
        <v>1189</v>
      </c>
      <c r="M505" t="s">
        <v>1190</v>
      </c>
    </row>
    <row r="506" spans="12:13" x14ac:dyDescent="0.25">
      <c r="L506" t="s">
        <v>1191</v>
      </c>
      <c r="M506" t="s">
        <v>1192</v>
      </c>
    </row>
    <row r="507" spans="12:13" x14ac:dyDescent="0.25">
      <c r="L507" t="s">
        <v>1193</v>
      </c>
      <c r="M507" t="s">
        <v>1194</v>
      </c>
    </row>
    <row r="508" spans="12:13" x14ac:dyDescent="0.25">
      <c r="L508" t="s">
        <v>1195</v>
      </c>
      <c r="M508" t="s">
        <v>1196</v>
      </c>
    </row>
    <row r="509" spans="12:13" x14ac:dyDescent="0.25">
      <c r="L509" t="s">
        <v>1197</v>
      </c>
      <c r="M509" t="s">
        <v>1198</v>
      </c>
    </row>
    <row r="510" spans="12:13" x14ac:dyDescent="0.25">
      <c r="L510" t="s">
        <v>1199</v>
      </c>
      <c r="M510" t="s">
        <v>1200</v>
      </c>
    </row>
    <row r="511" spans="12:13" x14ac:dyDescent="0.25">
      <c r="L511" t="s">
        <v>1201</v>
      </c>
      <c r="M511" t="s">
        <v>1202</v>
      </c>
    </row>
    <row r="512" spans="12:13" x14ac:dyDescent="0.25">
      <c r="L512" t="s">
        <v>1203</v>
      </c>
      <c r="M512" t="s">
        <v>1127</v>
      </c>
    </row>
    <row r="513" spans="12:13" x14ac:dyDescent="0.25">
      <c r="L513" t="s">
        <v>1204</v>
      </c>
      <c r="M513" t="s">
        <v>1205</v>
      </c>
    </row>
    <row r="514" spans="12:13" x14ac:dyDescent="0.25">
      <c r="L514" t="s">
        <v>1206</v>
      </c>
      <c r="M514" t="s">
        <v>1207</v>
      </c>
    </row>
    <row r="515" spans="12:13" x14ac:dyDescent="0.25">
      <c r="L515" t="s">
        <v>1208</v>
      </c>
      <c r="M515" t="s">
        <v>1209</v>
      </c>
    </row>
    <row r="516" spans="12:13" x14ac:dyDescent="0.25">
      <c r="L516" t="s">
        <v>1210</v>
      </c>
      <c r="M516" t="s">
        <v>1211</v>
      </c>
    </row>
    <row r="517" spans="12:13" x14ac:dyDescent="0.25">
      <c r="L517" t="s">
        <v>1212</v>
      </c>
      <c r="M517" t="s">
        <v>1213</v>
      </c>
    </row>
    <row r="518" spans="12:13" x14ac:dyDescent="0.25">
      <c r="L518" t="s">
        <v>1214</v>
      </c>
      <c r="M518" t="s">
        <v>1215</v>
      </c>
    </row>
    <row r="519" spans="12:13" x14ac:dyDescent="0.25">
      <c r="L519" t="s">
        <v>1216</v>
      </c>
      <c r="M519" t="s">
        <v>1217</v>
      </c>
    </row>
    <row r="520" spans="12:13" x14ac:dyDescent="0.25">
      <c r="L520" t="s">
        <v>1218</v>
      </c>
      <c r="M520" t="s">
        <v>1219</v>
      </c>
    </row>
    <row r="521" spans="12:13" x14ac:dyDescent="0.25">
      <c r="L521" t="s">
        <v>1220</v>
      </c>
      <c r="M521" t="s">
        <v>1221</v>
      </c>
    </row>
    <row r="522" spans="12:13" x14ac:dyDescent="0.25">
      <c r="L522" t="s">
        <v>1222</v>
      </c>
      <c r="M522" t="s">
        <v>1223</v>
      </c>
    </row>
    <row r="523" spans="12:13" x14ac:dyDescent="0.25">
      <c r="L523" t="s">
        <v>1224</v>
      </c>
      <c r="M523" t="s">
        <v>1225</v>
      </c>
    </row>
    <row r="524" spans="12:13" x14ac:dyDescent="0.25">
      <c r="L524" t="s">
        <v>1226</v>
      </c>
      <c r="M524" t="s">
        <v>1227</v>
      </c>
    </row>
    <row r="525" spans="12:13" x14ac:dyDescent="0.25">
      <c r="L525" t="s">
        <v>1228</v>
      </c>
      <c r="M525" t="s">
        <v>1229</v>
      </c>
    </row>
    <row r="526" spans="12:13" x14ac:dyDescent="0.25">
      <c r="L526" t="s">
        <v>1230</v>
      </c>
      <c r="M526" t="s">
        <v>1231</v>
      </c>
    </row>
    <row r="527" spans="12:13" x14ac:dyDescent="0.25">
      <c r="L527" t="s">
        <v>1232</v>
      </c>
      <c r="M527" t="s">
        <v>1233</v>
      </c>
    </row>
    <row r="528" spans="12:13" x14ac:dyDescent="0.25">
      <c r="L528" t="s">
        <v>1234</v>
      </c>
      <c r="M528" t="s">
        <v>1235</v>
      </c>
    </row>
    <row r="529" spans="12:13" x14ac:dyDescent="0.25">
      <c r="L529" t="s">
        <v>1236</v>
      </c>
      <c r="M529" t="s">
        <v>1237</v>
      </c>
    </row>
    <row r="530" spans="12:13" x14ac:dyDescent="0.25">
      <c r="L530" t="s">
        <v>1238</v>
      </c>
      <c r="M530" t="s">
        <v>1239</v>
      </c>
    </row>
    <row r="531" spans="12:13" x14ac:dyDescent="0.25">
      <c r="L531" t="s">
        <v>1240</v>
      </c>
      <c r="M531" t="s">
        <v>1241</v>
      </c>
    </row>
    <row r="532" spans="12:13" x14ac:dyDescent="0.25">
      <c r="L532" t="s">
        <v>1242</v>
      </c>
      <c r="M532" t="s">
        <v>1243</v>
      </c>
    </row>
    <row r="533" spans="12:13" x14ac:dyDescent="0.25">
      <c r="L533" t="s">
        <v>1244</v>
      </c>
      <c r="M533" t="s">
        <v>1245</v>
      </c>
    </row>
    <row r="534" spans="12:13" x14ac:dyDescent="0.25">
      <c r="L534" t="s">
        <v>1246</v>
      </c>
      <c r="M534" t="s">
        <v>1247</v>
      </c>
    </row>
    <row r="535" spans="12:13" x14ac:dyDescent="0.25">
      <c r="L535" t="s">
        <v>1248</v>
      </c>
      <c r="M535" t="s">
        <v>1249</v>
      </c>
    </row>
    <row r="536" spans="12:13" x14ac:dyDescent="0.25">
      <c r="L536" t="s">
        <v>1250</v>
      </c>
      <c r="M536" t="s">
        <v>1251</v>
      </c>
    </row>
    <row r="537" spans="12:13" x14ac:dyDescent="0.25">
      <c r="L537" t="s">
        <v>1252</v>
      </c>
      <c r="M537" t="s">
        <v>1253</v>
      </c>
    </row>
    <row r="538" spans="12:13" x14ac:dyDescent="0.25">
      <c r="L538" t="s">
        <v>1254</v>
      </c>
      <c r="M538" t="s">
        <v>1255</v>
      </c>
    </row>
    <row r="539" spans="12:13" x14ac:dyDescent="0.25">
      <c r="L539" t="s">
        <v>1256</v>
      </c>
      <c r="M539" t="s">
        <v>1257</v>
      </c>
    </row>
    <row r="540" spans="12:13" x14ac:dyDescent="0.25">
      <c r="L540" t="s">
        <v>1258</v>
      </c>
      <c r="M540" t="s">
        <v>1259</v>
      </c>
    </row>
    <row r="541" spans="12:13" x14ac:dyDescent="0.25">
      <c r="L541" t="s">
        <v>1260</v>
      </c>
      <c r="M541" t="s">
        <v>1261</v>
      </c>
    </row>
    <row r="542" spans="12:13" x14ac:dyDescent="0.25">
      <c r="L542" t="s">
        <v>1262</v>
      </c>
      <c r="M542" t="s">
        <v>1263</v>
      </c>
    </row>
    <row r="543" spans="12:13" x14ac:dyDescent="0.25">
      <c r="L543" t="s">
        <v>1264</v>
      </c>
      <c r="M543" t="s">
        <v>1265</v>
      </c>
    </row>
    <row r="544" spans="12:13" x14ac:dyDescent="0.25">
      <c r="L544" t="s">
        <v>1266</v>
      </c>
      <c r="M544" t="s">
        <v>1267</v>
      </c>
    </row>
    <row r="545" spans="12:13" x14ac:dyDescent="0.25">
      <c r="L545" t="s">
        <v>1268</v>
      </c>
      <c r="M545" t="s">
        <v>1269</v>
      </c>
    </row>
    <row r="546" spans="12:13" x14ac:dyDescent="0.25">
      <c r="L546" t="s">
        <v>1270</v>
      </c>
      <c r="M546" t="s">
        <v>1271</v>
      </c>
    </row>
    <row r="547" spans="12:13" x14ac:dyDescent="0.25">
      <c r="L547" t="s">
        <v>1272</v>
      </c>
      <c r="M547" t="s">
        <v>1273</v>
      </c>
    </row>
    <row r="548" spans="12:13" x14ac:dyDescent="0.25">
      <c r="L548" t="s">
        <v>1274</v>
      </c>
      <c r="M548" t="s">
        <v>1275</v>
      </c>
    </row>
    <row r="549" spans="12:13" x14ac:dyDescent="0.25">
      <c r="L549" t="s">
        <v>1276</v>
      </c>
      <c r="M549" t="s">
        <v>1277</v>
      </c>
    </row>
    <row r="550" spans="12:13" x14ac:dyDescent="0.25">
      <c r="L550" t="s">
        <v>1278</v>
      </c>
      <c r="M550" t="s">
        <v>1279</v>
      </c>
    </row>
    <row r="551" spans="12:13" x14ac:dyDescent="0.25">
      <c r="L551" t="s">
        <v>1280</v>
      </c>
      <c r="M551" t="s">
        <v>1281</v>
      </c>
    </row>
    <row r="552" spans="12:13" x14ac:dyDescent="0.25">
      <c r="L552" t="s">
        <v>1282</v>
      </c>
      <c r="M552" t="s">
        <v>1283</v>
      </c>
    </row>
    <row r="553" spans="12:13" x14ac:dyDescent="0.25">
      <c r="L553" t="s">
        <v>1284</v>
      </c>
      <c r="M553" t="s">
        <v>1285</v>
      </c>
    </row>
    <row r="554" spans="12:13" x14ac:dyDescent="0.25">
      <c r="L554" t="s">
        <v>1286</v>
      </c>
      <c r="M554" t="s">
        <v>1287</v>
      </c>
    </row>
    <row r="555" spans="12:13" x14ac:dyDescent="0.25">
      <c r="L555" t="s">
        <v>1288</v>
      </c>
      <c r="M555" t="s">
        <v>1289</v>
      </c>
    </row>
    <row r="556" spans="12:13" x14ac:dyDescent="0.25">
      <c r="L556" t="s">
        <v>1290</v>
      </c>
      <c r="M556" t="s">
        <v>1291</v>
      </c>
    </row>
    <row r="557" spans="12:13" x14ac:dyDescent="0.25">
      <c r="L557" t="s">
        <v>1292</v>
      </c>
      <c r="M557" t="s">
        <v>1293</v>
      </c>
    </row>
    <row r="558" spans="12:13" x14ac:dyDescent="0.25">
      <c r="L558" t="s">
        <v>1294</v>
      </c>
      <c r="M558" t="s">
        <v>1235</v>
      </c>
    </row>
    <row r="559" spans="12:13" x14ac:dyDescent="0.25">
      <c r="L559" t="s">
        <v>1295</v>
      </c>
      <c r="M559" t="s">
        <v>1296</v>
      </c>
    </row>
    <row r="560" spans="12:13" x14ac:dyDescent="0.25">
      <c r="L560" t="s">
        <v>1297</v>
      </c>
      <c r="M560" t="s">
        <v>1298</v>
      </c>
    </row>
    <row r="561" spans="12:13" x14ac:dyDescent="0.25">
      <c r="L561" t="s">
        <v>1299</v>
      </c>
      <c r="M561" t="s">
        <v>1300</v>
      </c>
    </row>
    <row r="562" spans="12:13" x14ac:dyDescent="0.25">
      <c r="L562" t="s">
        <v>1301</v>
      </c>
      <c r="M562" t="s">
        <v>1302</v>
      </c>
    </row>
    <row r="563" spans="12:13" x14ac:dyDescent="0.25">
      <c r="L563" t="s">
        <v>1303</v>
      </c>
      <c r="M563" t="s">
        <v>1304</v>
      </c>
    </row>
    <row r="564" spans="12:13" x14ac:dyDescent="0.25">
      <c r="L564" t="s">
        <v>1305</v>
      </c>
      <c r="M564" t="s">
        <v>1241</v>
      </c>
    </row>
    <row r="565" spans="12:13" x14ac:dyDescent="0.25">
      <c r="L565" t="s">
        <v>1306</v>
      </c>
      <c r="M565" t="s">
        <v>1307</v>
      </c>
    </row>
    <row r="566" spans="12:13" x14ac:dyDescent="0.25">
      <c r="L566" t="s">
        <v>1308</v>
      </c>
      <c r="M566" t="s">
        <v>1309</v>
      </c>
    </row>
    <row r="567" spans="12:13" x14ac:dyDescent="0.25">
      <c r="L567" t="s">
        <v>1310</v>
      </c>
      <c r="M567" t="s">
        <v>1311</v>
      </c>
    </row>
    <row r="568" spans="12:13" x14ac:dyDescent="0.25">
      <c r="L568" t="s">
        <v>1312</v>
      </c>
      <c r="M568" t="s">
        <v>1313</v>
      </c>
    </row>
    <row r="569" spans="12:13" x14ac:dyDescent="0.25">
      <c r="L569" t="s">
        <v>1314</v>
      </c>
      <c r="M569" t="s">
        <v>1315</v>
      </c>
    </row>
    <row r="570" spans="12:13" x14ac:dyDescent="0.25">
      <c r="L570" t="s">
        <v>1316</v>
      </c>
      <c r="M570" t="s">
        <v>1317</v>
      </c>
    </row>
    <row r="571" spans="12:13" x14ac:dyDescent="0.25">
      <c r="L571" t="s">
        <v>1318</v>
      </c>
      <c r="M571" t="s">
        <v>1319</v>
      </c>
    </row>
    <row r="572" spans="12:13" x14ac:dyDescent="0.25">
      <c r="L572" t="s">
        <v>1320</v>
      </c>
      <c r="M572" t="s">
        <v>1321</v>
      </c>
    </row>
    <row r="573" spans="12:13" x14ac:dyDescent="0.25">
      <c r="L573" t="s">
        <v>1322</v>
      </c>
      <c r="M573" t="s">
        <v>1323</v>
      </c>
    </row>
    <row r="574" spans="12:13" x14ac:dyDescent="0.25">
      <c r="L574" t="s">
        <v>1324</v>
      </c>
      <c r="M574" t="s">
        <v>1325</v>
      </c>
    </row>
    <row r="575" spans="12:13" x14ac:dyDescent="0.25">
      <c r="L575" t="s">
        <v>1326</v>
      </c>
      <c r="M575" t="s">
        <v>1327</v>
      </c>
    </row>
    <row r="576" spans="12:13" x14ac:dyDescent="0.25">
      <c r="L576" t="s">
        <v>1328</v>
      </c>
      <c r="M576" t="s">
        <v>1329</v>
      </c>
    </row>
    <row r="577" spans="12:13" x14ac:dyDescent="0.25">
      <c r="L577" t="s">
        <v>1330</v>
      </c>
      <c r="M577" t="s">
        <v>1331</v>
      </c>
    </row>
    <row r="578" spans="12:13" x14ac:dyDescent="0.25">
      <c r="L578" t="s">
        <v>1332</v>
      </c>
      <c r="M578" t="s">
        <v>1333</v>
      </c>
    </row>
    <row r="579" spans="12:13" x14ac:dyDescent="0.25">
      <c r="L579" t="s">
        <v>1334</v>
      </c>
      <c r="M579" t="s">
        <v>1335</v>
      </c>
    </row>
    <row r="580" spans="12:13" x14ac:dyDescent="0.25">
      <c r="L580" t="s">
        <v>1336</v>
      </c>
      <c r="M580" t="s">
        <v>1337</v>
      </c>
    </row>
    <row r="581" spans="12:13" x14ac:dyDescent="0.25">
      <c r="L581" t="s">
        <v>1338</v>
      </c>
      <c r="M581" t="s">
        <v>1339</v>
      </c>
    </row>
    <row r="582" spans="12:13" x14ac:dyDescent="0.25">
      <c r="L582" t="s">
        <v>1340</v>
      </c>
      <c r="M582" t="s">
        <v>1341</v>
      </c>
    </row>
    <row r="583" spans="12:13" x14ac:dyDescent="0.25">
      <c r="L583" t="s">
        <v>1342</v>
      </c>
      <c r="M583" t="s">
        <v>1343</v>
      </c>
    </row>
    <row r="584" spans="12:13" x14ac:dyDescent="0.25">
      <c r="L584" t="s">
        <v>1344</v>
      </c>
      <c r="M584" t="s">
        <v>1345</v>
      </c>
    </row>
    <row r="585" spans="12:13" x14ac:dyDescent="0.25">
      <c r="L585" t="s">
        <v>1346</v>
      </c>
      <c r="M585" t="s">
        <v>1347</v>
      </c>
    </row>
    <row r="586" spans="12:13" x14ac:dyDescent="0.25">
      <c r="L586" t="s">
        <v>1348</v>
      </c>
      <c r="M586" t="s">
        <v>1349</v>
      </c>
    </row>
    <row r="587" spans="12:13" x14ac:dyDescent="0.25">
      <c r="L587" t="s">
        <v>1350</v>
      </c>
      <c r="M587" t="s">
        <v>1351</v>
      </c>
    </row>
    <row r="588" spans="12:13" x14ac:dyDescent="0.25">
      <c r="L588" t="s">
        <v>1352</v>
      </c>
      <c r="M588" t="s">
        <v>1353</v>
      </c>
    </row>
    <row r="589" spans="12:13" x14ac:dyDescent="0.25">
      <c r="L589" t="s">
        <v>1354</v>
      </c>
      <c r="M589" t="s">
        <v>1355</v>
      </c>
    </row>
    <row r="590" spans="12:13" x14ac:dyDescent="0.25">
      <c r="L590" t="s">
        <v>1356</v>
      </c>
      <c r="M590" t="s">
        <v>1357</v>
      </c>
    </row>
    <row r="591" spans="12:13" x14ac:dyDescent="0.25">
      <c r="L591" t="s">
        <v>1358</v>
      </c>
      <c r="M591" t="s">
        <v>1359</v>
      </c>
    </row>
    <row r="592" spans="12:13" x14ac:dyDescent="0.25">
      <c r="L592" t="s">
        <v>1360</v>
      </c>
      <c r="M592" t="s">
        <v>1361</v>
      </c>
    </row>
    <row r="593" spans="12:13" x14ac:dyDescent="0.25">
      <c r="L593" t="s">
        <v>1362</v>
      </c>
      <c r="M593" t="s">
        <v>1363</v>
      </c>
    </row>
    <row r="594" spans="12:13" x14ac:dyDescent="0.25">
      <c r="L594" t="s">
        <v>1364</v>
      </c>
      <c r="M594" t="s">
        <v>1365</v>
      </c>
    </row>
    <row r="595" spans="12:13" x14ac:dyDescent="0.25">
      <c r="L595" t="s">
        <v>1366</v>
      </c>
      <c r="M595" t="s">
        <v>1367</v>
      </c>
    </row>
    <row r="596" spans="12:13" x14ac:dyDescent="0.25">
      <c r="L596" t="s">
        <v>1368</v>
      </c>
      <c r="M596" t="s">
        <v>1369</v>
      </c>
    </row>
    <row r="597" spans="12:13" x14ac:dyDescent="0.25">
      <c r="L597" t="s">
        <v>1370</v>
      </c>
      <c r="M597" t="s">
        <v>1371</v>
      </c>
    </row>
    <row r="598" spans="12:13" x14ac:dyDescent="0.25">
      <c r="L598" t="s">
        <v>1372</v>
      </c>
      <c r="M598" t="s">
        <v>1373</v>
      </c>
    </row>
    <row r="599" spans="12:13" x14ac:dyDescent="0.25">
      <c r="L599" t="s">
        <v>1374</v>
      </c>
      <c r="M599" t="s">
        <v>1375</v>
      </c>
    </row>
    <row r="600" spans="12:13" x14ac:dyDescent="0.25">
      <c r="L600" t="s">
        <v>1376</v>
      </c>
      <c r="M600" t="s">
        <v>1377</v>
      </c>
    </row>
    <row r="601" spans="12:13" x14ac:dyDescent="0.25">
      <c r="L601" t="s">
        <v>1378</v>
      </c>
      <c r="M601" t="s">
        <v>1379</v>
      </c>
    </row>
    <row r="602" spans="12:13" x14ac:dyDescent="0.25">
      <c r="L602" t="s">
        <v>1380</v>
      </c>
      <c r="M602" t="s">
        <v>1381</v>
      </c>
    </row>
    <row r="603" spans="12:13" x14ac:dyDescent="0.25">
      <c r="L603" t="s">
        <v>1382</v>
      </c>
      <c r="M603" t="s">
        <v>1383</v>
      </c>
    </row>
    <row r="604" spans="12:13" x14ac:dyDescent="0.25">
      <c r="L604" t="s">
        <v>1384</v>
      </c>
      <c r="M604" t="s">
        <v>1385</v>
      </c>
    </row>
    <row r="605" spans="12:13" x14ac:dyDescent="0.25">
      <c r="L605" t="s">
        <v>1386</v>
      </c>
      <c r="M605" t="s">
        <v>1387</v>
      </c>
    </row>
    <row r="606" spans="12:13" x14ac:dyDescent="0.25">
      <c r="L606" t="s">
        <v>1388</v>
      </c>
      <c r="M606" t="s">
        <v>1389</v>
      </c>
    </row>
    <row r="607" spans="12:13" x14ac:dyDescent="0.25">
      <c r="L607" t="s">
        <v>1390</v>
      </c>
      <c r="M607" t="s">
        <v>1391</v>
      </c>
    </row>
    <row r="608" spans="12:13" x14ac:dyDescent="0.25">
      <c r="L608" t="s">
        <v>1392</v>
      </c>
      <c r="M608" t="s">
        <v>1393</v>
      </c>
    </row>
    <row r="609" spans="12:13" x14ac:dyDescent="0.25">
      <c r="L609" t="s">
        <v>1394</v>
      </c>
      <c r="M609" t="s">
        <v>1395</v>
      </c>
    </row>
    <row r="610" spans="12:13" x14ac:dyDescent="0.25">
      <c r="L610" t="s">
        <v>1396</v>
      </c>
      <c r="M610" t="s">
        <v>1397</v>
      </c>
    </row>
    <row r="611" spans="12:13" x14ac:dyDescent="0.25">
      <c r="L611" t="s">
        <v>1398</v>
      </c>
      <c r="M611" t="s">
        <v>1399</v>
      </c>
    </row>
    <row r="612" spans="12:13" x14ac:dyDescent="0.25">
      <c r="L612" t="s">
        <v>1400</v>
      </c>
      <c r="M612" t="s">
        <v>1401</v>
      </c>
    </row>
    <row r="613" spans="12:13" x14ac:dyDescent="0.25">
      <c r="L613" t="s">
        <v>1402</v>
      </c>
      <c r="M613" t="s">
        <v>1403</v>
      </c>
    </row>
    <row r="614" spans="12:13" x14ac:dyDescent="0.25">
      <c r="L614" t="s">
        <v>1404</v>
      </c>
      <c r="M614" t="s">
        <v>1405</v>
      </c>
    </row>
    <row r="615" spans="12:13" x14ac:dyDescent="0.25">
      <c r="L615" t="s">
        <v>1406</v>
      </c>
    </row>
    <row r="616" spans="12:13" x14ac:dyDescent="0.25">
      <c r="L616" t="s">
        <v>1407</v>
      </c>
    </row>
    <row r="617" spans="12:13" x14ac:dyDescent="0.25">
      <c r="L617" t="s">
        <v>1408</v>
      </c>
    </row>
  </sheetData>
  <customSheetViews>
    <customSheetView guid="{D98A1565-B6EB-4D88-8DB8-23EB436D0197}" state="hidden" topLeftCell="C1">
      <selection activeCell="O3" sqref="O3"/>
      <pageMargins left="0.7" right="0.7" top="0.75" bottom="0.75" header="0.3" footer="0.3"/>
    </customSheetView>
  </customSheetViews>
  <dataValidations count="2">
    <dataValidation type="list" allowBlank="1" showInputMessage="1" showErrorMessage="1" sqref="D3">
      <formula1>$E$2:$E$8</formula1>
    </dataValidation>
    <dataValidation type="list" allowBlank="1" showInputMessage="1" showErrorMessage="1" sqref="P2">
      <formula1>$O$2:$O$16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3:H150"/>
  <sheetViews>
    <sheetView showGridLines="0" view="pageLayout" zoomScale="70" zoomScaleNormal="100" zoomScaleSheetLayoutView="106" zoomScalePageLayoutView="70" workbookViewId="0">
      <selection activeCell="G22" sqref="G22"/>
    </sheetView>
  </sheetViews>
  <sheetFormatPr baseColWidth="10" defaultRowHeight="15" x14ac:dyDescent="0.25"/>
  <cols>
    <col min="1" max="1" width="7.85546875" customWidth="1"/>
    <col min="2" max="2" width="36.42578125" customWidth="1"/>
    <col min="3" max="3" width="16.28515625" bestFit="1" customWidth="1"/>
    <col min="4" max="4" width="12.5703125" customWidth="1"/>
    <col min="5" max="5" width="20.85546875" customWidth="1"/>
    <col min="6" max="6" width="26.28515625" style="84" customWidth="1"/>
    <col min="7" max="7" width="14.5703125" customWidth="1"/>
    <col min="8" max="8" width="15.85546875" customWidth="1"/>
  </cols>
  <sheetData>
    <row r="3" spans="1:8" ht="15.75" x14ac:dyDescent="0.25">
      <c r="A3" s="135"/>
      <c r="B3" s="135"/>
      <c r="C3" s="135"/>
      <c r="D3" s="386"/>
      <c r="E3" s="135"/>
      <c r="F3" s="128"/>
      <c r="G3" s="135"/>
      <c r="H3" s="135"/>
    </row>
    <row r="4" spans="1:8" ht="15.75" x14ac:dyDescent="0.25">
      <c r="A4" s="135"/>
      <c r="B4" s="135"/>
      <c r="C4" s="135"/>
      <c r="D4" s="386"/>
      <c r="E4" s="135"/>
      <c r="F4" s="128"/>
      <c r="G4" s="135"/>
      <c r="H4" s="135"/>
    </row>
    <row r="5" spans="1:8" ht="15.75" x14ac:dyDescent="0.25">
      <c r="A5" s="567" t="s">
        <v>1686</v>
      </c>
      <c r="B5" s="567"/>
      <c r="C5" s="567"/>
      <c r="D5" s="567"/>
      <c r="E5" s="567"/>
      <c r="F5" s="567"/>
      <c r="G5" s="567"/>
      <c r="H5" s="567"/>
    </row>
    <row r="6" spans="1:8" ht="15.75" x14ac:dyDescent="0.25">
      <c r="A6" s="135"/>
      <c r="B6" s="135"/>
      <c r="C6" s="135"/>
      <c r="D6" s="386"/>
      <c r="E6" s="135"/>
      <c r="F6" s="128"/>
      <c r="G6" s="135"/>
      <c r="H6" s="135"/>
    </row>
    <row r="7" spans="1:8" ht="15.75" x14ac:dyDescent="0.25">
      <c r="A7" s="568" t="s">
        <v>1526</v>
      </c>
      <c r="B7" s="568"/>
      <c r="C7" s="568"/>
      <c r="D7" s="568"/>
      <c r="E7" s="568"/>
      <c r="F7" s="568"/>
      <c r="G7" s="568"/>
      <c r="H7" s="568"/>
    </row>
    <row r="8" spans="1:8" ht="15.75" x14ac:dyDescent="0.25">
      <c r="A8" s="568" t="s">
        <v>1684</v>
      </c>
      <c r="B8" s="568"/>
      <c r="C8" s="568"/>
      <c r="D8" s="568"/>
      <c r="E8" s="568"/>
      <c r="F8" s="568"/>
      <c r="G8" s="568"/>
      <c r="H8" s="568"/>
    </row>
    <row r="9" spans="1:8" ht="15.75" x14ac:dyDescent="0.25">
      <c r="A9" s="568" t="s">
        <v>1527</v>
      </c>
      <c r="B9" s="568"/>
      <c r="C9" s="568"/>
      <c r="D9" s="568"/>
      <c r="E9" s="568"/>
      <c r="F9" s="568"/>
      <c r="G9" s="568"/>
      <c r="H9" s="568"/>
    </row>
    <row r="10" spans="1:8" ht="15.75" x14ac:dyDescent="0.25">
      <c r="A10" s="135"/>
      <c r="B10" s="135"/>
      <c r="C10" s="135"/>
      <c r="D10" s="386"/>
      <c r="E10" s="135"/>
      <c r="F10" s="128"/>
      <c r="G10" s="135"/>
      <c r="H10" s="135"/>
    </row>
    <row r="11" spans="1:8" ht="15.75" x14ac:dyDescent="0.25">
      <c r="A11" s="135"/>
      <c r="B11" s="569" t="s">
        <v>1685</v>
      </c>
      <c r="C11" s="569"/>
      <c r="D11" s="569"/>
      <c r="E11" s="569"/>
      <c r="F11" s="569"/>
      <c r="G11" s="569"/>
      <c r="H11" s="569"/>
    </row>
    <row r="12" spans="1:8" ht="15.75" x14ac:dyDescent="0.25">
      <c r="A12" s="135"/>
      <c r="B12" s="135"/>
      <c r="C12" s="135"/>
      <c r="D12" s="386"/>
      <c r="E12" s="135"/>
      <c r="F12" s="128"/>
      <c r="G12" s="135"/>
      <c r="H12" s="135"/>
    </row>
    <row r="13" spans="1:8" ht="15.75" x14ac:dyDescent="0.25">
      <c r="A13" s="566" t="s">
        <v>1664</v>
      </c>
      <c r="B13" s="566"/>
      <c r="C13" s="566"/>
      <c r="D13" s="566"/>
      <c r="E13" s="566"/>
      <c r="F13" s="566"/>
      <c r="G13" s="566"/>
      <c r="H13" s="566"/>
    </row>
    <row r="14" spans="1:8" ht="15.75" x14ac:dyDescent="0.25">
      <c r="A14" s="135"/>
      <c r="B14" s="135"/>
      <c r="C14" s="135"/>
      <c r="D14" s="386"/>
      <c r="E14" s="135"/>
      <c r="F14" s="128"/>
      <c r="G14" s="135"/>
      <c r="H14" s="135"/>
    </row>
    <row r="15" spans="1:8" ht="48" customHeight="1" x14ac:dyDescent="0.25">
      <c r="A15" s="570" t="s">
        <v>1687</v>
      </c>
      <c r="B15" s="570"/>
      <c r="C15" s="570"/>
      <c r="D15" s="570"/>
      <c r="E15" s="570"/>
      <c r="F15" s="570"/>
      <c r="G15" s="570"/>
      <c r="H15" s="570"/>
    </row>
    <row r="16" spans="1:8" ht="15.75" x14ac:dyDescent="0.25">
      <c r="A16" s="135"/>
      <c r="B16" s="135"/>
      <c r="C16" s="135"/>
      <c r="D16" s="386"/>
      <c r="E16" s="135"/>
      <c r="F16" s="128"/>
      <c r="G16" s="135"/>
      <c r="H16" s="135"/>
    </row>
    <row r="17" spans="1:8" ht="15.75" x14ac:dyDescent="0.25">
      <c r="A17" s="571" t="s">
        <v>1639</v>
      </c>
      <c r="B17" s="572"/>
      <c r="C17" s="572"/>
      <c r="D17" s="572"/>
      <c r="E17" s="572"/>
      <c r="F17" s="572"/>
      <c r="G17" s="572"/>
      <c r="H17" s="572"/>
    </row>
    <row r="18" spans="1:8" ht="16.5" thickBot="1" x14ac:dyDescent="0.3">
      <c r="A18" s="135"/>
      <c r="B18" s="226"/>
      <c r="C18" s="226"/>
      <c r="D18" s="226"/>
      <c r="E18" s="226"/>
      <c r="F18" s="387"/>
      <c r="G18" s="226"/>
      <c r="H18" s="135"/>
    </row>
    <row r="19" spans="1:8" ht="15.75" x14ac:dyDescent="0.25">
      <c r="A19" s="135"/>
      <c r="B19" s="388" t="s">
        <v>22</v>
      </c>
      <c r="C19" s="389" t="s">
        <v>11</v>
      </c>
      <c r="D19" s="389" t="s">
        <v>84</v>
      </c>
      <c r="E19" s="390" t="s">
        <v>1661</v>
      </c>
      <c r="F19" s="391" t="s">
        <v>1640</v>
      </c>
      <c r="H19" s="135"/>
    </row>
    <row r="20" spans="1:8" s="385" customFormat="1" ht="28.5" customHeight="1" x14ac:dyDescent="0.25">
      <c r="A20" s="132"/>
      <c r="B20" s="392" t="str">
        <f>+'HOJA DE TRABAJO'!$C$38 &amp;" "&amp; 'HOJA DE TRABAJO'!$F$36</f>
        <v xml:space="preserve">VENDEDOR INSTITUCIONAL COCHABAMBA </v>
      </c>
      <c r="C20" s="413">
        <f>+'HOJA DE TRABAJO'!F38</f>
        <v>2</v>
      </c>
      <c r="D20" s="413">
        <f>+'HOJA DE TRABAJO'!$H$17</f>
        <v>12</v>
      </c>
      <c r="E20" s="393">
        <f>+'HOJA 1 aux'!G34</f>
        <v>7746.170936426226</v>
      </c>
      <c r="F20" s="422">
        <f>+(E20*C20*D20)</f>
        <v>185908.10247422941</v>
      </c>
      <c r="G20" s="441"/>
      <c r="H20" s="132"/>
    </row>
    <row r="21" spans="1:8" s="385" customFormat="1" ht="38.25" customHeight="1" x14ac:dyDescent="0.25">
      <c r="A21" s="132"/>
      <c r="B21" s="392" t="str">
        <f>+'HOJA DE TRABAJO'!$C$38 &amp;" "&amp; 'HOJA DE TRABAJO'!$L$36</f>
        <v>VENDEDOR INSTITUCIONAL SANTA CRUZ</v>
      </c>
      <c r="C21" s="413">
        <f>+'HOJA DE TRABAJO'!L38</f>
        <v>1</v>
      </c>
      <c r="D21" s="413">
        <f>+'HOJA DE TRABAJO'!$H$17</f>
        <v>12</v>
      </c>
      <c r="E21" s="393">
        <f>+'HOJA 2 aux'!G34</f>
        <v>8208.9345531249528</v>
      </c>
      <c r="F21" s="422">
        <f t="shared" ref="F21:F73" si="0">+(E21*C21*D21)</f>
        <v>98507.214637499434</v>
      </c>
      <c r="H21" s="132"/>
    </row>
    <row r="22" spans="1:8" s="385" customFormat="1" ht="29.25" customHeight="1" x14ac:dyDescent="0.25">
      <c r="A22" s="132"/>
      <c r="B22" s="392" t="str">
        <f>+'HOJA DE TRABAJO'!$C$38 &amp;" "&amp; 'HOJA DE TRABAJO'!$Q$36</f>
        <v>VENDEDOR INSTITUCIONAL LA PAZ</v>
      </c>
      <c r="C22" s="413">
        <f>+'HOJA DE TRABAJO'!Q38</f>
        <v>1</v>
      </c>
      <c r="D22" s="413">
        <f>+'HOJA DE TRABAJO'!$H$17</f>
        <v>12</v>
      </c>
      <c r="E22" s="393">
        <f>+'HOJA 3 aux'!G34</f>
        <v>8208.9345531249528</v>
      </c>
      <c r="F22" s="422">
        <f t="shared" si="0"/>
        <v>98507.214637499434</v>
      </c>
      <c r="H22" s="132"/>
    </row>
    <row r="23" spans="1:8" s="385" customFormat="1" ht="20.25" hidden="1" customHeight="1" x14ac:dyDescent="0.25">
      <c r="A23" s="132"/>
      <c r="B23" s="392" t="str">
        <f>+'HOJA DE TRABAJO'!$C$38 &amp;" "&amp; 'HOJA DE TRABAJO'!$W$36</f>
        <v>VENDEDOR INSTITUCIONAL TARIJA</v>
      </c>
      <c r="C23" s="413">
        <f>+'HOJA DE TRABAJO'!W38</f>
        <v>0</v>
      </c>
      <c r="D23" s="413">
        <f>+'HOJA DE TRABAJO'!$H$17</f>
        <v>12</v>
      </c>
      <c r="E23" s="422">
        <f>+'HOJA 4 aux '!G34</f>
        <v>0</v>
      </c>
      <c r="F23" s="422">
        <f t="shared" si="0"/>
        <v>0</v>
      </c>
      <c r="H23" s="132"/>
    </row>
    <row r="24" spans="1:8" s="385" customFormat="1" ht="20.25" hidden="1" customHeight="1" x14ac:dyDescent="0.25">
      <c r="A24" s="132"/>
      <c r="B24" s="392" t="str">
        <f>+'HOJA DE TRABAJO'!$C$38 &amp;" "&amp; 'HOJA DE TRABAJO'!$AB$36</f>
        <v>VENDEDOR INSTITUCIONAL POTOSI</v>
      </c>
      <c r="C24" s="413">
        <f>+'HOJA DE TRABAJO'!AB38</f>
        <v>0</v>
      </c>
      <c r="D24" s="413">
        <f>+'HOJA DE TRABAJO'!$H$17</f>
        <v>12</v>
      </c>
      <c r="E24" s="422">
        <f>+'HOJA 5 aux'!G34</f>
        <v>0</v>
      </c>
      <c r="F24" s="422">
        <f t="shared" si="0"/>
        <v>0</v>
      </c>
      <c r="H24" s="132"/>
    </row>
    <row r="25" spans="1:8" s="385" customFormat="1" ht="20.25" hidden="1" customHeight="1" x14ac:dyDescent="0.25">
      <c r="A25" s="132"/>
      <c r="B25" s="392" t="str">
        <f>+'HOJA DE TRABAJO'!$C$38 &amp;" "&amp; 'HOJA DE TRABAJO'!$AG$36</f>
        <v>VENDEDOR INSTITUCIONAL SUCRE</v>
      </c>
      <c r="C25" s="413">
        <f>+'HOJA DE TRABAJO'!AG38</f>
        <v>0</v>
      </c>
      <c r="D25" s="413">
        <f>+'HOJA DE TRABAJO'!$H$17</f>
        <v>12</v>
      </c>
      <c r="E25" s="422">
        <f>+'HOJA 6 aux'!G34</f>
        <v>0</v>
      </c>
      <c r="F25" s="422">
        <f t="shared" si="0"/>
        <v>0</v>
      </c>
      <c r="H25" s="132"/>
    </row>
    <row r="26" spans="1:8" s="385" customFormat="1" ht="20.25" hidden="1" customHeight="1" x14ac:dyDescent="0.25">
      <c r="A26" s="132"/>
      <c r="B26" s="392" t="str">
        <f>+'HOJA DE TRABAJO'!$C$38 &amp;" "&amp; 'HOJA DE TRABAJO'!$AL$36</f>
        <v>VENDEDOR INSTITUCIONAL ORURO</v>
      </c>
      <c r="C26" s="413">
        <f>+'HOJA DE TRABAJO'!AL38</f>
        <v>0</v>
      </c>
      <c r="D26" s="413">
        <f>+'HOJA DE TRABAJO'!$H$17</f>
        <v>12</v>
      </c>
      <c r="E26" s="422">
        <f>+'HOJA 7 aux'!G34</f>
        <v>0</v>
      </c>
      <c r="F26" s="422">
        <f t="shared" si="0"/>
        <v>0</v>
      </c>
      <c r="H26" s="132"/>
    </row>
    <row r="27" spans="1:8" s="385" customFormat="1" ht="20.25" hidden="1" customHeight="1" x14ac:dyDescent="0.25">
      <c r="A27" s="132"/>
      <c r="B27" s="392" t="str">
        <f>+'HOJA DE TRABAJO'!$C$38 &amp;" "&amp; 'HOJA DE TRABAJO'!$AQ$36</f>
        <v>VENDEDOR INSTITUCIONAL EL ALTO</v>
      </c>
      <c r="C27" s="413">
        <f>+'HOJA DE TRABAJO'!AQ38</f>
        <v>0</v>
      </c>
      <c r="D27" s="413">
        <f>+'HOJA DE TRABAJO'!$H$17</f>
        <v>12</v>
      </c>
      <c r="E27" s="422">
        <f>+'HOJA 8 aux'!G34</f>
        <v>0</v>
      </c>
      <c r="F27" s="422">
        <f t="shared" si="0"/>
        <v>0</v>
      </c>
      <c r="H27" s="132"/>
    </row>
    <row r="28" spans="1:8" s="385" customFormat="1" ht="20.25" hidden="1" customHeight="1" x14ac:dyDescent="0.25">
      <c r="A28" s="132"/>
      <c r="B28" s="392" t="str">
        <f>+'HOJA DE TRABAJO'!$C$38 &amp;" "&amp; 'HOJA DE TRABAJO'!$AV$36</f>
        <v>VENDEDOR INSTITUCIONAL PANDO</v>
      </c>
      <c r="C28" s="413">
        <f>+'HOJA DE TRABAJO'!AV38</f>
        <v>0</v>
      </c>
      <c r="D28" s="413">
        <f>+'HOJA DE TRABAJO'!$H$17</f>
        <v>12</v>
      </c>
      <c r="E28" s="422">
        <f>+'HOJA 9 aux'!G34</f>
        <v>0</v>
      </c>
      <c r="F28" s="422">
        <f t="shared" si="0"/>
        <v>0</v>
      </c>
      <c r="H28" s="132"/>
    </row>
    <row r="29" spans="1:8" s="385" customFormat="1" ht="20.25" hidden="1" customHeight="1" x14ac:dyDescent="0.25">
      <c r="A29" s="132"/>
      <c r="B29" s="392" t="str">
        <f>+'HOJA DE TRABAJO'!$C$39 &amp;" "&amp; 'HOJA DE TRABAJO'!$F$36</f>
        <v xml:space="preserve"> COCHABAMBA </v>
      </c>
      <c r="C29" s="413">
        <f>+'HOJA DE TRABAJO'!$F$39</f>
        <v>0</v>
      </c>
      <c r="D29" s="413">
        <f>+'HOJA DE TRABAJO'!$H$17</f>
        <v>12</v>
      </c>
      <c r="E29" s="422">
        <f>+'HOJA 1 aux'!O34</f>
        <v>0</v>
      </c>
      <c r="F29" s="422">
        <f t="shared" si="0"/>
        <v>0</v>
      </c>
      <c r="H29" s="132"/>
    </row>
    <row r="30" spans="1:8" s="385" customFormat="1" ht="20.25" hidden="1" customHeight="1" x14ac:dyDescent="0.25">
      <c r="A30" s="132"/>
      <c r="B30" s="392" t="str">
        <f>+'HOJA DE TRABAJO'!$C$39 &amp;" "&amp; 'HOJA DE TRABAJO'!$L$36</f>
        <v xml:space="preserve"> SANTA CRUZ</v>
      </c>
      <c r="C30" s="413">
        <f>+'HOJA DE TRABAJO'!$L$39</f>
        <v>0</v>
      </c>
      <c r="D30" s="413">
        <f>+'HOJA DE TRABAJO'!$H$17</f>
        <v>12</v>
      </c>
      <c r="E30" s="422">
        <f>+'HOJA 2 aux'!O34</f>
        <v>0</v>
      </c>
      <c r="F30" s="422">
        <f t="shared" si="0"/>
        <v>0</v>
      </c>
      <c r="H30" s="132"/>
    </row>
    <row r="31" spans="1:8" s="385" customFormat="1" ht="20.25" hidden="1" customHeight="1" x14ac:dyDescent="0.25">
      <c r="A31" s="132"/>
      <c r="B31" s="392" t="str">
        <f>+'HOJA DE TRABAJO'!$C$39 &amp;" "&amp; 'HOJA DE TRABAJO'!$Q$36</f>
        <v xml:space="preserve"> LA PAZ</v>
      </c>
      <c r="C31" s="413">
        <f>+'HOJA DE TRABAJO'!$Q$39</f>
        <v>0</v>
      </c>
      <c r="D31" s="413">
        <f>+'HOJA DE TRABAJO'!$H$17</f>
        <v>12</v>
      </c>
      <c r="E31" s="422">
        <f>+'HOJA 3 aux'!O34</f>
        <v>0</v>
      </c>
      <c r="F31" s="422">
        <f t="shared" si="0"/>
        <v>0</v>
      </c>
      <c r="H31" s="132"/>
    </row>
    <row r="32" spans="1:8" s="385" customFormat="1" ht="20.25" hidden="1" customHeight="1" x14ac:dyDescent="0.25">
      <c r="A32" s="132"/>
      <c r="B32" s="392" t="str">
        <f>+'HOJA DE TRABAJO'!$C$39 &amp;" "&amp; 'HOJA DE TRABAJO'!$W$36</f>
        <v xml:space="preserve"> TARIJA</v>
      </c>
      <c r="C32" s="413">
        <f>+'HOJA DE TRABAJO'!$W$39</f>
        <v>0</v>
      </c>
      <c r="D32" s="413">
        <f>+'HOJA DE TRABAJO'!$H$17</f>
        <v>12</v>
      </c>
      <c r="E32" s="393">
        <f>+'HOJA 4 aux '!O34</f>
        <v>0</v>
      </c>
      <c r="F32" s="393">
        <f t="shared" si="0"/>
        <v>0</v>
      </c>
      <c r="H32" s="132"/>
    </row>
    <row r="33" spans="1:8" s="385" customFormat="1" ht="20.25" hidden="1" customHeight="1" x14ac:dyDescent="0.25">
      <c r="A33" s="132"/>
      <c r="B33" s="392" t="str">
        <f>+'HOJA DE TRABAJO'!$C$39 &amp;" "&amp; 'HOJA DE TRABAJO'!$AB$36</f>
        <v xml:space="preserve"> POTOSI</v>
      </c>
      <c r="C33" s="413">
        <f>+'HOJA DE TRABAJO'!$AB$39</f>
        <v>0</v>
      </c>
      <c r="D33" s="413">
        <f>+'HOJA DE TRABAJO'!$H$17</f>
        <v>12</v>
      </c>
      <c r="E33" s="393">
        <f>+'HOJA 5 aux'!O34</f>
        <v>0</v>
      </c>
      <c r="F33" s="393">
        <f t="shared" si="0"/>
        <v>0</v>
      </c>
      <c r="H33" s="132"/>
    </row>
    <row r="34" spans="1:8" s="385" customFormat="1" ht="20.25" hidden="1" customHeight="1" x14ac:dyDescent="0.25">
      <c r="A34" s="132"/>
      <c r="B34" s="392" t="str">
        <f>+'HOJA DE TRABAJO'!$C$39 &amp;" "&amp; 'HOJA DE TRABAJO'!$AG$36</f>
        <v xml:space="preserve"> SUCRE</v>
      </c>
      <c r="C34" s="413">
        <f>+'HOJA DE TRABAJO'!$AG$39</f>
        <v>0</v>
      </c>
      <c r="D34" s="413">
        <f>+'HOJA DE TRABAJO'!$H$17</f>
        <v>12</v>
      </c>
      <c r="E34" s="393">
        <f>+'HOJA 6 aux'!O34</f>
        <v>0</v>
      </c>
      <c r="F34" s="393">
        <f t="shared" si="0"/>
        <v>0</v>
      </c>
      <c r="H34" s="132"/>
    </row>
    <row r="35" spans="1:8" s="385" customFormat="1" ht="20.25" hidden="1" customHeight="1" x14ac:dyDescent="0.25">
      <c r="A35" s="132"/>
      <c r="B35" s="392" t="str">
        <f>+'HOJA DE TRABAJO'!$C$39 &amp;" "&amp; 'HOJA DE TRABAJO'!$AL$36</f>
        <v xml:space="preserve"> ORURO</v>
      </c>
      <c r="C35" s="413">
        <f>+'HOJA DE TRABAJO'!$AL$39</f>
        <v>0</v>
      </c>
      <c r="D35" s="413">
        <f>+'HOJA DE TRABAJO'!$H$17</f>
        <v>12</v>
      </c>
      <c r="E35" s="393">
        <f>+'HOJA 7 aux'!O34</f>
        <v>0</v>
      </c>
      <c r="F35" s="393">
        <f t="shared" si="0"/>
        <v>0</v>
      </c>
      <c r="H35" s="132"/>
    </row>
    <row r="36" spans="1:8" s="385" customFormat="1" ht="20.25" hidden="1" customHeight="1" x14ac:dyDescent="0.25">
      <c r="A36" s="132"/>
      <c r="B36" s="392" t="str">
        <f>+'HOJA DE TRABAJO'!$C$39 &amp;" "&amp; 'HOJA DE TRABAJO'!$AQ$36</f>
        <v xml:space="preserve"> EL ALTO</v>
      </c>
      <c r="C36" s="413">
        <f>+'HOJA DE TRABAJO'!$AQ$39</f>
        <v>0</v>
      </c>
      <c r="D36" s="413">
        <f>+'HOJA DE TRABAJO'!$H$17</f>
        <v>12</v>
      </c>
      <c r="E36" s="393">
        <f>+'HOJA 8 aux'!O34</f>
        <v>0</v>
      </c>
      <c r="F36" s="393">
        <f t="shared" si="0"/>
        <v>0</v>
      </c>
      <c r="H36" s="132"/>
    </row>
    <row r="37" spans="1:8" s="385" customFormat="1" ht="20.25" hidden="1" customHeight="1" x14ac:dyDescent="0.25">
      <c r="A37" s="132"/>
      <c r="B37" s="392" t="str">
        <f>+'HOJA DE TRABAJO'!$C$39 &amp;" "&amp; 'HOJA DE TRABAJO'!$AV$36</f>
        <v xml:space="preserve"> PANDO</v>
      </c>
      <c r="C37" s="413">
        <f>+'HOJA DE TRABAJO'!$AV$39</f>
        <v>0</v>
      </c>
      <c r="D37" s="413">
        <f>+'HOJA DE TRABAJO'!$H$17</f>
        <v>12</v>
      </c>
      <c r="E37" s="393">
        <f>+'HOJA 9 aux'!O34</f>
        <v>0</v>
      </c>
      <c r="F37" s="393">
        <f t="shared" si="0"/>
        <v>0</v>
      </c>
      <c r="H37" s="132"/>
    </row>
    <row r="38" spans="1:8" s="385" customFormat="1" ht="20.25" hidden="1" customHeight="1" x14ac:dyDescent="0.25">
      <c r="A38" s="132"/>
      <c r="B38" s="392" t="str">
        <f>+'HOJA DE TRABAJO'!$C$40 &amp;" "&amp; 'HOJA DE TRABAJO'!$F$36</f>
        <v xml:space="preserve"> COCHABAMBA </v>
      </c>
      <c r="C38" s="413">
        <f>+'HOJA DE TRABAJO'!$F$40</f>
        <v>0</v>
      </c>
      <c r="D38" s="413">
        <f>+'HOJA DE TRABAJO'!$H$17</f>
        <v>12</v>
      </c>
      <c r="E38" s="393">
        <f>+'HOJA 1 aux'!G67</f>
        <v>0</v>
      </c>
      <c r="F38" s="393">
        <f t="shared" si="0"/>
        <v>0</v>
      </c>
      <c r="H38" s="132"/>
    </row>
    <row r="39" spans="1:8" s="385" customFormat="1" ht="20.25" hidden="1" customHeight="1" x14ac:dyDescent="0.25">
      <c r="A39" s="132"/>
      <c r="B39" s="392" t="str">
        <f>+'HOJA DE TRABAJO'!$C$40&amp;" "&amp; 'HOJA DE TRABAJO'!$L$36</f>
        <v xml:space="preserve"> SANTA CRUZ</v>
      </c>
      <c r="C39" s="413">
        <f>+'HOJA DE TRABAJO'!$L$40</f>
        <v>0</v>
      </c>
      <c r="D39" s="413">
        <f>+'HOJA DE TRABAJO'!$H$17</f>
        <v>12</v>
      </c>
      <c r="E39" s="393">
        <f>+'HOJA 2 aux'!G67</f>
        <v>0</v>
      </c>
      <c r="F39" s="393">
        <f t="shared" si="0"/>
        <v>0</v>
      </c>
      <c r="H39" s="132"/>
    </row>
    <row r="40" spans="1:8" s="385" customFormat="1" ht="20.25" hidden="1" customHeight="1" x14ac:dyDescent="0.25">
      <c r="A40" s="132"/>
      <c r="B40" s="392" t="str">
        <f>+'HOJA DE TRABAJO'!$C$40&amp;" "&amp; 'HOJA DE TRABAJO'!$Q$36</f>
        <v xml:space="preserve"> LA PAZ</v>
      </c>
      <c r="C40" s="413">
        <f>+'HOJA DE TRABAJO'!$Q$40</f>
        <v>0</v>
      </c>
      <c r="D40" s="413">
        <f>+'HOJA DE TRABAJO'!$H$17</f>
        <v>12</v>
      </c>
      <c r="E40" s="393">
        <f>+'HOJA 3 aux'!G67</f>
        <v>0</v>
      </c>
      <c r="F40" s="393">
        <f t="shared" si="0"/>
        <v>0</v>
      </c>
      <c r="H40" s="132"/>
    </row>
    <row r="41" spans="1:8" s="385" customFormat="1" ht="20.25" hidden="1" customHeight="1" x14ac:dyDescent="0.25">
      <c r="A41" s="132"/>
      <c r="B41" s="392" t="str">
        <f>+'HOJA DE TRABAJO'!$C$40&amp;" "&amp; 'HOJA DE TRABAJO'!$W$36</f>
        <v xml:space="preserve"> TARIJA</v>
      </c>
      <c r="C41" s="413">
        <f>+'HOJA DE TRABAJO'!$W$40</f>
        <v>0</v>
      </c>
      <c r="D41" s="413">
        <f>+'HOJA DE TRABAJO'!$H$17</f>
        <v>12</v>
      </c>
      <c r="E41" s="393">
        <f>+'HOJA 4 aux '!G67</f>
        <v>0</v>
      </c>
      <c r="F41" s="393">
        <f t="shared" si="0"/>
        <v>0</v>
      </c>
      <c r="H41" s="132"/>
    </row>
    <row r="42" spans="1:8" s="385" customFormat="1" ht="20.25" hidden="1" customHeight="1" x14ac:dyDescent="0.25">
      <c r="A42" s="132"/>
      <c r="B42" s="392" t="str">
        <f>+'HOJA DE TRABAJO'!$C$40&amp;" "&amp; 'HOJA DE TRABAJO'!$AB$36</f>
        <v xml:space="preserve"> POTOSI</v>
      </c>
      <c r="C42" s="413">
        <f>+'HOJA DE TRABAJO'!$AB$40</f>
        <v>0</v>
      </c>
      <c r="D42" s="413">
        <f>+'HOJA DE TRABAJO'!$H$17</f>
        <v>12</v>
      </c>
      <c r="E42" s="393">
        <f>+'HOJA 5 aux'!G67</f>
        <v>0</v>
      </c>
      <c r="F42" s="393">
        <f t="shared" si="0"/>
        <v>0</v>
      </c>
      <c r="H42" s="132"/>
    </row>
    <row r="43" spans="1:8" s="385" customFormat="1" ht="20.25" hidden="1" customHeight="1" x14ac:dyDescent="0.25">
      <c r="A43" s="132"/>
      <c r="B43" s="392" t="str">
        <f>+'HOJA DE TRABAJO'!$C$40&amp;" "&amp; 'HOJA DE TRABAJO'!$AG$36</f>
        <v xml:space="preserve"> SUCRE</v>
      </c>
      <c r="C43" s="413">
        <f>+'HOJA DE TRABAJO'!$AG$40</f>
        <v>0</v>
      </c>
      <c r="D43" s="413">
        <f>+'HOJA DE TRABAJO'!$H$17</f>
        <v>12</v>
      </c>
      <c r="E43" s="393">
        <f>+'HOJA 6 aux'!G67</f>
        <v>0</v>
      </c>
      <c r="F43" s="393">
        <f t="shared" si="0"/>
        <v>0</v>
      </c>
      <c r="H43" s="132"/>
    </row>
    <row r="44" spans="1:8" s="385" customFormat="1" ht="20.25" hidden="1" customHeight="1" x14ac:dyDescent="0.25">
      <c r="A44" s="132"/>
      <c r="B44" s="392" t="str">
        <f>+'HOJA DE TRABAJO'!$C$40&amp;" "&amp; 'HOJA DE TRABAJO'!$AL$36</f>
        <v xml:space="preserve"> ORURO</v>
      </c>
      <c r="C44" s="413">
        <f>+'HOJA DE TRABAJO'!$AL$40</f>
        <v>0</v>
      </c>
      <c r="D44" s="413">
        <f>+'HOJA DE TRABAJO'!$H$17</f>
        <v>12</v>
      </c>
      <c r="E44" s="393">
        <f>+'HOJA 7 aux'!G67</f>
        <v>0</v>
      </c>
      <c r="F44" s="393">
        <f t="shared" si="0"/>
        <v>0</v>
      </c>
      <c r="H44" s="132"/>
    </row>
    <row r="45" spans="1:8" s="385" customFormat="1" ht="20.25" hidden="1" customHeight="1" x14ac:dyDescent="0.25">
      <c r="A45" s="132"/>
      <c r="B45" s="392" t="str">
        <f>+'HOJA DE TRABAJO'!$C$40&amp;" "&amp; 'HOJA DE TRABAJO'!$AQ$36</f>
        <v xml:space="preserve"> EL ALTO</v>
      </c>
      <c r="C45" s="413">
        <f>+'HOJA DE TRABAJO'!$AQ$40</f>
        <v>0</v>
      </c>
      <c r="D45" s="413">
        <f>+'HOJA DE TRABAJO'!$H$17</f>
        <v>12</v>
      </c>
      <c r="E45" s="393">
        <f>+'HOJA 8 aux'!G67</f>
        <v>0</v>
      </c>
      <c r="F45" s="393">
        <f t="shared" si="0"/>
        <v>0</v>
      </c>
      <c r="H45" s="132"/>
    </row>
    <row r="46" spans="1:8" s="385" customFormat="1" ht="20.25" hidden="1" customHeight="1" x14ac:dyDescent="0.25">
      <c r="A46" s="132"/>
      <c r="B46" s="392" t="str">
        <f>+'HOJA DE TRABAJO'!$C$40&amp;" "&amp; 'HOJA DE TRABAJO'!$AV$36</f>
        <v xml:space="preserve"> PANDO</v>
      </c>
      <c r="C46" s="413">
        <f>+'HOJA DE TRABAJO'!$AV$40</f>
        <v>0</v>
      </c>
      <c r="D46" s="413">
        <f>+'HOJA DE TRABAJO'!$H$17</f>
        <v>12</v>
      </c>
      <c r="E46" s="393">
        <f>+'HOJA 9 aux'!G67</f>
        <v>0</v>
      </c>
      <c r="F46" s="393">
        <f t="shared" si="0"/>
        <v>0</v>
      </c>
      <c r="H46" s="132"/>
    </row>
    <row r="47" spans="1:8" s="385" customFormat="1" ht="20.25" hidden="1" customHeight="1" x14ac:dyDescent="0.25">
      <c r="A47" s="132"/>
      <c r="B47" s="392" t="str">
        <f>+'HOJA DE TRABAJO'!$C$41 &amp;" "&amp; 'HOJA DE TRABAJO'!$F$36</f>
        <v xml:space="preserve"> COCHABAMBA </v>
      </c>
      <c r="C47" s="413">
        <f>+'HOJA DE TRABAJO'!$F$41</f>
        <v>0</v>
      </c>
      <c r="D47" s="413">
        <f>+'HOJA DE TRABAJO'!$H$17</f>
        <v>12</v>
      </c>
      <c r="E47" s="393">
        <f>+'HOJA 1 aux'!O67</f>
        <v>0</v>
      </c>
      <c r="F47" s="393">
        <f t="shared" si="0"/>
        <v>0</v>
      </c>
      <c r="H47" s="132"/>
    </row>
    <row r="48" spans="1:8" s="385" customFormat="1" ht="20.25" hidden="1" customHeight="1" x14ac:dyDescent="0.25">
      <c r="A48" s="132"/>
      <c r="B48" s="392" t="str">
        <f>+'HOJA DE TRABAJO'!$C$41&amp;" "&amp; 'HOJA DE TRABAJO'!$L$36</f>
        <v xml:space="preserve"> SANTA CRUZ</v>
      </c>
      <c r="C48" s="413">
        <f>+'HOJA DE TRABAJO'!$L$41</f>
        <v>0</v>
      </c>
      <c r="D48" s="413">
        <f>+'HOJA DE TRABAJO'!$H$17</f>
        <v>12</v>
      </c>
      <c r="E48" s="393">
        <f>+'HOJA 2 aux'!O67</f>
        <v>0</v>
      </c>
      <c r="F48" s="393">
        <f t="shared" si="0"/>
        <v>0</v>
      </c>
      <c r="H48" s="132"/>
    </row>
    <row r="49" spans="1:8" s="385" customFormat="1" ht="20.25" hidden="1" customHeight="1" x14ac:dyDescent="0.25">
      <c r="A49" s="132"/>
      <c r="B49" s="392" t="str">
        <f>+'HOJA DE TRABAJO'!$C$41&amp;" "&amp; 'HOJA DE TRABAJO'!$Q$36</f>
        <v xml:space="preserve"> LA PAZ</v>
      </c>
      <c r="C49" s="413">
        <f>+'HOJA DE TRABAJO'!$Q$41</f>
        <v>0</v>
      </c>
      <c r="D49" s="413">
        <f>+'HOJA DE TRABAJO'!$H$17</f>
        <v>12</v>
      </c>
      <c r="E49" s="394">
        <f>+'HOJA 3 aux'!O67</f>
        <v>0</v>
      </c>
      <c r="F49" s="393">
        <f t="shared" si="0"/>
        <v>0</v>
      </c>
      <c r="H49" s="132"/>
    </row>
    <row r="50" spans="1:8" s="385" customFormat="1" ht="20.25" hidden="1" customHeight="1" x14ac:dyDescent="0.25">
      <c r="A50" s="132"/>
      <c r="B50" s="392" t="str">
        <f>+'HOJA DE TRABAJO'!$C$41&amp;" "&amp; 'HOJA DE TRABAJO'!$W$36</f>
        <v xml:space="preserve"> TARIJA</v>
      </c>
      <c r="C50" s="413">
        <f>+'HOJA DE TRABAJO'!$W$41</f>
        <v>0</v>
      </c>
      <c r="D50" s="413">
        <f>+'HOJA DE TRABAJO'!$H$17</f>
        <v>12</v>
      </c>
      <c r="E50" s="393">
        <f>+'HOJA 4 aux '!O67</f>
        <v>0</v>
      </c>
      <c r="F50" s="393">
        <f t="shared" si="0"/>
        <v>0</v>
      </c>
      <c r="H50" s="132"/>
    </row>
    <row r="51" spans="1:8" s="385" customFormat="1" ht="20.25" hidden="1" customHeight="1" x14ac:dyDescent="0.25">
      <c r="A51" s="132"/>
      <c r="B51" s="392" t="str">
        <f>+'HOJA DE TRABAJO'!$C$41&amp;" "&amp; 'HOJA DE TRABAJO'!$AB$36</f>
        <v xml:space="preserve"> POTOSI</v>
      </c>
      <c r="C51" s="413">
        <f>+'HOJA DE TRABAJO'!$AB$41</f>
        <v>0</v>
      </c>
      <c r="D51" s="413">
        <f>+'HOJA DE TRABAJO'!$H$17</f>
        <v>12</v>
      </c>
      <c r="E51" s="394">
        <f>+'HOJA 5 aux'!O67</f>
        <v>0</v>
      </c>
      <c r="F51" s="393">
        <f t="shared" si="0"/>
        <v>0</v>
      </c>
      <c r="H51" s="132"/>
    </row>
    <row r="52" spans="1:8" s="385" customFormat="1" ht="20.25" hidden="1" customHeight="1" x14ac:dyDescent="0.25">
      <c r="A52" s="132"/>
      <c r="B52" s="392" t="str">
        <f>+'HOJA DE TRABAJO'!$C$41&amp;" "&amp; 'HOJA DE TRABAJO'!$AG$36</f>
        <v xml:space="preserve"> SUCRE</v>
      </c>
      <c r="C52" s="413">
        <f>+'HOJA DE TRABAJO'!$AG$41</f>
        <v>0</v>
      </c>
      <c r="D52" s="413">
        <f>+'HOJA DE TRABAJO'!$H$17</f>
        <v>12</v>
      </c>
      <c r="E52" s="393">
        <f>+'HOJA 6 aux'!O67</f>
        <v>0</v>
      </c>
      <c r="F52" s="393">
        <f t="shared" si="0"/>
        <v>0</v>
      </c>
      <c r="H52" s="132"/>
    </row>
    <row r="53" spans="1:8" s="385" customFormat="1" ht="20.25" hidden="1" customHeight="1" x14ac:dyDescent="0.25">
      <c r="A53" s="132"/>
      <c r="B53" s="392" t="str">
        <f>+'HOJA DE TRABAJO'!$C$41&amp;" "&amp; 'HOJA DE TRABAJO'!$AL$36</f>
        <v xml:space="preserve"> ORURO</v>
      </c>
      <c r="C53" s="413">
        <f>+'HOJA DE TRABAJO'!$AL$41</f>
        <v>0</v>
      </c>
      <c r="D53" s="413">
        <f>+'HOJA DE TRABAJO'!$H$17</f>
        <v>12</v>
      </c>
      <c r="E53" s="393">
        <f>+'HOJA 7 aux'!O67</f>
        <v>0</v>
      </c>
      <c r="F53" s="393">
        <f t="shared" si="0"/>
        <v>0</v>
      </c>
      <c r="H53" s="132"/>
    </row>
    <row r="54" spans="1:8" s="385" customFormat="1" ht="20.25" hidden="1" customHeight="1" x14ac:dyDescent="0.25">
      <c r="A54" s="132"/>
      <c r="B54" s="392" t="str">
        <f>+'HOJA DE TRABAJO'!$C$41&amp;" "&amp; 'HOJA DE TRABAJO'!$AQ$36</f>
        <v xml:space="preserve"> EL ALTO</v>
      </c>
      <c r="C54" s="413">
        <f>+'HOJA DE TRABAJO'!$AQ$41</f>
        <v>0</v>
      </c>
      <c r="D54" s="413">
        <f>+'HOJA DE TRABAJO'!$H$17</f>
        <v>12</v>
      </c>
      <c r="E54" s="393">
        <f>+'HOJA 8 aux'!O67</f>
        <v>0</v>
      </c>
      <c r="F54" s="393">
        <f t="shared" si="0"/>
        <v>0</v>
      </c>
      <c r="H54" s="132"/>
    </row>
    <row r="55" spans="1:8" s="385" customFormat="1" ht="20.25" hidden="1" customHeight="1" x14ac:dyDescent="0.25">
      <c r="A55" s="132"/>
      <c r="B55" s="392" t="str">
        <f>+'HOJA DE TRABAJO'!$C$41&amp;" "&amp; 'HOJA DE TRABAJO'!$AV$36</f>
        <v xml:space="preserve"> PANDO</v>
      </c>
      <c r="C55" s="413">
        <f>+'HOJA DE TRABAJO'!$AV$41</f>
        <v>0</v>
      </c>
      <c r="D55" s="413">
        <f>+'HOJA DE TRABAJO'!$H$17</f>
        <v>12</v>
      </c>
      <c r="E55" s="393">
        <f>+'HOJA 9 aux'!O67</f>
        <v>0</v>
      </c>
      <c r="F55" s="393">
        <f t="shared" si="0"/>
        <v>0</v>
      </c>
      <c r="H55" s="132"/>
    </row>
    <row r="56" spans="1:8" s="385" customFormat="1" ht="20.25" hidden="1" customHeight="1" x14ac:dyDescent="0.25">
      <c r="A56" s="132"/>
      <c r="B56" s="392" t="str">
        <f>+'HOJA DE TRABAJO'!$C$42 &amp;" "&amp; 'HOJA DE TRABAJO'!$F$36</f>
        <v xml:space="preserve"> COCHABAMBA </v>
      </c>
      <c r="C56" s="413">
        <f>+'HOJA DE TRABAJO'!$F$42</f>
        <v>0</v>
      </c>
      <c r="D56" s="413">
        <f>+'HOJA DE TRABAJO'!$H$17</f>
        <v>12</v>
      </c>
      <c r="E56" s="393">
        <f>+'HOJA 1 aux'!G101</f>
        <v>0</v>
      </c>
      <c r="F56" s="393">
        <f t="shared" si="0"/>
        <v>0</v>
      </c>
      <c r="H56" s="132"/>
    </row>
    <row r="57" spans="1:8" s="385" customFormat="1" ht="20.25" hidden="1" customHeight="1" x14ac:dyDescent="0.25">
      <c r="A57" s="132"/>
      <c r="B57" s="392" t="str">
        <f>+'HOJA DE TRABAJO'!$C$42&amp;" "&amp; 'HOJA DE TRABAJO'!$L$36</f>
        <v xml:space="preserve"> SANTA CRUZ</v>
      </c>
      <c r="C57" s="413">
        <f>+'HOJA DE TRABAJO'!$L$42</f>
        <v>0</v>
      </c>
      <c r="D57" s="413">
        <f>+'HOJA DE TRABAJO'!$H$17</f>
        <v>12</v>
      </c>
      <c r="E57" s="393">
        <f>+'HOJA 2 aux'!G101</f>
        <v>0</v>
      </c>
      <c r="F57" s="393">
        <f t="shared" si="0"/>
        <v>0</v>
      </c>
      <c r="H57" s="132"/>
    </row>
    <row r="58" spans="1:8" s="385" customFormat="1" ht="20.25" hidden="1" customHeight="1" x14ac:dyDescent="0.25">
      <c r="A58" s="132"/>
      <c r="B58" s="392" t="str">
        <f>+'HOJA DE TRABAJO'!$C$42&amp;" "&amp; 'HOJA DE TRABAJO'!$Q$36</f>
        <v xml:space="preserve"> LA PAZ</v>
      </c>
      <c r="C58" s="413">
        <f>+'HOJA DE TRABAJO'!$Q$42</f>
        <v>0</v>
      </c>
      <c r="D58" s="413">
        <f>+'HOJA DE TRABAJO'!$H$17</f>
        <v>12</v>
      </c>
      <c r="E58" s="393">
        <f>+'HOJA 3 aux'!G101</f>
        <v>0</v>
      </c>
      <c r="F58" s="393">
        <f t="shared" si="0"/>
        <v>0</v>
      </c>
      <c r="H58" s="132"/>
    </row>
    <row r="59" spans="1:8" s="385" customFormat="1" ht="20.25" hidden="1" customHeight="1" x14ac:dyDescent="0.25">
      <c r="A59" s="132"/>
      <c r="B59" s="392" t="str">
        <f>+'HOJA DE TRABAJO'!$C$42&amp;" "&amp; 'HOJA DE TRABAJO'!$W$36</f>
        <v xml:space="preserve"> TARIJA</v>
      </c>
      <c r="C59" s="413">
        <f>+'HOJA DE TRABAJO'!$W$42</f>
        <v>0</v>
      </c>
      <c r="D59" s="413">
        <f>+'HOJA DE TRABAJO'!$H$17</f>
        <v>12</v>
      </c>
      <c r="E59" s="393">
        <f>+'HOJA 4 aux '!G101</f>
        <v>0</v>
      </c>
      <c r="F59" s="393">
        <f t="shared" si="0"/>
        <v>0</v>
      </c>
      <c r="H59" s="132"/>
    </row>
    <row r="60" spans="1:8" s="385" customFormat="1" ht="20.25" hidden="1" customHeight="1" x14ac:dyDescent="0.25">
      <c r="A60" s="132"/>
      <c r="B60" s="392" t="str">
        <f>+'HOJA DE TRABAJO'!$C$42&amp;" "&amp; 'HOJA DE TRABAJO'!$AB$36</f>
        <v xml:space="preserve"> POTOSI</v>
      </c>
      <c r="C60" s="413">
        <f>+'HOJA DE TRABAJO'!$AB$42</f>
        <v>0</v>
      </c>
      <c r="D60" s="413">
        <f>+'HOJA DE TRABAJO'!$H$17</f>
        <v>12</v>
      </c>
      <c r="E60" s="393">
        <f>+'HOJA 5 aux'!G101</f>
        <v>0</v>
      </c>
      <c r="F60" s="393">
        <f t="shared" si="0"/>
        <v>0</v>
      </c>
      <c r="H60" s="132"/>
    </row>
    <row r="61" spans="1:8" s="385" customFormat="1" ht="20.25" hidden="1" customHeight="1" x14ac:dyDescent="0.25">
      <c r="A61" s="132"/>
      <c r="B61" s="392" t="str">
        <f>+'HOJA DE TRABAJO'!$C$42&amp;" "&amp; 'HOJA DE TRABAJO'!$AG$36</f>
        <v xml:space="preserve"> SUCRE</v>
      </c>
      <c r="C61" s="413">
        <f>+'HOJA DE TRABAJO'!$AG$42</f>
        <v>0</v>
      </c>
      <c r="D61" s="413">
        <f>+'HOJA DE TRABAJO'!$H$17</f>
        <v>12</v>
      </c>
      <c r="E61" s="393">
        <f>+'HOJA 6 aux'!G101</f>
        <v>0</v>
      </c>
      <c r="F61" s="393">
        <f t="shared" si="0"/>
        <v>0</v>
      </c>
      <c r="H61" s="132"/>
    </row>
    <row r="62" spans="1:8" s="385" customFormat="1" ht="20.25" hidden="1" customHeight="1" x14ac:dyDescent="0.25">
      <c r="A62" s="132"/>
      <c r="B62" s="392" t="str">
        <f>+'HOJA DE TRABAJO'!$C$42&amp;" "&amp; 'HOJA DE TRABAJO'!$AL$36</f>
        <v xml:space="preserve"> ORURO</v>
      </c>
      <c r="C62" s="413">
        <f>+'HOJA DE TRABAJO'!$AL$42</f>
        <v>0</v>
      </c>
      <c r="D62" s="413">
        <f>+'HOJA DE TRABAJO'!$H$17</f>
        <v>12</v>
      </c>
      <c r="E62" s="393">
        <f>+'HOJA 7 aux'!G101</f>
        <v>0</v>
      </c>
      <c r="F62" s="393">
        <f t="shared" si="0"/>
        <v>0</v>
      </c>
      <c r="H62" s="132"/>
    </row>
    <row r="63" spans="1:8" s="385" customFormat="1" ht="20.25" hidden="1" customHeight="1" x14ac:dyDescent="0.25">
      <c r="A63" s="132"/>
      <c r="B63" s="392" t="str">
        <f>+'HOJA DE TRABAJO'!$C$42&amp;" "&amp; 'HOJA DE TRABAJO'!$AQ$36</f>
        <v xml:space="preserve"> EL ALTO</v>
      </c>
      <c r="C63" s="413">
        <f>+'HOJA DE TRABAJO'!$AQ$42</f>
        <v>0</v>
      </c>
      <c r="D63" s="413">
        <f>+'HOJA DE TRABAJO'!$H$17</f>
        <v>12</v>
      </c>
      <c r="E63" s="393">
        <f>+'HOJA 8 aux'!G101</f>
        <v>0</v>
      </c>
      <c r="F63" s="393">
        <f t="shared" si="0"/>
        <v>0</v>
      </c>
      <c r="H63" s="132"/>
    </row>
    <row r="64" spans="1:8" s="385" customFormat="1" ht="20.25" hidden="1" customHeight="1" x14ac:dyDescent="0.25">
      <c r="A64" s="132"/>
      <c r="B64" s="392" t="str">
        <f>+'HOJA DE TRABAJO'!$C$42&amp;" "&amp; 'HOJA DE TRABAJO'!$AV$36</f>
        <v xml:space="preserve"> PANDO</v>
      </c>
      <c r="C64" s="413">
        <f>+'HOJA DE TRABAJO'!$AV$42</f>
        <v>0</v>
      </c>
      <c r="D64" s="413">
        <f>+'HOJA DE TRABAJO'!$H$17</f>
        <v>12</v>
      </c>
      <c r="E64" s="393">
        <f>+'HOJA 9 aux'!G101</f>
        <v>0</v>
      </c>
      <c r="F64" s="393">
        <f t="shared" si="0"/>
        <v>0</v>
      </c>
      <c r="H64" s="132"/>
    </row>
    <row r="65" spans="1:8" s="385" customFormat="1" ht="20.25" hidden="1" customHeight="1" x14ac:dyDescent="0.25">
      <c r="A65" s="132"/>
      <c r="B65" s="392" t="str">
        <f>+'HOJA DE TRABAJO'!$C$43 &amp;" "&amp; 'HOJA DE TRABAJO'!$F$36</f>
        <v xml:space="preserve"> COCHABAMBA </v>
      </c>
      <c r="C65" s="413">
        <f>+'HOJA DE TRABAJO'!$F$43</f>
        <v>0</v>
      </c>
      <c r="D65" s="413">
        <f>+'HOJA DE TRABAJO'!$H$17</f>
        <v>12</v>
      </c>
      <c r="E65" s="393">
        <f>+'HOJA 1 aux'!O101</f>
        <v>0</v>
      </c>
      <c r="F65" s="393">
        <f t="shared" si="0"/>
        <v>0</v>
      </c>
      <c r="H65" s="132"/>
    </row>
    <row r="66" spans="1:8" s="385" customFormat="1" ht="20.25" hidden="1" customHeight="1" x14ac:dyDescent="0.25">
      <c r="A66" s="132"/>
      <c r="B66" s="392" t="str">
        <f>+'HOJA DE TRABAJO'!$C$43&amp;" "&amp; 'HOJA DE TRABAJO'!$L$36</f>
        <v xml:space="preserve"> SANTA CRUZ</v>
      </c>
      <c r="C66" s="413">
        <f>+'HOJA DE TRABAJO'!$L$43</f>
        <v>0</v>
      </c>
      <c r="D66" s="413">
        <f>+'HOJA DE TRABAJO'!$H$17</f>
        <v>12</v>
      </c>
      <c r="E66" s="393">
        <f>+'HOJA 2 aux'!O101</f>
        <v>0</v>
      </c>
      <c r="F66" s="393">
        <f t="shared" si="0"/>
        <v>0</v>
      </c>
      <c r="H66" s="132"/>
    </row>
    <row r="67" spans="1:8" s="385" customFormat="1" ht="20.25" hidden="1" customHeight="1" x14ac:dyDescent="0.25">
      <c r="A67" s="132"/>
      <c r="B67" s="392" t="str">
        <f>+'HOJA DE TRABAJO'!$C$43&amp;" "&amp; 'HOJA DE TRABAJO'!$Q$36</f>
        <v xml:space="preserve"> LA PAZ</v>
      </c>
      <c r="C67" s="413">
        <f>+'HOJA DE TRABAJO'!$Q$43</f>
        <v>0</v>
      </c>
      <c r="D67" s="413">
        <f>+'HOJA DE TRABAJO'!$H$17</f>
        <v>12</v>
      </c>
      <c r="E67" s="393">
        <f>+'HOJA 3 aux'!O101</f>
        <v>0</v>
      </c>
      <c r="F67" s="393">
        <f t="shared" si="0"/>
        <v>0</v>
      </c>
      <c r="H67" s="132"/>
    </row>
    <row r="68" spans="1:8" s="385" customFormat="1" ht="20.25" hidden="1" customHeight="1" x14ac:dyDescent="0.25">
      <c r="A68" s="132"/>
      <c r="B68" s="392" t="str">
        <f>+'HOJA DE TRABAJO'!$C$43&amp;" "&amp; 'HOJA DE TRABAJO'!$W$36</f>
        <v xml:space="preserve"> TARIJA</v>
      </c>
      <c r="C68" s="413">
        <f>+'HOJA DE TRABAJO'!$W$43</f>
        <v>0</v>
      </c>
      <c r="D68" s="413">
        <f>+'HOJA DE TRABAJO'!$H$17</f>
        <v>12</v>
      </c>
      <c r="E68" s="393">
        <f>+'HOJA 4 aux '!O101</f>
        <v>0</v>
      </c>
      <c r="F68" s="393">
        <f t="shared" si="0"/>
        <v>0</v>
      </c>
      <c r="H68" s="132"/>
    </row>
    <row r="69" spans="1:8" s="385" customFormat="1" ht="20.25" hidden="1" customHeight="1" x14ac:dyDescent="0.25">
      <c r="A69" s="132"/>
      <c r="B69" s="392" t="str">
        <f>+'HOJA DE TRABAJO'!$C$43&amp;" "&amp; 'HOJA DE TRABAJO'!$AB$36</f>
        <v xml:space="preserve"> POTOSI</v>
      </c>
      <c r="C69" s="413">
        <f>+'HOJA DE TRABAJO'!$AB$43</f>
        <v>0</v>
      </c>
      <c r="D69" s="413">
        <f>+'HOJA DE TRABAJO'!$H$17</f>
        <v>12</v>
      </c>
      <c r="E69" s="393">
        <f>+'HOJA 5 aux'!O101</f>
        <v>0</v>
      </c>
      <c r="F69" s="393">
        <f t="shared" si="0"/>
        <v>0</v>
      </c>
      <c r="H69" s="132"/>
    </row>
    <row r="70" spans="1:8" s="385" customFormat="1" ht="20.25" hidden="1" customHeight="1" x14ac:dyDescent="0.25">
      <c r="A70" s="132"/>
      <c r="B70" s="392" t="str">
        <f>+'HOJA DE TRABAJO'!$C$43&amp;" "&amp; 'HOJA DE TRABAJO'!$AG$36</f>
        <v xml:space="preserve"> SUCRE</v>
      </c>
      <c r="C70" s="413">
        <f>+'HOJA DE TRABAJO'!$AG$43</f>
        <v>0</v>
      </c>
      <c r="D70" s="413">
        <f>+'HOJA DE TRABAJO'!$H$17</f>
        <v>12</v>
      </c>
      <c r="E70" s="393">
        <f>+'HOJA 6 aux'!O101</f>
        <v>0</v>
      </c>
      <c r="F70" s="393">
        <f t="shared" si="0"/>
        <v>0</v>
      </c>
      <c r="H70" s="132"/>
    </row>
    <row r="71" spans="1:8" s="385" customFormat="1" ht="20.25" hidden="1" customHeight="1" x14ac:dyDescent="0.25">
      <c r="A71" s="132"/>
      <c r="B71" s="392" t="str">
        <f>+'HOJA DE TRABAJO'!$C$43&amp;" "&amp; 'HOJA DE TRABAJO'!$AL$36</f>
        <v xml:space="preserve"> ORURO</v>
      </c>
      <c r="C71" s="413">
        <f>+'HOJA DE TRABAJO'!$AL$43</f>
        <v>0</v>
      </c>
      <c r="D71" s="413">
        <f>+'HOJA DE TRABAJO'!$H$17</f>
        <v>12</v>
      </c>
      <c r="E71" s="393">
        <f>+'HOJA 7 aux'!O101</f>
        <v>0</v>
      </c>
      <c r="F71" s="393">
        <f t="shared" si="0"/>
        <v>0</v>
      </c>
      <c r="H71" s="132"/>
    </row>
    <row r="72" spans="1:8" s="385" customFormat="1" ht="20.25" hidden="1" customHeight="1" x14ac:dyDescent="0.25">
      <c r="A72" s="132"/>
      <c r="B72" s="392" t="str">
        <f>+'HOJA DE TRABAJO'!$C$43&amp;" "&amp; 'HOJA DE TRABAJO'!$AQ$36</f>
        <v xml:space="preserve"> EL ALTO</v>
      </c>
      <c r="C72" s="413">
        <f>+'HOJA DE TRABAJO'!$AQ$43</f>
        <v>0</v>
      </c>
      <c r="D72" s="413">
        <f>+'HOJA DE TRABAJO'!$H$17</f>
        <v>12</v>
      </c>
      <c r="E72" s="393">
        <f>+'HOJA 8 aux'!O101</f>
        <v>0</v>
      </c>
      <c r="F72" s="393">
        <f t="shared" si="0"/>
        <v>0</v>
      </c>
      <c r="H72" s="132"/>
    </row>
    <row r="73" spans="1:8" s="385" customFormat="1" ht="20.25" hidden="1" customHeight="1" x14ac:dyDescent="0.25">
      <c r="A73" s="132"/>
      <c r="B73" s="392" t="str">
        <f>+'HOJA DE TRABAJO'!$C$43&amp;" "&amp; 'HOJA DE TRABAJO'!$AV$36</f>
        <v xml:space="preserve"> PANDO</v>
      </c>
      <c r="C73" s="413">
        <f>+'HOJA DE TRABAJO'!$AV$43</f>
        <v>0</v>
      </c>
      <c r="D73" s="413">
        <f>+'HOJA DE TRABAJO'!$H$17</f>
        <v>12</v>
      </c>
      <c r="E73" s="393">
        <f>+'HOJA 9 aux'!O101</f>
        <v>0</v>
      </c>
      <c r="F73" s="393">
        <f t="shared" si="0"/>
        <v>0</v>
      </c>
      <c r="H73" s="132"/>
    </row>
    <row r="74" spans="1:8" ht="16.5" thickBot="1" x14ac:dyDescent="0.3">
      <c r="A74" s="135"/>
      <c r="B74" s="395" t="s">
        <v>1453</v>
      </c>
      <c r="C74" s="396">
        <f>SUM(C20:C73)</f>
        <v>4</v>
      </c>
      <c r="D74" s="396"/>
      <c r="E74" s="397">
        <f>SUM(E20:E73)</f>
        <v>24164.040042676133</v>
      </c>
      <c r="F74" s="398">
        <f>SUM(F20:F73)</f>
        <v>382922.53174922825</v>
      </c>
      <c r="H74" s="135"/>
    </row>
    <row r="75" spans="1:8" ht="15.75" hidden="1" x14ac:dyDescent="0.25">
      <c r="A75" s="573" t="s">
        <v>1641</v>
      </c>
      <c r="B75" s="573"/>
      <c r="C75" s="573"/>
      <c r="D75" s="573"/>
      <c r="E75" s="573"/>
      <c r="F75" s="573"/>
      <c r="G75" s="573"/>
      <c r="H75" s="573"/>
    </row>
    <row r="76" spans="1:8" ht="15.75" hidden="1" x14ac:dyDescent="0.25">
      <c r="A76" s="135"/>
      <c r="B76" s="135"/>
      <c r="C76" s="135"/>
      <c r="D76" s="386"/>
      <c r="E76" s="135"/>
      <c r="F76" s="128"/>
      <c r="G76" s="135"/>
      <c r="H76" s="135"/>
    </row>
    <row r="77" spans="1:8" ht="15.75" hidden="1" x14ac:dyDescent="0.25">
      <c r="A77" s="571" t="s">
        <v>1642</v>
      </c>
      <c r="B77" s="572"/>
      <c r="C77" s="572"/>
      <c r="D77" s="572"/>
      <c r="E77" s="572"/>
      <c r="F77" s="572"/>
      <c r="G77" s="572"/>
      <c r="H77" s="135"/>
    </row>
    <row r="78" spans="1:8" ht="16.5" hidden="1" thickBot="1" x14ac:dyDescent="0.3">
      <c r="A78" s="135"/>
      <c r="B78" s="135"/>
      <c r="C78" s="135"/>
      <c r="D78" s="386"/>
      <c r="E78" s="135"/>
      <c r="F78" s="128"/>
      <c r="G78" s="135"/>
      <c r="H78" s="135"/>
    </row>
    <row r="79" spans="1:8" ht="15.75" hidden="1" x14ac:dyDescent="0.25">
      <c r="A79" s="135"/>
      <c r="B79" s="399" t="s">
        <v>22</v>
      </c>
      <c r="C79" s="400" t="s">
        <v>11</v>
      </c>
      <c r="D79" s="420"/>
      <c r="E79" s="401" t="s">
        <v>1643</v>
      </c>
      <c r="F79" s="402" t="s">
        <v>1644</v>
      </c>
      <c r="G79" s="135"/>
      <c r="H79" s="135"/>
    </row>
    <row r="80" spans="1:8" ht="68.25" hidden="1" customHeight="1" x14ac:dyDescent="0.25">
      <c r="A80" s="135"/>
      <c r="B80" s="403" t="str">
        <f>+'HOJA DE TRABAJO'!B50:E50</f>
        <v>a</v>
      </c>
      <c r="C80" s="404">
        <f>+'HOJA DE TRABAJO'!H50</f>
        <v>2</v>
      </c>
      <c r="D80" s="421"/>
      <c r="E80" s="414">
        <f>IFERROR(('HOJA DE TRABAJO'!O50/'HOJA DE TRABAJO'!H50),0)</f>
        <v>10.869565217391305</v>
      </c>
      <c r="F80" s="405">
        <f>+E80*C80</f>
        <v>21.739130434782609</v>
      </c>
      <c r="G80" s="135"/>
      <c r="H80" s="412"/>
    </row>
    <row r="81" spans="1:8" ht="15.75" hidden="1" x14ac:dyDescent="0.25">
      <c r="A81" s="135"/>
      <c r="B81" s="403">
        <f>+'HOJA DE TRABAJO'!B51:E51</f>
        <v>0</v>
      </c>
      <c r="C81" s="404">
        <f>+'HOJA DE TRABAJO'!H51</f>
        <v>0</v>
      </c>
      <c r="D81" s="421">
        <f>+'HOJA DE TRABAJO'!$H$17</f>
        <v>12</v>
      </c>
      <c r="E81" s="414">
        <f>IFERROR(('HOJA DE TRABAJO'!O51/'HOJA DE TRABAJO'!H51),0)</f>
        <v>0</v>
      </c>
      <c r="F81" s="405">
        <f t="shared" ref="F81:F93" si="1">+E81*C81</f>
        <v>0</v>
      </c>
      <c r="G81" s="135"/>
      <c r="H81" s="135"/>
    </row>
    <row r="82" spans="1:8" ht="15.75" hidden="1" x14ac:dyDescent="0.25">
      <c r="A82" s="135"/>
      <c r="B82" s="403">
        <f>+'HOJA DE TRABAJO'!B52:E52</f>
        <v>0</v>
      </c>
      <c r="C82" s="404">
        <f>+'HOJA DE TRABAJO'!H52</f>
        <v>0</v>
      </c>
      <c r="D82" s="421">
        <f>+'HOJA DE TRABAJO'!$H$17</f>
        <v>12</v>
      </c>
      <c r="E82" s="414">
        <f>IFERROR(('HOJA DE TRABAJO'!O52/'HOJA DE TRABAJO'!H52),0)</f>
        <v>0</v>
      </c>
      <c r="F82" s="405">
        <f t="shared" si="1"/>
        <v>0</v>
      </c>
      <c r="G82" s="135"/>
      <c r="H82" s="135"/>
    </row>
    <row r="83" spans="1:8" ht="15.75" hidden="1" x14ac:dyDescent="0.25">
      <c r="A83" s="135"/>
      <c r="B83" s="403">
        <f>+'HOJA DE TRABAJO'!B53:E53</f>
        <v>0</v>
      </c>
      <c r="C83" s="404">
        <f>+'HOJA DE TRABAJO'!H53</f>
        <v>0</v>
      </c>
      <c r="D83" s="421">
        <f>+'HOJA DE TRABAJO'!$H$17</f>
        <v>12</v>
      </c>
      <c r="E83" s="414">
        <f>IFERROR(('HOJA DE TRABAJO'!O53/'HOJA DE TRABAJO'!H53),0)</f>
        <v>0</v>
      </c>
      <c r="F83" s="405">
        <f t="shared" si="1"/>
        <v>0</v>
      </c>
      <c r="G83" s="135"/>
      <c r="H83" s="135"/>
    </row>
    <row r="84" spans="1:8" ht="15.75" hidden="1" x14ac:dyDescent="0.25">
      <c r="A84" s="135"/>
      <c r="B84" s="403">
        <f>+'HOJA DE TRABAJO'!B54:E54</f>
        <v>0</v>
      </c>
      <c r="C84" s="404">
        <f>+'HOJA DE TRABAJO'!H54</f>
        <v>0</v>
      </c>
      <c r="D84" s="421">
        <f>+'HOJA DE TRABAJO'!$H$17</f>
        <v>12</v>
      </c>
      <c r="E84" s="414">
        <f>IFERROR(('HOJA DE TRABAJO'!O54/'HOJA DE TRABAJO'!H54),0)</f>
        <v>0</v>
      </c>
      <c r="F84" s="405">
        <f t="shared" si="1"/>
        <v>0</v>
      </c>
      <c r="G84" s="135"/>
      <c r="H84" s="135"/>
    </row>
    <row r="85" spans="1:8" ht="15.75" hidden="1" x14ac:dyDescent="0.25">
      <c r="A85" s="135"/>
      <c r="B85" s="403">
        <f>+'HOJA DE TRABAJO'!B55:E55</f>
        <v>0</v>
      </c>
      <c r="C85" s="404">
        <f>+'HOJA DE TRABAJO'!H55</f>
        <v>0</v>
      </c>
      <c r="D85" s="421">
        <f>+'HOJA DE TRABAJO'!$H$17</f>
        <v>12</v>
      </c>
      <c r="E85" s="414">
        <f>IFERROR(('HOJA DE TRABAJO'!O55/'HOJA DE TRABAJO'!H55),0)</f>
        <v>0</v>
      </c>
      <c r="F85" s="405">
        <f t="shared" si="1"/>
        <v>0</v>
      </c>
      <c r="G85" s="135"/>
      <c r="H85" s="135"/>
    </row>
    <row r="86" spans="1:8" ht="15.75" hidden="1" x14ac:dyDescent="0.25">
      <c r="A86" s="135"/>
      <c r="B86" s="403">
        <f>+'HOJA DE TRABAJO'!B56:E56</f>
        <v>0</v>
      </c>
      <c r="C86" s="404">
        <f>+'HOJA DE TRABAJO'!H56</f>
        <v>0</v>
      </c>
      <c r="D86" s="421">
        <f>+'HOJA DE TRABAJO'!$H$17</f>
        <v>12</v>
      </c>
      <c r="E86" s="414">
        <f>IFERROR(('HOJA DE TRABAJO'!O56/'HOJA DE TRABAJO'!H56),0)</f>
        <v>0</v>
      </c>
      <c r="F86" s="405">
        <f t="shared" si="1"/>
        <v>0</v>
      </c>
      <c r="G86" s="135"/>
      <c r="H86" s="135"/>
    </row>
    <row r="87" spans="1:8" ht="15.75" hidden="1" x14ac:dyDescent="0.25">
      <c r="A87" s="135"/>
      <c r="B87" s="403">
        <f>+'HOJA DE TRABAJO'!B57:E57</f>
        <v>0</v>
      </c>
      <c r="C87" s="404">
        <f>+'HOJA DE TRABAJO'!H57</f>
        <v>0</v>
      </c>
      <c r="D87" s="421">
        <f>+'HOJA DE TRABAJO'!$H$17</f>
        <v>12</v>
      </c>
      <c r="E87" s="414">
        <f>IFERROR(('HOJA DE TRABAJO'!O57/'HOJA DE TRABAJO'!H57),0)</f>
        <v>0</v>
      </c>
      <c r="F87" s="405">
        <f t="shared" si="1"/>
        <v>0</v>
      </c>
      <c r="G87" s="135"/>
      <c r="H87" s="135"/>
    </row>
    <row r="88" spans="1:8" ht="15.75" hidden="1" x14ac:dyDescent="0.25">
      <c r="A88" s="135"/>
      <c r="B88" s="403">
        <f>+'HOJA DE TRABAJO'!B58:E58</f>
        <v>0</v>
      </c>
      <c r="C88" s="404">
        <f>+'HOJA DE TRABAJO'!H58</f>
        <v>0</v>
      </c>
      <c r="D88" s="421">
        <f>+'HOJA DE TRABAJO'!$H$17</f>
        <v>12</v>
      </c>
      <c r="E88" s="414">
        <f>IFERROR(('HOJA DE TRABAJO'!O58/'HOJA DE TRABAJO'!H58),0)</f>
        <v>0</v>
      </c>
      <c r="F88" s="405">
        <f t="shared" si="1"/>
        <v>0</v>
      </c>
      <c r="G88" s="135"/>
      <c r="H88" s="135"/>
    </row>
    <row r="89" spans="1:8" ht="15.75" hidden="1" x14ac:dyDescent="0.25">
      <c r="A89" s="135"/>
      <c r="B89" s="403">
        <f>+'HOJA DE TRABAJO'!B59:E59</f>
        <v>0</v>
      </c>
      <c r="C89" s="404">
        <f>+'HOJA DE TRABAJO'!H59</f>
        <v>0</v>
      </c>
      <c r="D89" s="421">
        <f>+'HOJA DE TRABAJO'!$H$17</f>
        <v>12</v>
      </c>
      <c r="E89" s="414">
        <f>IFERROR(('HOJA DE TRABAJO'!O59/'HOJA DE TRABAJO'!H59),0)</f>
        <v>0</v>
      </c>
      <c r="F89" s="405">
        <f t="shared" si="1"/>
        <v>0</v>
      </c>
      <c r="G89" s="135"/>
      <c r="H89" s="135"/>
    </row>
    <row r="90" spans="1:8" ht="15.75" hidden="1" x14ac:dyDescent="0.25">
      <c r="A90" s="135"/>
      <c r="B90" s="403">
        <f>+'HOJA DE TRABAJO'!B60:E60</f>
        <v>0</v>
      </c>
      <c r="C90" s="404">
        <f>+'HOJA DE TRABAJO'!H60</f>
        <v>0</v>
      </c>
      <c r="D90" s="421">
        <f>+'HOJA DE TRABAJO'!$H$17</f>
        <v>12</v>
      </c>
      <c r="E90" s="414">
        <f>IFERROR(('HOJA DE TRABAJO'!O60/'HOJA DE TRABAJO'!H60),0)</f>
        <v>0</v>
      </c>
      <c r="F90" s="405">
        <f t="shared" si="1"/>
        <v>0</v>
      </c>
      <c r="G90" s="135"/>
      <c r="H90" s="135"/>
    </row>
    <row r="91" spans="1:8" ht="15.75" hidden="1" x14ac:dyDescent="0.25">
      <c r="A91" s="135"/>
      <c r="B91" s="403">
        <f>+'HOJA DE TRABAJO'!B61:E61</f>
        <v>0</v>
      </c>
      <c r="C91" s="404">
        <f>+'HOJA DE TRABAJO'!H61</f>
        <v>0</v>
      </c>
      <c r="D91" s="421">
        <f>+'HOJA DE TRABAJO'!$H$17</f>
        <v>12</v>
      </c>
      <c r="E91" s="414">
        <f>IFERROR(('HOJA DE TRABAJO'!O61/'HOJA DE TRABAJO'!H61),0)</f>
        <v>0</v>
      </c>
      <c r="F91" s="405">
        <f t="shared" si="1"/>
        <v>0</v>
      </c>
      <c r="G91" s="135"/>
      <c r="H91" s="135"/>
    </row>
    <row r="92" spans="1:8" ht="15.75" hidden="1" x14ac:dyDescent="0.25">
      <c r="A92" s="135"/>
      <c r="B92" s="403">
        <f>+'HOJA DE TRABAJO'!B62:E62</f>
        <v>0</v>
      </c>
      <c r="C92" s="404">
        <f>+'HOJA DE TRABAJO'!H62</f>
        <v>0</v>
      </c>
      <c r="D92" s="421">
        <f>+'HOJA DE TRABAJO'!$H$17</f>
        <v>12</v>
      </c>
      <c r="E92" s="414">
        <f>IFERROR(('HOJA DE TRABAJO'!O62/'HOJA DE TRABAJO'!H62),0)</f>
        <v>0</v>
      </c>
      <c r="F92" s="405">
        <f t="shared" si="1"/>
        <v>0</v>
      </c>
      <c r="G92" s="135"/>
      <c r="H92" s="135"/>
    </row>
    <row r="93" spans="1:8" ht="15.75" hidden="1" x14ac:dyDescent="0.25">
      <c r="A93" s="135"/>
      <c r="B93" s="403">
        <f>+'HOJA DE TRABAJO'!B63:E63</f>
        <v>0</v>
      </c>
      <c r="C93" s="404">
        <f>+'HOJA DE TRABAJO'!H63</f>
        <v>0</v>
      </c>
      <c r="D93" s="421">
        <f>+'HOJA DE TRABAJO'!$H$17</f>
        <v>12</v>
      </c>
      <c r="E93" s="414">
        <f>IFERROR(('HOJA DE TRABAJO'!O63/'HOJA DE TRABAJO'!H63),0)</f>
        <v>0</v>
      </c>
      <c r="F93" s="405">
        <f t="shared" si="1"/>
        <v>0</v>
      </c>
      <c r="G93" s="135"/>
      <c r="H93" s="135"/>
    </row>
    <row r="94" spans="1:8" ht="15.75" hidden="1" x14ac:dyDescent="0.25">
      <c r="A94" s="135"/>
      <c r="B94" s="403">
        <f>+'HOJA DE TRABAJO'!B72:E72</f>
        <v>0</v>
      </c>
      <c r="C94" s="406">
        <f>+'HOJA DE TRABAJO'!H72</f>
        <v>1</v>
      </c>
      <c r="D94" s="421">
        <f>+'HOJA DE TRABAJO'!$H$17</f>
        <v>12</v>
      </c>
      <c r="E94" s="414">
        <f>IFERROR(('HOJA DE TRABAJO'!O72/'HOJA DE TRABAJO'!H72),0)</f>
        <v>29.585798816568047</v>
      </c>
      <c r="F94" s="405">
        <f>+E94*C94</f>
        <v>29.585798816568047</v>
      </c>
      <c r="G94" s="135"/>
      <c r="H94" s="135"/>
    </row>
    <row r="95" spans="1:8" ht="15.75" hidden="1" x14ac:dyDescent="0.25">
      <c r="A95" s="135"/>
      <c r="B95" s="403">
        <f>+'HOJA DE TRABAJO'!B73:E73</f>
        <v>0</v>
      </c>
      <c r="C95" s="406">
        <f>+'HOJA DE TRABAJO'!H73</f>
        <v>0</v>
      </c>
      <c r="D95" s="421">
        <f>+'HOJA DE TRABAJO'!$H$17</f>
        <v>12</v>
      </c>
      <c r="E95" s="414">
        <f>IFERROR(('HOJA DE TRABAJO'!O73/'HOJA DE TRABAJO'!H73),0)</f>
        <v>0</v>
      </c>
      <c r="F95" s="405">
        <f t="shared" ref="F95:F108" si="2">+E95*C95</f>
        <v>0</v>
      </c>
      <c r="G95" s="135"/>
      <c r="H95" s="135"/>
    </row>
    <row r="96" spans="1:8" ht="15.75" hidden="1" x14ac:dyDescent="0.25">
      <c r="A96" s="135"/>
      <c r="B96" s="403">
        <f>+'HOJA DE TRABAJO'!B74:E74</f>
        <v>0</v>
      </c>
      <c r="C96" s="406">
        <f>+'HOJA DE TRABAJO'!H74</f>
        <v>0</v>
      </c>
      <c r="D96" s="421">
        <f>+'HOJA DE TRABAJO'!$H$17</f>
        <v>12</v>
      </c>
      <c r="E96" s="414">
        <f>IFERROR(('HOJA DE TRABAJO'!O74/'HOJA DE TRABAJO'!H74),0)</f>
        <v>0</v>
      </c>
      <c r="F96" s="405">
        <f t="shared" si="2"/>
        <v>0</v>
      </c>
      <c r="G96" s="135"/>
      <c r="H96" s="135"/>
    </row>
    <row r="97" spans="1:8" ht="15.75" hidden="1" x14ac:dyDescent="0.25">
      <c r="A97" s="135"/>
      <c r="B97" s="403">
        <f>+'HOJA DE TRABAJO'!B75:E75</f>
        <v>0</v>
      </c>
      <c r="C97" s="406">
        <f>+'HOJA DE TRABAJO'!H75</f>
        <v>0</v>
      </c>
      <c r="D97" s="421">
        <f>+'HOJA DE TRABAJO'!$H$17</f>
        <v>12</v>
      </c>
      <c r="E97" s="414">
        <f>IFERROR(('HOJA DE TRABAJO'!O75/'HOJA DE TRABAJO'!H75),0)</f>
        <v>0</v>
      </c>
      <c r="F97" s="405">
        <f t="shared" si="2"/>
        <v>0</v>
      </c>
      <c r="G97" s="135"/>
      <c r="H97" s="135"/>
    </row>
    <row r="98" spans="1:8" ht="15.75" hidden="1" x14ac:dyDescent="0.25">
      <c r="A98" s="135"/>
      <c r="B98" s="403">
        <f>+'HOJA DE TRABAJO'!B76:E76</f>
        <v>0</v>
      </c>
      <c r="C98" s="406">
        <f>+'HOJA DE TRABAJO'!H76</f>
        <v>0</v>
      </c>
      <c r="D98" s="421">
        <f>+'HOJA DE TRABAJO'!$H$17</f>
        <v>12</v>
      </c>
      <c r="E98" s="414">
        <f>IFERROR(('HOJA DE TRABAJO'!O76/'HOJA DE TRABAJO'!H76),0)</f>
        <v>0</v>
      </c>
      <c r="F98" s="405">
        <f t="shared" si="2"/>
        <v>0</v>
      </c>
      <c r="G98" s="135"/>
      <c r="H98" s="135"/>
    </row>
    <row r="99" spans="1:8" ht="15.75" hidden="1" x14ac:dyDescent="0.25">
      <c r="A99" s="135"/>
      <c r="B99" s="403">
        <f>+'HOJA DE TRABAJO'!B77:E77</f>
        <v>0</v>
      </c>
      <c r="C99" s="406">
        <f>+'HOJA DE TRABAJO'!H77</f>
        <v>0</v>
      </c>
      <c r="D99" s="421">
        <f>+'HOJA DE TRABAJO'!$H$17</f>
        <v>12</v>
      </c>
      <c r="E99" s="414">
        <f>IFERROR(('HOJA DE TRABAJO'!O77/'HOJA DE TRABAJO'!H77),0)</f>
        <v>0</v>
      </c>
      <c r="F99" s="405">
        <f t="shared" si="2"/>
        <v>0</v>
      </c>
      <c r="G99" s="135"/>
      <c r="H99" s="135"/>
    </row>
    <row r="100" spans="1:8" ht="15.75" hidden="1" x14ac:dyDescent="0.25">
      <c r="A100" s="135"/>
      <c r="B100" s="403">
        <f>+'HOJA DE TRABAJO'!B78:E78</f>
        <v>0</v>
      </c>
      <c r="C100" s="406">
        <f>+'HOJA DE TRABAJO'!H78</f>
        <v>0</v>
      </c>
      <c r="D100" s="421">
        <f>+'HOJA DE TRABAJO'!$H$17</f>
        <v>12</v>
      </c>
      <c r="E100" s="414">
        <f>IFERROR(('HOJA DE TRABAJO'!O78/'HOJA DE TRABAJO'!H78),0)</f>
        <v>0</v>
      </c>
      <c r="F100" s="405">
        <f t="shared" si="2"/>
        <v>0</v>
      </c>
      <c r="G100" s="135"/>
      <c r="H100" s="135"/>
    </row>
    <row r="101" spans="1:8" ht="15.75" hidden="1" x14ac:dyDescent="0.25">
      <c r="A101" s="135"/>
      <c r="B101" s="403">
        <f>+'HOJA DE TRABAJO'!B79:E79</f>
        <v>0</v>
      </c>
      <c r="C101" s="406">
        <f>+'HOJA DE TRABAJO'!H79</f>
        <v>0</v>
      </c>
      <c r="D101" s="421">
        <f>+'HOJA DE TRABAJO'!$H$17</f>
        <v>12</v>
      </c>
      <c r="E101" s="414">
        <f>IFERROR(('HOJA DE TRABAJO'!O79/'HOJA DE TRABAJO'!H79),0)</f>
        <v>0</v>
      </c>
      <c r="F101" s="405">
        <f t="shared" si="2"/>
        <v>0</v>
      </c>
      <c r="G101" s="135"/>
      <c r="H101" s="135"/>
    </row>
    <row r="102" spans="1:8" ht="15.75" hidden="1" x14ac:dyDescent="0.25">
      <c r="A102" s="135"/>
      <c r="B102" s="403">
        <f>+'HOJA DE TRABAJO'!B80:E80</f>
        <v>0</v>
      </c>
      <c r="C102" s="406">
        <f>+'HOJA DE TRABAJO'!H80</f>
        <v>0</v>
      </c>
      <c r="D102" s="421">
        <f>+'HOJA DE TRABAJO'!$H$17</f>
        <v>12</v>
      </c>
      <c r="E102" s="414">
        <f>IFERROR(('HOJA DE TRABAJO'!O80/'HOJA DE TRABAJO'!H80),0)</f>
        <v>0</v>
      </c>
      <c r="F102" s="405">
        <f t="shared" si="2"/>
        <v>0</v>
      </c>
      <c r="G102" s="135"/>
      <c r="H102" s="135"/>
    </row>
    <row r="103" spans="1:8" ht="15.75" hidden="1" x14ac:dyDescent="0.25">
      <c r="A103" s="135"/>
      <c r="B103" s="403">
        <f>+'HOJA DE TRABAJO'!B81:E81</f>
        <v>0</v>
      </c>
      <c r="C103" s="406">
        <f>+'HOJA DE TRABAJO'!H81</f>
        <v>0</v>
      </c>
      <c r="D103" s="421">
        <f>+'HOJA DE TRABAJO'!$H$17</f>
        <v>12</v>
      </c>
      <c r="E103" s="414">
        <f>IFERROR(('HOJA DE TRABAJO'!O81/'HOJA DE TRABAJO'!H81),0)</f>
        <v>0</v>
      </c>
      <c r="F103" s="405">
        <f t="shared" si="2"/>
        <v>0</v>
      </c>
      <c r="G103" s="135"/>
      <c r="H103" s="135"/>
    </row>
    <row r="104" spans="1:8" ht="15.75" hidden="1" x14ac:dyDescent="0.25">
      <c r="A104" s="135"/>
      <c r="B104" s="403">
        <f>+'HOJA DE TRABAJO'!B82:E82</f>
        <v>0</v>
      </c>
      <c r="C104" s="406">
        <f>+'HOJA DE TRABAJO'!H82</f>
        <v>0</v>
      </c>
      <c r="D104" s="421">
        <f>+'HOJA DE TRABAJO'!$H$17</f>
        <v>12</v>
      </c>
      <c r="E104" s="414">
        <f>IFERROR(('HOJA DE TRABAJO'!O82/'HOJA DE TRABAJO'!H82),0)</f>
        <v>0</v>
      </c>
      <c r="F104" s="405">
        <f t="shared" si="2"/>
        <v>0</v>
      </c>
      <c r="G104" s="135"/>
      <c r="H104" s="135"/>
    </row>
    <row r="105" spans="1:8" ht="15.75" hidden="1" x14ac:dyDescent="0.25">
      <c r="A105" s="135"/>
      <c r="B105" s="403">
        <f>+'HOJA DE TRABAJO'!B83:E83</f>
        <v>0</v>
      </c>
      <c r="C105" s="406">
        <f>+'HOJA DE TRABAJO'!H83</f>
        <v>0</v>
      </c>
      <c r="D105" s="421">
        <f>+'HOJA DE TRABAJO'!$H$17</f>
        <v>12</v>
      </c>
      <c r="E105" s="414">
        <f>IFERROR(('HOJA DE TRABAJO'!O83/'HOJA DE TRABAJO'!H83),0)</f>
        <v>0</v>
      </c>
      <c r="F105" s="405">
        <f t="shared" si="2"/>
        <v>0</v>
      </c>
      <c r="G105" s="135"/>
      <c r="H105" s="135"/>
    </row>
    <row r="106" spans="1:8" ht="15.75" hidden="1" x14ac:dyDescent="0.25">
      <c r="A106" s="135"/>
      <c r="B106" s="403">
        <f>+'HOJA DE TRABAJO'!B84:E84</f>
        <v>0</v>
      </c>
      <c r="C106" s="406">
        <f>+'HOJA DE TRABAJO'!H84</f>
        <v>0</v>
      </c>
      <c r="D106" s="421">
        <f>+'HOJA DE TRABAJO'!$H$17</f>
        <v>12</v>
      </c>
      <c r="E106" s="414">
        <f>IFERROR(('HOJA DE TRABAJO'!O84/'HOJA DE TRABAJO'!H84),0)</f>
        <v>0</v>
      </c>
      <c r="F106" s="405">
        <f t="shared" si="2"/>
        <v>0</v>
      </c>
      <c r="G106" s="135"/>
      <c r="H106" s="135"/>
    </row>
    <row r="107" spans="1:8" ht="15.75" hidden="1" x14ac:dyDescent="0.25">
      <c r="A107" s="135"/>
      <c r="B107" s="403">
        <f>+'HOJA DE TRABAJO'!B85:E85</f>
        <v>0</v>
      </c>
      <c r="C107" s="406">
        <f>+'HOJA DE TRABAJO'!H85</f>
        <v>0</v>
      </c>
      <c r="D107" s="421">
        <f>+'HOJA DE TRABAJO'!$H$17</f>
        <v>12</v>
      </c>
      <c r="E107" s="414">
        <f>IFERROR(('HOJA DE TRABAJO'!O85/'HOJA DE TRABAJO'!H85),0)</f>
        <v>0</v>
      </c>
      <c r="F107" s="405">
        <f t="shared" si="2"/>
        <v>0</v>
      </c>
      <c r="G107" s="135"/>
      <c r="H107" s="135"/>
    </row>
    <row r="108" spans="1:8" ht="15.75" hidden="1" x14ac:dyDescent="0.25">
      <c r="A108" s="135"/>
      <c r="B108" s="403">
        <f>+'HOJA DE TRABAJO'!B86:E86</f>
        <v>0</v>
      </c>
      <c r="C108" s="406">
        <f>+'HOJA DE TRABAJO'!H86</f>
        <v>0</v>
      </c>
      <c r="D108" s="421">
        <f>+'HOJA DE TRABAJO'!$H$17</f>
        <v>12</v>
      </c>
      <c r="E108" s="414">
        <f>IFERROR(('HOJA DE TRABAJO'!O86/'HOJA DE TRABAJO'!H86),0)</f>
        <v>0</v>
      </c>
      <c r="F108" s="405">
        <f t="shared" si="2"/>
        <v>0</v>
      </c>
      <c r="G108" s="135"/>
      <c r="H108" s="135"/>
    </row>
    <row r="109" spans="1:8" ht="16.5" hidden="1" thickBot="1" x14ac:dyDescent="0.3">
      <c r="A109" s="135"/>
      <c r="B109" s="135"/>
      <c r="C109" s="135"/>
      <c r="D109" s="386"/>
      <c r="E109" s="407" t="s">
        <v>1645</v>
      </c>
      <c r="F109" s="408">
        <f>SUM(F80:F108)</f>
        <v>51.324929251350653</v>
      </c>
      <c r="G109" s="128"/>
      <c r="H109" s="135"/>
    </row>
    <row r="110" spans="1:8" ht="16.5" hidden="1" thickBot="1" x14ac:dyDescent="0.3">
      <c r="A110" s="135"/>
      <c r="B110" s="135"/>
      <c r="C110" s="135"/>
      <c r="D110" s="386"/>
      <c r="E110" s="409" t="s">
        <v>1646</v>
      </c>
      <c r="F110" s="410">
        <f>+'HOJA DE TRABAJO'!F125*F109</f>
        <v>6.6722408026755851</v>
      </c>
      <c r="G110" s="128"/>
      <c r="H110" s="135"/>
    </row>
    <row r="111" spans="1:8" ht="16.5" hidden="1" thickBot="1" x14ac:dyDescent="0.3">
      <c r="A111" s="135"/>
      <c r="B111" s="135"/>
      <c r="C111" s="135"/>
      <c r="D111" s="386"/>
      <c r="E111" s="411" t="s">
        <v>1647</v>
      </c>
      <c r="F111" s="410">
        <f>+F112-F109-F110</f>
        <v>11.047080010290717</v>
      </c>
      <c r="G111" s="128"/>
      <c r="H111" s="135"/>
    </row>
    <row r="112" spans="1:8" ht="16.5" hidden="1" thickBot="1" x14ac:dyDescent="0.3">
      <c r="A112" s="135"/>
      <c r="B112" s="135"/>
      <c r="C112" s="135"/>
      <c r="D112" s="386"/>
      <c r="E112" s="409" t="s">
        <v>1648</v>
      </c>
      <c r="F112" s="410">
        <f>(F109+F110)/0.84</f>
        <v>69.044250064316955</v>
      </c>
      <c r="G112" s="84"/>
      <c r="H112" s="135"/>
    </row>
    <row r="113" spans="1:8" ht="15.75" x14ac:dyDescent="0.25">
      <c r="A113" s="574" t="s">
        <v>1688</v>
      </c>
      <c r="B113" s="574"/>
      <c r="C113" s="574"/>
      <c r="D113" s="574"/>
      <c r="E113" s="574"/>
      <c r="F113" s="574"/>
      <c r="G113" s="574"/>
      <c r="H113" s="574"/>
    </row>
    <row r="114" spans="1:8" ht="15.75" x14ac:dyDescent="0.25">
      <c r="A114" s="573" t="s">
        <v>1649</v>
      </c>
      <c r="B114" s="573"/>
      <c r="C114" s="573"/>
      <c r="D114" s="573"/>
      <c r="E114" s="573"/>
      <c r="F114" s="573"/>
      <c r="G114" s="573"/>
      <c r="H114" s="573"/>
    </row>
    <row r="115" spans="1:8" ht="15.75" x14ac:dyDescent="0.25">
      <c r="A115" s="135"/>
      <c r="B115" s="573" t="s">
        <v>1680</v>
      </c>
      <c r="C115" s="573"/>
      <c r="D115" s="573"/>
      <c r="E115" s="573"/>
      <c r="F115" s="573"/>
      <c r="G115" s="573"/>
      <c r="H115" s="573"/>
    </row>
    <row r="116" spans="1:8" ht="14.25" hidden="1" customHeight="1" x14ac:dyDescent="0.25">
      <c r="A116" s="135"/>
      <c r="B116" s="575" t="s">
        <v>1650</v>
      </c>
      <c r="C116" s="575"/>
      <c r="D116" s="575"/>
      <c r="E116" s="575"/>
      <c r="F116" s="575"/>
      <c r="G116" s="575"/>
      <c r="H116" s="575"/>
    </row>
    <row r="117" spans="1:8" ht="15.75" x14ac:dyDescent="0.25">
      <c r="A117" s="135"/>
      <c r="B117" s="573" t="s">
        <v>1681</v>
      </c>
      <c r="C117" s="573"/>
      <c r="D117" s="573"/>
      <c r="E117" s="573"/>
      <c r="F117" s="573"/>
      <c r="G117" s="573"/>
      <c r="H117" s="573"/>
    </row>
    <row r="118" spans="1:8" ht="15.75" x14ac:dyDescent="0.25">
      <c r="A118" s="135"/>
      <c r="B118" s="568" t="s">
        <v>1667</v>
      </c>
      <c r="C118" s="568"/>
      <c r="D118" s="568"/>
      <c r="E118" s="568"/>
      <c r="F118" s="568"/>
      <c r="G118" s="568"/>
      <c r="H118" s="568"/>
    </row>
    <row r="119" spans="1:8" ht="15.75" hidden="1" x14ac:dyDescent="0.25">
      <c r="A119" s="135"/>
      <c r="B119" s="568" t="s">
        <v>1651</v>
      </c>
      <c r="C119" s="568"/>
      <c r="D119" s="568"/>
      <c r="E119" s="568"/>
      <c r="F119" s="568"/>
      <c r="G119" s="568"/>
      <c r="H119" s="568"/>
    </row>
    <row r="120" spans="1:8" ht="15.75" hidden="1" x14ac:dyDescent="0.25">
      <c r="A120" s="135"/>
      <c r="B120" s="568" t="s">
        <v>1652</v>
      </c>
      <c r="C120" s="568"/>
      <c r="D120" s="568"/>
      <c r="E120" s="568"/>
      <c r="F120" s="568"/>
      <c r="G120" s="568"/>
      <c r="H120" s="568"/>
    </row>
    <row r="121" spans="1:8" ht="15.75" x14ac:dyDescent="0.25">
      <c r="A121" s="135"/>
      <c r="B121" s="568" t="s">
        <v>1653</v>
      </c>
      <c r="C121" s="568"/>
      <c r="D121" s="568"/>
      <c r="E121" s="568"/>
      <c r="F121" s="568"/>
      <c r="G121" s="568"/>
      <c r="H121" s="568"/>
    </row>
    <row r="122" spans="1:8" ht="15.75" x14ac:dyDescent="0.25">
      <c r="A122" s="135"/>
      <c r="B122" s="578" t="s">
        <v>1654</v>
      </c>
      <c r="C122" s="578"/>
      <c r="D122" s="578"/>
      <c r="E122" s="578"/>
      <c r="F122" s="578"/>
      <c r="G122" s="578"/>
      <c r="H122" s="578"/>
    </row>
    <row r="123" spans="1:8" ht="15" customHeight="1" x14ac:dyDescent="0.25">
      <c r="A123" s="135"/>
      <c r="B123" s="578" t="s">
        <v>1682</v>
      </c>
      <c r="C123" s="578"/>
      <c r="D123" s="578"/>
      <c r="E123" s="578"/>
      <c r="F123" s="578"/>
      <c r="G123" s="578"/>
      <c r="H123" s="578"/>
    </row>
    <row r="124" spans="1:8" ht="15" customHeight="1" x14ac:dyDescent="0.25">
      <c r="A124" s="426"/>
      <c r="B124" s="578" t="s">
        <v>1683</v>
      </c>
      <c r="C124" s="578"/>
      <c r="D124" s="578"/>
      <c r="E124" s="578"/>
      <c r="F124" s="578"/>
      <c r="G124" s="578"/>
      <c r="H124" s="578"/>
    </row>
    <row r="125" spans="1:8" ht="15" customHeight="1" x14ac:dyDescent="0.25">
      <c r="A125" s="419"/>
      <c r="B125" s="578" t="s">
        <v>1662</v>
      </c>
      <c r="C125" s="578"/>
      <c r="D125" s="578"/>
      <c r="E125" s="578"/>
      <c r="F125" s="578"/>
      <c r="G125" s="578"/>
      <c r="H125" s="578"/>
    </row>
    <row r="126" spans="1:8" ht="15" customHeight="1" x14ac:dyDescent="0.25">
      <c r="A126" s="419"/>
      <c r="B126" s="578" t="s">
        <v>1663</v>
      </c>
      <c r="C126" s="578"/>
      <c r="D126" s="578"/>
      <c r="E126" s="578"/>
      <c r="F126" s="578"/>
      <c r="G126" s="578"/>
      <c r="H126" s="578"/>
    </row>
    <row r="127" spans="1:8" ht="15.75" x14ac:dyDescent="0.25">
      <c r="A127" s="135"/>
      <c r="B127" s="578" t="s">
        <v>1655</v>
      </c>
      <c r="C127" s="578"/>
      <c r="D127" s="578"/>
      <c r="E127" s="578"/>
      <c r="F127" s="578"/>
      <c r="G127" s="578"/>
      <c r="H127" s="578"/>
    </row>
    <row r="128" spans="1:8" ht="15.75" x14ac:dyDescent="0.25">
      <c r="A128" s="135"/>
      <c r="B128" s="573" t="s">
        <v>1656</v>
      </c>
      <c r="C128" s="573"/>
      <c r="D128" s="573"/>
      <c r="E128" s="573"/>
      <c r="F128" s="573"/>
      <c r="G128" s="573"/>
      <c r="H128" s="573"/>
    </row>
    <row r="129" spans="1:8" ht="15.75" x14ac:dyDescent="0.25">
      <c r="A129" s="135"/>
      <c r="B129" s="135"/>
      <c r="C129" s="135"/>
      <c r="D129" s="386"/>
      <c r="E129" s="135"/>
      <c r="F129" s="128"/>
      <c r="G129" s="135"/>
      <c r="H129" s="135"/>
    </row>
    <row r="130" spans="1:8" ht="15.75" x14ac:dyDescent="0.25">
      <c r="A130" s="135"/>
      <c r="B130" s="132" t="s">
        <v>1668</v>
      </c>
      <c r="C130" s="132"/>
      <c r="D130" s="132"/>
      <c r="E130" s="132"/>
      <c r="F130" s="123"/>
      <c r="G130" s="132"/>
      <c r="H130" s="135"/>
    </row>
    <row r="131" spans="1:8" ht="15.75" x14ac:dyDescent="0.25">
      <c r="A131" s="439"/>
      <c r="B131" s="132" t="s">
        <v>1672</v>
      </c>
      <c r="C131" s="132"/>
      <c r="D131" s="132"/>
      <c r="E131" s="132"/>
      <c r="F131" s="123"/>
      <c r="G131" s="132"/>
      <c r="H131" s="439"/>
    </row>
    <row r="132" spans="1:8" ht="15.75" x14ac:dyDescent="0.25">
      <c r="A132" s="444"/>
      <c r="B132" s="132"/>
      <c r="C132" s="132"/>
      <c r="D132" s="132"/>
      <c r="E132" s="132"/>
      <c r="F132" s="123"/>
      <c r="G132" s="132"/>
      <c r="H132" s="444"/>
    </row>
    <row r="133" spans="1:8" ht="15" customHeight="1" x14ac:dyDescent="0.25">
      <c r="A133" s="576" t="s">
        <v>1528</v>
      </c>
      <c r="B133" s="576"/>
      <c r="C133" s="576"/>
      <c r="D133" s="576"/>
      <c r="E133" s="576"/>
      <c r="F133" s="576"/>
      <c r="G133" s="576"/>
      <c r="H133" s="576"/>
    </row>
    <row r="134" spans="1:8" x14ac:dyDescent="0.25">
      <c r="A134" s="576"/>
      <c r="B134" s="576"/>
      <c r="C134" s="576"/>
      <c r="D134" s="576"/>
      <c r="E134" s="576"/>
      <c r="F134" s="576"/>
      <c r="G134" s="576"/>
      <c r="H134" s="576"/>
    </row>
    <row r="135" spans="1:8" ht="15.75" x14ac:dyDescent="0.25">
      <c r="A135" s="135"/>
      <c r="B135" s="135"/>
      <c r="C135" s="135"/>
      <c r="D135" s="386"/>
      <c r="E135" s="135"/>
      <c r="F135" s="128"/>
      <c r="G135" s="135"/>
      <c r="H135" s="135"/>
    </row>
    <row r="136" spans="1:8" ht="15.75" x14ac:dyDescent="0.25">
      <c r="A136" s="135"/>
      <c r="B136" s="135"/>
      <c r="C136" s="135"/>
      <c r="D136" s="386"/>
      <c r="E136" s="135"/>
      <c r="F136" s="128"/>
      <c r="G136" s="135"/>
      <c r="H136" s="135"/>
    </row>
    <row r="137" spans="1:8" ht="15.75" x14ac:dyDescent="0.25">
      <c r="A137" s="135"/>
      <c r="B137" s="135"/>
      <c r="C137" s="135"/>
      <c r="D137" s="386"/>
      <c r="E137" s="135"/>
      <c r="F137" s="128"/>
      <c r="G137" s="135"/>
      <c r="H137" s="135"/>
    </row>
    <row r="138" spans="1:8" ht="15.75" x14ac:dyDescent="0.25">
      <c r="A138" s="135"/>
      <c r="B138" s="135"/>
      <c r="C138" s="135"/>
      <c r="D138" s="386"/>
      <c r="E138" s="135"/>
      <c r="F138" s="128"/>
      <c r="G138" s="135"/>
      <c r="H138" s="135"/>
    </row>
    <row r="139" spans="1:8" ht="15.75" x14ac:dyDescent="0.25">
      <c r="A139" s="135"/>
      <c r="B139" s="135"/>
      <c r="C139" s="135"/>
      <c r="D139" s="386"/>
      <c r="E139" s="135"/>
      <c r="F139" s="128"/>
      <c r="G139" s="135"/>
      <c r="H139" s="135"/>
    </row>
    <row r="140" spans="1:8" ht="15.75" x14ac:dyDescent="0.25">
      <c r="A140" s="135"/>
      <c r="B140" s="135"/>
      <c r="C140" s="135"/>
      <c r="D140" s="386"/>
      <c r="E140" s="135"/>
      <c r="F140" s="128"/>
      <c r="G140" s="135"/>
      <c r="H140" s="135"/>
    </row>
    <row r="141" spans="1:8" ht="15.75" x14ac:dyDescent="0.25">
      <c r="A141" s="135"/>
      <c r="B141" s="135"/>
      <c r="C141" s="135"/>
      <c r="D141" s="386"/>
      <c r="E141" s="135"/>
      <c r="F141" s="128"/>
      <c r="G141" s="135"/>
      <c r="H141" s="135"/>
    </row>
    <row r="142" spans="1:8" ht="15.75" x14ac:dyDescent="0.25">
      <c r="A142" s="135"/>
      <c r="B142" s="135"/>
      <c r="C142" s="135"/>
      <c r="D142" s="386"/>
      <c r="E142" s="135"/>
      <c r="F142" s="128"/>
      <c r="G142" s="135"/>
      <c r="H142" s="135"/>
    </row>
    <row r="143" spans="1:8" ht="15" customHeight="1" x14ac:dyDescent="0.25">
      <c r="A143" s="577" t="s">
        <v>1657</v>
      </c>
      <c r="B143" s="577"/>
      <c r="C143" s="577"/>
      <c r="D143" s="577"/>
      <c r="E143" s="577"/>
      <c r="F143" s="577"/>
      <c r="G143" s="577"/>
      <c r="H143" s="577"/>
    </row>
    <row r="144" spans="1:8" x14ac:dyDescent="0.25">
      <c r="A144" s="577"/>
      <c r="B144" s="577"/>
      <c r="C144" s="577"/>
      <c r="D144" s="577"/>
      <c r="E144" s="577"/>
      <c r="F144" s="577"/>
      <c r="G144" s="577"/>
      <c r="H144" s="577"/>
    </row>
    <row r="145" spans="1:8" x14ac:dyDescent="0.25">
      <c r="A145" s="577"/>
      <c r="B145" s="577"/>
      <c r="C145" s="577"/>
      <c r="D145" s="577"/>
      <c r="E145" s="577"/>
      <c r="F145" s="577"/>
      <c r="G145" s="577"/>
      <c r="H145" s="577"/>
    </row>
    <row r="146" spans="1:8" x14ac:dyDescent="0.25">
      <c r="A146" s="577"/>
      <c r="B146" s="577"/>
      <c r="C146" s="577"/>
      <c r="D146" s="577"/>
      <c r="E146" s="577"/>
      <c r="F146" s="577"/>
      <c r="G146" s="577"/>
      <c r="H146" s="577"/>
    </row>
    <row r="147" spans="1:8" x14ac:dyDescent="0.25">
      <c r="A147" s="577"/>
      <c r="B147" s="577"/>
      <c r="C147" s="577"/>
      <c r="D147" s="577"/>
      <c r="E147" s="577"/>
      <c r="F147" s="577"/>
      <c r="G147" s="577"/>
      <c r="H147" s="577"/>
    </row>
    <row r="150" spans="1:8" ht="15" customHeight="1" x14ac:dyDescent="0.25"/>
  </sheetData>
  <mergeCells count="28">
    <mergeCell ref="B128:H128"/>
    <mergeCell ref="A133:H134"/>
    <mergeCell ref="A143:H147"/>
    <mergeCell ref="B120:H120"/>
    <mergeCell ref="B121:H121"/>
    <mergeCell ref="B122:H122"/>
    <mergeCell ref="B123:H123"/>
    <mergeCell ref="B127:H127"/>
    <mergeCell ref="B125:H125"/>
    <mergeCell ref="B126:H126"/>
    <mergeCell ref="B124:H124"/>
    <mergeCell ref="B119:H119"/>
    <mergeCell ref="A15:H15"/>
    <mergeCell ref="A17:H17"/>
    <mergeCell ref="A75:H75"/>
    <mergeCell ref="A77:G77"/>
    <mergeCell ref="A113:H113"/>
    <mergeCell ref="A114:H114"/>
    <mergeCell ref="B115:H115"/>
    <mergeCell ref="B116:H116"/>
    <mergeCell ref="B117:H117"/>
    <mergeCell ref="B118:H118"/>
    <mergeCell ref="A13:H13"/>
    <mergeCell ref="A5:H5"/>
    <mergeCell ref="A7:H7"/>
    <mergeCell ref="A8:H8"/>
    <mergeCell ref="A9:H9"/>
    <mergeCell ref="B11:H11"/>
  </mergeCells>
  <pageMargins left="1.3779527559055118" right="0.70866141732283461" top="0.74803149606299213" bottom="0.74803149606299213" header="0.31496062992125984" footer="0.31496062992125984"/>
  <pageSetup scale="50" orientation="portrait" horizontalDpi="4294967292" verticalDpi="200" r:id="rId1"/>
  <headerFooter>
    <oddFooter>&amp;L&amp;G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2]!exportar">
                <anchor moveWithCells="1">
                  <from>
                    <xdr:col>8</xdr:col>
                    <xdr:colOff>742950</xdr:colOff>
                    <xdr:row>4</xdr:row>
                    <xdr:rowOff>19050</xdr:rowOff>
                  </from>
                  <to>
                    <xdr:col>10</xdr:col>
                    <xdr:colOff>180975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195"/>
  <sheetViews>
    <sheetView workbookViewId="0">
      <selection activeCell="G8" sqref="G8"/>
    </sheetView>
  </sheetViews>
  <sheetFormatPr baseColWidth="10" defaultRowHeight="15" x14ac:dyDescent="0.25"/>
  <cols>
    <col min="2" max="2" width="30" customWidth="1"/>
    <col min="6" max="6" width="18.28515625" customWidth="1"/>
    <col min="7" max="7" width="13.42578125" style="385" bestFit="1" customWidth="1"/>
    <col min="9" max="9" width="0" hidden="1" customWidth="1"/>
  </cols>
  <sheetData>
    <row r="1" spans="1:9" x14ac:dyDescent="0.25">
      <c r="G1"/>
    </row>
    <row r="2" spans="1:9" x14ac:dyDescent="0.25">
      <c r="G2"/>
      <c r="I2" t="s">
        <v>66</v>
      </c>
    </row>
    <row r="3" spans="1:9" x14ac:dyDescent="0.25">
      <c r="G3"/>
      <c r="I3" t="s">
        <v>1590</v>
      </c>
    </row>
    <row r="4" spans="1:9" ht="28.5" x14ac:dyDescent="0.45">
      <c r="B4" s="582" t="s">
        <v>1591</v>
      </c>
      <c r="C4" s="582"/>
      <c r="D4" s="582"/>
      <c r="E4" s="582"/>
      <c r="F4" s="582"/>
      <c r="G4"/>
    </row>
    <row r="5" spans="1:9" x14ac:dyDescent="0.25">
      <c r="G5"/>
    </row>
    <row r="6" spans="1:9" ht="15.75" thickBot="1" x14ac:dyDescent="0.3">
      <c r="G6"/>
    </row>
    <row r="7" spans="1:9" ht="39" thickBot="1" x14ac:dyDescent="0.3">
      <c r="A7" s="349" t="s">
        <v>1592</v>
      </c>
      <c r="B7" s="350" t="s">
        <v>1593</v>
      </c>
      <c r="C7" s="350" t="s">
        <v>23</v>
      </c>
      <c r="D7" s="351" t="s">
        <v>57</v>
      </c>
      <c r="E7" s="351" t="s">
        <v>51</v>
      </c>
      <c r="F7" s="351" t="s">
        <v>1594</v>
      </c>
      <c r="G7" s="351" t="s">
        <v>1595</v>
      </c>
    </row>
    <row r="8" spans="1:9" ht="15.75" thickBot="1" x14ac:dyDescent="0.3">
      <c r="A8" s="352">
        <v>1</v>
      </c>
      <c r="B8" s="583" t="s">
        <v>1596</v>
      </c>
      <c r="C8" s="584"/>
      <c r="D8" s="584"/>
      <c r="E8" s="584"/>
      <c r="F8" s="585"/>
      <c r="G8" s="353">
        <f>G9</f>
        <v>0</v>
      </c>
    </row>
    <row r="9" spans="1:9" ht="15.75" thickBot="1" x14ac:dyDescent="0.3">
      <c r="A9" s="354">
        <v>1.2</v>
      </c>
      <c r="B9" s="579" t="s">
        <v>1597</v>
      </c>
      <c r="C9" s="580"/>
      <c r="D9" s="580"/>
      <c r="E9" s="580"/>
      <c r="F9" s="581"/>
      <c r="G9" s="355">
        <f>SUM(G10:G14)</f>
        <v>0</v>
      </c>
    </row>
    <row r="10" spans="1:9" x14ac:dyDescent="0.25">
      <c r="A10" s="356"/>
      <c r="B10" s="357"/>
      <c r="C10" s="358"/>
      <c r="D10" s="359"/>
      <c r="E10" s="359">
        <f>+D10*C10</f>
        <v>0</v>
      </c>
      <c r="F10" s="360" t="s">
        <v>66</v>
      </c>
      <c r="G10" s="361">
        <f>IF(F10="FACTURA",E10*1,IF(F10=$I$3,E10/0.845,))</f>
        <v>0</v>
      </c>
    </row>
    <row r="11" spans="1:9" x14ac:dyDescent="0.25">
      <c r="A11" s="356"/>
      <c r="B11" s="357"/>
      <c r="C11" s="358"/>
      <c r="D11" s="359"/>
      <c r="E11" s="362"/>
      <c r="F11" s="68" t="s">
        <v>1590</v>
      </c>
      <c r="G11" s="361">
        <f>IF(F11="FACTURA",E11*1,IF(F11=$I$3,E11/0.845,))</f>
        <v>0</v>
      </c>
    </row>
    <row r="12" spans="1:9" x14ac:dyDescent="0.25">
      <c r="A12" s="356"/>
      <c r="B12" s="357"/>
      <c r="C12" s="358"/>
      <c r="D12" s="359"/>
      <c r="E12" s="362"/>
      <c r="F12" s="68" t="s">
        <v>1590</v>
      </c>
      <c r="G12" s="361">
        <f>IF(F12="FACTURA",E12*1,IF(F12=$I$3,E12/0.845,))</f>
        <v>0</v>
      </c>
    </row>
    <row r="13" spans="1:9" x14ac:dyDescent="0.25">
      <c r="A13" s="356"/>
      <c r="B13" s="357"/>
      <c r="C13" s="358"/>
      <c r="D13" s="359"/>
      <c r="E13" s="362">
        <f t="shared" ref="E13:E74" si="0">+D13*C13</f>
        <v>0</v>
      </c>
      <c r="F13" s="68" t="s">
        <v>1590</v>
      </c>
      <c r="G13" s="361">
        <f>IF(F13="FACTURA",E13*1,IF(F13=$I$3,E13/0.845,))</f>
        <v>0</v>
      </c>
    </row>
    <row r="14" spans="1:9" ht="15.75" thickBot="1" x14ac:dyDescent="0.3">
      <c r="A14" s="363"/>
      <c r="B14" s="364"/>
      <c r="C14" s="358"/>
      <c r="D14" s="359"/>
      <c r="E14" s="365">
        <f t="shared" si="0"/>
        <v>0</v>
      </c>
      <c r="F14" s="366" t="s">
        <v>1590</v>
      </c>
      <c r="G14" s="361">
        <f>IF(F14="FACTURA",E14*1,IF(F14=$I$3,E14/0.845,))</f>
        <v>0</v>
      </c>
    </row>
    <row r="15" spans="1:9" ht="15.75" thickBot="1" x14ac:dyDescent="0.3">
      <c r="A15" s="352">
        <v>2</v>
      </c>
      <c r="B15" s="583" t="s">
        <v>1425</v>
      </c>
      <c r="C15" s="584"/>
      <c r="D15" s="584"/>
      <c r="E15" s="584"/>
      <c r="F15" s="585"/>
      <c r="G15" s="353">
        <f>G16+G22+G28</f>
        <v>710.05917159763317</v>
      </c>
    </row>
    <row r="16" spans="1:9" ht="15.75" thickBot="1" x14ac:dyDescent="0.3">
      <c r="A16" s="367">
        <v>2.1</v>
      </c>
      <c r="B16" s="579" t="s">
        <v>1598</v>
      </c>
      <c r="C16" s="580"/>
      <c r="D16" s="580"/>
      <c r="E16" s="580"/>
      <c r="F16" s="581"/>
      <c r="G16" s="353">
        <f>SUM(G17:G21)</f>
        <v>0</v>
      </c>
    </row>
    <row r="17" spans="1:8" x14ac:dyDescent="0.25">
      <c r="A17" s="356"/>
      <c r="B17" s="357" t="s">
        <v>1599</v>
      </c>
      <c r="C17" s="358"/>
      <c r="D17" s="359"/>
      <c r="E17" s="359">
        <f t="shared" si="0"/>
        <v>0</v>
      </c>
      <c r="F17" s="360" t="s">
        <v>1590</v>
      </c>
      <c r="G17" s="361">
        <f>IF(F17="FACTURA",E17*1,IF(F17=$I$3,E17/0.845,))</f>
        <v>0</v>
      </c>
    </row>
    <row r="18" spans="1:8" x14ac:dyDescent="0.25">
      <c r="A18" s="368"/>
      <c r="B18" s="357"/>
      <c r="C18" s="358"/>
      <c r="D18" s="359"/>
      <c r="E18" s="362">
        <f t="shared" si="0"/>
        <v>0</v>
      </c>
      <c r="F18" s="68" t="s">
        <v>1590</v>
      </c>
      <c r="G18" s="361">
        <f>IF(F18="FACTURA",E18*1,IF(F18=$I$3,E18/0.845,))</f>
        <v>0</v>
      </c>
    </row>
    <row r="19" spans="1:8" x14ac:dyDescent="0.25">
      <c r="A19" s="368"/>
      <c r="B19" s="357"/>
      <c r="C19" s="358"/>
      <c r="D19" s="359"/>
      <c r="E19" s="362">
        <f t="shared" si="0"/>
        <v>0</v>
      </c>
      <c r="F19" s="68" t="s">
        <v>1590</v>
      </c>
      <c r="G19" s="361">
        <f>IF(F19="FACTURA",E19*1,IF(F19=$I$3,E19/0.845,))</f>
        <v>0</v>
      </c>
    </row>
    <row r="20" spans="1:8" x14ac:dyDescent="0.25">
      <c r="A20" s="368"/>
      <c r="B20" s="357"/>
      <c r="C20" s="358"/>
      <c r="D20" s="359"/>
      <c r="E20" s="362">
        <f t="shared" si="0"/>
        <v>0</v>
      </c>
      <c r="F20" s="68" t="s">
        <v>1590</v>
      </c>
      <c r="G20" s="361">
        <f>IF(F20="FACTURA",E20*1,IF(F20=$I$3,E20/0.845,))</f>
        <v>0</v>
      </c>
    </row>
    <row r="21" spans="1:8" ht="15.75" thickBot="1" x14ac:dyDescent="0.3">
      <c r="A21" s="369"/>
      <c r="B21" s="364"/>
      <c r="C21" s="358"/>
      <c r="D21" s="359"/>
      <c r="E21" s="365">
        <f t="shared" si="0"/>
        <v>0</v>
      </c>
      <c r="F21" s="366" t="s">
        <v>1590</v>
      </c>
      <c r="G21" s="361">
        <f>IF(F21="FACTURA",E21*1,IF(F21=$I$3,E21/0.845,))</f>
        <v>0</v>
      </c>
    </row>
    <row r="22" spans="1:8" ht="15.75" thickBot="1" x14ac:dyDescent="0.3">
      <c r="A22" s="367">
        <v>2.2000000000000002</v>
      </c>
      <c r="B22" s="579" t="s">
        <v>1600</v>
      </c>
      <c r="C22" s="580"/>
      <c r="D22" s="580"/>
      <c r="E22" s="580"/>
      <c r="F22" s="581"/>
      <c r="G22" s="370">
        <f>SUM(G23:G27)</f>
        <v>710.05917159763317</v>
      </c>
    </row>
    <row r="23" spans="1:8" x14ac:dyDescent="0.25">
      <c r="A23" s="356"/>
      <c r="B23" s="357" t="s">
        <v>1669</v>
      </c>
      <c r="C23" s="358">
        <v>1</v>
      </c>
      <c r="D23" s="359">
        <v>200</v>
      </c>
      <c r="E23" s="359">
        <f t="shared" si="0"/>
        <v>200</v>
      </c>
      <c r="F23" s="360" t="s">
        <v>1590</v>
      </c>
      <c r="G23" s="371">
        <f>IF(F23="FACTURA",E23*0.1,IF(F23=$I$3,E23/0.845,))</f>
        <v>236.68639053254438</v>
      </c>
      <c r="H23" s="440"/>
    </row>
    <row r="24" spans="1:8" x14ac:dyDescent="0.25">
      <c r="A24" s="368"/>
      <c r="B24" s="357" t="s">
        <v>1670</v>
      </c>
      <c r="C24" s="358">
        <v>1</v>
      </c>
      <c r="D24" s="359">
        <v>200</v>
      </c>
      <c r="E24" s="362">
        <f t="shared" si="0"/>
        <v>200</v>
      </c>
      <c r="F24" s="68" t="s">
        <v>1590</v>
      </c>
      <c r="G24" s="371">
        <f>IF(F24="FACTURA",E24*0.1,IF(F24=$I$3,E24/0.845,))</f>
        <v>236.68639053254438</v>
      </c>
    </row>
    <row r="25" spans="1:8" x14ac:dyDescent="0.25">
      <c r="A25" s="368"/>
      <c r="B25" s="357" t="s">
        <v>1671</v>
      </c>
      <c r="C25" s="358">
        <v>1</v>
      </c>
      <c r="D25" s="359">
        <v>200</v>
      </c>
      <c r="E25" s="362">
        <f t="shared" si="0"/>
        <v>200</v>
      </c>
      <c r="F25" s="68" t="s">
        <v>1590</v>
      </c>
      <c r="G25" s="371">
        <f>IF(F25="FACTURA",E25*0.1,IF(F25=$I$3,E25/0.845,))</f>
        <v>236.68639053254438</v>
      </c>
    </row>
    <row r="26" spans="1:8" x14ac:dyDescent="0.25">
      <c r="A26" s="368"/>
      <c r="B26" s="357"/>
      <c r="C26" s="358"/>
      <c r="D26" s="359"/>
      <c r="E26" s="362">
        <f t="shared" si="0"/>
        <v>0</v>
      </c>
      <c r="F26" s="68" t="s">
        <v>1590</v>
      </c>
      <c r="G26" s="371">
        <f>IF(F26="FACTURA",E26*0.1,IF(F26=$I$3,E26/0.845,))</f>
        <v>0</v>
      </c>
    </row>
    <row r="27" spans="1:8" ht="15.75" thickBot="1" x14ac:dyDescent="0.3">
      <c r="A27" s="369"/>
      <c r="B27" s="364"/>
      <c r="C27" s="358"/>
      <c r="D27" s="359"/>
      <c r="E27" s="365">
        <f t="shared" si="0"/>
        <v>0</v>
      </c>
      <c r="F27" s="366" t="s">
        <v>1590</v>
      </c>
      <c r="G27" s="371">
        <f>IF(F27="FACTURA",E27*0.1,IF(F27=$I$3,E27/0.845,))</f>
        <v>0</v>
      </c>
    </row>
    <row r="28" spans="1:8" ht="15.75" thickBot="1" x14ac:dyDescent="0.3">
      <c r="A28" s="367">
        <v>2.2999999999999998</v>
      </c>
      <c r="B28" s="579" t="s">
        <v>1601</v>
      </c>
      <c r="C28" s="580"/>
      <c r="D28" s="580"/>
      <c r="E28" s="580"/>
      <c r="F28" s="581"/>
      <c r="G28" s="355">
        <f>SUM(G29:G33)</f>
        <v>0</v>
      </c>
    </row>
    <row r="29" spans="1:8" x14ac:dyDescent="0.25">
      <c r="A29" s="372"/>
      <c r="B29" s="357"/>
      <c r="C29" s="358"/>
      <c r="D29" s="359"/>
      <c r="E29" s="359">
        <f t="shared" si="0"/>
        <v>0</v>
      </c>
      <c r="F29" s="360" t="s">
        <v>1590</v>
      </c>
      <c r="G29" s="361">
        <f>IF(F29="FACTURA",E29*1,IF(F29=$I$3,E29/0.845,))</f>
        <v>0</v>
      </c>
    </row>
    <row r="30" spans="1:8" x14ac:dyDescent="0.25">
      <c r="A30" s="373"/>
      <c r="B30" s="357"/>
      <c r="C30" s="358"/>
      <c r="D30" s="359"/>
      <c r="E30" s="362">
        <f t="shared" si="0"/>
        <v>0</v>
      </c>
      <c r="F30" s="68" t="s">
        <v>1590</v>
      </c>
      <c r="G30" s="361">
        <f>IF(F30="FACTURA",E30*1,IF(F30=$I$3,E30/0.845,))</f>
        <v>0</v>
      </c>
    </row>
    <row r="31" spans="1:8" x14ac:dyDescent="0.25">
      <c r="A31" s="373"/>
      <c r="B31" s="357"/>
      <c r="C31" s="358"/>
      <c r="D31" s="359"/>
      <c r="E31" s="362">
        <f t="shared" si="0"/>
        <v>0</v>
      </c>
      <c r="F31" s="68" t="s">
        <v>1590</v>
      </c>
      <c r="G31" s="361">
        <f>IF(F31="FACTURA",E31*1,IF(F31=$I$3,E31/0.845,))</f>
        <v>0</v>
      </c>
    </row>
    <row r="32" spans="1:8" x14ac:dyDescent="0.25">
      <c r="A32" s="373"/>
      <c r="B32" s="357"/>
      <c r="C32" s="358"/>
      <c r="D32" s="359"/>
      <c r="E32" s="362">
        <f t="shared" si="0"/>
        <v>0</v>
      </c>
      <c r="F32" s="68" t="s">
        <v>1590</v>
      </c>
      <c r="G32" s="361">
        <f>IF(F32="FACTURA",E32*1,IF(F32=$I$3,E32/0.845,))</f>
        <v>0</v>
      </c>
    </row>
    <row r="33" spans="1:7" ht="15.75" thickBot="1" x14ac:dyDescent="0.3">
      <c r="A33" s="374"/>
      <c r="B33" s="364"/>
      <c r="C33" s="358"/>
      <c r="D33" s="359"/>
      <c r="E33" s="365">
        <f t="shared" si="0"/>
        <v>0</v>
      </c>
      <c r="F33" s="366" t="s">
        <v>1590</v>
      </c>
      <c r="G33" s="361">
        <f>IF(F33="FACTURA",E33*1,IF(F33=$I$3,E33/0.845,))</f>
        <v>0</v>
      </c>
    </row>
    <row r="34" spans="1:7" ht="15.75" thickBot="1" x14ac:dyDescent="0.3">
      <c r="A34" s="352">
        <v>3</v>
      </c>
      <c r="B34" s="583" t="s">
        <v>1439</v>
      </c>
      <c r="C34" s="584"/>
      <c r="D34" s="584"/>
      <c r="E34" s="584"/>
      <c r="F34" s="585"/>
      <c r="G34" s="353">
        <f>G35+G41+G47+G53</f>
        <v>0</v>
      </c>
    </row>
    <row r="35" spans="1:7" ht="15.75" thickBot="1" x14ac:dyDescent="0.3">
      <c r="A35" s="367">
        <v>3.1</v>
      </c>
      <c r="B35" s="579" t="s">
        <v>1602</v>
      </c>
      <c r="C35" s="580"/>
      <c r="D35" s="580"/>
      <c r="E35" s="580"/>
      <c r="F35" s="581"/>
      <c r="G35" s="353">
        <f>SUM(G36:G40)</f>
        <v>0</v>
      </c>
    </row>
    <row r="36" spans="1:7" x14ac:dyDescent="0.25">
      <c r="A36" s="356"/>
      <c r="B36" s="357" t="s">
        <v>1603</v>
      </c>
      <c r="C36" s="358"/>
      <c r="D36" s="359"/>
      <c r="E36" s="359">
        <f t="shared" si="0"/>
        <v>0</v>
      </c>
      <c r="F36" s="360" t="s">
        <v>66</v>
      </c>
      <c r="G36" s="361">
        <f>IF(F36="FACTURA",E36*1,IF(F36=$I$3,E36/0.845,))</f>
        <v>0</v>
      </c>
    </row>
    <row r="37" spans="1:7" x14ac:dyDescent="0.25">
      <c r="A37" s="368"/>
      <c r="B37" s="357" t="s">
        <v>1604</v>
      </c>
      <c r="C37" s="358"/>
      <c r="D37" s="359"/>
      <c r="E37" s="362">
        <f t="shared" si="0"/>
        <v>0</v>
      </c>
      <c r="F37" s="68" t="s">
        <v>66</v>
      </c>
      <c r="G37" s="361">
        <f>IF(F37="FACTURA",E37*1,IF(F37=$I$3,E37/0.845,))</f>
        <v>0</v>
      </c>
    </row>
    <row r="38" spans="1:7" x14ac:dyDescent="0.25">
      <c r="A38" s="368"/>
      <c r="B38" s="357"/>
      <c r="C38" s="358"/>
      <c r="D38" s="359"/>
      <c r="E38" s="362">
        <f t="shared" si="0"/>
        <v>0</v>
      </c>
      <c r="F38" s="68" t="s">
        <v>66</v>
      </c>
      <c r="G38" s="361">
        <f>IF(F38="FACTURA",E38*1,IF(F38=$I$3,E38/0.845,))</f>
        <v>0</v>
      </c>
    </row>
    <row r="39" spans="1:7" x14ac:dyDescent="0.25">
      <c r="A39" s="368"/>
      <c r="B39" s="357"/>
      <c r="C39" s="358"/>
      <c r="D39" s="359"/>
      <c r="E39" s="362">
        <f t="shared" si="0"/>
        <v>0</v>
      </c>
      <c r="F39" s="68" t="s">
        <v>1590</v>
      </c>
      <c r="G39" s="361">
        <f>IF(F39="FACTURA",E39*1,IF(F39=$I$3,E39/0.845,))</f>
        <v>0</v>
      </c>
    </row>
    <row r="40" spans="1:7" ht="15.75" thickBot="1" x14ac:dyDescent="0.3">
      <c r="A40" s="369"/>
      <c r="B40" s="364"/>
      <c r="C40" s="358"/>
      <c r="D40" s="359"/>
      <c r="E40" s="365">
        <f t="shared" si="0"/>
        <v>0</v>
      </c>
      <c r="F40" s="366" t="s">
        <v>66</v>
      </c>
      <c r="G40" s="361">
        <f>IF(F40="FACTURA",E40*1,IF(F40=$I$3,E40/0.845,))</f>
        <v>0</v>
      </c>
    </row>
    <row r="41" spans="1:7" ht="15.75" thickBot="1" x14ac:dyDescent="0.3">
      <c r="A41" s="367">
        <v>3.2</v>
      </c>
      <c r="B41" s="579" t="s">
        <v>1605</v>
      </c>
      <c r="C41" s="580"/>
      <c r="D41" s="580"/>
      <c r="E41" s="580"/>
      <c r="F41" s="581"/>
      <c r="G41" s="353">
        <f>SUM(G42:G46)</f>
        <v>0</v>
      </c>
    </row>
    <row r="42" spans="1:7" x14ac:dyDescent="0.25">
      <c r="A42" s="356"/>
      <c r="B42" s="357"/>
      <c r="C42" s="358"/>
      <c r="D42" s="359"/>
      <c r="E42" s="359">
        <f t="shared" si="0"/>
        <v>0</v>
      </c>
      <c r="F42" s="360" t="s">
        <v>66</v>
      </c>
      <c r="G42" s="361">
        <f>IF(F42="FACTURA",E42*1,IF(F42=$I$3,E42/0.845,))</f>
        <v>0</v>
      </c>
    </row>
    <row r="43" spans="1:7" x14ac:dyDescent="0.25">
      <c r="A43" s="368"/>
      <c r="B43" s="357"/>
      <c r="C43" s="358"/>
      <c r="D43" s="359"/>
      <c r="E43" s="362">
        <f t="shared" si="0"/>
        <v>0</v>
      </c>
      <c r="F43" s="68" t="s">
        <v>66</v>
      </c>
      <c r="G43" s="361">
        <f>IF(F43="FACTURA",E43*1,IF(F43=$I$3,E43/0.845,))</f>
        <v>0</v>
      </c>
    </row>
    <row r="44" spans="1:7" x14ac:dyDescent="0.25">
      <c r="A44" s="368"/>
      <c r="B44" s="357"/>
      <c r="C44" s="358"/>
      <c r="D44" s="359"/>
      <c r="E44" s="362">
        <f t="shared" si="0"/>
        <v>0</v>
      </c>
      <c r="F44" s="68" t="s">
        <v>1590</v>
      </c>
      <c r="G44" s="361">
        <f>IF(F44="FACTURA",E44*1,IF(F44=$I$3,E44/0.845,))</f>
        <v>0</v>
      </c>
    </row>
    <row r="45" spans="1:7" x14ac:dyDescent="0.25">
      <c r="A45" s="368"/>
      <c r="B45" s="357"/>
      <c r="C45" s="358"/>
      <c r="D45" s="359"/>
      <c r="E45" s="362">
        <f t="shared" si="0"/>
        <v>0</v>
      </c>
      <c r="F45" s="68" t="s">
        <v>66</v>
      </c>
      <c r="G45" s="361">
        <f>IF(F45="FACTURA",E45*1,IF(F45=$I$3,E45/0.845,))</f>
        <v>0</v>
      </c>
    </row>
    <row r="46" spans="1:7" ht="15.75" thickBot="1" x14ac:dyDescent="0.3">
      <c r="A46" s="369"/>
      <c r="B46" s="364"/>
      <c r="C46" s="358"/>
      <c r="D46" s="359"/>
      <c r="E46" s="365">
        <f t="shared" si="0"/>
        <v>0</v>
      </c>
      <c r="F46" s="366" t="s">
        <v>66</v>
      </c>
      <c r="G46" s="361">
        <f>IF(F46="FACTURA",E46*1,IF(F46=$I$3,E46/0.845,))</f>
        <v>0</v>
      </c>
    </row>
    <row r="47" spans="1:7" ht="15.75" thickBot="1" x14ac:dyDescent="0.3">
      <c r="A47" s="367">
        <v>3.3</v>
      </c>
      <c r="B47" s="579" t="s">
        <v>1606</v>
      </c>
      <c r="C47" s="580"/>
      <c r="D47" s="580"/>
      <c r="E47" s="580"/>
      <c r="F47" s="581"/>
      <c r="G47" s="353">
        <f>SUM(G48:G52)</f>
        <v>0</v>
      </c>
    </row>
    <row r="48" spans="1:7" x14ac:dyDescent="0.25">
      <c r="A48" s="356"/>
      <c r="B48" s="357"/>
      <c r="C48" s="358"/>
      <c r="D48" s="359"/>
      <c r="E48" s="359">
        <f t="shared" si="0"/>
        <v>0</v>
      </c>
      <c r="F48" s="360" t="s">
        <v>66</v>
      </c>
      <c r="G48" s="361">
        <f>IF(F48="FACTURA",E48*1,IF(F48=$I$3,E48/0.845,))</f>
        <v>0</v>
      </c>
    </row>
    <row r="49" spans="1:7" x14ac:dyDescent="0.25">
      <c r="A49" s="368"/>
      <c r="B49" s="357"/>
      <c r="C49" s="358"/>
      <c r="D49" s="359"/>
      <c r="E49" s="362">
        <f t="shared" si="0"/>
        <v>0</v>
      </c>
      <c r="F49" s="68" t="s">
        <v>66</v>
      </c>
      <c r="G49" s="361">
        <f>IF(F49="FACTURA",E49*1,IF(F49=$I$3,E49/0.845,))</f>
        <v>0</v>
      </c>
    </row>
    <row r="50" spans="1:7" x14ac:dyDescent="0.25">
      <c r="A50" s="368"/>
      <c r="B50" s="357"/>
      <c r="C50" s="358"/>
      <c r="D50" s="359"/>
      <c r="E50" s="362">
        <f t="shared" si="0"/>
        <v>0</v>
      </c>
      <c r="F50" s="68" t="s">
        <v>1590</v>
      </c>
      <c r="G50" s="361">
        <f>IF(F50="FACTURA",E50*1,IF(F50=$I$3,E50/0.845,))</f>
        <v>0</v>
      </c>
    </row>
    <row r="51" spans="1:7" x14ac:dyDescent="0.25">
      <c r="A51" s="368"/>
      <c r="B51" s="357"/>
      <c r="C51" s="358"/>
      <c r="D51" s="359"/>
      <c r="E51" s="362">
        <f t="shared" si="0"/>
        <v>0</v>
      </c>
      <c r="F51" s="68" t="s">
        <v>66</v>
      </c>
      <c r="G51" s="361">
        <f>IF(F51="FACTURA",E51*1,IF(F51=$I$3,E51/0.845,))</f>
        <v>0</v>
      </c>
    </row>
    <row r="52" spans="1:7" ht="15.75" thickBot="1" x14ac:dyDescent="0.3">
      <c r="A52" s="369"/>
      <c r="B52" s="364"/>
      <c r="C52" s="358"/>
      <c r="D52" s="359"/>
      <c r="E52" s="365">
        <f t="shared" si="0"/>
        <v>0</v>
      </c>
      <c r="F52" s="366" t="s">
        <v>66</v>
      </c>
      <c r="G52" s="361">
        <f>IF(F52="FACTURA",E52*1,IF(F52=$I$3,E52/0.845,))</f>
        <v>0</v>
      </c>
    </row>
    <row r="53" spans="1:7" ht="15.75" thickBot="1" x14ac:dyDescent="0.3">
      <c r="A53" s="367">
        <v>3.4</v>
      </c>
      <c r="B53" s="579" t="s">
        <v>1607</v>
      </c>
      <c r="C53" s="580"/>
      <c r="D53" s="580"/>
      <c r="E53" s="580"/>
      <c r="F53" s="581"/>
      <c r="G53" s="353">
        <f>SUM(G54:G58)</f>
        <v>0</v>
      </c>
    </row>
    <row r="54" spans="1:7" x14ac:dyDescent="0.25">
      <c r="A54" s="372"/>
      <c r="B54" s="375" t="s">
        <v>1608</v>
      </c>
      <c r="C54" s="376"/>
      <c r="D54" s="377"/>
      <c r="E54" s="359">
        <f t="shared" si="0"/>
        <v>0</v>
      </c>
      <c r="F54" s="360" t="s">
        <v>66</v>
      </c>
      <c r="G54" s="361">
        <f>IF(F54="FACTURA",E54*1,IF(F54=$I$3,E54/0.845,))</f>
        <v>0</v>
      </c>
    </row>
    <row r="55" spans="1:7" x14ac:dyDescent="0.25">
      <c r="A55" s="373"/>
      <c r="B55" s="378" t="s">
        <v>1609</v>
      </c>
      <c r="C55" s="376"/>
      <c r="D55" s="377"/>
      <c r="E55" s="362">
        <f t="shared" si="0"/>
        <v>0</v>
      </c>
      <c r="F55" s="68" t="s">
        <v>1590</v>
      </c>
      <c r="G55" s="361">
        <f>IF(F55="FACTURA",E55*1,IF(F55=$I$3,E55/0.845,))</f>
        <v>0</v>
      </c>
    </row>
    <row r="56" spans="1:7" x14ac:dyDescent="0.25">
      <c r="A56" s="373"/>
      <c r="B56" s="378"/>
      <c r="C56" s="376"/>
      <c r="D56" s="377"/>
      <c r="E56" s="362">
        <f t="shared" si="0"/>
        <v>0</v>
      </c>
      <c r="F56" s="68" t="s">
        <v>66</v>
      </c>
      <c r="G56" s="361">
        <f>IF(F56="FACTURA",E56*1,IF(F56=$I$3,E56/0.845,))</f>
        <v>0</v>
      </c>
    </row>
    <row r="57" spans="1:7" x14ac:dyDescent="0.25">
      <c r="A57" s="373"/>
      <c r="B57" s="378"/>
      <c r="C57" s="376"/>
      <c r="D57" s="377"/>
      <c r="E57" s="362">
        <f t="shared" si="0"/>
        <v>0</v>
      </c>
      <c r="F57" s="68" t="s">
        <v>1590</v>
      </c>
      <c r="G57" s="361">
        <f>IF(F57="FACTURA",E57*1,IF(F57=$I$3,E57/0.845,))</f>
        <v>0</v>
      </c>
    </row>
    <row r="58" spans="1:7" ht="15.75" thickBot="1" x14ac:dyDescent="0.3">
      <c r="A58" s="374"/>
      <c r="B58" s="379"/>
      <c r="C58" s="376"/>
      <c r="D58" s="377"/>
      <c r="E58" s="365">
        <f t="shared" si="0"/>
        <v>0</v>
      </c>
      <c r="F58" s="366" t="s">
        <v>66</v>
      </c>
      <c r="G58" s="361">
        <f>IF(F58="FACTURA",E58*1,IF(F58=$I$3,E58/0.845,))</f>
        <v>0</v>
      </c>
    </row>
    <row r="59" spans="1:7" ht="15.75" thickBot="1" x14ac:dyDescent="0.3">
      <c r="A59" s="352">
        <v>4</v>
      </c>
      <c r="B59" s="583" t="s">
        <v>1610</v>
      </c>
      <c r="C59" s="584"/>
      <c r="D59" s="584"/>
      <c r="E59" s="584"/>
      <c r="F59" s="585"/>
      <c r="G59" s="353">
        <f>G60+G66+G72+G78+G84</f>
        <v>300</v>
      </c>
    </row>
    <row r="60" spans="1:7" ht="15.75" thickBot="1" x14ac:dyDescent="0.3">
      <c r="A60" s="367">
        <v>4.0999999999999996</v>
      </c>
      <c r="B60" s="579" t="s">
        <v>1611</v>
      </c>
      <c r="C60" s="580"/>
      <c r="D60" s="580"/>
      <c r="E60" s="580"/>
      <c r="F60" s="581"/>
      <c r="G60" s="353">
        <f>SUM(G61:G65)</f>
        <v>0</v>
      </c>
    </row>
    <row r="61" spans="1:7" x14ac:dyDescent="0.25">
      <c r="A61" s="356"/>
      <c r="B61" s="357"/>
      <c r="C61" s="358"/>
      <c r="D61" s="359"/>
      <c r="E61" s="359">
        <f t="shared" si="0"/>
        <v>0</v>
      </c>
      <c r="F61" s="360" t="s">
        <v>66</v>
      </c>
      <c r="G61" s="361">
        <f>IF(F61="FACTURA",E61*1,IF(F61=$I$3,E61/0.845,))</f>
        <v>0</v>
      </c>
    </row>
    <row r="62" spans="1:7" x14ac:dyDescent="0.25">
      <c r="A62" s="368"/>
      <c r="B62" s="357"/>
      <c r="C62" s="358"/>
      <c r="D62" s="359"/>
      <c r="E62" s="362">
        <f t="shared" si="0"/>
        <v>0</v>
      </c>
      <c r="F62" s="68" t="s">
        <v>66</v>
      </c>
      <c r="G62" s="361">
        <f>IF(F62="FACTURA",E62*1,IF(F62=$I$3,E62/0.845,))</f>
        <v>0</v>
      </c>
    </row>
    <row r="63" spans="1:7" x14ac:dyDescent="0.25">
      <c r="A63" s="368"/>
      <c r="B63" s="357"/>
      <c r="C63" s="358"/>
      <c r="D63" s="359"/>
      <c r="E63" s="362">
        <f t="shared" si="0"/>
        <v>0</v>
      </c>
      <c r="F63" s="68" t="s">
        <v>1590</v>
      </c>
      <c r="G63" s="361">
        <f>IF(F63="FACTURA",E63*1,IF(F63=$I$3,E63/0.845,))</f>
        <v>0</v>
      </c>
    </row>
    <row r="64" spans="1:7" x14ac:dyDescent="0.25">
      <c r="A64" s="368"/>
      <c r="B64" s="357"/>
      <c r="C64" s="358"/>
      <c r="D64" s="359"/>
      <c r="E64" s="362">
        <f t="shared" si="0"/>
        <v>0</v>
      </c>
      <c r="F64" s="68" t="s">
        <v>66</v>
      </c>
      <c r="G64" s="361">
        <f>IF(F64="FACTURA",E64*1,IF(F64=$I$3,E64/0.845,))</f>
        <v>0</v>
      </c>
    </row>
    <row r="65" spans="1:7" ht="15.75" thickBot="1" x14ac:dyDescent="0.3">
      <c r="A65" s="369"/>
      <c r="B65" s="364"/>
      <c r="C65" s="358"/>
      <c r="D65" s="359"/>
      <c r="E65" s="365">
        <f t="shared" si="0"/>
        <v>0</v>
      </c>
      <c r="F65" s="366" t="s">
        <v>66</v>
      </c>
      <c r="G65" s="361">
        <f>IF(F65="FACTURA",E65*1,IF(F65=$I$3,E65/0.845,))</f>
        <v>0</v>
      </c>
    </row>
    <row r="66" spans="1:7" ht="15.75" thickBot="1" x14ac:dyDescent="0.3">
      <c r="A66" s="367">
        <v>4.2</v>
      </c>
      <c r="B66" s="579" t="s">
        <v>1612</v>
      </c>
      <c r="C66" s="580"/>
      <c r="D66" s="580"/>
      <c r="E66" s="580"/>
      <c r="F66" s="581"/>
      <c r="G66" s="353">
        <f>SUM(G67:G71)</f>
        <v>0</v>
      </c>
    </row>
    <row r="67" spans="1:7" x14ac:dyDescent="0.25">
      <c r="A67" s="356"/>
      <c r="B67" s="357"/>
      <c r="C67" s="358"/>
      <c r="D67" s="359"/>
      <c r="E67" s="359">
        <f t="shared" si="0"/>
        <v>0</v>
      </c>
      <c r="F67" s="360" t="s">
        <v>66</v>
      </c>
      <c r="G67" s="361">
        <f>IF(F67="FACTURA",E67*1,IF(F67=$I$3,E67/0.845,))</f>
        <v>0</v>
      </c>
    </row>
    <row r="68" spans="1:7" x14ac:dyDescent="0.25">
      <c r="A68" s="368"/>
      <c r="B68" s="357"/>
      <c r="C68" s="358"/>
      <c r="D68" s="359"/>
      <c r="E68" s="362">
        <f t="shared" si="0"/>
        <v>0</v>
      </c>
      <c r="F68" s="68" t="s">
        <v>66</v>
      </c>
      <c r="G68" s="361">
        <f>IF(F68="FACTURA",E68*1,IF(F68=$I$3,E68/0.845,))</f>
        <v>0</v>
      </c>
    </row>
    <row r="69" spans="1:7" x14ac:dyDescent="0.25">
      <c r="A69" s="368"/>
      <c r="B69" s="357"/>
      <c r="C69" s="358"/>
      <c r="D69" s="359"/>
      <c r="E69" s="362">
        <f t="shared" si="0"/>
        <v>0</v>
      </c>
      <c r="F69" s="68" t="s">
        <v>1590</v>
      </c>
      <c r="G69" s="361">
        <f>IF(F69="FACTURA",E69*1,IF(F69=$I$3,E69/0.845,))</f>
        <v>0</v>
      </c>
    </row>
    <row r="70" spans="1:7" x14ac:dyDescent="0.25">
      <c r="A70" s="368"/>
      <c r="B70" s="357"/>
      <c r="C70" s="358"/>
      <c r="D70" s="359"/>
      <c r="E70" s="362">
        <f t="shared" si="0"/>
        <v>0</v>
      </c>
      <c r="F70" s="68" t="s">
        <v>66</v>
      </c>
      <c r="G70" s="361">
        <f>IF(F70="FACTURA",E70*1,IF(F70=$I$3,E70/0.845,))</f>
        <v>0</v>
      </c>
    </row>
    <row r="71" spans="1:7" ht="15.75" thickBot="1" x14ac:dyDescent="0.3">
      <c r="A71" s="369"/>
      <c r="B71" s="364"/>
      <c r="C71" s="358"/>
      <c r="D71" s="359"/>
      <c r="E71" s="365">
        <f t="shared" si="0"/>
        <v>0</v>
      </c>
      <c r="F71" s="366" t="s">
        <v>66</v>
      </c>
      <c r="G71" s="361">
        <f>IF(F71="FACTURA",E71*1,IF(F71=$I$3,E71/0.845,))</f>
        <v>0</v>
      </c>
    </row>
    <row r="72" spans="1:7" ht="15.75" thickBot="1" x14ac:dyDescent="0.3">
      <c r="A72" s="367">
        <v>4.3</v>
      </c>
      <c r="B72" s="579" t="s">
        <v>1613</v>
      </c>
      <c r="C72" s="580"/>
      <c r="D72" s="580"/>
      <c r="E72" s="580"/>
      <c r="F72" s="581"/>
      <c r="G72" s="353">
        <f>SUM(G73:G77)</f>
        <v>0</v>
      </c>
    </row>
    <row r="73" spans="1:7" x14ac:dyDescent="0.25">
      <c r="A73" s="356"/>
      <c r="B73" s="357"/>
      <c r="C73" s="358"/>
      <c r="D73" s="359"/>
      <c r="E73" s="359">
        <f t="shared" si="0"/>
        <v>0</v>
      </c>
      <c r="F73" s="360" t="s">
        <v>66</v>
      </c>
      <c r="G73" s="361">
        <f>IF(F73="FACTURA",E73*1,IF(F73=$I$3,E73/0.845,))</f>
        <v>0</v>
      </c>
    </row>
    <row r="74" spans="1:7" x14ac:dyDescent="0.25">
      <c r="A74" s="368"/>
      <c r="B74" s="357"/>
      <c r="C74" s="358"/>
      <c r="D74" s="359"/>
      <c r="E74" s="362">
        <f t="shared" si="0"/>
        <v>0</v>
      </c>
      <c r="F74" s="68" t="s">
        <v>1590</v>
      </c>
      <c r="G74" s="361">
        <f>IF(F74="FACTURA",E74*1,IF(F74=$I$3,E74/0.845,))</f>
        <v>0</v>
      </c>
    </row>
    <row r="75" spans="1:7" x14ac:dyDescent="0.25">
      <c r="A75" s="368"/>
      <c r="B75" s="357"/>
      <c r="C75" s="358"/>
      <c r="D75" s="359"/>
      <c r="E75" s="362">
        <f t="shared" ref="E75:E138" si="1">+D75*C75</f>
        <v>0</v>
      </c>
      <c r="F75" s="68" t="s">
        <v>66</v>
      </c>
      <c r="G75" s="361">
        <f>IF(F75="FACTURA",E75*1,IF(F75=$I$3,E75/0.845,))</f>
        <v>0</v>
      </c>
    </row>
    <row r="76" spans="1:7" x14ac:dyDescent="0.25">
      <c r="A76" s="368"/>
      <c r="B76" s="357"/>
      <c r="C76" s="358"/>
      <c r="D76" s="359"/>
      <c r="E76" s="362">
        <f t="shared" si="1"/>
        <v>0</v>
      </c>
      <c r="F76" s="68" t="s">
        <v>1590</v>
      </c>
      <c r="G76" s="361">
        <f>IF(F76="FACTURA",E76*1,IF(F76=$I$3,E76/0.845,))</f>
        <v>0</v>
      </c>
    </row>
    <row r="77" spans="1:7" ht="15.75" thickBot="1" x14ac:dyDescent="0.3">
      <c r="A77" s="369"/>
      <c r="B77" s="364"/>
      <c r="C77" s="358"/>
      <c r="D77" s="359"/>
      <c r="E77" s="365">
        <f t="shared" si="1"/>
        <v>0</v>
      </c>
      <c r="F77" s="366" t="s">
        <v>66</v>
      </c>
      <c r="G77" s="361">
        <f>IF(F77="FACTURA",E77*1,IF(F77=$I$3,E77/0.845,))</f>
        <v>0</v>
      </c>
    </row>
    <row r="78" spans="1:7" ht="15.75" thickBot="1" x14ac:dyDescent="0.3">
      <c r="A78" s="367">
        <v>4.4000000000000004</v>
      </c>
      <c r="B78" s="579" t="s">
        <v>1614</v>
      </c>
      <c r="C78" s="580"/>
      <c r="D78" s="580"/>
      <c r="E78" s="580"/>
      <c r="F78" s="581"/>
      <c r="G78" s="353">
        <f>SUM(G79:G83)</f>
        <v>0</v>
      </c>
    </row>
    <row r="79" spans="1:7" x14ac:dyDescent="0.25">
      <c r="A79" s="356"/>
      <c r="B79" s="357"/>
      <c r="C79" s="358"/>
      <c r="D79" s="359"/>
      <c r="E79" s="359">
        <f t="shared" si="1"/>
        <v>0</v>
      </c>
      <c r="F79" s="360" t="s">
        <v>1590</v>
      </c>
      <c r="G79" s="361">
        <f>IF(F79="FACTURA",E79*1,IF(F79=$I$3,E79/0.845,))</f>
        <v>0</v>
      </c>
    </row>
    <row r="80" spans="1:7" x14ac:dyDescent="0.25">
      <c r="A80" s="368"/>
      <c r="B80" s="357"/>
      <c r="C80" s="358"/>
      <c r="D80" s="359"/>
      <c r="E80" s="362">
        <f t="shared" si="1"/>
        <v>0</v>
      </c>
      <c r="F80" s="68" t="s">
        <v>66</v>
      </c>
      <c r="G80" s="361">
        <f>IF(F80="FACTURA",E80*1,IF(F80=$I$3,E80/0.845,))</f>
        <v>0</v>
      </c>
    </row>
    <row r="81" spans="1:8" x14ac:dyDescent="0.25">
      <c r="A81" s="368"/>
      <c r="B81" s="357"/>
      <c r="C81" s="358"/>
      <c r="D81" s="359"/>
      <c r="E81" s="362">
        <f t="shared" si="1"/>
        <v>0</v>
      </c>
      <c r="F81" s="68" t="s">
        <v>66</v>
      </c>
      <c r="G81" s="361">
        <f>IF(F81="FACTURA",E81*1,IF(F81=$I$3,E81/0.845,))</f>
        <v>0</v>
      </c>
    </row>
    <row r="82" spans="1:8" x14ac:dyDescent="0.25">
      <c r="A82" s="368"/>
      <c r="B82" s="357"/>
      <c r="C82" s="358"/>
      <c r="D82" s="359"/>
      <c r="E82" s="362">
        <f t="shared" si="1"/>
        <v>0</v>
      </c>
      <c r="F82" s="68" t="s">
        <v>1590</v>
      </c>
      <c r="G82" s="361">
        <f>IF(F82="FACTURA",E82*1,IF(F82=$I$3,E82/0.845,))</f>
        <v>0</v>
      </c>
    </row>
    <row r="83" spans="1:8" ht="15.75" thickBot="1" x14ac:dyDescent="0.3">
      <c r="A83" s="369"/>
      <c r="B83" s="364"/>
      <c r="C83" s="358"/>
      <c r="D83" s="359"/>
      <c r="E83" s="365">
        <f t="shared" si="1"/>
        <v>0</v>
      </c>
      <c r="F83" s="366" t="s">
        <v>66</v>
      </c>
      <c r="G83" s="361">
        <f>IF(F83="FACTURA",E83*1,IF(F83=$I$3,E83/0.845,))</f>
        <v>0</v>
      </c>
    </row>
    <row r="84" spans="1:8" ht="15.75" thickBot="1" x14ac:dyDescent="0.3">
      <c r="A84" s="367">
        <v>4.5</v>
      </c>
      <c r="B84" s="579" t="s">
        <v>1615</v>
      </c>
      <c r="C84" s="580"/>
      <c r="D84" s="580"/>
      <c r="E84" s="580"/>
      <c r="F84" s="581"/>
      <c r="G84" s="353">
        <f>SUM(G85:G89)</f>
        <v>300</v>
      </c>
    </row>
    <row r="85" spans="1:8" x14ac:dyDescent="0.25">
      <c r="A85" s="372"/>
      <c r="B85" s="357" t="s">
        <v>1484</v>
      </c>
      <c r="C85" s="358">
        <v>1</v>
      </c>
      <c r="D85" s="359">
        <v>100</v>
      </c>
      <c r="E85" s="359">
        <f t="shared" si="1"/>
        <v>100</v>
      </c>
      <c r="F85" s="360" t="s">
        <v>66</v>
      </c>
      <c r="G85" s="361">
        <f>IF(F85="FACTURA",E85*1,IF(F85=$I$3,E85/0.845,))</f>
        <v>100</v>
      </c>
      <c r="H85" s="440">
        <f>+'Carta PDF'!E20</f>
        <v>7746.170936426226</v>
      </c>
    </row>
    <row r="86" spans="1:8" x14ac:dyDescent="0.25">
      <c r="A86" s="373"/>
      <c r="B86" s="357" t="s">
        <v>1673</v>
      </c>
      <c r="C86" s="358">
        <v>1</v>
      </c>
      <c r="D86" s="359">
        <v>100</v>
      </c>
      <c r="E86" s="362">
        <f t="shared" si="1"/>
        <v>100</v>
      </c>
      <c r="F86" s="68" t="s">
        <v>66</v>
      </c>
      <c r="G86" s="361">
        <f>IF(F86="FACTURA",E86*1,IF(F86=$I$3,E86/0.845,))</f>
        <v>100</v>
      </c>
    </row>
    <row r="87" spans="1:8" x14ac:dyDescent="0.25">
      <c r="A87" s="373"/>
      <c r="B87" s="357" t="s">
        <v>1674</v>
      </c>
      <c r="C87" s="358">
        <v>1</v>
      </c>
      <c r="D87" s="359">
        <v>100</v>
      </c>
      <c r="E87" s="362">
        <f t="shared" si="1"/>
        <v>100</v>
      </c>
      <c r="F87" s="68" t="s">
        <v>66</v>
      </c>
      <c r="G87" s="361">
        <f>IF(F87="FACTURA",E87*1,IF(F87=$I$3,E87/0.845,))</f>
        <v>100</v>
      </c>
    </row>
    <row r="88" spans="1:8" x14ac:dyDescent="0.25">
      <c r="A88" s="373"/>
      <c r="B88" s="357"/>
      <c r="C88" s="358"/>
      <c r="D88" s="359"/>
      <c r="E88" s="362">
        <f t="shared" si="1"/>
        <v>0</v>
      </c>
      <c r="F88" s="68" t="s">
        <v>1590</v>
      </c>
      <c r="G88" s="361">
        <f>IF(F88="FACTURA",E88*1,IF(F88=$I$3,E88/0.845,))</f>
        <v>0</v>
      </c>
    </row>
    <row r="89" spans="1:8" ht="15.75" thickBot="1" x14ac:dyDescent="0.3">
      <c r="A89" s="374"/>
      <c r="B89" s="364"/>
      <c r="C89" s="358"/>
      <c r="D89" s="359"/>
      <c r="E89" s="365">
        <f t="shared" si="1"/>
        <v>0</v>
      </c>
      <c r="F89" s="366" t="s">
        <v>66</v>
      </c>
      <c r="G89" s="361">
        <f>IF(F89="FACTURA",E89*1,IF(F89=$I$3,E89/0.845,))</f>
        <v>0</v>
      </c>
    </row>
    <row r="90" spans="1:8" ht="15.75" thickBot="1" x14ac:dyDescent="0.3">
      <c r="A90" s="352">
        <v>5</v>
      </c>
      <c r="B90" s="583" t="s">
        <v>1616</v>
      </c>
      <c r="C90" s="584"/>
      <c r="D90" s="584"/>
      <c r="E90" s="584"/>
      <c r="F90" s="585"/>
      <c r="G90" s="353">
        <f>G91</f>
        <v>0</v>
      </c>
    </row>
    <row r="91" spans="1:8" ht="15.75" thickBot="1" x14ac:dyDescent="0.3">
      <c r="A91" s="367">
        <v>5.0999999999999996</v>
      </c>
      <c r="B91" s="579" t="s">
        <v>1617</v>
      </c>
      <c r="C91" s="580"/>
      <c r="D91" s="580"/>
      <c r="E91" s="580"/>
      <c r="F91" s="581"/>
      <c r="G91" s="353">
        <f>SUM(G92:G96)</f>
        <v>0</v>
      </c>
    </row>
    <row r="92" spans="1:8" x14ac:dyDescent="0.25">
      <c r="A92" s="372"/>
      <c r="B92" s="357"/>
      <c r="C92" s="358"/>
      <c r="D92" s="359"/>
      <c r="E92" s="359">
        <f t="shared" si="1"/>
        <v>0</v>
      </c>
      <c r="F92" s="360" t="s">
        <v>66</v>
      </c>
      <c r="G92" s="361">
        <f>IF(F92="FACTURA",E92*1,IF(F92=$I$3,E92/0.845,))</f>
        <v>0</v>
      </c>
    </row>
    <row r="93" spans="1:8" x14ac:dyDescent="0.25">
      <c r="A93" s="373"/>
      <c r="B93" s="357"/>
      <c r="C93" s="358"/>
      <c r="D93" s="359"/>
      <c r="E93" s="362">
        <f t="shared" si="1"/>
        <v>0</v>
      </c>
      <c r="F93" s="68" t="s">
        <v>66</v>
      </c>
      <c r="G93" s="361">
        <f>IF(F93="FACTURA",E93*1,IF(F93=$I$3,E93/0.845,))</f>
        <v>0</v>
      </c>
    </row>
    <row r="94" spans="1:8" x14ac:dyDescent="0.25">
      <c r="A94" s="373"/>
      <c r="B94" s="357"/>
      <c r="C94" s="358"/>
      <c r="D94" s="359"/>
      <c r="E94" s="362">
        <f t="shared" si="1"/>
        <v>0</v>
      </c>
      <c r="F94" s="68" t="s">
        <v>1590</v>
      </c>
      <c r="G94" s="361">
        <f>IF(F94="FACTURA",E94*1,IF(F94=$I$3,E94/0.845,))</f>
        <v>0</v>
      </c>
    </row>
    <row r="95" spans="1:8" x14ac:dyDescent="0.25">
      <c r="A95" s="373"/>
      <c r="B95" s="357"/>
      <c r="C95" s="358"/>
      <c r="D95" s="359"/>
      <c r="E95" s="362">
        <f t="shared" si="1"/>
        <v>0</v>
      </c>
      <c r="F95" s="68" t="s">
        <v>66</v>
      </c>
      <c r="G95" s="361">
        <f>IF(F95="FACTURA",E95*1,IF(F95=$I$3,E95/0.845,))</f>
        <v>0</v>
      </c>
    </row>
    <row r="96" spans="1:8" ht="15.75" thickBot="1" x14ac:dyDescent="0.3">
      <c r="A96" s="374"/>
      <c r="B96" s="364"/>
      <c r="C96" s="358"/>
      <c r="D96" s="359"/>
      <c r="E96" s="365">
        <f t="shared" si="1"/>
        <v>0</v>
      </c>
      <c r="F96" s="366" t="s">
        <v>66</v>
      </c>
      <c r="G96" s="361">
        <f>IF(F96="FACTURA",E96*1,IF(F96=$I$3,E96/0.845,))</f>
        <v>0</v>
      </c>
    </row>
    <row r="97" spans="1:7" ht="15.75" thickBot="1" x14ac:dyDescent="0.3">
      <c r="A97" s="352">
        <v>6</v>
      </c>
      <c r="B97" s="583" t="s">
        <v>10</v>
      </c>
      <c r="C97" s="584"/>
      <c r="D97" s="584"/>
      <c r="E97" s="584"/>
      <c r="F97" s="585"/>
      <c r="G97" s="353">
        <f>G98+G104+G110+G116+G122+G128+G134</f>
        <v>0</v>
      </c>
    </row>
    <row r="98" spans="1:7" ht="15.75" thickBot="1" x14ac:dyDescent="0.3">
      <c r="A98" s="367">
        <v>6.1</v>
      </c>
      <c r="B98" s="579" t="s">
        <v>1618</v>
      </c>
      <c r="C98" s="580"/>
      <c r="D98" s="580"/>
      <c r="E98" s="580"/>
      <c r="F98" s="581"/>
      <c r="G98" s="353">
        <f>SUM(G99:G103)</f>
        <v>0</v>
      </c>
    </row>
    <row r="99" spans="1:7" x14ac:dyDescent="0.25">
      <c r="A99" s="356"/>
      <c r="B99" s="357" t="s">
        <v>1619</v>
      </c>
      <c r="C99" s="358"/>
      <c r="D99" s="359"/>
      <c r="E99" s="359">
        <f t="shared" si="1"/>
        <v>0</v>
      </c>
      <c r="F99" s="360" t="s">
        <v>66</v>
      </c>
      <c r="G99" s="361">
        <f>IF(F99="FACTURA",E99*1,IF(F99=$I$3,E99/0.92,))</f>
        <v>0</v>
      </c>
    </row>
    <row r="100" spans="1:7" x14ac:dyDescent="0.25">
      <c r="A100" s="368"/>
      <c r="B100" s="357"/>
      <c r="C100" s="358"/>
      <c r="D100" s="359"/>
      <c r="E100" s="362">
        <f t="shared" si="1"/>
        <v>0</v>
      </c>
      <c r="F100" s="68" t="s">
        <v>66</v>
      </c>
      <c r="G100" s="361">
        <f>IF(F100="FACTURA",E100*1,IF(F100=$I$3,E100/0.92,))</f>
        <v>0</v>
      </c>
    </row>
    <row r="101" spans="1:7" x14ac:dyDescent="0.25">
      <c r="A101" s="368"/>
      <c r="B101" s="357"/>
      <c r="C101" s="358"/>
      <c r="D101" s="359"/>
      <c r="E101" s="362">
        <f t="shared" si="1"/>
        <v>0</v>
      </c>
      <c r="F101" s="68" t="s">
        <v>1590</v>
      </c>
      <c r="G101" s="361">
        <f>IF(F101="FACTURA",E101*1,IF(F101=$I$3,E101/0.92,))</f>
        <v>0</v>
      </c>
    </row>
    <row r="102" spans="1:7" x14ac:dyDescent="0.25">
      <c r="A102" s="368"/>
      <c r="B102" s="357"/>
      <c r="C102" s="358"/>
      <c r="D102" s="359"/>
      <c r="E102" s="362">
        <f t="shared" si="1"/>
        <v>0</v>
      </c>
      <c r="F102" s="68" t="s">
        <v>66</v>
      </c>
      <c r="G102" s="361">
        <f>IF(F102="FACTURA",E102*1,IF(F102=$I$3,E102/0.92,))</f>
        <v>0</v>
      </c>
    </row>
    <row r="103" spans="1:7" ht="15.75" thickBot="1" x14ac:dyDescent="0.3">
      <c r="A103" s="369"/>
      <c r="B103" s="364"/>
      <c r="C103" s="358"/>
      <c r="D103" s="359"/>
      <c r="E103" s="365">
        <f t="shared" si="1"/>
        <v>0</v>
      </c>
      <c r="F103" s="366" t="s">
        <v>66</v>
      </c>
      <c r="G103" s="361">
        <f>IF(F103="FACTURA",E103*1,IF(F103=$I$3,E103/0.92,))</f>
        <v>0</v>
      </c>
    </row>
    <row r="104" spans="1:7" ht="15.75" thickBot="1" x14ac:dyDescent="0.3">
      <c r="A104" s="367">
        <v>6.2</v>
      </c>
      <c r="B104" s="579" t="s">
        <v>1620</v>
      </c>
      <c r="C104" s="580"/>
      <c r="D104" s="580"/>
      <c r="E104" s="580"/>
      <c r="F104" s="581"/>
      <c r="G104" s="353">
        <f>SUM(G105:G109)</f>
        <v>0</v>
      </c>
    </row>
    <row r="105" spans="1:7" x14ac:dyDescent="0.25">
      <c r="A105" s="356"/>
      <c r="B105" s="357" t="s">
        <v>1621</v>
      </c>
      <c r="C105" s="358"/>
      <c r="D105" s="359"/>
      <c r="E105" s="359">
        <f t="shared" si="1"/>
        <v>0</v>
      </c>
      <c r="F105" s="360" t="s">
        <v>66</v>
      </c>
      <c r="G105" s="361">
        <f>IF(F105="FACTURA",E105*1,IF(F105=$I$3,E105/0.92,))</f>
        <v>0</v>
      </c>
    </row>
    <row r="106" spans="1:7" x14ac:dyDescent="0.25">
      <c r="A106" s="368"/>
      <c r="B106" s="357"/>
      <c r="C106" s="358"/>
      <c r="D106" s="359"/>
      <c r="E106" s="362">
        <f t="shared" si="1"/>
        <v>0</v>
      </c>
      <c r="F106" s="68" t="s">
        <v>66</v>
      </c>
      <c r="G106" s="361">
        <f>IF(F106="FACTURA",E106*1,IF(F106=$I$3,E106/0.92,))</f>
        <v>0</v>
      </c>
    </row>
    <row r="107" spans="1:7" x14ac:dyDescent="0.25">
      <c r="A107" s="368"/>
      <c r="B107" s="357"/>
      <c r="C107" s="358"/>
      <c r="D107" s="359"/>
      <c r="E107" s="362">
        <f t="shared" si="1"/>
        <v>0</v>
      </c>
      <c r="F107" s="68" t="s">
        <v>66</v>
      </c>
      <c r="G107" s="361">
        <f>IF(F107="FACTURA",E107*1,IF(F107=$I$3,E107/0.92,))</f>
        <v>0</v>
      </c>
    </row>
    <row r="108" spans="1:7" x14ac:dyDescent="0.25">
      <c r="A108" s="368"/>
      <c r="B108" s="357"/>
      <c r="C108" s="358"/>
      <c r="D108" s="359"/>
      <c r="E108" s="362">
        <f t="shared" si="1"/>
        <v>0</v>
      </c>
      <c r="F108" s="68" t="s">
        <v>1590</v>
      </c>
      <c r="G108" s="361">
        <f>IF(F108="FACTURA",E108*1,IF(F108=$I$3,E108/0.92,))</f>
        <v>0</v>
      </c>
    </row>
    <row r="109" spans="1:7" ht="15.75" thickBot="1" x14ac:dyDescent="0.3">
      <c r="A109" s="369"/>
      <c r="B109" s="364"/>
      <c r="C109" s="358"/>
      <c r="D109" s="359"/>
      <c r="E109" s="365">
        <f t="shared" si="1"/>
        <v>0</v>
      </c>
      <c r="F109" s="366" t="s">
        <v>66</v>
      </c>
      <c r="G109" s="361">
        <f>IF(F109="FACTURA",E109*1,IF(F109=$I$3,E109/0.92,))</f>
        <v>0</v>
      </c>
    </row>
    <row r="110" spans="1:7" ht="15.75" thickBot="1" x14ac:dyDescent="0.3">
      <c r="A110" s="367">
        <v>6.3</v>
      </c>
      <c r="B110" s="579" t="s">
        <v>1622</v>
      </c>
      <c r="C110" s="580"/>
      <c r="D110" s="580"/>
      <c r="E110" s="580"/>
      <c r="F110" s="581"/>
      <c r="G110" s="353">
        <f>SUM(G111:G115)</f>
        <v>0</v>
      </c>
    </row>
    <row r="111" spans="1:7" x14ac:dyDescent="0.25">
      <c r="A111" s="356"/>
      <c r="B111" s="357"/>
      <c r="C111" s="358"/>
      <c r="D111" s="359"/>
      <c r="E111" s="359">
        <f t="shared" si="1"/>
        <v>0</v>
      </c>
      <c r="F111" s="360" t="s">
        <v>66</v>
      </c>
      <c r="G111" s="361">
        <f>IF(F111="FACTURA",E111*1,IF(F111=$I$3,E111/0.92,))</f>
        <v>0</v>
      </c>
    </row>
    <row r="112" spans="1:7" x14ac:dyDescent="0.25">
      <c r="A112" s="368"/>
      <c r="B112" s="357"/>
      <c r="C112" s="358"/>
      <c r="D112" s="359"/>
      <c r="E112" s="362">
        <f t="shared" si="1"/>
        <v>0</v>
      </c>
      <c r="F112" s="68" t="s">
        <v>66</v>
      </c>
      <c r="G112" s="361">
        <f>IF(F112="FACTURA",E112*1,IF(F112=$I$3,E112/0.92,))</f>
        <v>0</v>
      </c>
    </row>
    <row r="113" spans="1:7" x14ac:dyDescent="0.25">
      <c r="A113" s="368"/>
      <c r="B113" s="357"/>
      <c r="C113" s="358"/>
      <c r="D113" s="359"/>
      <c r="E113" s="362">
        <f t="shared" si="1"/>
        <v>0</v>
      </c>
      <c r="F113" s="68" t="s">
        <v>1590</v>
      </c>
      <c r="G113" s="361">
        <f>IF(F113="FACTURA",E113*1,IF(F113=$I$3,E113/0.92,))</f>
        <v>0</v>
      </c>
    </row>
    <row r="114" spans="1:7" x14ac:dyDescent="0.25">
      <c r="A114" s="368"/>
      <c r="B114" s="357"/>
      <c r="C114" s="358"/>
      <c r="D114" s="359"/>
      <c r="E114" s="362">
        <f t="shared" si="1"/>
        <v>0</v>
      </c>
      <c r="F114" s="68" t="s">
        <v>66</v>
      </c>
      <c r="G114" s="361">
        <f>IF(F114="FACTURA",E114*1,IF(F114=$I$3,E114/0.92,))</f>
        <v>0</v>
      </c>
    </row>
    <row r="115" spans="1:7" ht="15.75" thickBot="1" x14ac:dyDescent="0.3">
      <c r="A115" s="369"/>
      <c r="B115" s="364"/>
      <c r="C115" s="358"/>
      <c r="D115" s="359"/>
      <c r="E115" s="365">
        <f t="shared" si="1"/>
        <v>0</v>
      </c>
      <c r="F115" s="366" t="s">
        <v>66</v>
      </c>
      <c r="G115" s="361">
        <f>IF(F115="FACTURA",E115*1,IF(F115=$I$3,E115/0.92,))</f>
        <v>0</v>
      </c>
    </row>
    <row r="116" spans="1:7" ht="15.75" thickBot="1" x14ac:dyDescent="0.3">
      <c r="A116" s="367">
        <v>6.4</v>
      </c>
      <c r="B116" s="579" t="s">
        <v>1623</v>
      </c>
      <c r="C116" s="580"/>
      <c r="D116" s="580"/>
      <c r="E116" s="580"/>
      <c r="F116" s="581"/>
      <c r="G116" s="353">
        <f>SUM(G117:G121)</f>
        <v>0</v>
      </c>
    </row>
    <row r="117" spans="1:7" x14ac:dyDescent="0.25">
      <c r="A117" s="356"/>
      <c r="B117" s="357"/>
      <c r="C117" s="358"/>
      <c r="D117" s="359"/>
      <c r="E117" s="359">
        <f t="shared" si="1"/>
        <v>0</v>
      </c>
      <c r="F117" s="360" t="s">
        <v>66</v>
      </c>
      <c r="G117" s="361">
        <f>IF(F117="FACTURA",E117*1,IF(F117=$I$3,E117/0.92,))</f>
        <v>0</v>
      </c>
    </row>
    <row r="118" spans="1:7" x14ac:dyDescent="0.25">
      <c r="A118" s="368"/>
      <c r="B118" s="357"/>
      <c r="C118" s="358"/>
      <c r="D118" s="359"/>
      <c r="E118" s="362">
        <f t="shared" si="1"/>
        <v>0</v>
      </c>
      <c r="F118" s="68" t="s">
        <v>66</v>
      </c>
      <c r="G118" s="361">
        <f>IF(F118="FACTURA",E118*1,IF(F118=$I$3,E118/0.92,))</f>
        <v>0</v>
      </c>
    </row>
    <row r="119" spans="1:7" x14ac:dyDescent="0.25">
      <c r="A119" s="368"/>
      <c r="B119" s="357"/>
      <c r="C119" s="358"/>
      <c r="D119" s="359"/>
      <c r="E119" s="362">
        <f t="shared" si="1"/>
        <v>0</v>
      </c>
      <c r="F119" s="68" t="s">
        <v>1590</v>
      </c>
      <c r="G119" s="361">
        <f>IF(F119="FACTURA",E119*1,IF(F119=$I$3,E119/0.92,))</f>
        <v>0</v>
      </c>
    </row>
    <row r="120" spans="1:7" x14ac:dyDescent="0.25">
      <c r="A120" s="368"/>
      <c r="B120" s="357"/>
      <c r="C120" s="358"/>
      <c r="D120" s="359"/>
      <c r="E120" s="362">
        <f t="shared" si="1"/>
        <v>0</v>
      </c>
      <c r="F120" s="68" t="s">
        <v>66</v>
      </c>
      <c r="G120" s="361">
        <f>IF(F120="FACTURA",E120*1,IF(F120=$I$3,E120/0.92,))</f>
        <v>0</v>
      </c>
    </row>
    <row r="121" spans="1:7" ht="15.75" thickBot="1" x14ac:dyDescent="0.3">
      <c r="A121" s="369"/>
      <c r="B121" s="364"/>
      <c r="C121" s="380"/>
      <c r="D121" s="359"/>
      <c r="E121" s="365">
        <f t="shared" si="1"/>
        <v>0</v>
      </c>
      <c r="F121" s="366" t="s">
        <v>66</v>
      </c>
      <c r="G121" s="361">
        <f>IF(F121="FACTURA",E121*1,IF(F121=$I$3,E121/0.92,))</f>
        <v>0</v>
      </c>
    </row>
    <row r="122" spans="1:7" ht="15.75" thickBot="1" x14ac:dyDescent="0.3">
      <c r="A122" s="367">
        <v>6.5</v>
      </c>
      <c r="B122" s="579" t="s">
        <v>1624</v>
      </c>
      <c r="C122" s="580"/>
      <c r="D122" s="580"/>
      <c r="E122" s="580"/>
      <c r="F122" s="581"/>
      <c r="G122" s="353">
        <f>SUM(G123:G127)</f>
        <v>0</v>
      </c>
    </row>
    <row r="123" spans="1:7" x14ac:dyDescent="0.25">
      <c r="A123" s="356"/>
      <c r="B123" s="357" t="s">
        <v>1625</v>
      </c>
      <c r="C123" s="358"/>
      <c r="D123" s="359"/>
      <c r="E123" s="359">
        <f t="shared" si="1"/>
        <v>0</v>
      </c>
      <c r="F123" s="360" t="s">
        <v>66</v>
      </c>
      <c r="G123" s="361">
        <f>IF(F123="FACTURA",E123*1,IF(F123=$I$3,E123/0.92,))</f>
        <v>0</v>
      </c>
    </row>
    <row r="124" spans="1:7" x14ac:dyDescent="0.25">
      <c r="A124" s="368"/>
      <c r="B124" s="357"/>
      <c r="C124" s="358"/>
      <c r="D124" s="359"/>
      <c r="E124" s="362">
        <f t="shared" si="1"/>
        <v>0</v>
      </c>
      <c r="F124" s="68" t="s">
        <v>66</v>
      </c>
      <c r="G124" s="361">
        <f>IF(F124="FACTURA",E124*1,IF(F124=$I$3,E124/0.92,))</f>
        <v>0</v>
      </c>
    </row>
    <row r="125" spans="1:7" x14ac:dyDescent="0.25">
      <c r="A125" s="368"/>
      <c r="B125" s="357"/>
      <c r="C125" s="358"/>
      <c r="D125" s="359"/>
      <c r="E125" s="362">
        <f t="shared" si="1"/>
        <v>0</v>
      </c>
      <c r="F125" s="68" t="s">
        <v>1590</v>
      </c>
      <c r="G125" s="361">
        <f>IF(F125="FACTURA",E125*1,IF(F125=$I$3,E125/0.92,))</f>
        <v>0</v>
      </c>
    </row>
    <row r="126" spans="1:7" x14ac:dyDescent="0.25">
      <c r="A126" s="368"/>
      <c r="B126" s="357"/>
      <c r="C126" s="358"/>
      <c r="D126" s="359"/>
      <c r="E126" s="362">
        <f t="shared" si="1"/>
        <v>0</v>
      </c>
      <c r="F126" s="68" t="s">
        <v>66</v>
      </c>
      <c r="G126" s="361">
        <f>IF(F126="FACTURA",E126*1,IF(F126=$I$3,E126/0.92,))</f>
        <v>0</v>
      </c>
    </row>
    <row r="127" spans="1:7" ht="15.75" thickBot="1" x14ac:dyDescent="0.3">
      <c r="A127" s="369"/>
      <c r="B127" s="364"/>
      <c r="C127" s="358"/>
      <c r="D127" s="359"/>
      <c r="E127" s="365">
        <f t="shared" si="1"/>
        <v>0</v>
      </c>
      <c r="F127" s="366" t="s">
        <v>66</v>
      </c>
      <c r="G127" s="361">
        <f>IF(F127="FACTURA",E127*1,IF(F127=$I$3,E127/0.92,))</f>
        <v>0</v>
      </c>
    </row>
    <row r="128" spans="1:7" ht="15.75" thickBot="1" x14ac:dyDescent="0.3">
      <c r="A128" s="367">
        <v>6.6</v>
      </c>
      <c r="B128" s="579" t="s">
        <v>1626</v>
      </c>
      <c r="C128" s="580"/>
      <c r="D128" s="580"/>
      <c r="E128" s="580"/>
      <c r="F128" s="581"/>
      <c r="G128" s="353">
        <f>SUM(G129:G133)</f>
        <v>0</v>
      </c>
    </row>
    <row r="129" spans="1:7" x14ac:dyDescent="0.25">
      <c r="A129" s="356"/>
      <c r="B129" s="357"/>
      <c r="C129" s="358"/>
      <c r="D129" s="359"/>
      <c r="E129" s="359">
        <f t="shared" si="1"/>
        <v>0</v>
      </c>
      <c r="F129" s="360" t="s">
        <v>66</v>
      </c>
      <c r="G129" s="361">
        <f>IF(F129="FACTURA",E129*1,IF(F129=$I$3,E129/0.92,))</f>
        <v>0</v>
      </c>
    </row>
    <row r="130" spans="1:7" x14ac:dyDescent="0.25">
      <c r="A130" s="368"/>
      <c r="B130" s="357"/>
      <c r="C130" s="358"/>
      <c r="D130" s="359"/>
      <c r="E130" s="362">
        <f t="shared" si="1"/>
        <v>0</v>
      </c>
      <c r="F130" s="68" t="s">
        <v>66</v>
      </c>
      <c r="G130" s="361">
        <f>IF(F130="FACTURA",E130*1,IF(F130=$I$3,E130/0.92,))</f>
        <v>0</v>
      </c>
    </row>
    <row r="131" spans="1:7" x14ac:dyDescent="0.25">
      <c r="A131" s="368"/>
      <c r="B131" s="357"/>
      <c r="C131" s="358"/>
      <c r="D131" s="359"/>
      <c r="E131" s="362">
        <f t="shared" si="1"/>
        <v>0</v>
      </c>
      <c r="F131" s="68" t="s">
        <v>1590</v>
      </c>
      <c r="G131" s="361">
        <f>IF(F131="FACTURA",E131*1,IF(F131=$I$3,E131/0.92,))</f>
        <v>0</v>
      </c>
    </row>
    <row r="132" spans="1:7" x14ac:dyDescent="0.25">
      <c r="A132" s="368"/>
      <c r="B132" s="357"/>
      <c r="C132" s="358"/>
      <c r="D132" s="359"/>
      <c r="E132" s="362">
        <f t="shared" si="1"/>
        <v>0</v>
      </c>
      <c r="F132" s="68" t="s">
        <v>66</v>
      </c>
      <c r="G132" s="361">
        <f>IF(F132="FACTURA",E132*1,IF(F132=$I$3,E132/0.92,))</f>
        <v>0</v>
      </c>
    </row>
    <row r="133" spans="1:7" ht="15.75" thickBot="1" x14ac:dyDescent="0.3">
      <c r="A133" s="369"/>
      <c r="B133" s="364"/>
      <c r="C133" s="358"/>
      <c r="D133" s="359"/>
      <c r="E133" s="365">
        <f t="shared" si="1"/>
        <v>0</v>
      </c>
      <c r="F133" s="366" t="s">
        <v>66</v>
      </c>
      <c r="G133" s="361">
        <f>IF(F133="FACTURA",E133*1,IF(F133=$I$3,E133/0.92,))</f>
        <v>0</v>
      </c>
    </row>
    <row r="134" spans="1:7" ht="15.75" thickBot="1" x14ac:dyDescent="0.3">
      <c r="A134" s="367">
        <v>6.7</v>
      </c>
      <c r="B134" s="579" t="s">
        <v>1627</v>
      </c>
      <c r="C134" s="580"/>
      <c r="D134" s="580"/>
      <c r="E134" s="580"/>
      <c r="F134" s="581"/>
      <c r="G134" s="353">
        <f>SUM(G135:G139)</f>
        <v>0</v>
      </c>
    </row>
    <row r="135" spans="1:7" x14ac:dyDescent="0.25">
      <c r="A135" s="372"/>
      <c r="B135" s="357"/>
      <c r="C135" s="358"/>
      <c r="D135" s="359"/>
      <c r="E135" s="359">
        <f t="shared" si="1"/>
        <v>0</v>
      </c>
      <c r="F135" s="360" t="s">
        <v>66</v>
      </c>
      <c r="G135" s="361">
        <f>IF(F135="FACTURA",E135*1,IF(F135=$I$3,E135/0.92,))</f>
        <v>0</v>
      </c>
    </row>
    <row r="136" spans="1:7" x14ac:dyDescent="0.25">
      <c r="A136" s="373"/>
      <c r="B136" s="357"/>
      <c r="C136" s="358"/>
      <c r="D136" s="359"/>
      <c r="E136" s="362">
        <f t="shared" si="1"/>
        <v>0</v>
      </c>
      <c r="F136" s="68" t="s">
        <v>1590</v>
      </c>
      <c r="G136" s="361">
        <f>IF(F136="FACTURA",E136*1,IF(F136=$I$3,E136/0.92,))</f>
        <v>0</v>
      </c>
    </row>
    <row r="137" spans="1:7" x14ac:dyDescent="0.25">
      <c r="A137" s="373"/>
      <c r="B137" s="357"/>
      <c r="C137" s="358"/>
      <c r="D137" s="359"/>
      <c r="E137" s="362">
        <f t="shared" si="1"/>
        <v>0</v>
      </c>
      <c r="F137" s="68" t="s">
        <v>66</v>
      </c>
      <c r="G137" s="361">
        <f>IF(F137="FACTURA",E137*1,IF(F137=$I$3,E137/0.92,))</f>
        <v>0</v>
      </c>
    </row>
    <row r="138" spans="1:7" x14ac:dyDescent="0.25">
      <c r="A138" s="373"/>
      <c r="B138" s="357"/>
      <c r="C138" s="358"/>
      <c r="D138" s="359"/>
      <c r="E138" s="362">
        <f t="shared" si="1"/>
        <v>0</v>
      </c>
      <c r="F138" s="68" t="s">
        <v>66</v>
      </c>
      <c r="G138" s="361">
        <f>IF(F138="FACTURA",E138*1,IF(F138=$I$3,E138/0.92,))</f>
        <v>0</v>
      </c>
    </row>
    <row r="139" spans="1:7" ht="15.75" thickBot="1" x14ac:dyDescent="0.3">
      <c r="A139" s="374"/>
      <c r="B139" s="364"/>
      <c r="C139" s="358"/>
      <c r="D139" s="359"/>
      <c r="E139" s="365">
        <f t="shared" ref="E139:E194" si="2">+D139*C139</f>
        <v>0</v>
      </c>
      <c r="F139" s="366" t="s">
        <v>66</v>
      </c>
      <c r="G139" s="361">
        <f>IF(F139="FACTURA",E139*1,IF(F139=$I$3,E139/0.92,))</f>
        <v>0</v>
      </c>
    </row>
    <row r="140" spans="1:7" ht="15.75" thickBot="1" x14ac:dyDescent="0.3">
      <c r="A140" s="352">
        <v>7</v>
      </c>
      <c r="B140" s="583" t="s">
        <v>1628</v>
      </c>
      <c r="C140" s="584"/>
      <c r="D140" s="584"/>
      <c r="E140" s="584"/>
      <c r="F140" s="585"/>
      <c r="G140" s="353">
        <f>G141+G147+G153+G159+G165+G171+G177+G183+G189</f>
        <v>0</v>
      </c>
    </row>
    <row r="141" spans="1:7" ht="15.75" thickBot="1" x14ac:dyDescent="0.3">
      <c r="A141" s="367">
        <v>7.1</v>
      </c>
      <c r="B141" s="579" t="s">
        <v>1629</v>
      </c>
      <c r="C141" s="580"/>
      <c r="D141" s="580"/>
      <c r="E141" s="580"/>
      <c r="F141" s="581"/>
      <c r="G141" s="353">
        <f>SUM(G142:G146)</f>
        <v>0</v>
      </c>
    </row>
    <row r="142" spans="1:7" x14ac:dyDescent="0.25">
      <c r="A142" s="356"/>
      <c r="B142" s="357"/>
      <c r="C142" s="358"/>
      <c r="D142" s="359"/>
      <c r="E142" s="359">
        <f t="shared" si="2"/>
        <v>0</v>
      </c>
      <c r="F142" s="360" t="s">
        <v>66</v>
      </c>
      <c r="G142" s="361">
        <f>IF(F142="FACTURA",E142*1,IF(F142=$I$3,E142/0.845,))</f>
        <v>0</v>
      </c>
    </row>
    <row r="143" spans="1:7" x14ac:dyDescent="0.25">
      <c r="A143" s="368"/>
      <c r="B143" s="357"/>
      <c r="C143" s="358"/>
      <c r="D143" s="359"/>
      <c r="E143" s="362">
        <f t="shared" si="2"/>
        <v>0</v>
      </c>
      <c r="F143" s="68" t="s">
        <v>66</v>
      </c>
      <c r="G143" s="361">
        <f>IF(F143="FACTURA",E143*1,IF(F143=$I$3,E143/0.845,))</f>
        <v>0</v>
      </c>
    </row>
    <row r="144" spans="1:7" x14ac:dyDescent="0.25">
      <c r="A144" s="368"/>
      <c r="B144" s="357"/>
      <c r="C144" s="358"/>
      <c r="D144" s="359"/>
      <c r="E144" s="362">
        <f t="shared" si="2"/>
        <v>0</v>
      </c>
      <c r="F144" s="68" t="s">
        <v>1590</v>
      </c>
      <c r="G144" s="361">
        <f>IF(F144="FACTURA",E144*1,IF(F144=$I$3,E144/0.845,))</f>
        <v>0</v>
      </c>
    </row>
    <row r="145" spans="1:7" x14ac:dyDescent="0.25">
      <c r="A145" s="368"/>
      <c r="B145" s="357"/>
      <c r="C145" s="358"/>
      <c r="D145" s="359"/>
      <c r="E145" s="362">
        <f t="shared" si="2"/>
        <v>0</v>
      </c>
      <c r="F145" s="68" t="s">
        <v>66</v>
      </c>
      <c r="G145" s="361">
        <f>IF(F145="FACTURA",E145*1,IF(F145=$I$3,E145/0.845,))</f>
        <v>0</v>
      </c>
    </row>
    <row r="146" spans="1:7" ht="15.75" thickBot="1" x14ac:dyDescent="0.3">
      <c r="A146" s="369"/>
      <c r="B146" s="364"/>
      <c r="C146" s="358"/>
      <c r="D146" s="359"/>
      <c r="E146" s="365">
        <f t="shared" si="2"/>
        <v>0</v>
      </c>
      <c r="F146" s="366" t="s">
        <v>66</v>
      </c>
      <c r="G146" s="361">
        <f>IF(F146="FACTURA",E146*1,IF(F146=$I$3,E146/0.845,))</f>
        <v>0</v>
      </c>
    </row>
    <row r="147" spans="1:7" ht="15.75" thickBot="1" x14ac:dyDescent="0.3">
      <c r="A147" s="367">
        <v>7.2</v>
      </c>
      <c r="B147" s="579" t="s">
        <v>1630</v>
      </c>
      <c r="C147" s="580"/>
      <c r="D147" s="580"/>
      <c r="E147" s="580"/>
      <c r="F147" s="581"/>
      <c r="G147" s="353">
        <f>SUM(G148:G152)</f>
        <v>0</v>
      </c>
    </row>
    <row r="148" spans="1:7" x14ac:dyDescent="0.25">
      <c r="A148" s="356"/>
      <c r="B148" s="357"/>
      <c r="C148" s="358"/>
      <c r="D148" s="359"/>
      <c r="E148" s="359">
        <f t="shared" si="2"/>
        <v>0</v>
      </c>
      <c r="F148" s="360" t="s">
        <v>66</v>
      </c>
      <c r="G148" s="361">
        <f>IF(F148="FACTURA",E148*1,IF(F148=$I$3,E148/0.845,))</f>
        <v>0</v>
      </c>
    </row>
    <row r="149" spans="1:7" x14ac:dyDescent="0.25">
      <c r="A149" s="368"/>
      <c r="B149" s="357"/>
      <c r="C149" s="358"/>
      <c r="D149" s="359"/>
      <c r="E149" s="362">
        <f t="shared" si="2"/>
        <v>0</v>
      </c>
      <c r="F149" s="68" t="s">
        <v>66</v>
      </c>
      <c r="G149" s="361">
        <f>IF(F149="FACTURA",E149*1,IF(F149=$I$3,E149/0.845,))</f>
        <v>0</v>
      </c>
    </row>
    <row r="150" spans="1:7" x14ac:dyDescent="0.25">
      <c r="A150" s="368"/>
      <c r="B150" s="357"/>
      <c r="C150" s="358"/>
      <c r="D150" s="359"/>
      <c r="E150" s="362">
        <f t="shared" si="2"/>
        <v>0</v>
      </c>
      <c r="F150" s="68" t="s">
        <v>66</v>
      </c>
      <c r="G150" s="361">
        <f>IF(F150="FACTURA",E150*1,IF(F150=$I$3,E150/0.845,))</f>
        <v>0</v>
      </c>
    </row>
    <row r="151" spans="1:7" x14ac:dyDescent="0.25">
      <c r="A151" s="368"/>
      <c r="B151" s="357"/>
      <c r="C151" s="358"/>
      <c r="D151" s="359"/>
      <c r="E151" s="362">
        <f t="shared" si="2"/>
        <v>0</v>
      </c>
      <c r="F151" s="68" t="s">
        <v>1590</v>
      </c>
      <c r="G151" s="361">
        <f>IF(F151="FACTURA",E151*1,IF(F151=$I$3,E151/0.845,))</f>
        <v>0</v>
      </c>
    </row>
    <row r="152" spans="1:7" ht="15.75" thickBot="1" x14ac:dyDescent="0.3">
      <c r="A152" s="369"/>
      <c r="B152" s="364"/>
      <c r="C152" s="358"/>
      <c r="D152" s="359"/>
      <c r="E152" s="365">
        <f t="shared" si="2"/>
        <v>0</v>
      </c>
      <c r="F152" s="366" t="s">
        <v>66</v>
      </c>
      <c r="G152" s="361">
        <f>IF(F152="FACTURA",E152*1,IF(F152=$I$3,E152/0.845,))</f>
        <v>0</v>
      </c>
    </row>
    <row r="153" spans="1:7" ht="15.75" thickBot="1" x14ac:dyDescent="0.3">
      <c r="A153" s="367">
        <v>7.3</v>
      </c>
      <c r="B153" s="579" t="s">
        <v>1631</v>
      </c>
      <c r="C153" s="580"/>
      <c r="D153" s="580"/>
      <c r="E153" s="580"/>
      <c r="F153" s="581"/>
      <c r="G153" s="353">
        <f>SUM(G154:G158)</f>
        <v>0</v>
      </c>
    </row>
    <row r="154" spans="1:7" x14ac:dyDescent="0.25">
      <c r="A154" s="356"/>
      <c r="B154" s="357"/>
      <c r="C154" s="358"/>
      <c r="D154" s="359"/>
      <c r="E154" s="359">
        <f t="shared" si="2"/>
        <v>0</v>
      </c>
      <c r="F154" s="360" t="s">
        <v>66</v>
      </c>
      <c r="G154" s="361">
        <f>IF(F154="FACTURA",E154*1,IF(F154=$I$3,E154/0.845,))</f>
        <v>0</v>
      </c>
    </row>
    <row r="155" spans="1:7" x14ac:dyDescent="0.25">
      <c r="A155" s="368"/>
      <c r="B155" s="357"/>
      <c r="C155" s="358"/>
      <c r="D155" s="359"/>
      <c r="E155" s="362">
        <f t="shared" si="2"/>
        <v>0</v>
      </c>
      <c r="F155" s="68" t="s">
        <v>66</v>
      </c>
      <c r="G155" s="361">
        <f>IF(F155="FACTURA",E155*1,IF(F155=$I$3,E155/0.845,))</f>
        <v>0</v>
      </c>
    </row>
    <row r="156" spans="1:7" x14ac:dyDescent="0.25">
      <c r="A156" s="368"/>
      <c r="B156" s="357"/>
      <c r="C156" s="358"/>
      <c r="D156" s="359"/>
      <c r="E156" s="362">
        <f t="shared" si="2"/>
        <v>0</v>
      </c>
      <c r="F156" s="68" t="s">
        <v>1590</v>
      </c>
      <c r="G156" s="361">
        <f>IF(F156="FACTURA",E156*1,IF(F156=$I$3,E156/0.845,))</f>
        <v>0</v>
      </c>
    </row>
    <row r="157" spans="1:7" x14ac:dyDescent="0.25">
      <c r="A157" s="368"/>
      <c r="B157" s="357"/>
      <c r="C157" s="358"/>
      <c r="D157" s="359"/>
      <c r="E157" s="362">
        <f t="shared" si="2"/>
        <v>0</v>
      </c>
      <c r="F157" s="68" t="s">
        <v>66</v>
      </c>
      <c r="G157" s="361">
        <f>IF(F157="FACTURA",E157*1,IF(F157=$I$3,E157/0.845,))</f>
        <v>0</v>
      </c>
    </row>
    <row r="158" spans="1:7" ht="15.75" thickBot="1" x14ac:dyDescent="0.3">
      <c r="A158" s="369"/>
      <c r="B158" s="364"/>
      <c r="C158" s="358"/>
      <c r="D158" s="359"/>
      <c r="E158" s="365">
        <f t="shared" si="2"/>
        <v>0</v>
      </c>
      <c r="F158" s="366" t="s">
        <v>66</v>
      </c>
      <c r="G158" s="361">
        <f>IF(F158="FACTURA",E158*1,IF(F158=$I$3,E158/0.845,))</f>
        <v>0</v>
      </c>
    </row>
    <row r="159" spans="1:7" ht="15.75" thickBot="1" x14ac:dyDescent="0.3">
      <c r="A159" s="367">
        <v>7.4</v>
      </c>
      <c r="B159" s="579" t="s">
        <v>1632</v>
      </c>
      <c r="C159" s="580"/>
      <c r="D159" s="580"/>
      <c r="E159" s="580"/>
      <c r="F159" s="581"/>
      <c r="G159" s="353">
        <f>SUM(G160:G164)</f>
        <v>0</v>
      </c>
    </row>
    <row r="160" spans="1:7" x14ac:dyDescent="0.25">
      <c r="A160" s="356"/>
      <c r="B160" s="357"/>
      <c r="C160" s="358"/>
      <c r="D160" s="359"/>
      <c r="E160" s="359">
        <f t="shared" si="2"/>
        <v>0</v>
      </c>
      <c r="F160" s="360" t="s">
        <v>66</v>
      </c>
      <c r="G160" s="361">
        <f>IF(F160="FACTURA",E160*1,IF(F160=$I$3,E160/0.845,))</f>
        <v>0</v>
      </c>
    </row>
    <row r="161" spans="1:7" x14ac:dyDescent="0.25">
      <c r="A161" s="368"/>
      <c r="B161" s="357"/>
      <c r="C161" s="358"/>
      <c r="D161" s="359"/>
      <c r="E161" s="362">
        <f t="shared" si="2"/>
        <v>0</v>
      </c>
      <c r="F161" s="68" t="s">
        <v>66</v>
      </c>
      <c r="G161" s="361">
        <f>IF(F161="FACTURA",E161*1,IF(F161=$I$3,E161/0.845,))</f>
        <v>0</v>
      </c>
    </row>
    <row r="162" spans="1:7" x14ac:dyDescent="0.25">
      <c r="A162" s="368"/>
      <c r="B162" s="357"/>
      <c r="C162" s="358"/>
      <c r="D162" s="359"/>
      <c r="E162" s="362">
        <f t="shared" si="2"/>
        <v>0</v>
      </c>
      <c r="F162" s="68" t="s">
        <v>66</v>
      </c>
      <c r="G162" s="361">
        <f>IF(F162="FACTURA",E162*1,IF(F162=$I$3,E162/0.845,))</f>
        <v>0</v>
      </c>
    </row>
    <row r="163" spans="1:7" x14ac:dyDescent="0.25">
      <c r="A163" s="368"/>
      <c r="B163" s="357"/>
      <c r="C163" s="358"/>
      <c r="D163" s="359"/>
      <c r="E163" s="362">
        <f t="shared" si="2"/>
        <v>0</v>
      </c>
      <c r="F163" s="68" t="s">
        <v>66</v>
      </c>
      <c r="G163" s="361">
        <f>IF(F163="FACTURA",E163*1,IF(F163=$I$3,E163/0.845,))</f>
        <v>0</v>
      </c>
    </row>
    <row r="164" spans="1:7" ht="15.75" thickBot="1" x14ac:dyDescent="0.3">
      <c r="A164" s="369"/>
      <c r="B164" s="364"/>
      <c r="C164" s="358"/>
      <c r="D164" s="359"/>
      <c r="E164" s="365">
        <f t="shared" si="2"/>
        <v>0</v>
      </c>
      <c r="F164" s="366" t="s">
        <v>1590</v>
      </c>
      <c r="G164" s="361">
        <f>IF(F164="FACTURA",E164*1,IF(F164=$I$3,E164/0.845,))</f>
        <v>0</v>
      </c>
    </row>
    <row r="165" spans="1:7" ht="15.75" thickBot="1" x14ac:dyDescent="0.3">
      <c r="A165" s="367">
        <v>7.5</v>
      </c>
      <c r="B165" s="579" t="s">
        <v>1633</v>
      </c>
      <c r="C165" s="580"/>
      <c r="D165" s="580"/>
      <c r="E165" s="580"/>
      <c r="F165" s="581"/>
      <c r="G165" s="353">
        <f>SUM(G166:G170)</f>
        <v>0</v>
      </c>
    </row>
    <row r="166" spans="1:7" x14ac:dyDescent="0.25">
      <c r="A166" s="356"/>
      <c r="B166" s="357"/>
      <c r="C166" s="358"/>
      <c r="D166" s="359"/>
      <c r="E166" s="359">
        <f t="shared" si="2"/>
        <v>0</v>
      </c>
      <c r="F166" s="360" t="s">
        <v>66</v>
      </c>
      <c r="G166" s="361">
        <f>IF(F166="FACTURA",E166*1,IF(F166=$I$3,E166/0.845,))</f>
        <v>0</v>
      </c>
    </row>
    <row r="167" spans="1:7" x14ac:dyDescent="0.25">
      <c r="A167" s="368"/>
      <c r="B167" s="357"/>
      <c r="C167" s="358"/>
      <c r="D167" s="359"/>
      <c r="E167" s="362">
        <f t="shared" si="2"/>
        <v>0</v>
      </c>
      <c r="F167" s="68" t="s">
        <v>66</v>
      </c>
      <c r="G167" s="361">
        <f>IF(F167="FACTURA",E167*1,IF(F167=$I$3,E167/0.845,))</f>
        <v>0</v>
      </c>
    </row>
    <row r="168" spans="1:7" x14ac:dyDescent="0.25">
      <c r="A168" s="368"/>
      <c r="B168" s="357"/>
      <c r="C168" s="358"/>
      <c r="D168" s="359"/>
      <c r="E168" s="362">
        <f t="shared" si="2"/>
        <v>0</v>
      </c>
      <c r="F168" s="68" t="s">
        <v>1590</v>
      </c>
      <c r="G168" s="361">
        <f>IF(F168="FACTURA",E168*1,IF(F168=$I$3,E168/0.845,))</f>
        <v>0</v>
      </c>
    </row>
    <row r="169" spans="1:7" x14ac:dyDescent="0.25">
      <c r="A169" s="368"/>
      <c r="B169" s="357"/>
      <c r="C169" s="358"/>
      <c r="D169" s="359"/>
      <c r="E169" s="362">
        <f t="shared" si="2"/>
        <v>0</v>
      </c>
      <c r="F169" s="68" t="s">
        <v>66</v>
      </c>
      <c r="G169" s="361">
        <f>IF(F169="FACTURA",E169*1,IF(F169=$I$3,E169/0.845,))</f>
        <v>0</v>
      </c>
    </row>
    <row r="170" spans="1:7" ht="15.75" thickBot="1" x14ac:dyDescent="0.3">
      <c r="A170" s="369"/>
      <c r="B170" s="364"/>
      <c r="C170" s="358"/>
      <c r="D170" s="359"/>
      <c r="E170" s="365">
        <f t="shared" si="2"/>
        <v>0</v>
      </c>
      <c r="F170" s="366" t="s">
        <v>66</v>
      </c>
      <c r="G170" s="361">
        <f>IF(F170="FACTURA",E170*1,IF(F170=$I$3,E170/0.845,))</f>
        <v>0</v>
      </c>
    </row>
    <row r="171" spans="1:7" ht="15.75" thickBot="1" x14ac:dyDescent="0.3">
      <c r="A171" s="367">
        <v>7.6</v>
      </c>
      <c r="B171" s="579" t="s">
        <v>1634</v>
      </c>
      <c r="C171" s="580"/>
      <c r="D171" s="580"/>
      <c r="E171" s="580"/>
      <c r="F171" s="581"/>
      <c r="G171" s="353">
        <f>SUM(G172:G176)</f>
        <v>0</v>
      </c>
    </row>
    <row r="172" spans="1:7" x14ac:dyDescent="0.25">
      <c r="A172" s="356"/>
      <c r="B172" s="357"/>
      <c r="C172" s="358"/>
      <c r="D172" s="359"/>
      <c r="E172" s="359">
        <f t="shared" si="2"/>
        <v>0</v>
      </c>
      <c r="F172" s="360" t="s">
        <v>66</v>
      </c>
      <c r="G172" s="361">
        <f>IF(F172="FACTURA",E172*1,IF(F172=$I$3,E172/0.845,))</f>
        <v>0</v>
      </c>
    </row>
    <row r="173" spans="1:7" x14ac:dyDescent="0.25">
      <c r="A173" s="368"/>
      <c r="B173" s="357"/>
      <c r="C173" s="358"/>
      <c r="D173" s="359"/>
      <c r="E173" s="362">
        <f t="shared" si="2"/>
        <v>0</v>
      </c>
      <c r="F173" s="68" t="s">
        <v>66</v>
      </c>
      <c r="G173" s="361">
        <f>IF(F173="FACTURA",E173*1,IF(F173=$I$3,E173/0.845,))</f>
        <v>0</v>
      </c>
    </row>
    <row r="174" spans="1:7" x14ac:dyDescent="0.25">
      <c r="A174" s="368"/>
      <c r="B174" s="357"/>
      <c r="C174" s="358"/>
      <c r="D174" s="359"/>
      <c r="E174" s="362">
        <f t="shared" si="2"/>
        <v>0</v>
      </c>
      <c r="F174" s="68" t="s">
        <v>1590</v>
      </c>
      <c r="G174" s="361">
        <f>IF(F174="FACTURA",E174*1,IF(F174=$I$3,E174/0.845,))</f>
        <v>0</v>
      </c>
    </row>
    <row r="175" spans="1:7" x14ac:dyDescent="0.25">
      <c r="A175" s="368"/>
      <c r="B175" s="357"/>
      <c r="C175" s="358"/>
      <c r="D175" s="359"/>
      <c r="E175" s="362">
        <f t="shared" si="2"/>
        <v>0</v>
      </c>
      <c r="F175" s="68" t="s">
        <v>66</v>
      </c>
      <c r="G175" s="361">
        <f>IF(F175="FACTURA",E175*1,IF(F175=$I$3,E175/0.845,))</f>
        <v>0</v>
      </c>
    </row>
    <row r="176" spans="1:7" ht="15.75" thickBot="1" x14ac:dyDescent="0.3">
      <c r="A176" s="369"/>
      <c r="B176" s="364"/>
      <c r="C176" s="358"/>
      <c r="D176" s="359"/>
      <c r="E176" s="365">
        <f t="shared" si="2"/>
        <v>0</v>
      </c>
      <c r="F176" s="366" t="s">
        <v>66</v>
      </c>
      <c r="G176" s="361">
        <f>IF(F176="FACTURA",E176*1,IF(F176=$I$3,E176/0.845,))</f>
        <v>0</v>
      </c>
    </row>
    <row r="177" spans="1:7" ht="15.75" thickBot="1" x14ac:dyDescent="0.3">
      <c r="A177" s="367">
        <v>7.7</v>
      </c>
      <c r="B177" s="579" t="s">
        <v>1635</v>
      </c>
      <c r="C177" s="580"/>
      <c r="D177" s="580"/>
      <c r="E177" s="580"/>
      <c r="F177" s="581"/>
      <c r="G177" s="353">
        <f>SUM(G178:G182)</f>
        <v>0</v>
      </c>
    </row>
    <row r="178" spans="1:7" x14ac:dyDescent="0.25">
      <c r="A178" s="356"/>
      <c r="B178" s="357"/>
      <c r="C178" s="358"/>
      <c r="D178" s="359"/>
      <c r="E178" s="359">
        <f t="shared" si="2"/>
        <v>0</v>
      </c>
      <c r="F178" s="360" t="s">
        <v>66</v>
      </c>
      <c r="G178" s="361">
        <f>IF(F178="FACTURA",E178*1,IF(F178=$I$3,E178/0.845,))</f>
        <v>0</v>
      </c>
    </row>
    <row r="179" spans="1:7" x14ac:dyDescent="0.25">
      <c r="A179" s="368"/>
      <c r="B179" s="357"/>
      <c r="C179" s="358"/>
      <c r="D179" s="359"/>
      <c r="E179" s="362">
        <f t="shared" si="2"/>
        <v>0</v>
      </c>
      <c r="F179" s="68" t="s">
        <v>66</v>
      </c>
      <c r="G179" s="361">
        <f>IF(F179="FACTURA",E179*1,IF(F179=$I$3,E179/0.845,))</f>
        <v>0</v>
      </c>
    </row>
    <row r="180" spans="1:7" x14ac:dyDescent="0.25">
      <c r="A180" s="368"/>
      <c r="B180" s="357"/>
      <c r="C180" s="358"/>
      <c r="D180" s="359"/>
      <c r="E180" s="362">
        <f t="shared" si="2"/>
        <v>0</v>
      </c>
      <c r="F180" s="68" t="s">
        <v>1590</v>
      </c>
      <c r="G180" s="361">
        <f>IF(F180="FACTURA",E180*1,IF(F180=$I$3,E180/0.845,))</f>
        <v>0</v>
      </c>
    </row>
    <row r="181" spans="1:7" x14ac:dyDescent="0.25">
      <c r="A181" s="368"/>
      <c r="B181" s="357"/>
      <c r="C181" s="358"/>
      <c r="D181" s="359"/>
      <c r="E181" s="362">
        <f t="shared" si="2"/>
        <v>0</v>
      </c>
      <c r="F181" s="68" t="s">
        <v>66</v>
      </c>
      <c r="G181" s="361">
        <f>IF(F181="FACTURA",E181*1,IF(F181=$I$3,E181/0.845,))</f>
        <v>0</v>
      </c>
    </row>
    <row r="182" spans="1:7" ht="15.75" thickBot="1" x14ac:dyDescent="0.3">
      <c r="A182" s="369"/>
      <c r="B182" s="364"/>
      <c r="C182" s="358"/>
      <c r="D182" s="359"/>
      <c r="E182" s="365">
        <f t="shared" si="2"/>
        <v>0</v>
      </c>
      <c r="F182" s="366" t="s">
        <v>66</v>
      </c>
      <c r="G182" s="361">
        <f>IF(F182="FACTURA",E182*1,IF(F182=$I$3,E182/0.845,))</f>
        <v>0</v>
      </c>
    </row>
    <row r="183" spans="1:7" ht="15.75" thickBot="1" x14ac:dyDescent="0.3">
      <c r="A183" s="367">
        <v>7.8</v>
      </c>
      <c r="B183" s="579" t="s">
        <v>1636</v>
      </c>
      <c r="C183" s="580"/>
      <c r="D183" s="580"/>
      <c r="E183" s="580"/>
      <c r="F183" s="581"/>
      <c r="G183" s="353">
        <f>SUM(G184:G188)</f>
        <v>0</v>
      </c>
    </row>
    <row r="184" spans="1:7" x14ac:dyDescent="0.25">
      <c r="A184" s="356"/>
      <c r="B184" s="357"/>
      <c r="C184" s="358"/>
      <c r="D184" s="359"/>
      <c r="E184" s="359">
        <f t="shared" si="2"/>
        <v>0</v>
      </c>
      <c r="F184" s="360" t="s">
        <v>66</v>
      </c>
      <c r="G184" s="361">
        <f>IF(F184="FACTURA",E184*1,IF(F184=$I$3,E184/0.845,))</f>
        <v>0</v>
      </c>
    </row>
    <row r="185" spans="1:7" x14ac:dyDescent="0.25">
      <c r="A185" s="368"/>
      <c r="B185" s="357"/>
      <c r="C185" s="358"/>
      <c r="D185" s="359"/>
      <c r="E185" s="362">
        <f t="shared" si="2"/>
        <v>0</v>
      </c>
      <c r="F185" s="68" t="s">
        <v>66</v>
      </c>
      <c r="G185" s="361">
        <f>IF(F185="FACTURA",E185*1,IF(F185=$I$3,E185/0.845,))</f>
        <v>0</v>
      </c>
    </row>
    <row r="186" spans="1:7" x14ac:dyDescent="0.25">
      <c r="A186" s="368"/>
      <c r="B186" s="357"/>
      <c r="C186" s="358"/>
      <c r="D186" s="359"/>
      <c r="E186" s="362">
        <f t="shared" si="2"/>
        <v>0</v>
      </c>
      <c r="F186" s="68" t="s">
        <v>1590</v>
      </c>
      <c r="G186" s="361">
        <f>IF(F186="FACTURA",E186*1,IF(F186=$I$3,E186/0.845,))</f>
        <v>0</v>
      </c>
    </row>
    <row r="187" spans="1:7" x14ac:dyDescent="0.25">
      <c r="A187" s="368"/>
      <c r="B187" s="357"/>
      <c r="C187" s="358"/>
      <c r="D187" s="359"/>
      <c r="E187" s="362">
        <f t="shared" si="2"/>
        <v>0</v>
      </c>
      <c r="F187" s="68" t="s">
        <v>66</v>
      </c>
      <c r="G187" s="361">
        <f>IF(F187="FACTURA",E187*1,IF(F187=$I$3,E187/0.845,))</f>
        <v>0</v>
      </c>
    </row>
    <row r="188" spans="1:7" ht="15.75" thickBot="1" x14ac:dyDescent="0.3">
      <c r="A188" s="369"/>
      <c r="B188" s="364"/>
      <c r="C188" s="358"/>
      <c r="D188" s="359"/>
      <c r="E188" s="365">
        <f t="shared" si="2"/>
        <v>0</v>
      </c>
      <c r="F188" s="366" t="s">
        <v>66</v>
      </c>
      <c r="G188" s="361">
        <f>IF(F188="FACTURA",E188*1,IF(F188=$I$3,E188/0.845,))</f>
        <v>0</v>
      </c>
    </row>
    <row r="189" spans="1:7" ht="15.75" thickBot="1" x14ac:dyDescent="0.3">
      <c r="A189" s="367">
        <v>7.9</v>
      </c>
      <c r="B189" s="579" t="s">
        <v>1637</v>
      </c>
      <c r="C189" s="580"/>
      <c r="D189" s="580"/>
      <c r="E189" s="580"/>
      <c r="F189" s="581"/>
      <c r="G189" s="353">
        <f>SUM(G190:G194)</f>
        <v>0</v>
      </c>
    </row>
    <row r="190" spans="1:7" x14ac:dyDescent="0.25">
      <c r="A190" s="356"/>
      <c r="B190" s="357" t="s">
        <v>1638</v>
      </c>
      <c r="C190" s="358"/>
      <c r="D190" s="359"/>
      <c r="E190" s="359">
        <f t="shared" si="2"/>
        <v>0</v>
      </c>
      <c r="F190" s="360" t="s">
        <v>66</v>
      </c>
      <c r="G190" s="361">
        <f>IF(F190="FACTURA",E190*1,IF(F190=$I$3,E190/0.845,))</f>
        <v>0</v>
      </c>
    </row>
    <row r="191" spans="1:7" x14ac:dyDescent="0.25">
      <c r="A191" s="368"/>
      <c r="B191" s="357"/>
      <c r="C191" s="358"/>
      <c r="D191" s="359"/>
      <c r="E191" s="362">
        <f t="shared" si="2"/>
        <v>0</v>
      </c>
      <c r="F191" s="68" t="s">
        <v>66</v>
      </c>
      <c r="G191" s="361">
        <f>IF(F191="FACTURA",E191*1,IF(F191=$I$3,E191/0.845,))</f>
        <v>0</v>
      </c>
    </row>
    <row r="192" spans="1:7" x14ac:dyDescent="0.25">
      <c r="A192" s="368"/>
      <c r="B192" s="357"/>
      <c r="C192" s="358"/>
      <c r="D192" s="359"/>
      <c r="E192" s="362">
        <f t="shared" si="2"/>
        <v>0</v>
      </c>
      <c r="F192" s="68" t="s">
        <v>1590</v>
      </c>
      <c r="G192" s="361">
        <f>IF(F192="FACTURA",E192*1,IF(F192=$I$3,E192/0.845,))</f>
        <v>0</v>
      </c>
    </row>
    <row r="193" spans="1:7" x14ac:dyDescent="0.25">
      <c r="A193" s="368"/>
      <c r="B193" s="357"/>
      <c r="C193" s="358"/>
      <c r="D193" s="359"/>
      <c r="E193" s="362">
        <f t="shared" si="2"/>
        <v>0</v>
      </c>
      <c r="F193" s="68" t="s">
        <v>66</v>
      </c>
      <c r="G193" s="361">
        <f>IF(F193="FACTURA",E193*1,IF(F193=$I$3,E193/0.845,))</f>
        <v>0</v>
      </c>
    </row>
    <row r="194" spans="1:7" ht="15.75" thickBot="1" x14ac:dyDescent="0.3">
      <c r="A194" s="381"/>
      <c r="B194" s="382"/>
      <c r="C194" s="383"/>
      <c r="D194" s="359"/>
      <c r="E194" s="362">
        <f t="shared" si="2"/>
        <v>0</v>
      </c>
      <c r="F194" s="68" t="s">
        <v>66</v>
      </c>
      <c r="G194" s="361">
        <f>IF(F194="FACTURA",E194*1,IF(F194=$I$3,E194/0.845,))</f>
        <v>0</v>
      </c>
    </row>
    <row r="195" spans="1:7" ht="15.75" thickBot="1" x14ac:dyDescent="0.3">
      <c r="G195" s="384">
        <f>G8+G15+G34+G59+G90+G97+G140</f>
        <v>1010.0591715976332</v>
      </c>
    </row>
  </sheetData>
  <mergeCells count="38">
    <mergeCell ref="B183:F183"/>
    <mergeCell ref="B189:F189"/>
    <mergeCell ref="B147:F147"/>
    <mergeCell ref="B153:F153"/>
    <mergeCell ref="B159:F159"/>
    <mergeCell ref="B165:F165"/>
    <mergeCell ref="B171:F171"/>
    <mergeCell ref="B177:F177"/>
    <mergeCell ref="B141:F141"/>
    <mergeCell ref="B90:F90"/>
    <mergeCell ref="B91:F91"/>
    <mergeCell ref="B97:F97"/>
    <mergeCell ref="B98:F98"/>
    <mergeCell ref="B104:F104"/>
    <mergeCell ref="B110:F110"/>
    <mergeCell ref="B116:F116"/>
    <mergeCell ref="B122:F122"/>
    <mergeCell ref="B128:F128"/>
    <mergeCell ref="B134:F134"/>
    <mergeCell ref="B140:F140"/>
    <mergeCell ref="B84:F84"/>
    <mergeCell ref="B28:F28"/>
    <mergeCell ref="B34:F34"/>
    <mergeCell ref="B35:F35"/>
    <mergeCell ref="B41:F41"/>
    <mergeCell ref="B47:F47"/>
    <mergeCell ref="B53:F53"/>
    <mergeCell ref="B59:F59"/>
    <mergeCell ref="B60:F60"/>
    <mergeCell ref="B66:F66"/>
    <mergeCell ref="B72:F72"/>
    <mergeCell ref="B78:F78"/>
    <mergeCell ref="B22:F22"/>
    <mergeCell ref="B4:F4"/>
    <mergeCell ref="B8:F8"/>
    <mergeCell ref="B9:F9"/>
    <mergeCell ref="B15:F15"/>
    <mergeCell ref="B16:F16"/>
  </mergeCells>
  <dataValidations count="1">
    <dataValidation type="list" allowBlank="1" showInputMessage="1" showErrorMessage="1" sqref="I2 F10:F14 F17:F21 F23:F27 F29:F33 F36:F40 F42:F46 F48:F52 F54:F58 F61:F65 F67:F71 F73:F77 F79:F83 F85:F89 F92:F96 F99:F103 F105:F109 F111:F115 F117:F121 F123:F127 F129:F133 F135:F139 F142:F146 F148:F152 F154:F158 F160:F164 F166:F170 F172:F176 F178:F182 F184:F188 F190:F194">
      <formula1>$I$2:$I$3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R109"/>
  <sheetViews>
    <sheetView tabSelected="1" zoomScale="90" zoomScaleNormal="90" workbookViewId="0">
      <selection activeCell="J11" sqref="J11"/>
    </sheetView>
  </sheetViews>
  <sheetFormatPr baseColWidth="10" defaultRowHeight="15" outlineLevelRow="2" x14ac:dyDescent="0.25"/>
  <cols>
    <col min="1" max="1" width="13.140625" bestFit="1" customWidth="1"/>
    <col min="8" max="8" width="11.42578125" style="67"/>
  </cols>
  <sheetData>
    <row r="2" spans="1:17" ht="28.5" x14ac:dyDescent="0.45">
      <c r="E2" s="586" t="s">
        <v>1689</v>
      </c>
      <c r="F2" s="586"/>
      <c r="G2" s="586"/>
      <c r="H2" s="586"/>
      <c r="I2" s="586"/>
      <c r="J2" s="586"/>
      <c r="K2" s="586"/>
    </row>
    <row r="3" spans="1:17" s="132" customFormat="1" ht="14.25" x14ac:dyDescent="0.2">
      <c r="H3" s="133"/>
    </row>
    <row r="4" spans="1:17" s="132" customFormat="1" x14ac:dyDescent="0.25">
      <c r="A4" s="292" t="s">
        <v>1477</v>
      </c>
      <c r="B4" s="292"/>
      <c r="C4" s="292"/>
      <c r="D4" s="292"/>
      <c r="E4" s="268"/>
      <c r="F4" s="292" t="s">
        <v>11</v>
      </c>
      <c r="G4" s="292">
        <f>+'HOJA DE TRABAJO'!F38</f>
        <v>2</v>
      </c>
      <c r="H4" s="293"/>
      <c r="I4" s="292" t="s">
        <v>1477</v>
      </c>
      <c r="J4" s="292"/>
      <c r="K4" s="292"/>
      <c r="L4" s="292"/>
      <c r="M4" s="292"/>
      <c r="N4" s="292" t="s">
        <v>11</v>
      </c>
      <c r="O4" s="292">
        <f>+'HOJA DE TRABAJO'!F39</f>
        <v>0</v>
      </c>
    </row>
    <row r="5" spans="1:17" s="132" customFormat="1" x14ac:dyDescent="0.25">
      <c r="A5" s="294"/>
      <c r="B5" s="294" t="s">
        <v>1476</v>
      </c>
      <c r="C5" s="588" t="str">
        <f>+'HOJA DE TRABAJO'!C38</f>
        <v>VENDEDOR INSTITUCIONAL</v>
      </c>
      <c r="D5" s="588"/>
      <c r="E5" s="588"/>
      <c r="F5" s="294"/>
      <c r="G5" s="294"/>
      <c r="H5" s="293"/>
      <c r="I5" s="294"/>
      <c r="J5" s="294" t="s">
        <v>1476</v>
      </c>
      <c r="K5" s="588">
        <f>+'HOJA DE TRABAJO'!C39</f>
        <v>0</v>
      </c>
      <c r="L5" s="588"/>
      <c r="M5" s="588"/>
      <c r="N5" s="294"/>
      <c r="O5" s="294"/>
    </row>
    <row r="6" spans="1:17" s="132" customFormat="1" ht="14.25" x14ac:dyDescent="0.2">
      <c r="A6" s="587" t="s">
        <v>1478</v>
      </c>
      <c r="B6" s="587"/>
      <c r="C6" s="587"/>
      <c r="D6" s="587"/>
      <c r="E6" s="587"/>
      <c r="F6" s="587"/>
      <c r="G6" s="587"/>
      <c r="H6" s="269"/>
      <c r="I6" s="587" t="s">
        <v>1478</v>
      </c>
      <c r="J6" s="587"/>
      <c r="K6" s="587"/>
      <c r="L6" s="587"/>
      <c r="M6" s="587"/>
      <c r="N6" s="587"/>
      <c r="O6" s="587"/>
    </row>
    <row r="7" spans="1:17" s="132" customFormat="1" ht="14.25" x14ac:dyDescent="0.2">
      <c r="A7" s="268"/>
      <c r="B7" s="268"/>
      <c r="C7" s="268"/>
      <c r="D7" s="268"/>
      <c r="E7" s="268"/>
      <c r="F7" s="268"/>
      <c r="G7" s="268"/>
      <c r="H7" s="133"/>
      <c r="I7" s="268"/>
      <c r="J7" s="268"/>
      <c r="K7" s="268"/>
      <c r="L7" s="268"/>
      <c r="M7" s="268"/>
      <c r="N7" s="268"/>
      <c r="O7" s="268"/>
    </row>
    <row r="8" spans="1:17" s="132" customFormat="1" ht="14.25" x14ac:dyDescent="0.2">
      <c r="A8" s="268" t="s">
        <v>1475</v>
      </c>
      <c r="B8" s="268"/>
      <c r="C8" s="268"/>
      <c r="D8" s="268"/>
      <c r="E8" s="268"/>
      <c r="F8" s="268"/>
      <c r="G8" s="270">
        <f>+'HOJA DE TRABAJO'!H38</f>
        <v>1942.02</v>
      </c>
      <c r="H8" s="271"/>
      <c r="I8" s="268" t="str">
        <f>A8</f>
        <v>Costo líquido por Supervisor  (líquido pagable Bs.)</v>
      </c>
      <c r="J8" s="268"/>
      <c r="K8" s="268"/>
      <c r="L8" s="268"/>
      <c r="M8" s="268"/>
      <c r="N8" s="268"/>
      <c r="O8" s="270">
        <f>+'HOJA DE TRABAJO'!H39</f>
        <v>0</v>
      </c>
      <c r="Q8" s="123"/>
    </row>
    <row r="9" spans="1:17" s="132" customFormat="1" ht="14.25" x14ac:dyDescent="0.2">
      <c r="A9" s="268" t="s">
        <v>1588</v>
      </c>
      <c r="B9" s="268"/>
      <c r="C9" s="268"/>
      <c r="D9" s="268"/>
      <c r="E9" s="268"/>
      <c r="F9" s="268"/>
      <c r="G9" s="270">
        <f>IF(G8=0,0,SUM('HOJA DE TRABAJO'!$R$29:$R$31))</f>
        <v>600</v>
      </c>
      <c r="H9" s="271">
        <f>+G8+G9</f>
        <v>2542.02</v>
      </c>
      <c r="I9" s="268" t="s">
        <v>1588</v>
      </c>
      <c r="J9" s="268"/>
      <c r="K9" s="268"/>
      <c r="L9" s="268"/>
      <c r="M9" s="268"/>
      <c r="N9" s="268"/>
      <c r="O9" s="270">
        <f>IF(O8=0,0,SUM('HOJA DE TRABAJO'!$R$29:$R$31))</f>
        <v>0</v>
      </c>
      <c r="Q9" s="123"/>
    </row>
    <row r="10" spans="1:17" s="132" customFormat="1" ht="14.25" x14ac:dyDescent="0.2">
      <c r="A10" s="272" t="s">
        <v>1474</v>
      </c>
      <c r="B10" s="268"/>
      <c r="C10" s="268"/>
      <c r="D10" s="268"/>
      <c r="E10" s="268"/>
      <c r="F10" s="268"/>
      <c r="G10" s="270"/>
      <c r="H10" s="271"/>
      <c r="I10" s="272" t="s">
        <v>1474</v>
      </c>
      <c r="J10" s="268"/>
      <c r="K10" s="268"/>
      <c r="L10" s="268"/>
      <c r="M10" s="268"/>
      <c r="N10" s="268"/>
      <c r="O10" s="270"/>
      <c r="P10" s="123"/>
    </row>
    <row r="11" spans="1:17" s="132" customFormat="1" x14ac:dyDescent="0.25">
      <c r="A11" s="273" t="s">
        <v>1473</v>
      </c>
      <c r="B11" s="268"/>
      <c r="C11" s="268"/>
      <c r="D11" s="268"/>
      <c r="E11" s="268"/>
      <c r="F11" s="274">
        <f>+SUM(E12:E15)</f>
        <v>0.12710000000000002</v>
      </c>
      <c r="G11" s="270">
        <f>+(G8*100/87.29-G8)+(G9*F11)</f>
        <v>359.03092679573797</v>
      </c>
      <c r="H11" s="271"/>
      <c r="I11" s="273" t="s">
        <v>1473</v>
      </c>
      <c r="J11" s="268"/>
      <c r="K11" s="268"/>
      <c r="L11" s="268"/>
      <c r="M11" s="268"/>
      <c r="N11" s="274">
        <f>+SUM(M12:M15)</f>
        <v>0.12710000000000002</v>
      </c>
      <c r="O11" s="270">
        <f>+(O8*100/87.29-O8)+(N11*O9)</f>
        <v>0</v>
      </c>
      <c r="Q11" s="132">
        <v>381.29999999999973</v>
      </c>
    </row>
    <row r="12" spans="1:17" s="132" customFormat="1" ht="14.25" x14ac:dyDescent="0.2">
      <c r="A12" s="275" t="s">
        <v>1472</v>
      </c>
      <c r="B12" s="268"/>
      <c r="C12" s="268"/>
      <c r="D12" s="268"/>
      <c r="E12" s="276">
        <v>0.1</v>
      </c>
      <c r="F12" s="268"/>
      <c r="G12" s="270"/>
      <c r="H12" s="271"/>
      <c r="I12" s="275" t="s">
        <v>1472</v>
      </c>
      <c r="J12" s="268"/>
      <c r="K12" s="268"/>
      <c r="L12" s="268"/>
      <c r="M12" s="276">
        <v>0.1</v>
      </c>
      <c r="N12" s="268"/>
      <c r="O12" s="270"/>
    </row>
    <row r="13" spans="1:17" s="132" customFormat="1" ht="14.25" x14ac:dyDescent="0.2">
      <c r="A13" s="275" t="s">
        <v>1471</v>
      </c>
      <c r="B13" s="268"/>
      <c r="C13" s="268"/>
      <c r="D13" s="268"/>
      <c r="E13" s="276">
        <v>1.7100000000000001E-2</v>
      </c>
      <c r="F13" s="268"/>
      <c r="G13" s="270"/>
      <c r="H13" s="271"/>
      <c r="I13" s="275" t="s">
        <v>1471</v>
      </c>
      <c r="J13" s="268"/>
      <c r="K13" s="268"/>
      <c r="L13" s="268"/>
      <c r="M13" s="276">
        <v>1.7100000000000001E-2</v>
      </c>
      <c r="N13" s="268"/>
      <c r="O13" s="270"/>
    </row>
    <row r="14" spans="1:17" s="132" customFormat="1" ht="14.25" x14ac:dyDescent="0.2">
      <c r="A14" s="275" t="s">
        <v>1470</v>
      </c>
      <c r="B14" s="268"/>
      <c r="C14" s="268"/>
      <c r="D14" s="268"/>
      <c r="E14" s="276">
        <v>5.0000000000000001E-3</v>
      </c>
      <c r="F14" s="268"/>
      <c r="G14" s="270"/>
      <c r="H14" s="271"/>
      <c r="I14" s="275" t="s">
        <v>1470</v>
      </c>
      <c r="J14" s="268"/>
      <c r="K14" s="268"/>
      <c r="L14" s="268"/>
      <c r="M14" s="276">
        <v>5.0000000000000001E-3</v>
      </c>
      <c r="N14" s="268"/>
      <c r="O14" s="270"/>
    </row>
    <row r="15" spans="1:17" s="132" customFormat="1" ht="14.25" x14ac:dyDescent="0.2">
      <c r="A15" s="275" t="s">
        <v>1466</v>
      </c>
      <c r="B15" s="268"/>
      <c r="C15" s="268"/>
      <c r="D15" s="268"/>
      <c r="E15" s="276">
        <f>+E14</f>
        <v>5.0000000000000001E-3</v>
      </c>
      <c r="F15" s="268"/>
      <c r="G15" s="270"/>
      <c r="H15" s="271"/>
      <c r="I15" s="275" t="s">
        <v>1466</v>
      </c>
      <c r="J15" s="268"/>
      <c r="K15" s="268"/>
      <c r="L15" s="268"/>
      <c r="M15" s="276">
        <f>+M14</f>
        <v>5.0000000000000001E-3</v>
      </c>
      <c r="N15" s="268"/>
      <c r="O15" s="270"/>
    </row>
    <row r="16" spans="1:17" s="132" customFormat="1" x14ac:dyDescent="0.25">
      <c r="A16" s="273" t="s">
        <v>1469</v>
      </c>
      <c r="B16" s="268"/>
      <c r="C16" s="268"/>
      <c r="D16" s="268"/>
      <c r="E16" s="276"/>
      <c r="F16" s="274">
        <f>+SUM(E17:E25)</f>
        <v>0.50029999999999997</v>
      </c>
      <c r="G16" s="270">
        <f>(G8+G9+282.78)*F16</f>
        <v>1413.2474400000001</v>
      </c>
      <c r="H16" s="271"/>
      <c r="I16" s="273" t="s">
        <v>1469</v>
      </c>
      <c r="J16" s="268"/>
      <c r="K16" s="268"/>
      <c r="L16" s="268"/>
      <c r="M16" s="276"/>
      <c r="N16" s="274">
        <f>+SUM(M17:M25)</f>
        <v>0.50029999999999997</v>
      </c>
      <c r="O16" s="270">
        <f>(O8+O11+O9)*N16</f>
        <v>0</v>
      </c>
    </row>
    <row r="17" spans="1:18" s="132" customFormat="1" ht="14.25" x14ac:dyDescent="0.2">
      <c r="A17" s="275" t="s">
        <v>1468</v>
      </c>
      <c r="B17" s="268"/>
      <c r="C17" s="268"/>
      <c r="D17" s="268"/>
      <c r="E17" s="276">
        <v>0.1</v>
      </c>
      <c r="F17" s="268"/>
      <c r="G17" s="270"/>
      <c r="H17" s="271"/>
      <c r="I17" s="275" t="s">
        <v>1468</v>
      </c>
      <c r="J17" s="268"/>
      <c r="K17" s="268"/>
      <c r="L17" s="268"/>
      <c r="M17" s="276">
        <v>0.1</v>
      </c>
      <c r="N17" s="268"/>
      <c r="O17" s="270"/>
    </row>
    <row r="18" spans="1:18" s="132" customFormat="1" ht="14.25" x14ac:dyDescent="0.2">
      <c r="A18" s="275" t="s">
        <v>1466</v>
      </c>
      <c r="B18" s="268"/>
      <c r="C18" s="268"/>
      <c r="D18" s="268"/>
      <c r="E18" s="276">
        <v>0.03</v>
      </c>
      <c r="F18" s="268"/>
      <c r="G18" s="270"/>
      <c r="H18" s="271"/>
      <c r="I18" s="275" t="s">
        <v>1466</v>
      </c>
      <c r="J18" s="268"/>
      <c r="K18" s="268"/>
      <c r="L18" s="268"/>
      <c r="M18" s="276">
        <v>0.03</v>
      </c>
      <c r="N18" s="268"/>
      <c r="O18" s="270"/>
    </row>
    <row r="19" spans="1:18" s="132" customFormat="1" ht="14.25" x14ac:dyDescent="0.2">
      <c r="A19" s="275" t="s">
        <v>1465</v>
      </c>
      <c r="B19" s="268"/>
      <c r="C19" s="268"/>
      <c r="D19" s="268"/>
      <c r="E19" s="276">
        <v>3.7100000000000001E-2</v>
      </c>
      <c r="F19" s="268"/>
      <c r="G19" s="270"/>
      <c r="H19" s="271"/>
      <c r="I19" s="275" t="s">
        <v>1465</v>
      </c>
      <c r="J19" s="268"/>
      <c r="K19" s="268"/>
      <c r="L19" s="268"/>
      <c r="M19" s="276">
        <v>3.7100000000000001E-2</v>
      </c>
      <c r="N19" s="268"/>
      <c r="O19" s="270"/>
    </row>
    <row r="20" spans="1:18" s="132" customFormat="1" ht="14.25" x14ac:dyDescent="0.2">
      <c r="A20" s="275" t="s">
        <v>1500</v>
      </c>
      <c r="B20" s="268"/>
      <c r="C20" s="268"/>
      <c r="D20" s="268"/>
      <c r="E20" s="276">
        <f>+IF('HOJA DE TRABAJO'!$J$17="SI",0,IF('HOJA DE TRABAJO'!$J$17="NO",0.0833,))</f>
        <v>8.3299999999999999E-2</v>
      </c>
      <c r="F20" s="268"/>
      <c r="G20" s="270"/>
      <c r="H20" s="271"/>
      <c r="I20" s="275" t="s">
        <v>1500</v>
      </c>
      <c r="J20" s="268"/>
      <c r="K20" s="268"/>
      <c r="L20" s="268"/>
      <c r="M20" s="276">
        <f>+IF('HOJA DE TRABAJO'!$J$17="SI",0,IF('HOJA DE TRABAJO'!$J$17="NO",0.0833,))</f>
        <v>8.3299999999999999E-2</v>
      </c>
      <c r="N20" s="268"/>
      <c r="O20" s="270"/>
    </row>
    <row r="21" spans="1:18" s="132" customFormat="1" ht="14.25" x14ac:dyDescent="0.2">
      <c r="A21" s="275" t="s">
        <v>1463</v>
      </c>
      <c r="B21" s="268"/>
      <c r="C21" s="268"/>
      <c r="D21" s="268"/>
      <c r="E21" s="276">
        <f>+IF('HOJA DE TRABAJO'!$J$17="SI",0,IF('HOJA DE TRABAJO'!$J$17="NO",0.0833,))</f>
        <v>8.3299999999999999E-2</v>
      </c>
      <c r="F21" s="268"/>
      <c r="G21" s="270"/>
      <c r="H21" s="271"/>
      <c r="I21" s="275" t="s">
        <v>1463</v>
      </c>
      <c r="J21" s="268"/>
      <c r="K21" s="268"/>
      <c r="L21" s="268"/>
      <c r="M21" s="276">
        <f>+IF('HOJA DE TRABAJO'!$J$17="SI",0,IF('HOJA DE TRABAJO'!$J$17="NO",0.0833,))</f>
        <v>8.3299999999999999E-2</v>
      </c>
      <c r="N21" s="268"/>
      <c r="O21" s="270"/>
    </row>
    <row r="22" spans="1:18" s="132" customFormat="1" ht="14.25" x14ac:dyDescent="0.2">
      <c r="A22" s="275" t="str">
        <f>+'HOJA DE TRABAJO'!$B$29</f>
        <v xml:space="preserve">Previsión Segundo  Aguinaldo </v>
      </c>
      <c r="B22" s="268"/>
      <c r="C22" s="268"/>
      <c r="D22" s="268"/>
      <c r="E22" s="276">
        <f>+'HOJA DE TRABAJO'!$E$29</f>
        <v>8.3299999999999999E-2</v>
      </c>
      <c r="F22" s="268"/>
      <c r="G22" s="270"/>
      <c r="H22" s="271"/>
      <c r="I22" s="275" t="str">
        <f>+'HOJA DE TRABAJO'!$B$29</f>
        <v xml:space="preserve">Previsión Segundo  Aguinaldo </v>
      </c>
      <c r="J22" s="268"/>
      <c r="K22" s="268"/>
      <c r="L22" s="268"/>
      <c r="M22" s="276">
        <f>+'HOJA DE TRABAJO'!$E$29</f>
        <v>8.3299999999999999E-2</v>
      </c>
      <c r="N22" s="268"/>
      <c r="O22" s="270"/>
    </row>
    <row r="23" spans="1:18" s="132" customFormat="1" ht="14.25" x14ac:dyDescent="0.2">
      <c r="A23" s="275" t="str">
        <f>+'HOJA DE TRABAJO'!$B$30</f>
        <v>Seguro de Accidente</v>
      </c>
      <c r="B23" s="268"/>
      <c r="C23" s="268"/>
      <c r="D23" s="268"/>
      <c r="E23" s="276">
        <f>+'HOJA DE TRABAJO'!$E$30</f>
        <v>0</v>
      </c>
      <c r="F23" s="268"/>
      <c r="G23" s="270"/>
      <c r="H23" s="271"/>
      <c r="I23" s="275" t="str">
        <f>+'HOJA DE TRABAJO'!$B$30</f>
        <v>Seguro de Accidente</v>
      </c>
      <c r="J23" s="268"/>
      <c r="K23" s="268"/>
      <c r="L23" s="268"/>
      <c r="M23" s="276">
        <f>+'HOJA DE TRABAJO'!$E$30</f>
        <v>0</v>
      </c>
      <c r="N23" s="268"/>
      <c r="O23" s="270"/>
      <c r="Q23" s="123"/>
    </row>
    <row r="24" spans="1:18" s="132" customFormat="1" ht="14.25" x14ac:dyDescent="0.2">
      <c r="A24" s="275" t="str">
        <f>+'HOJA DE TRABAJO'!$B$31</f>
        <v xml:space="preserve">Vacaciones </v>
      </c>
      <c r="B24" s="268"/>
      <c r="C24" s="268"/>
      <c r="D24" s="268"/>
      <c r="E24" s="276">
        <f>+'HOJA DE TRABAJO'!$E$31</f>
        <v>0</v>
      </c>
      <c r="F24" s="268"/>
      <c r="G24" s="270"/>
      <c r="H24" s="271"/>
      <c r="I24" s="275" t="str">
        <f>+'HOJA DE TRABAJO'!$B$31</f>
        <v xml:space="preserve">Vacaciones </v>
      </c>
      <c r="J24" s="268"/>
      <c r="K24" s="268"/>
      <c r="L24" s="268"/>
      <c r="M24" s="276">
        <f>+'HOJA DE TRABAJO'!$E$31</f>
        <v>0</v>
      </c>
      <c r="N24" s="268"/>
      <c r="O24" s="270"/>
      <c r="Q24" s="123"/>
    </row>
    <row r="25" spans="1:18" s="132" customFormat="1" ht="14.25" x14ac:dyDescent="0.2">
      <c r="A25" s="275" t="str">
        <f>+'HOJA DE TRABAJO'!$F$30</f>
        <v>Previsicion de Desahucio</v>
      </c>
      <c r="B25" s="268"/>
      <c r="C25" s="268"/>
      <c r="D25" s="268"/>
      <c r="E25" s="276">
        <f>+'HOJA DE TRABAJO'!$L$30</f>
        <v>8.3299999999999999E-2</v>
      </c>
      <c r="F25" s="268"/>
      <c r="G25" s="270"/>
      <c r="H25" s="271"/>
      <c r="I25" s="275" t="str">
        <f>+'HOJA DE TRABAJO'!$F$30</f>
        <v>Previsicion de Desahucio</v>
      </c>
      <c r="J25" s="268"/>
      <c r="K25" s="268"/>
      <c r="L25" s="268"/>
      <c r="M25" s="276">
        <f>+'HOJA DE TRABAJO'!$L$30</f>
        <v>8.3299999999999999E-2</v>
      </c>
      <c r="N25" s="268"/>
      <c r="O25" s="270"/>
    </row>
    <row r="26" spans="1:18" s="132" customFormat="1" ht="14.25" x14ac:dyDescent="0.2">
      <c r="A26" s="445" t="str">
        <f>+'HOJA DE TRABAJO'!$F$29</f>
        <v xml:space="preserve">Previsicion de Subsidio </v>
      </c>
      <c r="B26" s="446"/>
      <c r="C26" s="446"/>
      <c r="D26" s="446"/>
      <c r="E26" s="447">
        <f>+'HOJA DE TRABAJO'!$L$29</f>
        <v>0.33329999999999999</v>
      </c>
      <c r="F26" s="446"/>
      <c r="G26" s="448">
        <f>2000*E26</f>
        <v>666.6</v>
      </c>
      <c r="H26" s="271"/>
      <c r="I26" s="275" t="str">
        <f>+'HOJA DE TRABAJO'!$F$29</f>
        <v xml:space="preserve">Previsicion de Subsidio </v>
      </c>
      <c r="J26" s="268"/>
      <c r="K26" s="268"/>
      <c r="L26" s="268"/>
      <c r="M26" s="276">
        <f>+'HOJA DE TRABAJO'!$L$29</f>
        <v>0.33329999999999999</v>
      </c>
      <c r="N26" s="268"/>
      <c r="O26" s="270"/>
      <c r="Q26" s="123"/>
    </row>
    <row r="27" spans="1:18" s="132" customFormat="1" ht="14.25" x14ac:dyDescent="0.2">
      <c r="A27" s="277" t="s">
        <v>1461</v>
      </c>
      <c r="B27" s="268"/>
      <c r="C27" s="268"/>
      <c r="D27" s="268"/>
      <c r="E27" s="276"/>
      <c r="F27" s="268"/>
      <c r="G27" s="270">
        <f>IF(G4=0,0,(('HOJA DE TRABAJO'!$U$108)/'HOJA DE TRABAJO'!$BA$44))</f>
        <v>684.49998225460638</v>
      </c>
      <c r="H27" s="337"/>
      <c r="I27" s="277" t="s">
        <v>1461</v>
      </c>
      <c r="J27" s="268"/>
      <c r="K27" s="268"/>
      <c r="L27" s="268"/>
      <c r="M27" s="276"/>
      <c r="N27" s="268"/>
      <c r="O27" s="270">
        <f>IF(O4=0,0,(('HOJA DE TRABAJO'!$U$108)/'HOJA DE TRABAJO'!$BA$44))</f>
        <v>0</v>
      </c>
      <c r="P27" s="337"/>
      <c r="Q27" s="123"/>
    </row>
    <row r="28" spans="1:18" s="132" customFormat="1" ht="14.25" x14ac:dyDescent="0.2">
      <c r="A28" s="277" t="s">
        <v>1504</v>
      </c>
      <c r="B28" s="268"/>
      <c r="C28" s="268"/>
      <c r="D28" s="268"/>
      <c r="E28" s="274">
        <f>+'HOJA DE TRABAJO'!$H$116*'HOJA DE TRABAJO'!$F$19</f>
        <v>1.6346153846153847E-2</v>
      </c>
      <c r="F28" s="268"/>
      <c r="G28" s="270">
        <f>(SUM(G7:G27)*E28)+IF(G4=0,0,'HOJA DE TRABAJO'!$J$119)</f>
        <v>92.817214310744333</v>
      </c>
      <c r="H28" s="271"/>
      <c r="I28" s="277" t="s">
        <v>1503</v>
      </c>
      <c r="J28" s="268"/>
      <c r="K28" s="268"/>
      <c r="L28" s="268"/>
      <c r="M28" s="274">
        <f>+'HOJA DE TRABAJO'!$H$116*'HOJA DE TRABAJO'!$F$19</f>
        <v>1.6346153846153847E-2</v>
      </c>
      <c r="N28" s="268"/>
      <c r="O28" s="270">
        <f>(SUM(O7:O27)*M28)+IF(O4=0,0,'HOJA DE TRABAJO'!$J$119)</f>
        <v>0</v>
      </c>
      <c r="Q28" s="123"/>
    </row>
    <row r="29" spans="1:18" s="132" customFormat="1" ht="14.25" x14ac:dyDescent="0.2">
      <c r="A29" s="278" t="s">
        <v>1460</v>
      </c>
      <c r="B29" s="279"/>
      <c r="C29" s="279"/>
      <c r="D29" s="279"/>
      <c r="E29" s="280">
        <f>+'HOJA DE TRABAJO'!F125</f>
        <v>0.13</v>
      </c>
      <c r="F29" s="279"/>
      <c r="G29" s="281">
        <f>+SUM(G6:G28)*E29</f>
        <v>748.56802323694149</v>
      </c>
      <c r="H29" s="282"/>
      <c r="I29" s="278" t="s">
        <v>1460</v>
      </c>
      <c r="J29" s="279"/>
      <c r="K29" s="279"/>
      <c r="L29" s="279"/>
      <c r="M29" s="280">
        <f>+E29</f>
        <v>0.13</v>
      </c>
      <c r="N29" s="279"/>
      <c r="O29" s="281">
        <f>+SUM(O6:O28)*M29</f>
        <v>0</v>
      </c>
      <c r="Q29" s="123"/>
      <c r="R29" s="123"/>
    </row>
    <row r="30" spans="1:18" s="132" customFormat="1" x14ac:dyDescent="0.25">
      <c r="A30" s="283" t="s">
        <v>1519</v>
      </c>
      <c r="B30" s="284"/>
      <c r="C30" s="284"/>
      <c r="D30" s="284"/>
      <c r="E30" s="284"/>
      <c r="F30" s="284"/>
      <c r="G30" s="285">
        <f>+SUM(G7:G29)</f>
        <v>6506.7835865980296</v>
      </c>
      <c r="H30" s="286"/>
      <c r="I30" s="283" t="s">
        <v>1519</v>
      </c>
      <c r="J30" s="284"/>
      <c r="K30" s="284"/>
      <c r="L30" s="284"/>
      <c r="M30" s="284"/>
      <c r="N30" s="284"/>
      <c r="O30" s="285">
        <f>SUM(O8:O29)</f>
        <v>0</v>
      </c>
    </row>
    <row r="31" spans="1:18" s="132" customFormat="1" ht="14.25" x14ac:dyDescent="0.2">
      <c r="A31" s="277" t="s">
        <v>1458</v>
      </c>
      <c r="B31" s="268"/>
      <c r="C31" s="268"/>
      <c r="D31" s="268"/>
      <c r="E31" s="274">
        <f>+B32+B33</f>
        <v>0.16</v>
      </c>
      <c r="F31" s="268"/>
      <c r="G31" s="270">
        <f>+G34-G30</f>
        <v>1239.3873498281964</v>
      </c>
      <c r="H31" s="271"/>
      <c r="I31" s="277" t="s">
        <v>1458</v>
      </c>
      <c r="J31" s="268"/>
      <c r="K31" s="268"/>
      <c r="L31" s="268"/>
      <c r="M31" s="274">
        <f>+J32+J33</f>
        <v>0.16</v>
      </c>
      <c r="N31" s="268"/>
      <c r="O31" s="270">
        <f>+O34-O30</f>
        <v>0</v>
      </c>
    </row>
    <row r="32" spans="1:18" s="132" customFormat="1" ht="14.25" x14ac:dyDescent="0.2">
      <c r="A32" s="287" t="s">
        <v>1457</v>
      </c>
      <c r="B32" s="288">
        <v>0.13</v>
      </c>
      <c r="C32" s="268"/>
      <c r="D32" s="268"/>
      <c r="E32" s="276"/>
      <c r="F32" s="268"/>
      <c r="G32" s="270"/>
      <c r="H32" s="271"/>
      <c r="I32" s="287" t="s">
        <v>1457</v>
      </c>
      <c r="J32" s="288">
        <v>0.13</v>
      </c>
      <c r="K32" s="268"/>
      <c r="L32" s="268"/>
      <c r="M32" s="276"/>
      <c r="N32" s="268"/>
      <c r="O32" s="270"/>
    </row>
    <row r="33" spans="1:15" s="132" customFormat="1" ht="14.25" x14ac:dyDescent="0.2">
      <c r="A33" s="289" t="s">
        <v>1456</v>
      </c>
      <c r="B33" s="290">
        <v>0.03</v>
      </c>
      <c r="C33" s="279"/>
      <c r="D33" s="279"/>
      <c r="E33" s="291"/>
      <c r="F33" s="279"/>
      <c r="G33" s="281"/>
      <c r="H33" s="282"/>
      <c r="I33" s="289" t="s">
        <v>1456</v>
      </c>
      <c r="J33" s="290">
        <v>0.03</v>
      </c>
      <c r="K33" s="279"/>
      <c r="L33" s="279"/>
      <c r="M33" s="291"/>
      <c r="N33" s="279"/>
      <c r="O33" s="281"/>
    </row>
    <row r="34" spans="1:15" s="132" customFormat="1" x14ac:dyDescent="0.25">
      <c r="A34" s="283" t="s">
        <v>1519</v>
      </c>
      <c r="B34" s="284"/>
      <c r="C34" s="284"/>
      <c r="D34" s="284"/>
      <c r="E34" s="284"/>
      <c r="F34" s="284"/>
      <c r="G34" s="285">
        <f>IFERROR((G30/0.84),0)</f>
        <v>7746.170936426226</v>
      </c>
      <c r="H34" s="286"/>
      <c r="I34" s="283" t="s">
        <v>1519</v>
      </c>
      <c r="J34" s="284"/>
      <c r="K34" s="284"/>
      <c r="L34" s="284"/>
      <c r="M34" s="284"/>
      <c r="N34" s="284"/>
      <c r="O34" s="285">
        <f>IFERROR((O30/0.84),0)</f>
        <v>0</v>
      </c>
    </row>
    <row r="35" spans="1:15" s="132" customFormat="1" ht="14.25" x14ac:dyDescent="0.2">
      <c r="H35" s="271"/>
    </row>
    <row r="36" spans="1:15" s="132" customFormat="1" ht="14.25" x14ac:dyDescent="0.2">
      <c r="E36" s="123"/>
      <c r="H36" s="133"/>
    </row>
    <row r="37" spans="1:15" s="132" customFormat="1" outlineLevel="1" x14ac:dyDescent="0.25">
      <c r="A37" s="292" t="s">
        <v>1477</v>
      </c>
      <c r="B37" s="292"/>
      <c r="C37" s="292"/>
      <c r="D37" s="292"/>
      <c r="E37" s="268"/>
      <c r="F37" s="292" t="s">
        <v>11</v>
      </c>
      <c r="G37" s="292">
        <f>+'HOJA DE TRABAJO'!F40</f>
        <v>0</v>
      </c>
      <c r="H37" s="293"/>
      <c r="I37" s="292" t="s">
        <v>1477</v>
      </c>
      <c r="J37" s="292"/>
      <c r="K37" s="292"/>
      <c r="L37" s="292"/>
      <c r="M37" s="268"/>
      <c r="N37" s="292" t="s">
        <v>11</v>
      </c>
      <c r="O37" s="292">
        <f>+'HOJA DE TRABAJO'!F41</f>
        <v>0</v>
      </c>
    </row>
    <row r="38" spans="1:15" s="132" customFormat="1" outlineLevel="1" x14ac:dyDescent="0.25">
      <c r="A38" s="294"/>
      <c r="B38" s="294" t="s">
        <v>1476</v>
      </c>
      <c r="C38" s="588">
        <f>+'HOJA DE TRABAJO'!C40</f>
        <v>0</v>
      </c>
      <c r="D38" s="588"/>
      <c r="E38" s="588"/>
      <c r="F38" s="294"/>
      <c r="G38" s="294"/>
      <c r="H38" s="269"/>
      <c r="I38" s="294"/>
      <c r="J38" s="294" t="s">
        <v>1476</v>
      </c>
      <c r="K38" s="588">
        <f>+'HOJA DE TRABAJO'!C41</f>
        <v>0</v>
      </c>
      <c r="L38" s="588"/>
      <c r="M38" s="588"/>
      <c r="N38" s="294"/>
      <c r="O38" s="294"/>
    </row>
    <row r="39" spans="1:15" s="132" customFormat="1" ht="14.25" outlineLevel="1" x14ac:dyDescent="0.2">
      <c r="A39" s="587" t="s">
        <v>1478</v>
      </c>
      <c r="B39" s="587"/>
      <c r="C39" s="587"/>
      <c r="D39" s="587"/>
      <c r="E39" s="587"/>
      <c r="F39" s="587"/>
      <c r="G39" s="587"/>
      <c r="H39" s="133"/>
      <c r="I39" s="587" t="s">
        <v>1478</v>
      </c>
      <c r="J39" s="587"/>
      <c r="K39" s="587"/>
      <c r="L39" s="587"/>
      <c r="M39" s="587"/>
      <c r="N39" s="587"/>
      <c r="O39" s="587"/>
    </row>
    <row r="40" spans="1:15" s="132" customFormat="1" ht="14.25" outlineLevel="1" x14ac:dyDescent="0.2">
      <c r="A40" s="268" t="s">
        <v>1475</v>
      </c>
      <c r="B40" s="268"/>
      <c r="C40" s="268"/>
      <c r="D40" s="268"/>
      <c r="E40" s="268"/>
      <c r="F40" s="268"/>
      <c r="G40" s="270">
        <f>+'HOJA DE TRABAJO'!H40</f>
        <v>0</v>
      </c>
      <c r="H40" s="271"/>
      <c r="I40" s="268" t="str">
        <f>A40</f>
        <v>Costo líquido por Supervisor  (líquido pagable Bs.)</v>
      </c>
      <c r="J40" s="268"/>
      <c r="K40" s="268"/>
      <c r="L40" s="268"/>
      <c r="M40" s="268"/>
      <c r="N40" s="268"/>
      <c r="O40" s="270">
        <f>+'HOJA DE TRABAJO'!H41</f>
        <v>0</v>
      </c>
    </row>
    <row r="41" spans="1:15" s="132" customFormat="1" ht="14.25" outlineLevel="1" x14ac:dyDescent="0.2">
      <c r="A41" s="268" t="s">
        <v>1588</v>
      </c>
      <c r="B41" s="268"/>
      <c r="C41" s="268"/>
      <c r="D41" s="268"/>
      <c r="E41" s="268"/>
      <c r="F41" s="268"/>
      <c r="G41" s="270">
        <f>IF(G40=0,0,SUM('HOJA DE TRABAJO'!$R$29:$R$31))</f>
        <v>0</v>
      </c>
      <c r="H41" s="271"/>
      <c r="I41" s="268" t="s">
        <v>1588</v>
      </c>
      <c r="J41" s="268"/>
      <c r="K41" s="268"/>
      <c r="L41" s="268"/>
      <c r="M41" s="268"/>
      <c r="N41" s="268"/>
      <c r="O41" s="270">
        <f>IF(O40=0,0,SUM('HOJA DE TRABAJO'!$R$29:$R$31))</f>
        <v>0</v>
      </c>
    </row>
    <row r="42" spans="1:15" s="132" customFormat="1" ht="14.25" outlineLevel="1" x14ac:dyDescent="0.2">
      <c r="A42" s="272" t="s">
        <v>1474</v>
      </c>
      <c r="B42" s="268"/>
      <c r="C42" s="268"/>
      <c r="D42" s="268"/>
      <c r="E42" s="268"/>
      <c r="F42" s="268"/>
      <c r="G42" s="270"/>
      <c r="H42" s="271"/>
      <c r="I42" s="272" t="s">
        <v>1474</v>
      </c>
      <c r="J42" s="268"/>
      <c r="K42" s="268"/>
      <c r="L42" s="268"/>
      <c r="M42" s="268"/>
      <c r="N42" s="268"/>
      <c r="O42" s="270"/>
    </row>
    <row r="43" spans="1:15" s="132" customFormat="1" outlineLevel="1" x14ac:dyDescent="0.25">
      <c r="A43" s="273" t="s">
        <v>1473</v>
      </c>
      <c r="B43" s="268"/>
      <c r="C43" s="268"/>
      <c r="D43" s="268"/>
      <c r="E43" s="268"/>
      <c r="F43" s="274">
        <f>+SUM(E44:E47)</f>
        <v>0.12710000000000002</v>
      </c>
      <c r="G43" s="270">
        <f>+(G40*100/87.29-G40)+(F43*G41)</f>
        <v>0</v>
      </c>
      <c r="H43" s="271"/>
      <c r="I43" s="273" t="s">
        <v>1473</v>
      </c>
      <c r="J43" s="268"/>
      <c r="K43" s="268"/>
      <c r="L43" s="268"/>
      <c r="M43" s="268"/>
      <c r="N43" s="274">
        <f>+SUM(M44:M47)</f>
        <v>0.12710000000000002</v>
      </c>
      <c r="O43" s="270">
        <f>+(O40*100/87.29-O40)+(N43*O41)</f>
        <v>0</v>
      </c>
    </row>
    <row r="44" spans="1:15" s="132" customFormat="1" ht="14.25" outlineLevel="1" x14ac:dyDescent="0.2">
      <c r="A44" s="275" t="s">
        <v>1472</v>
      </c>
      <c r="B44" s="268"/>
      <c r="C44" s="268"/>
      <c r="D44" s="268"/>
      <c r="E44" s="276">
        <v>0.1</v>
      </c>
      <c r="F44" s="268"/>
      <c r="G44" s="270"/>
      <c r="H44" s="271"/>
      <c r="I44" s="275" t="s">
        <v>1472</v>
      </c>
      <c r="J44" s="268"/>
      <c r="K44" s="268"/>
      <c r="L44" s="268"/>
      <c r="M44" s="276">
        <v>0.1</v>
      </c>
      <c r="N44" s="268"/>
      <c r="O44" s="270"/>
    </row>
    <row r="45" spans="1:15" s="132" customFormat="1" ht="14.25" outlineLevel="1" x14ac:dyDescent="0.2">
      <c r="A45" s="275" t="s">
        <v>1471</v>
      </c>
      <c r="B45" s="268"/>
      <c r="C45" s="268"/>
      <c r="D45" s="268"/>
      <c r="E45" s="276">
        <v>1.7100000000000001E-2</v>
      </c>
      <c r="F45" s="268"/>
      <c r="G45" s="270"/>
      <c r="H45" s="271"/>
      <c r="I45" s="275" t="s">
        <v>1471</v>
      </c>
      <c r="J45" s="268"/>
      <c r="K45" s="268"/>
      <c r="L45" s="268"/>
      <c r="M45" s="276">
        <v>1.7100000000000001E-2</v>
      </c>
      <c r="N45" s="268"/>
      <c r="O45" s="270"/>
    </row>
    <row r="46" spans="1:15" s="132" customFormat="1" ht="14.25" outlineLevel="1" x14ac:dyDescent="0.2">
      <c r="A46" s="275" t="s">
        <v>1470</v>
      </c>
      <c r="B46" s="268"/>
      <c r="C46" s="268"/>
      <c r="D46" s="268"/>
      <c r="E46" s="276">
        <v>5.0000000000000001E-3</v>
      </c>
      <c r="F46" s="268"/>
      <c r="G46" s="270"/>
      <c r="H46" s="271"/>
      <c r="I46" s="275" t="s">
        <v>1470</v>
      </c>
      <c r="J46" s="268"/>
      <c r="K46" s="268"/>
      <c r="L46" s="268"/>
      <c r="M46" s="276">
        <v>5.0000000000000001E-3</v>
      </c>
      <c r="N46" s="268"/>
      <c r="O46" s="270"/>
    </row>
    <row r="47" spans="1:15" s="132" customFormat="1" ht="14.25" outlineLevel="1" x14ac:dyDescent="0.2">
      <c r="A47" s="275" t="s">
        <v>1466</v>
      </c>
      <c r="B47" s="268"/>
      <c r="C47" s="268"/>
      <c r="D47" s="268"/>
      <c r="E47" s="276">
        <f>+E46</f>
        <v>5.0000000000000001E-3</v>
      </c>
      <c r="F47" s="268"/>
      <c r="G47" s="270"/>
      <c r="H47" s="271"/>
      <c r="I47" s="275" t="s">
        <v>1466</v>
      </c>
      <c r="J47" s="268"/>
      <c r="K47" s="268"/>
      <c r="L47" s="268"/>
      <c r="M47" s="276">
        <f>+M46</f>
        <v>5.0000000000000001E-3</v>
      </c>
      <c r="N47" s="268"/>
      <c r="O47" s="270"/>
    </row>
    <row r="48" spans="1:15" s="132" customFormat="1" outlineLevel="1" x14ac:dyDescent="0.25">
      <c r="A48" s="273" t="s">
        <v>1469</v>
      </c>
      <c r="B48" s="268"/>
      <c r="C48" s="268"/>
      <c r="D48" s="268"/>
      <c r="E48" s="276"/>
      <c r="F48" s="274">
        <f>+SUM(E49:E58)</f>
        <v>0.75029999999999997</v>
      </c>
      <c r="G48" s="270">
        <f>(G40+G43+G41)*F48</f>
        <v>0</v>
      </c>
      <c r="H48" s="271"/>
      <c r="I48" s="273" t="s">
        <v>1469</v>
      </c>
      <c r="J48" s="268"/>
      <c r="K48" s="268"/>
      <c r="L48" s="268"/>
      <c r="M48" s="276"/>
      <c r="N48" s="274">
        <f>+SUM(M49:M58)</f>
        <v>0.75029999999999997</v>
      </c>
      <c r="O48" s="270">
        <f>(O40+O43+O41)*N48</f>
        <v>0</v>
      </c>
    </row>
    <row r="49" spans="1:17" s="132" customFormat="1" ht="14.25" outlineLevel="1" x14ac:dyDescent="0.2">
      <c r="A49" s="275" t="s">
        <v>1468</v>
      </c>
      <c r="B49" s="268"/>
      <c r="C49" s="268"/>
      <c r="D49" s="268"/>
      <c r="E49" s="276">
        <v>0.1</v>
      </c>
      <c r="F49" s="268"/>
      <c r="G49" s="270"/>
      <c r="H49" s="271"/>
      <c r="I49" s="275" t="s">
        <v>1468</v>
      </c>
      <c r="J49" s="268"/>
      <c r="K49" s="268"/>
      <c r="L49" s="268"/>
      <c r="M49" s="276">
        <v>0.1</v>
      </c>
      <c r="N49" s="268"/>
      <c r="O49" s="270"/>
    </row>
    <row r="50" spans="1:17" s="132" customFormat="1" ht="14.25" outlineLevel="1" x14ac:dyDescent="0.2">
      <c r="A50" s="275" t="s">
        <v>1467</v>
      </c>
      <c r="B50" s="268"/>
      <c r="C50" s="268"/>
      <c r="D50" s="268"/>
      <c r="E50" s="276"/>
      <c r="F50" s="268"/>
      <c r="G50" s="270"/>
      <c r="H50" s="271"/>
      <c r="I50" s="275" t="s">
        <v>1467</v>
      </c>
      <c r="J50" s="268"/>
      <c r="K50" s="268"/>
      <c r="L50" s="268"/>
      <c r="M50" s="276"/>
      <c r="N50" s="268"/>
      <c r="O50" s="270"/>
    </row>
    <row r="51" spans="1:17" s="132" customFormat="1" ht="14.25" outlineLevel="1" x14ac:dyDescent="0.2">
      <c r="A51" s="275" t="s">
        <v>1466</v>
      </c>
      <c r="B51" s="268"/>
      <c r="C51" s="268"/>
      <c r="D51" s="268"/>
      <c r="E51" s="276">
        <v>0.03</v>
      </c>
      <c r="F51" s="268"/>
      <c r="G51" s="270"/>
      <c r="H51" s="271"/>
      <c r="I51" s="275" t="s">
        <v>1466</v>
      </c>
      <c r="J51" s="268"/>
      <c r="K51" s="268"/>
      <c r="L51" s="268"/>
      <c r="M51" s="276">
        <v>0.03</v>
      </c>
      <c r="N51" s="268"/>
      <c r="O51" s="270"/>
    </row>
    <row r="52" spans="1:17" s="132" customFormat="1" ht="14.25" outlineLevel="1" x14ac:dyDescent="0.2">
      <c r="A52" s="275" t="s">
        <v>1465</v>
      </c>
      <c r="B52" s="268"/>
      <c r="C52" s="268"/>
      <c r="D52" s="268"/>
      <c r="E52" s="276">
        <v>3.7100000000000001E-2</v>
      </c>
      <c r="F52" s="268"/>
      <c r="G52" s="270"/>
      <c r="H52" s="271"/>
      <c r="I52" s="275" t="s">
        <v>1465</v>
      </c>
      <c r="J52" s="268"/>
      <c r="K52" s="268"/>
      <c r="L52" s="268"/>
      <c r="M52" s="276">
        <v>3.7100000000000001E-2</v>
      </c>
      <c r="N52" s="268"/>
      <c r="O52" s="270"/>
    </row>
    <row r="53" spans="1:17" s="132" customFormat="1" ht="14.25" outlineLevel="1" x14ac:dyDescent="0.2">
      <c r="A53" s="275" t="s">
        <v>1501</v>
      </c>
      <c r="B53" s="268"/>
      <c r="C53" s="268"/>
      <c r="D53" s="268"/>
      <c r="E53" s="276">
        <f>+IF('HOJA DE TRABAJO'!$J$17="SI",0,IF('HOJA DE TRABAJO'!$J$17="NO",0.0833,))</f>
        <v>8.3299999999999999E-2</v>
      </c>
      <c r="F53" s="268"/>
      <c r="G53" s="270"/>
      <c r="H53" s="271"/>
      <c r="I53" s="275" t="s">
        <v>1501</v>
      </c>
      <c r="J53" s="268"/>
      <c r="K53" s="268"/>
      <c r="L53" s="268"/>
      <c r="M53" s="276">
        <f>+IF('HOJA DE TRABAJO'!$J$17="SI",0,IF('HOJA DE TRABAJO'!$J$17="NO",0.0833,))</f>
        <v>8.3299999999999999E-2</v>
      </c>
      <c r="N53" s="268"/>
      <c r="O53" s="270"/>
    </row>
    <row r="54" spans="1:17" s="132" customFormat="1" ht="14.25" outlineLevel="1" x14ac:dyDescent="0.2">
      <c r="A54" s="275" t="s">
        <v>1463</v>
      </c>
      <c r="B54" s="268"/>
      <c r="C54" s="268"/>
      <c r="D54" s="268"/>
      <c r="E54" s="276">
        <f>+IF('HOJA DE TRABAJO'!$J$17="SI",0,IF('HOJA DE TRABAJO'!$J$17="NO",0.0833,))</f>
        <v>8.3299999999999999E-2</v>
      </c>
      <c r="F54" s="268"/>
      <c r="G54" s="270"/>
      <c r="H54" s="271"/>
      <c r="I54" s="275" t="s">
        <v>1463</v>
      </c>
      <c r="J54" s="268"/>
      <c r="K54" s="268"/>
      <c r="L54" s="268"/>
      <c r="M54" s="276">
        <f>+IF('HOJA DE TRABAJO'!$J$17="SI",0,IF('HOJA DE TRABAJO'!$J$17="NO",0.0833,))</f>
        <v>8.3299999999999999E-2</v>
      </c>
      <c r="N54" s="268"/>
      <c r="O54" s="270"/>
    </row>
    <row r="55" spans="1:17" s="132" customFormat="1" ht="14.25" outlineLevel="1" x14ac:dyDescent="0.2">
      <c r="A55" s="275" t="str">
        <f>+'HOJA DE TRABAJO'!$B$29</f>
        <v xml:space="preserve">Previsión Segundo  Aguinaldo </v>
      </c>
      <c r="B55" s="268"/>
      <c r="C55" s="268"/>
      <c r="D55" s="268"/>
      <c r="E55" s="276">
        <f>+'HOJA DE TRABAJO'!$E$29</f>
        <v>8.3299999999999999E-2</v>
      </c>
      <c r="F55" s="268"/>
      <c r="G55" s="270"/>
      <c r="H55" s="271"/>
      <c r="I55" s="275" t="str">
        <f>+'HOJA DE TRABAJO'!$B$29</f>
        <v xml:space="preserve">Previsión Segundo  Aguinaldo </v>
      </c>
      <c r="J55" s="268"/>
      <c r="K55" s="268"/>
      <c r="L55" s="268"/>
      <c r="M55" s="276">
        <f>+'HOJA DE TRABAJO'!$E$29</f>
        <v>8.3299999999999999E-2</v>
      </c>
      <c r="N55" s="268"/>
      <c r="O55" s="270"/>
    </row>
    <row r="56" spans="1:17" s="132" customFormat="1" ht="14.25" outlineLevel="1" x14ac:dyDescent="0.2">
      <c r="A56" s="275" t="str">
        <f>+'HOJA DE TRABAJO'!$B$30</f>
        <v>Seguro de Accidente</v>
      </c>
      <c r="B56" s="268"/>
      <c r="C56" s="268"/>
      <c r="D56" s="268"/>
      <c r="E56" s="276">
        <f>+'HOJA DE TRABAJO'!$E$30</f>
        <v>0</v>
      </c>
      <c r="F56" s="268"/>
      <c r="G56" s="270"/>
      <c r="H56" s="271"/>
      <c r="I56" s="275" t="str">
        <f>+'HOJA DE TRABAJO'!$B$30</f>
        <v>Seguro de Accidente</v>
      </c>
      <c r="J56" s="268"/>
      <c r="K56" s="268"/>
      <c r="L56" s="268"/>
      <c r="M56" s="276">
        <f>+'HOJA DE TRABAJO'!$E$30</f>
        <v>0</v>
      </c>
      <c r="N56" s="268"/>
      <c r="O56" s="270"/>
    </row>
    <row r="57" spans="1:17" s="132" customFormat="1" ht="14.25" outlineLevel="1" x14ac:dyDescent="0.2">
      <c r="A57" s="275" t="str">
        <f>+'HOJA DE TRABAJO'!$B$31</f>
        <v xml:space="preserve">Vacaciones </v>
      </c>
      <c r="B57" s="268"/>
      <c r="C57" s="268"/>
      <c r="D57" s="268"/>
      <c r="E57" s="276">
        <f>+'HOJA DE TRABAJO'!$E$31</f>
        <v>0</v>
      </c>
      <c r="F57" s="268"/>
      <c r="G57" s="270"/>
      <c r="H57" s="271"/>
      <c r="I57" s="275" t="str">
        <f>+'HOJA DE TRABAJO'!$B$31</f>
        <v xml:space="preserve">Vacaciones </v>
      </c>
      <c r="J57" s="268"/>
      <c r="K57" s="268"/>
      <c r="L57" s="268"/>
      <c r="M57" s="276">
        <f>+'HOJA DE TRABAJO'!$E$31</f>
        <v>0</v>
      </c>
      <c r="N57" s="268"/>
      <c r="O57" s="270"/>
    </row>
    <row r="58" spans="1:17" s="132" customFormat="1" ht="14.25" outlineLevel="1" x14ac:dyDescent="0.2">
      <c r="A58" s="275" t="str">
        <f>+'HOJA DE TRABAJO'!$F$29</f>
        <v xml:space="preserve">Previsicion de Subsidio </v>
      </c>
      <c r="B58" s="268"/>
      <c r="C58" s="268"/>
      <c r="D58" s="268"/>
      <c r="E58" s="276">
        <f>+'HOJA DE TRABAJO'!$L$29</f>
        <v>0.33329999999999999</v>
      </c>
      <c r="F58" s="268"/>
      <c r="G58" s="270"/>
      <c r="H58" s="271"/>
      <c r="I58" s="275" t="str">
        <f>+'HOJA DE TRABAJO'!$F$29</f>
        <v xml:space="preserve">Previsicion de Subsidio </v>
      </c>
      <c r="J58" s="268"/>
      <c r="K58" s="268"/>
      <c r="L58" s="268"/>
      <c r="M58" s="276">
        <f>+'HOJA DE TRABAJO'!$L$29</f>
        <v>0.33329999999999999</v>
      </c>
      <c r="N58" s="268"/>
      <c r="O58" s="270"/>
    </row>
    <row r="59" spans="1:17" s="132" customFormat="1" ht="14.25" outlineLevel="1" x14ac:dyDescent="0.2">
      <c r="A59" s="275" t="str">
        <f>+'HOJA DE TRABAJO'!$F$30</f>
        <v>Previsicion de Desahucio</v>
      </c>
      <c r="B59" s="268"/>
      <c r="C59" s="268"/>
      <c r="D59" s="268"/>
      <c r="E59" s="276">
        <f>+'HOJA DE TRABAJO'!$L$30</f>
        <v>8.3299999999999999E-2</v>
      </c>
      <c r="F59" s="268"/>
      <c r="G59" s="270"/>
      <c r="H59" s="271"/>
      <c r="I59" s="275" t="str">
        <f>+'HOJA DE TRABAJO'!$F$30</f>
        <v>Previsicion de Desahucio</v>
      </c>
      <c r="J59" s="268"/>
      <c r="K59" s="268"/>
      <c r="L59" s="268"/>
      <c r="M59" s="276">
        <f>+'HOJA DE TRABAJO'!$L$30</f>
        <v>8.3299999999999999E-2</v>
      </c>
      <c r="N59" s="268"/>
      <c r="O59" s="270"/>
    </row>
    <row r="60" spans="1:17" s="132" customFormat="1" ht="14.25" outlineLevel="1" x14ac:dyDescent="0.2">
      <c r="A60" s="277" t="s">
        <v>1461</v>
      </c>
      <c r="B60" s="268"/>
      <c r="C60" s="268"/>
      <c r="D60" s="268"/>
      <c r="E60" s="276"/>
      <c r="F60" s="268"/>
      <c r="G60" s="270">
        <f>IF(G37=0,0,(('HOJA DE TRABAJO'!$U$108)/'HOJA DE TRABAJO'!$BA$44))</f>
        <v>0</v>
      </c>
      <c r="H60" s="337"/>
      <c r="I60" s="277" t="s">
        <v>1461</v>
      </c>
      <c r="J60" s="268"/>
      <c r="K60" s="268"/>
      <c r="L60" s="268"/>
      <c r="M60" s="276"/>
      <c r="N60" s="268"/>
      <c r="O60" s="270">
        <f>IF(O37=0,0,(('HOJA DE TRABAJO'!$U$108)/'HOJA DE TRABAJO'!$BA$44))</f>
        <v>0</v>
      </c>
    </row>
    <row r="61" spans="1:17" s="132" customFormat="1" ht="14.25" outlineLevel="1" x14ac:dyDescent="0.2">
      <c r="A61" s="277" t="s">
        <v>1504</v>
      </c>
      <c r="B61" s="268"/>
      <c r="C61" s="268"/>
      <c r="D61" s="268"/>
      <c r="E61" s="274">
        <f>+'HOJA DE TRABAJO'!$H$116*'HOJA DE TRABAJO'!$F$19</f>
        <v>1.6346153846153847E-2</v>
      </c>
      <c r="F61" s="268"/>
      <c r="G61" s="270">
        <f>(SUM(G40:G60)*E61)+IF(G37=0,0,'HOJA DE TRABAJO'!$J$119)</f>
        <v>0</v>
      </c>
      <c r="H61" s="271"/>
      <c r="I61" s="277" t="s">
        <v>1503</v>
      </c>
      <c r="J61" s="268"/>
      <c r="K61" s="268"/>
      <c r="L61" s="268"/>
      <c r="M61" s="274">
        <f>+'HOJA DE TRABAJO'!$H$116*'HOJA DE TRABAJO'!$F$19</f>
        <v>1.6346153846153847E-2</v>
      </c>
      <c r="N61" s="268"/>
      <c r="O61" s="270">
        <f>(SUM(O40:O60)*M61)+IF(O37=0,0,'HOJA DE TRABAJO'!$J$119)</f>
        <v>0</v>
      </c>
      <c r="Q61" s="123"/>
    </row>
    <row r="62" spans="1:17" s="132" customFormat="1" ht="14.25" outlineLevel="1" x14ac:dyDescent="0.2">
      <c r="A62" s="278" t="s">
        <v>1460</v>
      </c>
      <c r="B62" s="279"/>
      <c r="C62" s="279"/>
      <c r="D62" s="279"/>
      <c r="E62" s="280">
        <f>+E29</f>
        <v>0.13</v>
      </c>
      <c r="F62" s="279"/>
      <c r="G62" s="281">
        <f>+SUM(G39:G61)*E62</f>
        <v>0</v>
      </c>
      <c r="H62" s="282"/>
      <c r="I62" s="278" t="s">
        <v>1460</v>
      </c>
      <c r="J62" s="279"/>
      <c r="K62" s="279"/>
      <c r="L62" s="279"/>
      <c r="M62" s="280">
        <f>+E29</f>
        <v>0.13</v>
      </c>
      <c r="N62" s="279"/>
      <c r="O62" s="281">
        <f>+SUM(O39:O61)*M62</f>
        <v>0</v>
      </c>
    </row>
    <row r="63" spans="1:17" s="132" customFormat="1" outlineLevel="1" x14ac:dyDescent="0.25">
      <c r="A63" s="283" t="s">
        <v>1459</v>
      </c>
      <c r="B63" s="284"/>
      <c r="C63" s="284"/>
      <c r="D63" s="284"/>
      <c r="E63" s="284"/>
      <c r="F63" s="284"/>
      <c r="G63" s="285">
        <f>+SUM(G40:G62)</f>
        <v>0</v>
      </c>
      <c r="H63" s="286"/>
      <c r="I63" s="283" t="s">
        <v>1459</v>
      </c>
      <c r="J63" s="284"/>
      <c r="K63" s="284"/>
      <c r="L63" s="284"/>
      <c r="M63" s="284"/>
      <c r="N63" s="284"/>
      <c r="O63" s="285">
        <f>+SUM(O40:O62)</f>
        <v>0</v>
      </c>
    </row>
    <row r="64" spans="1:17" s="132" customFormat="1" ht="14.25" outlineLevel="1" x14ac:dyDescent="0.2">
      <c r="A64" s="277" t="s">
        <v>1458</v>
      </c>
      <c r="B64" s="268"/>
      <c r="C64" s="268"/>
      <c r="D64" s="268"/>
      <c r="E64" s="274">
        <f>+B65+B66</f>
        <v>0.16</v>
      </c>
      <c r="F64" s="268"/>
      <c r="G64" s="270">
        <f>+G67-G63</f>
        <v>0</v>
      </c>
      <c r="H64" s="271"/>
      <c r="I64" s="277" t="s">
        <v>1458</v>
      </c>
      <c r="J64" s="268"/>
      <c r="K64" s="268"/>
      <c r="L64" s="268"/>
      <c r="M64" s="274">
        <f>+J65+J66</f>
        <v>0.16</v>
      </c>
      <c r="N64" s="268"/>
      <c r="O64" s="270">
        <f>+O67-O63</f>
        <v>0</v>
      </c>
    </row>
    <row r="65" spans="1:15" s="132" customFormat="1" ht="14.25" outlineLevel="1" x14ac:dyDescent="0.2">
      <c r="A65" s="287" t="s">
        <v>1457</v>
      </c>
      <c r="B65" s="288">
        <v>0.13</v>
      </c>
      <c r="C65" s="268"/>
      <c r="D65" s="268"/>
      <c r="E65" s="276"/>
      <c r="F65" s="268"/>
      <c r="G65" s="270"/>
      <c r="H65" s="271"/>
      <c r="I65" s="287" t="s">
        <v>1457</v>
      </c>
      <c r="J65" s="288">
        <v>0.13</v>
      </c>
      <c r="K65" s="268"/>
      <c r="L65" s="268"/>
      <c r="M65" s="276"/>
      <c r="N65" s="268"/>
      <c r="O65" s="270"/>
    </row>
    <row r="66" spans="1:15" s="132" customFormat="1" ht="14.25" outlineLevel="1" x14ac:dyDescent="0.2">
      <c r="A66" s="289" t="s">
        <v>1456</v>
      </c>
      <c r="B66" s="290">
        <v>0.03</v>
      </c>
      <c r="C66" s="279"/>
      <c r="D66" s="279"/>
      <c r="E66" s="291"/>
      <c r="F66" s="279"/>
      <c r="G66" s="281"/>
      <c r="H66" s="282"/>
      <c r="I66" s="289" t="s">
        <v>1456</v>
      </c>
      <c r="J66" s="290">
        <v>0.03</v>
      </c>
      <c r="K66" s="279"/>
      <c r="L66" s="279"/>
      <c r="M66" s="291"/>
      <c r="N66" s="279"/>
      <c r="O66" s="281"/>
    </row>
    <row r="67" spans="1:15" s="132" customFormat="1" outlineLevel="1" x14ac:dyDescent="0.25">
      <c r="A67" s="283" t="s">
        <v>1519</v>
      </c>
      <c r="B67" s="284"/>
      <c r="C67" s="284"/>
      <c r="D67" s="284"/>
      <c r="E67" s="284"/>
      <c r="F67" s="284"/>
      <c r="G67" s="285">
        <f>IFERROR((G63/0.84),0)</f>
        <v>0</v>
      </c>
      <c r="H67" s="286"/>
      <c r="I67" s="283" t="s">
        <v>1519</v>
      </c>
      <c r="J67" s="284"/>
      <c r="K67" s="284"/>
      <c r="L67" s="284"/>
      <c r="M67" s="284"/>
      <c r="N67" s="284"/>
      <c r="O67" s="285">
        <f>IFERROR((O63/0.84),0)</f>
        <v>0</v>
      </c>
    </row>
    <row r="68" spans="1:15" s="132" customFormat="1" ht="14.25" outlineLevel="1" x14ac:dyDescent="0.2">
      <c r="H68" s="133"/>
    </row>
    <row r="69" spans="1:15" s="132" customFormat="1" ht="14.25" outlineLevel="1" x14ac:dyDescent="0.2">
      <c r="H69" s="133"/>
    </row>
    <row r="70" spans="1:15" s="132" customFormat="1" ht="14.25" outlineLevel="1" x14ac:dyDescent="0.2">
      <c r="H70" s="133"/>
    </row>
    <row r="71" spans="1:15" s="132" customFormat="1" outlineLevel="2" x14ac:dyDescent="0.25">
      <c r="A71" s="292" t="s">
        <v>1477</v>
      </c>
      <c r="B71" s="292"/>
      <c r="C71" s="292"/>
      <c r="D71" s="292"/>
      <c r="E71" s="268"/>
      <c r="F71" s="292" t="s">
        <v>11</v>
      </c>
      <c r="G71" s="292">
        <f>+'HOJA DE TRABAJO'!F42</f>
        <v>0</v>
      </c>
      <c r="H71" s="133"/>
      <c r="I71" s="292" t="s">
        <v>1477</v>
      </c>
      <c r="J71" s="292"/>
      <c r="K71" s="292"/>
      <c r="L71" s="292"/>
      <c r="M71" s="268"/>
      <c r="N71" s="292" t="s">
        <v>11</v>
      </c>
      <c r="O71" s="292">
        <f>+'HOJA DE TRABAJO'!F43</f>
        <v>0</v>
      </c>
    </row>
    <row r="72" spans="1:15" s="132" customFormat="1" outlineLevel="2" x14ac:dyDescent="0.25">
      <c r="A72" s="294"/>
      <c r="B72" s="294" t="s">
        <v>1476</v>
      </c>
      <c r="C72" s="588">
        <f>+'HOJA DE TRABAJO'!C42</f>
        <v>0</v>
      </c>
      <c r="D72" s="588"/>
      <c r="E72" s="588"/>
      <c r="F72" s="294"/>
      <c r="G72" s="294"/>
      <c r="H72" s="133"/>
      <c r="I72" s="294"/>
      <c r="J72" s="294" t="s">
        <v>1476</v>
      </c>
      <c r="K72" s="588">
        <f>+'HOJA DE TRABAJO'!C43</f>
        <v>0</v>
      </c>
      <c r="L72" s="588"/>
      <c r="M72" s="588"/>
      <c r="N72" s="294"/>
      <c r="O72" s="294"/>
    </row>
    <row r="73" spans="1:15" s="132" customFormat="1" ht="14.25" outlineLevel="2" x14ac:dyDescent="0.2">
      <c r="A73" s="587" t="s">
        <v>1478</v>
      </c>
      <c r="B73" s="587"/>
      <c r="C73" s="587"/>
      <c r="D73" s="587"/>
      <c r="E73" s="587"/>
      <c r="F73" s="587"/>
      <c r="G73" s="587"/>
      <c r="H73" s="133"/>
      <c r="I73" s="587" t="s">
        <v>1478</v>
      </c>
      <c r="J73" s="587"/>
      <c r="K73" s="587"/>
      <c r="L73" s="587"/>
      <c r="M73" s="587"/>
      <c r="N73" s="587"/>
      <c r="O73" s="587"/>
    </row>
    <row r="74" spans="1:15" s="132" customFormat="1" ht="14.25" outlineLevel="2" x14ac:dyDescent="0.2">
      <c r="A74" s="268"/>
      <c r="B74" s="268"/>
      <c r="C74" s="268"/>
      <c r="D74" s="268"/>
      <c r="E74" s="268"/>
      <c r="F74" s="268"/>
      <c r="G74" s="268"/>
      <c r="H74" s="133"/>
      <c r="I74" s="268"/>
      <c r="J74" s="268"/>
      <c r="K74" s="268"/>
      <c r="L74" s="268"/>
      <c r="M74" s="268"/>
      <c r="N74" s="268"/>
      <c r="O74" s="268"/>
    </row>
    <row r="75" spans="1:15" s="132" customFormat="1" ht="14.25" outlineLevel="2" x14ac:dyDescent="0.2">
      <c r="A75" s="268" t="s">
        <v>1475</v>
      </c>
      <c r="B75" s="268"/>
      <c r="C75" s="268"/>
      <c r="D75" s="268"/>
      <c r="E75" s="268"/>
      <c r="F75" s="268"/>
      <c r="G75" s="270">
        <f>+'HOJA DE TRABAJO'!H42</f>
        <v>0</v>
      </c>
      <c r="H75" s="133"/>
      <c r="I75" s="268" t="s">
        <v>1475</v>
      </c>
      <c r="J75" s="268"/>
      <c r="K75" s="268"/>
      <c r="L75" s="268"/>
      <c r="M75" s="268"/>
      <c r="N75" s="268"/>
      <c r="O75" s="270">
        <f>+'HOJA DE TRABAJO'!H43</f>
        <v>0</v>
      </c>
    </row>
    <row r="76" spans="1:15" s="132" customFormat="1" ht="14.25" outlineLevel="2" x14ac:dyDescent="0.2">
      <c r="A76" s="268" t="s">
        <v>1588</v>
      </c>
      <c r="B76" s="268"/>
      <c r="C76" s="268"/>
      <c r="D76" s="268"/>
      <c r="E76" s="268"/>
      <c r="F76" s="268"/>
      <c r="G76" s="270">
        <f>IF(G75=0,0,SUM('HOJA DE TRABAJO'!$R$29:$R$31))</f>
        <v>0</v>
      </c>
      <c r="H76" s="271"/>
      <c r="I76" s="268" t="s">
        <v>1588</v>
      </c>
      <c r="J76" s="268"/>
      <c r="K76" s="268"/>
      <c r="L76" s="268"/>
      <c r="M76" s="268"/>
      <c r="N76" s="268"/>
      <c r="O76" s="270">
        <f>IF(O75=0,0,SUM('HOJA DE TRABAJO'!$R$29:$R$31))</f>
        <v>0</v>
      </c>
    </row>
    <row r="77" spans="1:15" s="132" customFormat="1" ht="14.25" outlineLevel="2" x14ac:dyDescent="0.2">
      <c r="A77" s="272" t="s">
        <v>1474</v>
      </c>
      <c r="B77" s="268"/>
      <c r="C77" s="268"/>
      <c r="D77" s="268"/>
      <c r="E77" s="268"/>
      <c r="F77" s="268"/>
      <c r="G77" s="270"/>
      <c r="H77" s="133"/>
      <c r="I77" s="272" t="s">
        <v>1474</v>
      </c>
      <c r="J77" s="268"/>
      <c r="K77" s="268"/>
      <c r="L77" s="268"/>
      <c r="M77" s="268"/>
      <c r="N77" s="268"/>
      <c r="O77" s="270"/>
    </row>
    <row r="78" spans="1:15" s="132" customFormat="1" outlineLevel="2" x14ac:dyDescent="0.25">
      <c r="A78" s="273" t="s">
        <v>1473</v>
      </c>
      <c r="B78" s="268"/>
      <c r="C78" s="268"/>
      <c r="D78" s="268"/>
      <c r="E78" s="268"/>
      <c r="F78" s="274">
        <f>+SUM(E79:E82)</f>
        <v>0.12710000000000002</v>
      </c>
      <c r="G78" s="270">
        <f>+(G75*100/87.29-G75)+(F78*G76)</f>
        <v>0</v>
      </c>
      <c r="H78" s="271"/>
      <c r="I78" s="273" t="s">
        <v>1473</v>
      </c>
      <c r="J78" s="268"/>
      <c r="K78" s="268"/>
      <c r="L78" s="268"/>
      <c r="M78" s="268"/>
      <c r="N78" s="274">
        <f>+SUM(M79:M82)</f>
        <v>0.12710000000000002</v>
      </c>
      <c r="O78" s="270">
        <f>+(O75*100/87.29-O75)+(N78*O76)</f>
        <v>0</v>
      </c>
    </row>
    <row r="79" spans="1:15" s="132" customFormat="1" ht="14.25" outlineLevel="2" x14ac:dyDescent="0.2">
      <c r="A79" s="275" t="s">
        <v>1472</v>
      </c>
      <c r="B79" s="268"/>
      <c r="C79" s="268"/>
      <c r="D79" s="268"/>
      <c r="E79" s="276">
        <v>0.1</v>
      </c>
      <c r="F79" s="268"/>
      <c r="G79" s="270"/>
      <c r="H79" s="133"/>
      <c r="I79" s="275" t="s">
        <v>1472</v>
      </c>
      <c r="J79" s="268"/>
      <c r="K79" s="268"/>
      <c r="L79" s="268"/>
      <c r="M79" s="276">
        <v>0.1</v>
      </c>
      <c r="N79" s="268"/>
      <c r="O79" s="270"/>
    </row>
    <row r="80" spans="1:15" s="132" customFormat="1" ht="14.25" outlineLevel="2" x14ac:dyDescent="0.2">
      <c r="A80" s="275" t="s">
        <v>1471</v>
      </c>
      <c r="B80" s="268"/>
      <c r="C80" s="268"/>
      <c r="D80" s="268"/>
      <c r="E80" s="276">
        <v>1.7100000000000001E-2</v>
      </c>
      <c r="F80" s="268"/>
      <c r="G80" s="270"/>
      <c r="H80" s="133"/>
      <c r="I80" s="275" t="s">
        <v>1471</v>
      </c>
      <c r="J80" s="268"/>
      <c r="K80" s="268"/>
      <c r="L80" s="268"/>
      <c r="M80" s="276">
        <v>1.7100000000000001E-2</v>
      </c>
      <c r="N80" s="268"/>
      <c r="O80" s="270"/>
    </row>
    <row r="81" spans="1:15" s="132" customFormat="1" ht="14.25" outlineLevel="2" x14ac:dyDescent="0.2">
      <c r="A81" s="275" t="s">
        <v>1470</v>
      </c>
      <c r="B81" s="268"/>
      <c r="C81" s="268"/>
      <c r="D81" s="268"/>
      <c r="E81" s="276">
        <v>5.0000000000000001E-3</v>
      </c>
      <c r="F81" s="268"/>
      <c r="G81" s="270"/>
      <c r="H81" s="133"/>
      <c r="I81" s="275" t="s">
        <v>1470</v>
      </c>
      <c r="J81" s="268"/>
      <c r="K81" s="268"/>
      <c r="L81" s="268"/>
      <c r="M81" s="276">
        <v>5.0000000000000001E-3</v>
      </c>
      <c r="N81" s="268"/>
      <c r="O81" s="270"/>
    </row>
    <row r="82" spans="1:15" s="132" customFormat="1" ht="14.25" outlineLevel="2" x14ac:dyDescent="0.2">
      <c r="A82" s="275" t="s">
        <v>1466</v>
      </c>
      <c r="B82" s="268"/>
      <c r="C82" s="268"/>
      <c r="D82" s="268"/>
      <c r="E82" s="276">
        <f>+E81</f>
        <v>5.0000000000000001E-3</v>
      </c>
      <c r="F82" s="268"/>
      <c r="G82" s="270"/>
      <c r="H82" s="133"/>
      <c r="I82" s="275" t="s">
        <v>1466</v>
      </c>
      <c r="J82" s="268"/>
      <c r="K82" s="268"/>
      <c r="L82" s="268"/>
      <c r="M82" s="276">
        <f>+M81</f>
        <v>5.0000000000000001E-3</v>
      </c>
      <c r="N82" s="268"/>
      <c r="O82" s="270"/>
    </row>
    <row r="83" spans="1:15" s="132" customFormat="1" outlineLevel="2" x14ac:dyDescent="0.25">
      <c r="A83" s="273" t="s">
        <v>1469</v>
      </c>
      <c r="B83" s="268"/>
      <c r="C83" s="268"/>
      <c r="D83" s="268"/>
      <c r="E83" s="276"/>
      <c r="F83" s="274">
        <f>+SUM(E84:E93)</f>
        <v>0.83360000000000001</v>
      </c>
      <c r="G83" s="270">
        <f>(G75+G78+G76)*F83</f>
        <v>0</v>
      </c>
      <c r="H83" s="271"/>
      <c r="I83" s="273" t="s">
        <v>1469</v>
      </c>
      <c r="J83" s="268"/>
      <c r="K83" s="268"/>
      <c r="L83" s="268"/>
      <c r="M83" s="276"/>
      <c r="N83" s="274">
        <f>+SUM(M84:M93)</f>
        <v>0.83360000000000001</v>
      </c>
      <c r="O83" s="270">
        <f>(O75+O78+O76)*N83</f>
        <v>0</v>
      </c>
    </row>
    <row r="84" spans="1:15" s="132" customFormat="1" ht="14.25" outlineLevel="2" x14ac:dyDescent="0.2">
      <c r="A84" s="275" t="s">
        <v>1468</v>
      </c>
      <c r="B84" s="268"/>
      <c r="C84" s="268"/>
      <c r="D84" s="268"/>
      <c r="E84" s="276">
        <v>0.1</v>
      </c>
      <c r="F84" s="268"/>
      <c r="G84" s="270"/>
      <c r="H84" s="133"/>
      <c r="I84" s="275" t="s">
        <v>1468</v>
      </c>
      <c r="J84" s="268"/>
      <c r="K84" s="268"/>
      <c r="L84" s="268"/>
      <c r="M84" s="276">
        <v>0.1</v>
      </c>
      <c r="N84" s="268"/>
      <c r="O84" s="270"/>
    </row>
    <row r="85" spans="1:15" s="132" customFormat="1" ht="14.25" outlineLevel="2" x14ac:dyDescent="0.2">
      <c r="A85" s="275" t="s">
        <v>1466</v>
      </c>
      <c r="B85" s="268"/>
      <c r="C85" s="268"/>
      <c r="D85" s="268"/>
      <c r="E85" s="276">
        <v>0.03</v>
      </c>
      <c r="F85" s="268"/>
      <c r="G85" s="270"/>
      <c r="H85" s="133"/>
      <c r="I85" s="275" t="s">
        <v>1466</v>
      </c>
      <c r="J85" s="268"/>
      <c r="K85" s="268"/>
      <c r="L85" s="268"/>
      <c r="M85" s="276">
        <v>0.03</v>
      </c>
      <c r="N85" s="268"/>
      <c r="O85" s="270"/>
    </row>
    <row r="86" spans="1:15" s="132" customFormat="1" ht="14.25" outlineLevel="2" x14ac:dyDescent="0.2">
      <c r="A86" s="275" t="s">
        <v>1465</v>
      </c>
      <c r="B86" s="268"/>
      <c r="C86" s="268"/>
      <c r="D86" s="268"/>
      <c r="E86" s="276">
        <v>3.7100000000000001E-2</v>
      </c>
      <c r="F86" s="268"/>
      <c r="G86" s="270"/>
      <c r="H86" s="133"/>
      <c r="I86" s="275" t="s">
        <v>1465</v>
      </c>
      <c r="J86" s="268"/>
      <c r="K86" s="268"/>
      <c r="L86" s="268"/>
      <c r="M86" s="276">
        <v>3.7100000000000001E-2</v>
      </c>
      <c r="N86" s="268"/>
      <c r="O86" s="270"/>
    </row>
    <row r="87" spans="1:15" s="132" customFormat="1" ht="14.25" outlineLevel="2" x14ac:dyDescent="0.2">
      <c r="A87" s="275" t="s">
        <v>1500</v>
      </c>
      <c r="B87" s="268"/>
      <c r="C87" s="268"/>
      <c r="D87" s="268"/>
      <c r="E87" s="276">
        <f>+IF('HOJA DE TRABAJO'!$J$17="SI",0,IF('HOJA DE TRABAJO'!$J$17="NO",0.0833,))</f>
        <v>8.3299999999999999E-2</v>
      </c>
      <c r="F87" s="268"/>
      <c r="G87" s="270"/>
      <c r="H87" s="133"/>
      <c r="I87" s="275" t="s">
        <v>1500</v>
      </c>
      <c r="J87" s="268"/>
      <c r="K87" s="268"/>
      <c r="L87" s="268"/>
      <c r="M87" s="276">
        <f>+IF('HOJA DE TRABAJO'!$J$17="SI",0,IF('HOJA DE TRABAJO'!$J$17="NO",0.0833,))</f>
        <v>8.3299999999999999E-2</v>
      </c>
      <c r="N87" s="268"/>
      <c r="O87" s="270"/>
    </row>
    <row r="88" spans="1:15" s="132" customFormat="1" ht="14.25" outlineLevel="2" x14ac:dyDescent="0.2">
      <c r="A88" s="275" t="s">
        <v>1463</v>
      </c>
      <c r="B88" s="268"/>
      <c r="C88" s="268"/>
      <c r="D88" s="268"/>
      <c r="E88" s="276">
        <f>+IF('HOJA DE TRABAJO'!$J$17="SI",0,IF('HOJA DE TRABAJO'!$J$17="NO",0.0833,))</f>
        <v>8.3299999999999999E-2</v>
      </c>
      <c r="F88" s="268"/>
      <c r="G88" s="270"/>
      <c r="H88" s="133"/>
      <c r="I88" s="275" t="s">
        <v>1463</v>
      </c>
      <c r="J88" s="268"/>
      <c r="K88" s="268"/>
      <c r="L88" s="268"/>
      <c r="M88" s="276">
        <f>+IF('HOJA DE TRABAJO'!$J$17="SI",0,IF('HOJA DE TRABAJO'!$J$17="NO",0.0833,))</f>
        <v>8.3299999999999999E-2</v>
      </c>
      <c r="N88" s="268"/>
      <c r="O88" s="270"/>
    </row>
    <row r="89" spans="1:15" s="132" customFormat="1" ht="14.25" outlineLevel="2" x14ac:dyDescent="0.2">
      <c r="A89" s="275" t="str">
        <f>+'HOJA DE TRABAJO'!$B$29</f>
        <v xml:space="preserve">Previsión Segundo  Aguinaldo </v>
      </c>
      <c r="B89" s="268"/>
      <c r="C89" s="268"/>
      <c r="D89" s="268"/>
      <c r="E89" s="276">
        <f>+'HOJA DE TRABAJO'!$E$29</f>
        <v>8.3299999999999999E-2</v>
      </c>
      <c r="F89" s="268"/>
      <c r="G89" s="270"/>
      <c r="H89" s="133"/>
      <c r="I89" s="275" t="str">
        <f>+'HOJA DE TRABAJO'!$B$29</f>
        <v xml:space="preserve">Previsión Segundo  Aguinaldo </v>
      </c>
      <c r="J89" s="268"/>
      <c r="K89" s="268"/>
      <c r="L89" s="268"/>
      <c r="M89" s="276">
        <f>+'HOJA DE TRABAJO'!$E$29</f>
        <v>8.3299999999999999E-2</v>
      </c>
      <c r="N89" s="268"/>
      <c r="O89" s="270"/>
    </row>
    <row r="90" spans="1:15" s="132" customFormat="1" ht="14.25" outlineLevel="2" x14ac:dyDescent="0.2">
      <c r="A90" s="275" t="str">
        <f>+'HOJA DE TRABAJO'!$B$30</f>
        <v>Seguro de Accidente</v>
      </c>
      <c r="B90" s="268"/>
      <c r="C90" s="268"/>
      <c r="D90" s="268"/>
      <c r="E90" s="276">
        <f>+'HOJA DE TRABAJO'!$E$30</f>
        <v>0</v>
      </c>
      <c r="F90" s="268"/>
      <c r="G90" s="270"/>
      <c r="H90" s="133"/>
      <c r="I90" s="275" t="str">
        <f>+'HOJA DE TRABAJO'!$B$30</f>
        <v>Seguro de Accidente</v>
      </c>
      <c r="J90" s="268"/>
      <c r="K90" s="268"/>
      <c r="L90" s="268"/>
      <c r="M90" s="276">
        <f>+'HOJA DE TRABAJO'!$E$30</f>
        <v>0</v>
      </c>
      <c r="N90" s="268"/>
      <c r="O90" s="270"/>
    </row>
    <row r="91" spans="1:15" s="132" customFormat="1" ht="14.25" outlineLevel="2" x14ac:dyDescent="0.2">
      <c r="A91" s="275" t="str">
        <f>+'HOJA DE TRABAJO'!$B$31</f>
        <v xml:space="preserve">Vacaciones </v>
      </c>
      <c r="B91" s="268"/>
      <c r="C91" s="268"/>
      <c r="D91" s="268"/>
      <c r="E91" s="276">
        <f>+'HOJA DE TRABAJO'!$E$31</f>
        <v>0</v>
      </c>
      <c r="F91" s="268"/>
      <c r="G91" s="270"/>
      <c r="H91" s="133"/>
      <c r="I91" s="275" t="str">
        <f>+'HOJA DE TRABAJO'!$B$31</f>
        <v xml:space="preserve">Vacaciones </v>
      </c>
      <c r="J91" s="268"/>
      <c r="K91" s="268"/>
      <c r="L91" s="268"/>
      <c r="M91" s="276">
        <f>+'HOJA DE TRABAJO'!$E$31</f>
        <v>0</v>
      </c>
      <c r="N91" s="268"/>
      <c r="O91" s="270"/>
    </row>
    <row r="92" spans="1:15" s="132" customFormat="1" ht="14.25" outlineLevel="2" x14ac:dyDescent="0.2">
      <c r="A92" s="275" t="str">
        <f>+'HOJA DE TRABAJO'!$F$29</f>
        <v xml:space="preserve">Previsicion de Subsidio </v>
      </c>
      <c r="B92" s="268"/>
      <c r="C92" s="268"/>
      <c r="D92" s="268"/>
      <c r="E92" s="276">
        <f>+'HOJA DE TRABAJO'!$L$29</f>
        <v>0.33329999999999999</v>
      </c>
      <c r="F92" s="268"/>
      <c r="G92" s="270"/>
      <c r="H92" s="133"/>
      <c r="I92" s="275" t="str">
        <f>+'HOJA DE TRABAJO'!$F$29</f>
        <v xml:space="preserve">Previsicion de Subsidio </v>
      </c>
      <c r="J92" s="268"/>
      <c r="K92" s="268"/>
      <c r="L92" s="268"/>
      <c r="M92" s="276">
        <f>+'HOJA DE TRABAJO'!$L$29</f>
        <v>0.33329999999999999</v>
      </c>
      <c r="N92" s="268"/>
      <c r="O92" s="270"/>
    </row>
    <row r="93" spans="1:15" s="132" customFormat="1" ht="14.25" outlineLevel="2" x14ac:dyDescent="0.2">
      <c r="A93" s="275" t="str">
        <f>+'HOJA DE TRABAJO'!$F$30</f>
        <v>Previsicion de Desahucio</v>
      </c>
      <c r="B93" s="268"/>
      <c r="C93" s="268"/>
      <c r="D93" s="268"/>
      <c r="E93" s="276">
        <f>+'HOJA DE TRABAJO'!$L$30</f>
        <v>8.3299999999999999E-2</v>
      </c>
      <c r="F93" s="268"/>
      <c r="G93" s="270"/>
      <c r="H93" s="133"/>
      <c r="I93" s="275" t="str">
        <f>+'HOJA DE TRABAJO'!$F$30</f>
        <v>Previsicion de Desahucio</v>
      </c>
      <c r="J93" s="268"/>
      <c r="K93" s="268"/>
      <c r="L93" s="268"/>
      <c r="M93" s="276">
        <f>+'HOJA DE TRABAJO'!$L$30</f>
        <v>8.3299999999999999E-2</v>
      </c>
      <c r="N93" s="268"/>
      <c r="O93" s="270"/>
    </row>
    <row r="94" spans="1:15" s="132" customFormat="1" ht="14.25" outlineLevel="2" x14ac:dyDescent="0.2">
      <c r="A94" s="277" t="s">
        <v>1461</v>
      </c>
      <c r="B94" s="268"/>
      <c r="C94" s="268"/>
      <c r="D94" s="268"/>
      <c r="E94" s="276"/>
      <c r="F94" s="268"/>
      <c r="G94" s="270">
        <f>IF(G71=0,0,(('HOJA DE TRABAJO'!$U$108)/'HOJA DE TRABAJO'!$BA$44))</f>
        <v>0</v>
      </c>
      <c r="H94" s="337"/>
      <c r="I94" s="277" t="s">
        <v>1461</v>
      </c>
      <c r="J94" s="268"/>
      <c r="K94" s="268"/>
      <c r="L94" s="268"/>
      <c r="M94" s="276"/>
      <c r="N94" s="268"/>
      <c r="O94" s="270">
        <f>IF(O71=0,0,(('HOJA DE TRABAJO'!$U$108)/'HOJA DE TRABAJO'!$BA$44))</f>
        <v>0</v>
      </c>
    </row>
    <row r="95" spans="1:15" s="132" customFormat="1" ht="14.25" outlineLevel="2" x14ac:dyDescent="0.2">
      <c r="A95" s="277" t="s">
        <v>1504</v>
      </c>
      <c r="B95" s="268"/>
      <c r="C95" s="268"/>
      <c r="D95" s="268"/>
      <c r="E95" s="274">
        <f>+'HOJA DE TRABAJO'!$H$116*'HOJA DE TRABAJO'!$F$19</f>
        <v>1.6346153846153847E-2</v>
      </c>
      <c r="F95" s="268"/>
      <c r="G95" s="270">
        <f>(SUM(G74:G94)*E95)+IF(G71=0,0,'HOJA DE TRABAJO'!$J$119)</f>
        <v>0</v>
      </c>
      <c r="H95" s="271"/>
      <c r="I95" s="277" t="s">
        <v>1503</v>
      </c>
      <c r="J95" s="268"/>
      <c r="K95" s="268"/>
      <c r="L95" s="268"/>
      <c r="M95" s="274">
        <f>+'HOJA DE TRABAJO'!$H$116*'HOJA DE TRABAJO'!$F$19</f>
        <v>1.6346153846153847E-2</v>
      </c>
      <c r="N95" s="268"/>
      <c r="O95" s="270">
        <f>(SUM(O74:O94)*M95)+IF(O71=0,0,'HOJA DE TRABAJO'!$J$119)</f>
        <v>0</v>
      </c>
    </row>
    <row r="96" spans="1:15" s="132" customFormat="1" ht="14.25" outlineLevel="2" x14ac:dyDescent="0.2">
      <c r="A96" s="278" t="s">
        <v>1460</v>
      </c>
      <c r="B96" s="279"/>
      <c r="C96" s="279"/>
      <c r="D96" s="279"/>
      <c r="E96" s="280">
        <f>+E29</f>
        <v>0.13</v>
      </c>
      <c r="F96" s="279"/>
      <c r="G96" s="281">
        <f>+SUM(G73:G95)*E96</f>
        <v>0</v>
      </c>
      <c r="H96" s="133"/>
      <c r="I96" s="278" t="s">
        <v>1460</v>
      </c>
      <c r="J96" s="279"/>
      <c r="K96" s="279"/>
      <c r="L96" s="279"/>
      <c r="M96" s="280">
        <f>+E29</f>
        <v>0.13</v>
      </c>
      <c r="N96" s="279"/>
      <c r="O96" s="281">
        <f>+SUM(O73:O95)*M96</f>
        <v>0</v>
      </c>
    </row>
    <row r="97" spans="1:16" s="132" customFormat="1" outlineLevel="2" x14ac:dyDescent="0.25">
      <c r="A97" s="283" t="s">
        <v>1459</v>
      </c>
      <c r="B97" s="284"/>
      <c r="C97" s="284"/>
      <c r="D97" s="284"/>
      <c r="E97" s="284"/>
      <c r="F97" s="284"/>
      <c r="G97" s="285">
        <f>+SUM(G74:G96)</f>
        <v>0</v>
      </c>
      <c r="H97" s="133"/>
      <c r="I97" s="283" t="s">
        <v>1459</v>
      </c>
      <c r="J97" s="284"/>
      <c r="K97" s="284"/>
      <c r="L97" s="284"/>
      <c r="M97" s="284"/>
      <c r="N97" s="284"/>
      <c r="O97" s="285">
        <f>+SUM(O74:O96)</f>
        <v>0</v>
      </c>
    </row>
    <row r="98" spans="1:16" s="132" customFormat="1" ht="14.25" outlineLevel="2" x14ac:dyDescent="0.2">
      <c r="A98" s="277" t="s">
        <v>1458</v>
      </c>
      <c r="B98" s="268"/>
      <c r="C98" s="268"/>
      <c r="D98" s="268"/>
      <c r="E98" s="274">
        <f>+B99+B100</f>
        <v>0.16</v>
      </c>
      <c r="F98" s="268"/>
      <c r="G98" s="270">
        <f>+G101-G97</f>
        <v>0</v>
      </c>
      <c r="H98" s="133"/>
      <c r="I98" s="277" t="s">
        <v>1458</v>
      </c>
      <c r="J98" s="268"/>
      <c r="K98" s="268"/>
      <c r="L98" s="268"/>
      <c r="M98" s="274">
        <f>+J99+J100</f>
        <v>0.16</v>
      </c>
      <c r="N98" s="268"/>
      <c r="O98" s="270">
        <f>+O101-O97</f>
        <v>0</v>
      </c>
    </row>
    <row r="99" spans="1:16" s="132" customFormat="1" ht="14.25" outlineLevel="2" x14ac:dyDescent="0.2">
      <c r="A99" s="287" t="s">
        <v>1457</v>
      </c>
      <c r="B99" s="288">
        <v>0.13</v>
      </c>
      <c r="C99" s="268"/>
      <c r="D99" s="268"/>
      <c r="E99" s="276"/>
      <c r="F99" s="268"/>
      <c r="G99" s="270"/>
      <c r="H99" s="133"/>
      <c r="I99" s="287" t="s">
        <v>1457</v>
      </c>
      <c r="J99" s="288">
        <v>0.13</v>
      </c>
      <c r="K99" s="268"/>
      <c r="L99" s="268"/>
      <c r="M99" s="276"/>
      <c r="N99" s="268"/>
      <c r="O99" s="270"/>
    </row>
    <row r="100" spans="1:16" s="132" customFormat="1" ht="14.25" outlineLevel="2" x14ac:dyDescent="0.2">
      <c r="A100" s="289" t="s">
        <v>1456</v>
      </c>
      <c r="B100" s="290">
        <v>0.03</v>
      </c>
      <c r="C100" s="279"/>
      <c r="D100" s="279"/>
      <c r="E100" s="291"/>
      <c r="F100" s="279"/>
      <c r="G100" s="281"/>
      <c r="H100" s="133"/>
      <c r="I100" s="289" t="s">
        <v>1456</v>
      </c>
      <c r="J100" s="290">
        <v>0.03</v>
      </c>
      <c r="K100" s="279"/>
      <c r="L100" s="279"/>
      <c r="M100" s="291"/>
      <c r="N100" s="279"/>
      <c r="O100" s="281"/>
    </row>
    <row r="101" spans="1:16" s="132" customFormat="1" outlineLevel="2" x14ac:dyDescent="0.25">
      <c r="A101" s="283" t="s">
        <v>1519</v>
      </c>
      <c r="B101" s="284"/>
      <c r="C101" s="284"/>
      <c r="D101" s="284"/>
      <c r="E101" s="284"/>
      <c r="F101" s="284"/>
      <c r="G101" s="285">
        <f>IFERROR((G97/0.84),0)</f>
        <v>0</v>
      </c>
      <c r="H101" s="133"/>
      <c r="I101" s="283" t="s">
        <v>1519</v>
      </c>
      <c r="J101" s="284"/>
      <c r="K101" s="284"/>
      <c r="L101" s="284"/>
      <c r="M101" s="284"/>
      <c r="N101" s="284"/>
      <c r="O101" s="285">
        <f>IFERROR((O97/0.84),0)</f>
        <v>0</v>
      </c>
    </row>
    <row r="102" spans="1:16" outlineLevel="2" x14ac:dyDescent="0.25"/>
    <row r="103" spans="1:16" x14ac:dyDescent="0.25">
      <c r="H103" s="99"/>
      <c r="I103" s="84"/>
    </row>
    <row r="104" spans="1:16" x14ac:dyDescent="0.25">
      <c r="G104" s="84"/>
      <c r="H104" s="99"/>
      <c r="I104" s="84"/>
    </row>
    <row r="105" spans="1:16" x14ac:dyDescent="0.25">
      <c r="B105" s="84"/>
      <c r="C105" s="84"/>
      <c r="D105" s="84"/>
      <c r="E105" s="84"/>
      <c r="F105" s="84"/>
      <c r="H105" s="99"/>
      <c r="I105" s="84"/>
      <c r="J105" s="84"/>
    </row>
    <row r="106" spans="1:16" x14ac:dyDescent="0.25">
      <c r="E106" s="84"/>
      <c r="G106" s="84"/>
      <c r="I106" s="84"/>
    </row>
    <row r="109" spans="1:16" x14ac:dyDescent="0.25">
      <c r="P109" s="100"/>
    </row>
  </sheetData>
  <customSheetViews>
    <customSheetView guid="{D98A1565-B6EB-4D88-8DB8-23EB436D0197}" scale="85">
      <selection activeCell="B1" sqref="B1"/>
      <pageMargins left="0.7" right="0.7" top="0.75" bottom="0.75" header="0.3" footer="0.3"/>
    </customSheetView>
  </customSheetViews>
  <mergeCells count="13">
    <mergeCell ref="A39:G39"/>
    <mergeCell ref="I39:O39"/>
    <mergeCell ref="C72:E72"/>
    <mergeCell ref="A73:G73"/>
    <mergeCell ref="C38:E38"/>
    <mergeCell ref="K38:M38"/>
    <mergeCell ref="K72:M72"/>
    <mergeCell ref="I73:O73"/>
    <mergeCell ref="E2:K2"/>
    <mergeCell ref="A6:G6"/>
    <mergeCell ref="I6:O6"/>
    <mergeCell ref="C5:E5"/>
    <mergeCell ref="K5:M5"/>
  </mergeCells>
  <pageMargins left="0.7" right="0.7" top="0.75" bottom="0.75" header="0.3" footer="0.3"/>
  <pageSetup scale="5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2:P109"/>
  <sheetViews>
    <sheetView zoomScale="70" zoomScaleNormal="70" workbookViewId="0">
      <selection activeCell="R21" sqref="R21"/>
    </sheetView>
  </sheetViews>
  <sheetFormatPr baseColWidth="10" defaultRowHeight="15" outlineLevelRow="2" x14ac:dyDescent="0.25"/>
  <cols>
    <col min="13" max="13" width="11.85546875" bestFit="1" customWidth="1"/>
  </cols>
  <sheetData>
    <row r="2" spans="1:15" ht="28.5" x14ac:dyDescent="0.45">
      <c r="E2" s="586" t="str">
        <f>+'HOJA DE TRABAJO'!L36</f>
        <v>SANTA CRUZ</v>
      </c>
      <c r="F2" s="586"/>
      <c r="G2" s="586"/>
      <c r="H2" s="586"/>
      <c r="I2" s="586"/>
      <c r="J2" s="586"/>
    </row>
    <row r="3" spans="1:15" s="132" customFormat="1" ht="14.25" x14ac:dyDescent="0.2"/>
    <row r="4" spans="1:15" s="132" customFormat="1" x14ac:dyDescent="0.25">
      <c r="A4" s="292" t="s">
        <v>1477</v>
      </c>
      <c r="B4" s="292"/>
      <c r="C4" s="292"/>
      <c r="D4" s="292"/>
      <c r="E4" s="268"/>
      <c r="F4" s="292" t="s">
        <v>11</v>
      </c>
      <c r="G4" s="292">
        <f>+'HOJA DE TRABAJO'!L38</f>
        <v>1</v>
      </c>
      <c r="H4" s="293"/>
      <c r="I4" s="292" t="s">
        <v>1477</v>
      </c>
      <c r="J4" s="292"/>
      <c r="K4" s="292"/>
      <c r="L4" s="292"/>
      <c r="M4" s="292"/>
      <c r="N4" s="292" t="s">
        <v>11</v>
      </c>
      <c r="O4" s="292">
        <f>+'HOJA DE TRABAJO'!L39</f>
        <v>0</v>
      </c>
    </row>
    <row r="5" spans="1:15" s="132" customFormat="1" x14ac:dyDescent="0.25">
      <c r="A5" s="294"/>
      <c r="B5" s="294" t="s">
        <v>1476</v>
      </c>
      <c r="C5" s="588" t="str">
        <f>+'HOJA DE TRABAJO'!C38:E38</f>
        <v>VENDEDOR INSTITUCIONAL</v>
      </c>
      <c r="D5" s="588"/>
      <c r="E5" s="588"/>
      <c r="F5" s="294"/>
      <c r="G5" s="294"/>
      <c r="H5" s="293"/>
      <c r="I5" s="294"/>
      <c r="J5" s="294" t="s">
        <v>1476</v>
      </c>
      <c r="K5" s="588">
        <f>+'HOJA DE TRABAJO'!C39</f>
        <v>0</v>
      </c>
      <c r="L5" s="588"/>
      <c r="M5" s="588"/>
      <c r="N5" s="294"/>
      <c r="O5" s="294"/>
    </row>
    <row r="6" spans="1:15" s="132" customFormat="1" ht="14.25" x14ac:dyDescent="0.2">
      <c r="A6" s="587" t="s">
        <v>1478</v>
      </c>
      <c r="B6" s="587"/>
      <c r="C6" s="587"/>
      <c r="D6" s="587"/>
      <c r="E6" s="587"/>
      <c r="F6" s="587"/>
      <c r="G6" s="587"/>
      <c r="H6" s="269"/>
      <c r="I6" s="587" t="s">
        <v>1478</v>
      </c>
      <c r="J6" s="587"/>
      <c r="K6" s="587"/>
      <c r="L6" s="587"/>
      <c r="M6" s="587"/>
      <c r="N6" s="587"/>
      <c r="O6" s="587"/>
    </row>
    <row r="7" spans="1:15" s="132" customFormat="1" ht="14.25" x14ac:dyDescent="0.2">
      <c r="A7" s="268"/>
      <c r="B7" s="268"/>
      <c r="C7" s="268"/>
      <c r="D7" s="268"/>
      <c r="E7" s="268"/>
      <c r="F7" s="268"/>
      <c r="G7" s="268"/>
      <c r="H7" s="133"/>
      <c r="I7" s="268"/>
      <c r="J7" s="268"/>
      <c r="K7" s="268"/>
      <c r="L7" s="268"/>
      <c r="M7" s="268"/>
      <c r="N7" s="268"/>
      <c r="O7" s="268"/>
    </row>
    <row r="8" spans="1:15" s="132" customFormat="1" ht="14.25" x14ac:dyDescent="0.2">
      <c r="A8" s="268" t="s">
        <v>1475</v>
      </c>
      <c r="B8" s="268"/>
      <c r="C8" s="268"/>
      <c r="D8" s="268"/>
      <c r="E8" s="268"/>
      <c r="F8" s="268"/>
      <c r="G8" s="270">
        <f>+'HOJA DE TRABAJO'!M38</f>
        <v>1942.02</v>
      </c>
      <c r="H8" s="271"/>
      <c r="I8" s="268" t="str">
        <f>A8</f>
        <v>Costo líquido por Supervisor  (líquido pagable Bs.)</v>
      </c>
      <c r="J8" s="268"/>
      <c r="K8" s="268"/>
      <c r="L8" s="268"/>
      <c r="M8" s="268"/>
      <c r="N8" s="268"/>
      <c r="O8" s="270">
        <f>+'HOJA DE TRABAJO'!M39</f>
        <v>0</v>
      </c>
    </row>
    <row r="9" spans="1:15" s="132" customFormat="1" ht="14.25" x14ac:dyDescent="0.2">
      <c r="A9" s="268" t="s">
        <v>1588</v>
      </c>
      <c r="B9" s="268"/>
      <c r="C9" s="268"/>
      <c r="D9" s="268"/>
      <c r="E9" s="268"/>
      <c r="F9" s="268"/>
      <c r="G9" s="270">
        <f>IF(G8=0,0,SUM('HOJA DE TRABAJO'!$R$29:$R$31))</f>
        <v>600</v>
      </c>
      <c r="H9" s="271"/>
      <c r="I9" s="268" t="s">
        <v>1588</v>
      </c>
      <c r="J9" s="268"/>
      <c r="K9" s="268"/>
      <c r="L9" s="268"/>
      <c r="M9" s="268"/>
      <c r="N9" s="268"/>
      <c r="O9" s="270">
        <f>IF(O8=0,0,SUM('HOJA DE TRABAJO'!$R$29:$R$31))</f>
        <v>0</v>
      </c>
    </row>
    <row r="10" spans="1:15" s="132" customFormat="1" ht="14.25" x14ac:dyDescent="0.2">
      <c r="A10" s="272" t="s">
        <v>1474</v>
      </c>
      <c r="B10" s="268"/>
      <c r="C10" s="268"/>
      <c r="D10" s="268"/>
      <c r="E10" s="268"/>
      <c r="F10" s="268"/>
      <c r="G10" s="270"/>
      <c r="H10" s="271"/>
      <c r="I10" s="272" t="s">
        <v>1474</v>
      </c>
      <c r="J10" s="268"/>
      <c r="K10" s="268"/>
      <c r="L10" s="268"/>
      <c r="M10" s="268"/>
      <c r="N10" s="268"/>
      <c r="O10" s="270"/>
    </row>
    <row r="11" spans="1:15" s="132" customFormat="1" x14ac:dyDescent="0.25">
      <c r="A11" s="273" t="s">
        <v>1473</v>
      </c>
      <c r="B11" s="268"/>
      <c r="C11" s="268"/>
      <c r="D11" s="268"/>
      <c r="E11" s="268"/>
      <c r="F11" s="274">
        <f>+SUM(E12:E15)</f>
        <v>0.12710000000000002</v>
      </c>
      <c r="G11" s="270">
        <f>+(G8*100/87.29-G8)+(G9*F11)</f>
        <v>359.03092679573797</v>
      </c>
      <c r="H11" s="271"/>
      <c r="I11" s="273" t="s">
        <v>1473</v>
      </c>
      <c r="J11" s="268"/>
      <c r="K11" s="268"/>
      <c r="L11" s="268"/>
      <c r="M11" s="268"/>
      <c r="N11" s="274">
        <f>+SUM(M12:M15)</f>
        <v>0.12710000000000002</v>
      </c>
      <c r="O11" s="270">
        <f>+(O8*100/87.29-O8)+(N11*O9)</f>
        <v>0</v>
      </c>
    </row>
    <row r="12" spans="1:15" s="132" customFormat="1" ht="14.25" x14ac:dyDescent="0.2">
      <c r="A12" s="275" t="s">
        <v>1472</v>
      </c>
      <c r="B12" s="268"/>
      <c r="C12" s="268"/>
      <c r="D12" s="268"/>
      <c r="E12" s="276">
        <v>0.1</v>
      </c>
      <c r="F12" s="268"/>
      <c r="G12" s="270"/>
      <c r="H12" s="271"/>
      <c r="I12" s="275" t="s">
        <v>1472</v>
      </c>
      <c r="J12" s="268"/>
      <c r="K12" s="268"/>
      <c r="L12" s="268"/>
      <c r="M12" s="276">
        <v>0.1</v>
      </c>
      <c r="N12" s="268"/>
      <c r="O12" s="270"/>
    </row>
    <row r="13" spans="1:15" s="132" customFormat="1" ht="14.25" x14ac:dyDescent="0.2">
      <c r="A13" s="275" t="s">
        <v>1471</v>
      </c>
      <c r="B13" s="268"/>
      <c r="C13" s="268"/>
      <c r="D13" s="268"/>
      <c r="E13" s="276">
        <v>1.7100000000000001E-2</v>
      </c>
      <c r="F13" s="268"/>
      <c r="G13" s="270"/>
      <c r="H13" s="271"/>
      <c r="I13" s="275" t="s">
        <v>1471</v>
      </c>
      <c r="J13" s="268"/>
      <c r="K13" s="268"/>
      <c r="L13" s="268"/>
      <c r="M13" s="276">
        <v>1.7100000000000001E-2</v>
      </c>
      <c r="N13" s="268"/>
      <c r="O13" s="270"/>
    </row>
    <row r="14" spans="1:15" s="132" customFormat="1" ht="14.25" x14ac:dyDescent="0.2">
      <c r="A14" s="275" t="s">
        <v>1470</v>
      </c>
      <c r="B14" s="268"/>
      <c r="C14" s="268"/>
      <c r="D14" s="268"/>
      <c r="E14" s="276">
        <v>5.0000000000000001E-3</v>
      </c>
      <c r="F14" s="268"/>
      <c r="G14" s="270"/>
      <c r="H14" s="271"/>
      <c r="I14" s="275" t="s">
        <v>1470</v>
      </c>
      <c r="J14" s="268"/>
      <c r="K14" s="268"/>
      <c r="L14" s="268"/>
      <c r="M14" s="276">
        <v>5.0000000000000001E-3</v>
      </c>
      <c r="N14" s="268"/>
      <c r="O14" s="270"/>
    </row>
    <row r="15" spans="1:15" s="132" customFormat="1" ht="14.25" x14ac:dyDescent="0.2">
      <c r="A15" s="275" t="s">
        <v>1466</v>
      </c>
      <c r="B15" s="268"/>
      <c r="C15" s="268"/>
      <c r="D15" s="268"/>
      <c r="E15" s="276">
        <f>+E14</f>
        <v>5.0000000000000001E-3</v>
      </c>
      <c r="F15" s="268"/>
      <c r="G15" s="270"/>
      <c r="H15" s="271"/>
      <c r="I15" s="275" t="s">
        <v>1466</v>
      </c>
      <c r="J15" s="268"/>
      <c r="K15" s="268"/>
      <c r="L15" s="268"/>
      <c r="M15" s="276">
        <f>+M14</f>
        <v>5.0000000000000001E-3</v>
      </c>
      <c r="N15" s="268"/>
      <c r="O15" s="270"/>
    </row>
    <row r="16" spans="1:15" s="132" customFormat="1" x14ac:dyDescent="0.25">
      <c r="A16" s="273" t="s">
        <v>1469</v>
      </c>
      <c r="B16" s="268"/>
      <c r="C16" s="268"/>
      <c r="D16" s="268"/>
      <c r="E16" s="276"/>
      <c r="F16" s="274">
        <f>+SUM(E17:E26)</f>
        <v>0.83360000000000001</v>
      </c>
      <c r="G16" s="270">
        <f>(G8+G11+G9)*F16</f>
        <v>2418.3160525769272</v>
      </c>
      <c r="H16" s="271"/>
      <c r="I16" s="273" t="s">
        <v>1469</v>
      </c>
      <c r="J16" s="268"/>
      <c r="K16" s="268"/>
      <c r="L16" s="268"/>
      <c r="M16" s="276"/>
      <c r="N16" s="274">
        <f>+SUM(M17:M26)</f>
        <v>0.83360000000000001</v>
      </c>
      <c r="O16" s="270">
        <f>(O8+O11+O9)*N16</f>
        <v>0</v>
      </c>
    </row>
    <row r="17" spans="1:16" s="132" customFormat="1" ht="14.25" x14ac:dyDescent="0.2">
      <c r="A17" s="275" t="s">
        <v>1468</v>
      </c>
      <c r="B17" s="268"/>
      <c r="C17" s="268"/>
      <c r="D17" s="268"/>
      <c r="E17" s="276">
        <v>0.1</v>
      </c>
      <c r="F17" s="268"/>
      <c r="G17" s="270"/>
      <c r="H17" s="271"/>
      <c r="I17" s="275" t="s">
        <v>1468</v>
      </c>
      <c r="J17" s="268"/>
      <c r="K17" s="268"/>
      <c r="L17" s="268"/>
      <c r="M17" s="276">
        <v>0.1</v>
      </c>
      <c r="N17" s="268"/>
      <c r="O17" s="270"/>
    </row>
    <row r="18" spans="1:16" s="132" customFormat="1" ht="14.25" x14ac:dyDescent="0.2">
      <c r="A18" s="275" t="s">
        <v>1466</v>
      </c>
      <c r="B18" s="268"/>
      <c r="C18" s="268"/>
      <c r="D18" s="268"/>
      <c r="E18" s="276">
        <v>0.03</v>
      </c>
      <c r="F18" s="268"/>
      <c r="G18" s="270"/>
      <c r="H18" s="271"/>
      <c r="I18" s="275" t="s">
        <v>1466</v>
      </c>
      <c r="J18" s="268"/>
      <c r="K18" s="268"/>
      <c r="L18" s="268"/>
      <c r="M18" s="276">
        <v>0.03</v>
      </c>
      <c r="N18" s="268"/>
      <c r="O18" s="270"/>
    </row>
    <row r="19" spans="1:16" s="132" customFormat="1" ht="14.25" x14ac:dyDescent="0.2">
      <c r="A19" s="275" t="s">
        <v>1465</v>
      </c>
      <c r="B19" s="268"/>
      <c r="C19" s="268"/>
      <c r="D19" s="268"/>
      <c r="E19" s="276">
        <v>3.7100000000000001E-2</v>
      </c>
      <c r="F19" s="268"/>
      <c r="G19" s="270"/>
      <c r="H19" s="271"/>
      <c r="I19" s="275" t="s">
        <v>1465</v>
      </c>
      <c r="J19" s="268"/>
      <c r="K19" s="268"/>
      <c r="L19" s="268"/>
      <c r="M19" s="276">
        <v>3.7100000000000001E-2</v>
      </c>
      <c r="N19" s="268"/>
      <c r="O19" s="270"/>
    </row>
    <row r="20" spans="1:16" s="132" customFormat="1" ht="14.25" x14ac:dyDescent="0.2">
      <c r="A20" s="275" t="s">
        <v>1500</v>
      </c>
      <c r="B20" s="268"/>
      <c r="C20" s="268"/>
      <c r="D20" s="268"/>
      <c r="E20" s="276">
        <f>+IF('HOJA DE TRABAJO'!$J$17="SI",0,IF('HOJA DE TRABAJO'!$J$17="NO",0.0833,))</f>
        <v>8.3299999999999999E-2</v>
      </c>
      <c r="F20" s="268"/>
      <c r="G20" s="270"/>
      <c r="H20" s="271"/>
      <c r="I20" s="275" t="s">
        <v>1500</v>
      </c>
      <c r="J20" s="268"/>
      <c r="K20" s="268"/>
      <c r="L20" s="268"/>
      <c r="M20" s="276">
        <f>+IF('HOJA DE TRABAJO'!$J$17="SI",0,IF('HOJA DE TRABAJO'!$J$17="NO",0.0833,))</f>
        <v>8.3299999999999999E-2</v>
      </c>
      <c r="N20" s="268"/>
      <c r="O20" s="270"/>
    </row>
    <row r="21" spans="1:16" s="132" customFormat="1" ht="14.25" x14ac:dyDescent="0.2">
      <c r="A21" s="275" t="s">
        <v>1463</v>
      </c>
      <c r="B21" s="268"/>
      <c r="C21" s="268"/>
      <c r="D21" s="268"/>
      <c r="E21" s="276">
        <f>+IF('HOJA DE TRABAJO'!$J$17="SI",0,IF('HOJA DE TRABAJO'!$J$17="NO",0.0833,))</f>
        <v>8.3299999999999999E-2</v>
      </c>
      <c r="F21" s="268"/>
      <c r="G21" s="270"/>
      <c r="H21" s="271"/>
      <c r="I21" s="275" t="s">
        <v>1463</v>
      </c>
      <c r="J21" s="268"/>
      <c r="K21" s="268"/>
      <c r="L21" s="268"/>
      <c r="M21" s="276">
        <f>+IF('HOJA DE TRABAJO'!$J$17="SI",0,IF('HOJA DE TRABAJO'!$J$17="NO",0.0833,))</f>
        <v>8.3299999999999999E-2</v>
      </c>
      <c r="N21" s="268"/>
      <c r="O21" s="270"/>
    </row>
    <row r="22" spans="1:16" s="132" customFormat="1" ht="14.25" x14ac:dyDescent="0.2">
      <c r="A22" s="275" t="str">
        <f>+'HOJA DE TRABAJO'!$B$29</f>
        <v xml:space="preserve">Previsión Segundo  Aguinaldo </v>
      </c>
      <c r="B22" s="268"/>
      <c r="C22" s="268"/>
      <c r="D22" s="268"/>
      <c r="E22" s="276">
        <f>+'HOJA DE TRABAJO'!$E$29</f>
        <v>8.3299999999999999E-2</v>
      </c>
      <c r="F22" s="268"/>
      <c r="G22" s="270"/>
      <c r="H22" s="271"/>
      <c r="I22" s="275" t="str">
        <f>+'HOJA DE TRABAJO'!$B$29</f>
        <v xml:space="preserve">Previsión Segundo  Aguinaldo </v>
      </c>
      <c r="J22" s="268"/>
      <c r="K22" s="268"/>
      <c r="L22" s="268"/>
      <c r="M22" s="276">
        <f>+'HOJA DE TRABAJO'!$E$29</f>
        <v>8.3299999999999999E-2</v>
      </c>
      <c r="N22" s="268"/>
      <c r="O22" s="270"/>
    </row>
    <row r="23" spans="1:16" s="132" customFormat="1" ht="14.25" x14ac:dyDescent="0.2">
      <c r="A23" s="275" t="str">
        <f>+'HOJA DE TRABAJO'!$B$30</f>
        <v>Seguro de Accidente</v>
      </c>
      <c r="B23" s="268"/>
      <c r="C23" s="268"/>
      <c r="D23" s="268"/>
      <c r="E23" s="276">
        <f>+'HOJA DE TRABAJO'!$E$30</f>
        <v>0</v>
      </c>
      <c r="F23" s="268"/>
      <c r="G23" s="270"/>
      <c r="H23" s="271"/>
      <c r="I23" s="275" t="str">
        <f>+'HOJA DE TRABAJO'!$B$30</f>
        <v>Seguro de Accidente</v>
      </c>
      <c r="J23" s="268"/>
      <c r="K23" s="268"/>
      <c r="L23" s="268"/>
      <c r="M23" s="276">
        <f>+'HOJA DE TRABAJO'!$E$30</f>
        <v>0</v>
      </c>
      <c r="N23" s="268"/>
      <c r="O23" s="270"/>
    </row>
    <row r="24" spans="1:16" s="132" customFormat="1" ht="14.25" x14ac:dyDescent="0.2">
      <c r="A24" s="275" t="str">
        <f>+'HOJA DE TRABAJO'!$B$31</f>
        <v xml:space="preserve">Vacaciones </v>
      </c>
      <c r="B24" s="268"/>
      <c r="C24" s="268"/>
      <c r="D24" s="268"/>
      <c r="E24" s="276">
        <f>+'HOJA DE TRABAJO'!$E$31</f>
        <v>0</v>
      </c>
      <c r="F24" s="268"/>
      <c r="G24" s="270"/>
      <c r="H24" s="271"/>
      <c r="I24" s="275" t="str">
        <f>+'HOJA DE TRABAJO'!$B$31</f>
        <v xml:space="preserve">Vacaciones </v>
      </c>
      <c r="J24" s="268"/>
      <c r="K24" s="268"/>
      <c r="L24" s="268"/>
      <c r="M24" s="276">
        <f>+'HOJA DE TRABAJO'!$E$31</f>
        <v>0</v>
      </c>
      <c r="N24" s="268"/>
      <c r="O24" s="270"/>
    </row>
    <row r="25" spans="1:16" s="132" customFormat="1" ht="14.25" x14ac:dyDescent="0.2">
      <c r="A25" s="275" t="str">
        <f>+'HOJA DE TRABAJO'!$F$29</f>
        <v xml:space="preserve">Previsicion de Subsidio </v>
      </c>
      <c r="B25" s="268"/>
      <c r="C25" s="268"/>
      <c r="D25" s="268"/>
      <c r="E25" s="276">
        <f>+'HOJA DE TRABAJO'!$L$29</f>
        <v>0.33329999999999999</v>
      </c>
      <c r="F25" s="268"/>
      <c r="G25" s="270"/>
      <c r="H25" s="271"/>
      <c r="I25" s="275" t="str">
        <f>+'HOJA DE TRABAJO'!$F$29</f>
        <v xml:space="preserve">Previsicion de Subsidio </v>
      </c>
      <c r="J25" s="268"/>
      <c r="K25" s="268"/>
      <c r="L25" s="268"/>
      <c r="M25" s="276">
        <f>+'HOJA DE TRABAJO'!$L$29</f>
        <v>0.33329999999999999</v>
      </c>
      <c r="N25" s="268"/>
      <c r="O25" s="270"/>
    </row>
    <row r="26" spans="1:16" s="132" customFormat="1" ht="14.25" x14ac:dyDescent="0.2">
      <c r="A26" s="275" t="str">
        <f>+'HOJA DE TRABAJO'!$F$30</f>
        <v>Previsicion de Desahucio</v>
      </c>
      <c r="B26" s="268"/>
      <c r="C26" s="268"/>
      <c r="D26" s="268"/>
      <c r="E26" s="276">
        <f>+'HOJA DE TRABAJO'!$L$30</f>
        <v>8.3299999999999999E-2</v>
      </c>
      <c r="F26" s="268"/>
      <c r="G26" s="270"/>
      <c r="H26" s="271"/>
      <c r="I26" s="275" t="str">
        <f>+'HOJA DE TRABAJO'!$F$30</f>
        <v>Previsicion de Desahucio</v>
      </c>
      <c r="J26" s="268"/>
      <c r="K26" s="268"/>
      <c r="L26" s="268"/>
      <c r="M26" s="276">
        <f>+'HOJA DE TRABAJO'!$L$30</f>
        <v>8.3299999999999999E-2</v>
      </c>
      <c r="N26" s="268"/>
      <c r="O26" s="270"/>
    </row>
    <row r="27" spans="1:16" s="132" customFormat="1" ht="14.25" x14ac:dyDescent="0.2">
      <c r="A27" s="277" t="s">
        <v>1461</v>
      </c>
      <c r="B27" s="268"/>
      <c r="C27" s="268"/>
      <c r="D27" s="268"/>
      <c r="E27" s="276"/>
      <c r="F27" s="268"/>
      <c r="G27" s="270">
        <f>IF(G4=0,0,(('HOJA DE TRABAJO'!$U$108)/'HOJA DE TRABAJO'!$BA$44))</f>
        <v>684.49998225460638</v>
      </c>
      <c r="H27" s="337"/>
      <c r="I27" s="277" t="s">
        <v>1461</v>
      </c>
      <c r="J27" s="268"/>
      <c r="K27" s="268"/>
      <c r="L27" s="268"/>
      <c r="M27" s="276"/>
      <c r="N27" s="268"/>
      <c r="O27" s="270">
        <f>IF(O4=0,0,(('HOJA DE TRABAJO'!$U$108)/'HOJA DE TRABAJO'!$BA$44))</f>
        <v>0</v>
      </c>
      <c r="P27" s="123"/>
    </row>
    <row r="28" spans="1:16" s="132" customFormat="1" ht="14.25" x14ac:dyDescent="0.2">
      <c r="A28" s="277" t="s">
        <v>1504</v>
      </c>
      <c r="B28" s="268"/>
      <c r="C28" s="268"/>
      <c r="D28" s="268"/>
      <c r="E28" s="274">
        <f>+'HOJA DE TRABAJO'!$H$116*'HOJA DE TRABAJO'!$F$19</f>
        <v>1.6346153846153847E-2</v>
      </c>
      <c r="F28" s="268"/>
      <c r="G28" s="270">
        <f>(SUM(G7:G27)*E28)+IF(G4=0,0,'HOJA DE TRABAJO'!$J$119)</f>
        <v>98.349874324021016</v>
      </c>
      <c r="H28" s="271"/>
      <c r="I28" s="277" t="s">
        <v>1503</v>
      </c>
      <c r="J28" s="268"/>
      <c r="K28" s="268"/>
      <c r="L28" s="268"/>
      <c r="M28" s="274">
        <f>+'HOJA DE TRABAJO'!$H$116*'HOJA DE TRABAJO'!$F$19</f>
        <v>1.6346153846153847E-2</v>
      </c>
      <c r="N28" s="268"/>
      <c r="O28" s="270">
        <f>(SUM(O7:O27)*M28)+IF(O4=0,0,'HOJA DE TRABAJO'!$J$119)</f>
        <v>0</v>
      </c>
    </row>
    <row r="29" spans="1:16" s="132" customFormat="1" ht="14.25" x14ac:dyDescent="0.2">
      <c r="A29" s="278" t="s">
        <v>1460</v>
      </c>
      <c r="B29" s="279"/>
      <c r="C29" s="279"/>
      <c r="D29" s="279"/>
      <c r="E29" s="280">
        <f>+'HOJA 1 aux'!E29</f>
        <v>0.13</v>
      </c>
      <c r="F29" s="279"/>
      <c r="G29" s="281">
        <f>+SUM(G6:G28)*E29</f>
        <v>793.28818867366795</v>
      </c>
      <c r="H29" s="282"/>
      <c r="I29" s="278" t="s">
        <v>1460</v>
      </c>
      <c r="J29" s="279"/>
      <c r="K29" s="279"/>
      <c r="L29" s="279"/>
      <c r="M29" s="280">
        <f>+E29</f>
        <v>0.13</v>
      </c>
      <c r="N29" s="279"/>
      <c r="O29" s="281">
        <f>+SUM(O6:O28)*M29</f>
        <v>0</v>
      </c>
    </row>
    <row r="30" spans="1:16" s="132" customFormat="1" x14ac:dyDescent="0.25">
      <c r="A30" s="283" t="s">
        <v>1459</v>
      </c>
      <c r="B30" s="284"/>
      <c r="C30" s="284"/>
      <c r="D30" s="284"/>
      <c r="E30" s="284"/>
      <c r="F30" s="284"/>
      <c r="G30" s="285">
        <f>+SUM(G7:G29)</f>
        <v>6895.5050246249593</v>
      </c>
      <c r="H30" s="286"/>
      <c r="I30" s="283" t="s">
        <v>1459</v>
      </c>
      <c r="J30" s="284"/>
      <c r="K30" s="284"/>
      <c r="L30" s="284"/>
      <c r="M30" s="284"/>
      <c r="N30" s="284"/>
      <c r="O30" s="285">
        <f>+SUM(O7:O29)</f>
        <v>0</v>
      </c>
    </row>
    <row r="31" spans="1:16" s="132" customFormat="1" ht="14.25" x14ac:dyDescent="0.2">
      <c r="A31" s="277" t="s">
        <v>1458</v>
      </c>
      <c r="B31" s="268"/>
      <c r="C31" s="268"/>
      <c r="D31" s="268"/>
      <c r="E31" s="274">
        <f>+B32+B33</f>
        <v>0.16</v>
      </c>
      <c r="F31" s="268"/>
      <c r="G31" s="270">
        <f>+G34-G30</f>
        <v>1313.4295284999935</v>
      </c>
      <c r="H31" s="271"/>
      <c r="I31" s="277" t="s">
        <v>1458</v>
      </c>
      <c r="J31" s="268"/>
      <c r="K31" s="268"/>
      <c r="L31" s="268"/>
      <c r="M31" s="274">
        <f>+J32+J33</f>
        <v>0.16</v>
      </c>
      <c r="N31" s="268"/>
      <c r="O31" s="270">
        <f>+O34-O30</f>
        <v>0</v>
      </c>
    </row>
    <row r="32" spans="1:16" s="132" customFormat="1" ht="14.25" x14ac:dyDescent="0.2">
      <c r="A32" s="287" t="s">
        <v>1457</v>
      </c>
      <c r="B32" s="288">
        <v>0.13</v>
      </c>
      <c r="C32" s="268"/>
      <c r="D32" s="268"/>
      <c r="E32" s="276"/>
      <c r="F32" s="268"/>
      <c r="G32" s="270"/>
      <c r="H32" s="271"/>
      <c r="I32" s="287" t="s">
        <v>1457</v>
      </c>
      <c r="J32" s="288">
        <v>0.13</v>
      </c>
      <c r="K32" s="268"/>
      <c r="L32" s="268"/>
      <c r="M32" s="276"/>
      <c r="N32" s="268"/>
      <c r="O32" s="270"/>
    </row>
    <row r="33" spans="1:15" s="132" customFormat="1" ht="14.25" x14ac:dyDescent="0.2">
      <c r="A33" s="289" t="s">
        <v>1456</v>
      </c>
      <c r="B33" s="290">
        <v>0.03</v>
      </c>
      <c r="C33" s="279"/>
      <c r="D33" s="279"/>
      <c r="E33" s="291"/>
      <c r="F33" s="279"/>
      <c r="G33" s="281"/>
      <c r="H33" s="282"/>
      <c r="I33" s="289" t="s">
        <v>1456</v>
      </c>
      <c r="J33" s="290">
        <v>0.03</v>
      </c>
      <c r="K33" s="279"/>
      <c r="L33" s="279"/>
      <c r="M33" s="291"/>
      <c r="N33" s="279"/>
      <c r="O33" s="281"/>
    </row>
    <row r="34" spans="1:15" s="132" customFormat="1" x14ac:dyDescent="0.25">
      <c r="A34" s="283" t="s">
        <v>1519</v>
      </c>
      <c r="B34" s="284"/>
      <c r="C34" s="284"/>
      <c r="D34" s="284"/>
      <c r="E34" s="284"/>
      <c r="F34" s="284"/>
      <c r="G34" s="295">
        <f>IFERROR((G30/0.84),0)</f>
        <v>8208.9345531249528</v>
      </c>
      <c r="H34" s="286"/>
      <c r="I34" s="283" t="s">
        <v>1519</v>
      </c>
      <c r="J34" s="284"/>
      <c r="K34" s="284"/>
      <c r="L34" s="284"/>
      <c r="M34" s="284"/>
      <c r="N34" s="284"/>
      <c r="O34" s="285">
        <f>IFERROR((O30/0.84),0)</f>
        <v>0</v>
      </c>
    </row>
    <row r="35" spans="1:15" s="132" customFormat="1" ht="14.25" x14ac:dyDescent="0.2">
      <c r="H35" s="133"/>
    </row>
    <row r="36" spans="1:15" s="132" customFormat="1" ht="14.25" x14ac:dyDescent="0.2">
      <c r="H36" s="133"/>
    </row>
    <row r="37" spans="1:15" s="132" customFormat="1" outlineLevel="1" x14ac:dyDescent="0.25">
      <c r="A37" s="292" t="s">
        <v>1477</v>
      </c>
      <c r="B37" s="292"/>
      <c r="C37" s="292"/>
      <c r="D37" s="292"/>
      <c r="E37" s="268"/>
      <c r="F37" s="292" t="s">
        <v>11</v>
      </c>
      <c r="G37" s="292">
        <f>+'HOJA DE TRABAJO'!L40</f>
        <v>0</v>
      </c>
      <c r="H37" s="293"/>
      <c r="I37" s="292" t="s">
        <v>1477</v>
      </c>
      <c r="J37" s="292"/>
      <c r="K37" s="292"/>
      <c r="L37" s="292"/>
      <c r="M37" s="268"/>
      <c r="N37" s="292" t="s">
        <v>11</v>
      </c>
      <c r="O37" s="292">
        <f>+'HOJA DE TRABAJO'!L41</f>
        <v>0</v>
      </c>
    </row>
    <row r="38" spans="1:15" s="132" customFormat="1" outlineLevel="1" x14ac:dyDescent="0.25">
      <c r="A38" s="294"/>
      <c r="B38" s="294" t="s">
        <v>1476</v>
      </c>
      <c r="C38" s="588">
        <f>+'HOJA DE TRABAJO'!C40</f>
        <v>0</v>
      </c>
      <c r="D38" s="588"/>
      <c r="E38" s="588"/>
      <c r="F38" s="294"/>
      <c r="G38" s="294"/>
      <c r="H38" s="269"/>
      <c r="I38" s="294"/>
      <c r="J38" s="294" t="s">
        <v>1476</v>
      </c>
      <c r="K38" s="588">
        <f>+'HOJA DE TRABAJO'!C41</f>
        <v>0</v>
      </c>
      <c r="L38" s="588"/>
      <c r="M38" s="588"/>
      <c r="N38" s="294"/>
      <c r="O38" s="294"/>
    </row>
    <row r="39" spans="1:15" s="132" customFormat="1" ht="14.25" outlineLevel="1" x14ac:dyDescent="0.2">
      <c r="A39" s="587" t="s">
        <v>1478</v>
      </c>
      <c r="B39" s="587"/>
      <c r="C39" s="587"/>
      <c r="D39" s="587"/>
      <c r="E39" s="587"/>
      <c r="F39" s="587"/>
      <c r="G39" s="587"/>
      <c r="H39" s="133"/>
      <c r="I39" s="587" t="s">
        <v>1478</v>
      </c>
      <c r="J39" s="587"/>
      <c r="K39" s="587"/>
      <c r="L39" s="587"/>
      <c r="M39" s="587"/>
      <c r="N39" s="587"/>
      <c r="O39" s="587"/>
    </row>
    <row r="40" spans="1:15" s="132" customFormat="1" ht="14.25" outlineLevel="1" x14ac:dyDescent="0.2">
      <c r="A40" s="268" t="s">
        <v>1475</v>
      </c>
      <c r="B40" s="268"/>
      <c r="C40" s="268"/>
      <c r="D40" s="268"/>
      <c r="E40" s="268"/>
      <c r="F40" s="268"/>
      <c r="G40" s="270">
        <f>+'HOJA DE TRABAJO'!M40</f>
        <v>0</v>
      </c>
      <c r="H40" s="271"/>
      <c r="I40" s="268" t="str">
        <f>A40</f>
        <v>Costo líquido por Supervisor  (líquido pagable Bs.)</v>
      </c>
      <c r="J40" s="268"/>
      <c r="K40" s="268"/>
      <c r="L40" s="268"/>
      <c r="M40" s="268"/>
      <c r="N40" s="268"/>
      <c r="O40" s="270">
        <f>+'HOJA DE TRABAJO'!M41</f>
        <v>0</v>
      </c>
    </row>
    <row r="41" spans="1:15" s="132" customFormat="1" ht="14.25" outlineLevel="1" x14ac:dyDescent="0.2">
      <c r="A41" s="268" t="s">
        <v>1588</v>
      </c>
      <c r="B41" s="268"/>
      <c r="C41" s="268"/>
      <c r="D41" s="268"/>
      <c r="E41" s="268"/>
      <c r="F41" s="268"/>
      <c r="G41" s="270">
        <f>IF(G40=0,0,SUM('HOJA DE TRABAJO'!$R$29:$R$31))</f>
        <v>0</v>
      </c>
      <c r="H41" s="271"/>
      <c r="I41" s="268" t="s">
        <v>1588</v>
      </c>
      <c r="J41" s="268"/>
      <c r="K41" s="268"/>
      <c r="L41" s="268"/>
      <c r="M41" s="268"/>
      <c r="N41" s="268"/>
      <c r="O41" s="270">
        <f>IF(O40=0,0,SUM('HOJA DE TRABAJO'!$R$29:$R$31))</f>
        <v>0</v>
      </c>
    </row>
    <row r="42" spans="1:15" s="132" customFormat="1" ht="14.25" outlineLevel="1" x14ac:dyDescent="0.2">
      <c r="A42" s="272" t="s">
        <v>1474</v>
      </c>
      <c r="B42" s="268"/>
      <c r="C42" s="268"/>
      <c r="D42" s="268"/>
      <c r="E42" s="268"/>
      <c r="F42" s="268"/>
      <c r="G42" s="270"/>
      <c r="H42" s="271"/>
      <c r="I42" s="272" t="s">
        <v>1474</v>
      </c>
      <c r="J42" s="268"/>
      <c r="K42" s="268"/>
      <c r="L42" s="268"/>
      <c r="M42" s="268"/>
      <c r="N42" s="268"/>
      <c r="O42" s="270"/>
    </row>
    <row r="43" spans="1:15" s="132" customFormat="1" outlineLevel="1" x14ac:dyDescent="0.25">
      <c r="A43" s="273" t="s">
        <v>1473</v>
      </c>
      <c r="B43" s="268"/>
      <c r="C43" s="268"/>
      <c r="D43" s="268"/>
      <c r="E43" s="268"/>
      <c r="F43" s="274">
        <f>+SUM(E44:E47)</f>
        <v>0.12710000000000002</v>
      </c>
      <c r="G43" s="270">
        <f>+(G40*100/87.29-G40)+(F43*G41)</f>
        <v>0</v>
      </c>
      <c r="H43" s="271"/>
      <c r="I43" s="273" t="s">
        <v>1473</v>
      </c>
      <c r="J43" s="268"/>
      <c r="K43" s="268"/>
      <c r="L43" s="268"/>
      <c r="M43" s="268"/>
      <c r="N43" s="274">
        <f>+SUM(M44:M47)</f>
        <v>0.12710000000000002</v>
      </c>
      <c r="O43" s="270">
        <f>+(O40*100/87.29-O40)+(N43*O41)</f>
        <v>0</v>
      </c>
    </row>
    <row r="44" spans="1:15" s="132" customFormat="1" ht="14.25" outlineLevel="1" x14ac:dyDescent="0.2">
      <c r="A44" s="275" t="s">
        <v>1472</v>
      </c>
      <c r="B44" s="268"/>
      <c r="C44" s="268"/>
      <c r="D44" s="268"/>
      <c r="E44" s="276">
        <v>0.1</v>
      </c>
      <c r="F44" s="268"/>
      <c r="G44" s="270"/>
      <c r="H44" s="271"/>
      <c r="I44" s="275" t="s">
        <v>1472</v>
      </c>
      <c r="J44" s="268"/>
      <c r="K44" s="268"/>
      <c r="L44" s="268"/>
      <c r="M44" s="276">
        <v>0.1</v>
      </c>
      <c r="N44" s="268"/>
      <c r="O44" s="270"/>
    </row>
    <row r="45" spans="1:15" s="132" customFormat="1" ht="14.25" outlineLevel="1" x14ac:dyDescent="0.2">
      <c r="A45" s="275" t="s">
        <v>1471</v>
      </c>
      <c r="B45" s="268"/>
      <c r="C45" s="268"/>
      <c r="D45" s="268"/>
      <c r="E45" s="276">
        <v>1.7100000000000001E-2</v>
      </c>
      <c r="F45" s="268"/>
      <c r="G45" s="270"/>
      <c r="H45" s="271"/>
      <c r="I45" s="275" t="s">
        <v>1471</v>
      </c>
      <c r="J45" s="268"/>
      <c r="K45" s="268"/>
      <c r="L45" s="268"/>
      <c r="M45" s="276">
        <v>1.7100000000000001E-2</v>
      </c>
      <c r="N45" s="268"/>
      <c r="O45" s="270"/>
    </row>
    <row r="46" spans="1:15" s="132" customFormat="1" ht="14.25" outlineLevel="1" x14ac:dyDescent="0.2">
      <c r="A46" s="275" t="s">
        <v>1470</v>
      </c>
      <c r="B46" s="268"/>
      <c r="C46" s="268"/>
      <c r="D46" s="268"/>
      <c r="E46" s="276">
        <v>5.0000000000000001E-3</v>
      </c>
      <c r="F46" s="268"/>
      <c r="G46" s="270"/>
      <c r="H46" s="271"/>
      <c r="I46" s="275" t="s">
        <v>1470</v>
      </c>
      <c r="J46" s="268"/>
      <c r="K46" s="268"/>
      <c r="L46" s="268"/>
      <c r="M46" s="276">
        <v>5.0000000000000001E-3</v>
      </c>
      <c r="N46" s="268"/>
      <c r="O46" s="270"/>
    </row>
    <row r="47" spans="1:15" s="132" customFormat="1" ht="14.25" outlineLevel="1" x14ac:dyDescent="0.2">
      <c r="A47" s="275" t="s">
        <v>1466</v>
      </c>
      <c r="B47" s="268"/>
      <c r="C47" s="268"/>
      <c r="D47" s="268"/>
      <c r="E47" s="276">
        <f>+E46</f>
        <v>5.0000000000000001E-3</v>
      </c>
      <c r="F47" s="268"/>
      <c r="G47" s="270"/>
      <c r="H47" s="271"/>
      <c r="I47" s="275" t="s">
        <v>1466</v>
      </c>
      <c r="J47" s="268"/>
      <c r="K47" s="268"/>
      <c r="L47" s="268"/>
      <c r="M47" s="276">
        <f>+M46</f>
        <v>5.0000000000000001E-3</v>
      </c>
      <c r="N47" s="268"/>
      <c r="O47" s="270"/>
    </row>
    <row r="48" spans="1:15" s="132" customFormat="1" outlineLevel="1" x14ac:dyDescent="0.25">
      <c r="A48" s="273" t="s">
        <v>1469</v>
      </c>
      <c r="B48" s="268"/>
      <c r="C48" s="268"/>
      <c r="D48" s="268"/>
      <c r="E48" s="276"/>
      <c r="F48" s="274">
        <f>+SUM(E49:E59)</f>
        <v>0.83360000000000001</v>
      </c>
      <c r="G48" s="270">
        <f>(G40+G43+G41)*F48</f>
        <v>0</v>
      </c>
      <c r="H48" s="271"/>
      <c r="I48" s="273" t="s">
        <v>1469</v>
      </c>
      <c r="J48" s="268"/>
      <c r="K48" s="268"/>
      <c r="L48" s="268"/>
      <c r="M48" s="276"/>
      <c r="N48" s="274">
        <f>+SUM(M49:M58)</f>
        <v>0.75029999999999997</v>
      </c>
      <c r="O48" s="270">
        <f>(O40+O43+O41)*N48</f>
        <v>0</v>
      </c>
    </row>
    <row r="49" spans="1:15" s="132" customFormat="1" ht="14.25" outlineLevel="1" x14ac:dyDescent="0.2">
      <c r="A49" s="275" t="s">
        <v>1468</v>
      </c>
      <c r="B49" s="268"/>
      <c r="C49" s="268"/>
      <c r="D49" s="268"/>
      <c r="E49" s="276">
        <v>0.1</v>
      </c>
      <c r="F49" s="268"/>
      <c r="G49" s="270"/>
      <c r="H49" s="271"/>
      <c r="I49" s="275" t="s">
        <v>1468</v>
      </c>
      <c r="J49" s="268"/>
      <c r="K49" s="268"/>
      <c r="L49" s="268"/>
      <c r="M49" s="276">
        <v>0.1</v>
      </c>
      <c r="N49" s="268"/>
      <c r="O49" s="270"/>
    </row>
    <row r="50" spans="1:15" s="132" customFormat="1" ht="14.25" outlineLevel="1" x14ac:dyDescent="0.2">
      <c r="A50" s="275" t="s">
        <v>1467</v>
      </c>
      <c r="B50" s="268"/>
      <c r="C50" s="268"/>
      <c r="D50" s="268"/>
      <c r="E50" s="276"/>
      <c r="F50" s="268"/>
      <c r="G50" s="270"/>
      <c r="H50" s="271"/>
      <c r="I50" s="275" t="s">
        <v>1467</v>
      </c>
      <c r="J50" s="268"/>
      <c r="K50" s="268"/>
      <c r="L50" s="268"/>
      <c r="M50" s="276"/>
      <c r="N50" s="268"/>
      <c r="O50" s="270"/>
    </row>
    <row r="51" spans="1:15" s="132" customFormat="1" ht="14.25" outlineLevel="1" x14ac:dyDescent="0.2">
      <c r="A51" s="275" t="s">
        <v>1466</v>
      </c>
      <c r="B51" s="268"/>
      <c r="C51" s="268"/>
      <c r="D51" s="268"/>
      <c r="E51" s="276">
        <v>0.03</v>
      </c>
      <c r="F51" s="268"/>
      <c r="G51" s="270"/>
      <c r="H51" s="271"/>
      <c r="I51" s="275" t="s">
        <v>1466</v>
      </c>
      <c r="J51" s="268"/>
      <c r="K51" s="268"/>
      <c r="L51" s="268"/>
      <c r="M51" s="276">
        <v>0.03</v>
      </c>
      <c r="N51" s="268"/>
      <c r="O51" s="270"/>
    </row>
    <row r="52" spans="1:15" s="132" customFormat="1" ht="14.25" outlineLevel="1" x14ac:dyDescent="0.2">
      <c r="A52" s="275" t="s">
        <v>1465</v>
      </c>
      <c r="B52" s="268"/>
      <c r="C52" s="268"/>
      <c r="D52" s="268"/>
      <c r="E52" s="276">
        <v>3.7100000000000001E-2</v>
      </c>
      <c r="F52" s="268"/>
      <c r="G52" s="270"/>
      <c r="H52" s="271"/>
      <c r="I52" s="275" t="s">
        <v>1465</v>
      </c>
      <c r="J52" s="268"/>
      <c r="K52" s="268"/>
      <c r="L52" s="268"/>
      <c r="M52" s="276">
        <v>3.7100000000000001E-2</v>
      </c>
      <c r="N52" s="268"/>
      <c r="O52" s="270"/>
    </row>
    <row r="53" spans="1:15" s="132" customFormat="1" ht="14.25" outlineLevel="1" x14ac:dyDescent="0.2">
      <c r="A53" s="275" t="s">
        <v>1500</v>
      </c>
      <c r="B53" s="268"/>
      <c r="C53" s="268"/>
      <c r="D53" s="268"/>
      <c r="E53" s="276">
        <f>+IF('HOJA DE TRABAJO'!$J$17="SI",0,IF('HOJA DE TRABAJO'!$J$17="NO",0.0833,))</f>
        <v>8.3299999999999999E-2</v>
      </c>
      <c r="F53" s="268"/>
      <c r="G53" s="270"/>
      <c r="H53" s="271"/>
      <c r="I53" s="275" t="s">
        <v>1500</v>
      </c>
      <c r="J53" s="268"/>
      <c r="K53" s="268"/>
      <c r="L53" s="268"/>
      <c r="M53" s="276">
        <f>+IF('HOJA DE TRABAJO'!$J$17="SI",0,IF('HOJA DE TRABAJO'!$J$17="NO",0.0833,))</f>
        <v>8.3299999999999999E-2</v>
      </c>
      <c r="N53" s="268"/>
      <c r="O53" s="270"/>
    </row>
    <row r="54" spans="1:15" s="132" customFormat="1" ht="14.25" outlineLevel="1" x14ac:dyDescent="0.2">
      <c r="A54" s="275" t="s">
        <v>1463</v>
      </c>
      <c r="B54" s="268"/>
      <c r="C54" s="268"/>
      <c r="D54" s="268"/>
      <c r="E54" s="276">
        <f>+IF('HOJA DE TRABAJO'!$J$17="SI",0,IF('HOJA DE TRABAJO'!$J$17="NO",0.0833,))</f>
        <v>8.3299999999999999E-2</v>
      </c>
      <c r="F54" s="268"/>
      <c r="G54" s="270"/>
      <c r="H54" s="271"/>
      <c r="I54" s="275" t="s">
        <v>1463</v>
      </c>
      <c r="J54" s="268"/>
      <c r="K54" s="268"/>
      <c r="L54" s="268"/>
      <c r="M54" s="276">
        <f>+IF('HOJA DE TRABAJO'!$J$17="SI",0,IF('HOJA DE TRABAJO'!$J$17="NO",0.0833,))</f>
        <v>8.3299999999999999E-2</v>
      </c>
      <c r="N54" s="268"/>
      <c r="O54" s="270"/>
    </row>
    <row r="55" spans="1:15" s="132" customFormat="1" ht="14.25" outlineLevel="1" x14ac:dyDescent="0.2">
      <c r="A55" s="275" t="str">
        <f>+'HOJA DE TRABAJO'!$B$29</f>
        <v xml:space="preserve">Previsión Segundo  Aguinaldo </v>
      </c>
      <c r="B55" s="268"/>
      <c r="C55" s="268"/>
      <c r="D55" s="268"/>
      <c r="E55" s="276">
        <f>+'HOJA DE TRABAJO'!$E$29</f>
        <v>8.3299999999999999E-2</v>
      </c>
      <c r="F55" s="268"/>
      <c r="G55" s="270"/>
      <c r="H55" s="271"/>
      <c r="I55" s="275" t="str">
        <f>+'HOJA DE TRABAJO'!$B$29</f>
        <v xml:space="preserve">Previsión Segundo  Aguinaldo </v>
      </c>
      <c r="J55" s="268"/>
      <c r="K55" s="268"/>
      <c r="L55" s="268"/>
      <c r="M55" s="276">
        <f>+'HOJA DE TRABAJO'!$E$29</f>
        <v>8.3299999999999999E-2</v>
      </c>
      <c r="N55" s="268"/>
      <c r="O55" s="270"/>
    </row>
    <row r="56" spans="1:15" s="132" customFormat="1" ht="14.25" outlineLevel="1" x14ac:dyDescent="0.2">
      <c r="A56" s="275" t="str">
        <f>+'HOJA DE TRABAJO'!$B$30</f>
        <v>Seguro de Accidente</v>
      </c>
      <c r="B56" s="268"/>
      <c r="C56" s="268"/>
      <c r="D56" s="268"/>
      <c r="E56" s="276">
        <f>+'HOJA DE TRABAJO'!$E$30</f>
        <v>0</v>
      </c>
      <c r="F56" s="268"/>
      <c r="G56" s="270"/>
      <c r="H56" s="271"/>
      <c r="I56" s="275" t="str">
        <f>+'HOJA DE TRABAJO'!$B$30</f>
        <v>Seguro de Accidente</v>
      </c>
      <c r="J56" s="268"/>
      <c r="K56" s="268"/>
      <c r="L56" s="268"/>
      <c r="M56" s="276">
        <f>+'HOJA DE TRABAJO'!$E$30</f>
        <v>0</v>
      </c>
      <c r="N56" s="268"/>
      <c r="O56" s="270"/>
    </row>
    <row r="57" spans="1:15" s="132" customFormat="1" ht="14.25" outlineLevel="1" x14ac:dyDescent="0.2">
      <c r="A57" s="275" t="str">
        <f>+'HOJA DE TRABAJO'!$B$31</f>
        <v xml:space="preserve">Vacaciones </v>
      </c>
      <c r="B57" s="268"/>
      <c r="C57" s="268"/>
      <c r="D57" s="268"/>
      <c r="E57" s="276">
        <f>+'HOJA DE TRABAJO'!$E$31</f>
        <v>0</v>
      </c>
      <c r="F57" s="268"/>
      <c r="G57" s="270"/>
      <c r="H57" s="271"/>
      <c r="I57" s="275" t="str">
        <f>+'HOJA DE TRABAJO'!$B$31</f>
        <v xml:space="preserve">Vacaciones </v>
      </c>
      <c r="J57" s="268"/>
      <c r="K57" s="268"/>
      <c r="L57" s="268"/>
      <c r="M57" s="276">
        <f>+'HOJA DE TRABAJO'!$E$31</f>
        <v>0</v>
      </c>
      <c r="N57" s="268"/>
      <c r="O57" s="270"/>
    </row>
    <row r="58" spans="1:15" s="132" customFormat="1" ht="14.25" outlineLevel="1" x14ac:dyDescent="0.2">
      <c r="A58" s="275" t="str">
        <f>+'HOJA DE TRABAJO'!$F$29</f>
        <v xml:space="preserve">Previsicion de Subsidio </v>
      </c>
      <c r="B58" s="268"/>
      <c r="C58" s="268"/>
      <c r="D58" s="268"/>
      <c r="E58" s="276">
        <f>+'HOJA DE TRABAJO'!$L$29</f>
        <v>0.33329999999999999</v>
      </c>
      <c r="F58" s="268"/>
      <c r="G58" s="270"/>
      <c r="H58" s="271"/>
      <c r="I58" s="275" t="str">
        <f>+'HOJA DE TRABAJO'!$F$29</f>
        <v xml:space="preserve">Previsicion de Subsidio </v>
      </c>
      <c r="J58" s="268"/>
      <c r="K58" s="268"/>
      <c r="L58" s="268"/>
      <c r="M58" s="276">
        <f>+'HOJA DE TRABAJO'!$L$29</f>
        <v>0.33329999999999999</v>
      </c>
      <c r="N58" s="268"/>
      <c r="O58" s="270"/>
    </row>
    <row r="59" spans="1:15" s="132" customFormat="1" ht="14.25" outlineLevel="1" x14ac:dyDescent="0.2">
      <c r="A59" s="275" t="str">
        <f>+'HOJA DE TRABAJO'!$F$30</f>
        <v>Previsicion de Desahucio</v>
      </c>
      <c r="B59" s="268"/>
      <c r="C59" s="268"/>
      <c r="D59" s="268"/>
      <c r="E59" s="276">
        <f>+'HOJA DE TRABAJO'!$L$30</f>
        <v>8.3299999999999999E-2</v>
      </c>
      <c r="F59" s="268"/>
      <c r="G59" s="270"/>
      <c r="H59" s="271"/>
      <c r="I59" s="275" t="str">
        <f>+'HOJA DE TRABAJO'!$F$30</f>
        <v>Previsicion de Desahucio</v>
      </c>
      <c r="J59" s="268"/>
      <c r="K59" s="268"/>
      <c r="L59" s="268"/>
      <c r="M59" s="276">
        <f>+'HOJA DE TRABAJO'!$L$30</f>
        <v>8.3299999999999999E-2</v>
      </c>
      <c r="N59" s="268"/>
      <c r="O59" s="270"/>
    </row>
    <row r="60" spans="1:15" s="132" customFormat="1" ht="14.25" outlineLevel="1" x14ac:dyDescent="0.2">
      <c r="A60" s="277" t="s">
        <v>1461</v>
      </c>
      <c r="B60" s="268"/>
      <c r="C60" s="268"/>
      <c r="D60" s="268"/>
      <c r="E60" s="276"/>
      <c r="F60" s="268"/>
      <c r="G60" s="270">
        <f>IF(G37=0,0,(('HOJA DE TRABAJO'!$U$108)/'HOJA DE TRABAJO'!$BA$44))</f>
        <v>0</v>
      </c>
      <c r="H60" s="337"/>
      <c r="I60" s="277" t="s">
        <v>1461</v>
      </c>
      <c r="J60" s="268"/>
      <c r="K60" s="268"/>
      <c r="L60" s="268"/>
      <c r="M60" s="276"/>
      <c r="N60" s="268"/>
      <c r="O60" s="270">
        <f>IF(O37=0,0,(('HOJA DE TRABAJO'!$U$108)/'HOJA DE TRABAJO'!$BA$44))</f>
        <v>0</v>
      </c>
    </row>
    <row r="61" spans="1:15" s="132" customFormat="1" ht="14.25" outlineLevel="1" x14ac:dyDescent="0.2">
      <c r="A61" s="277" t="s">
        <v>1504</v>
      </c>
      <c r="B61" s="268"/>
      <c r="C61" s="268"/>
      <c r="D61" s="268"/>
      <c r="E61" s="274">
        <f>+'HOJA DE TRABAJO'!$H$116*'HOJA DE TRABAJO'!$F$19</f>
        <v>1.6346153846153847E-2</v>
      </c>
      <c r="F61" s="268"/>
      <c r="G61" s="270">
        <f>(SUM(G40:G60)*E61)+IF(G37=0,0,'HOJA DE TRABAJO'!$J$119)</f>
        <v>0</v>
      </c>
      <c r="H61" s="271"/>
      <c r="I61" s="277" t="s">
        <v>1503</v>
      </c>
      <c r="J61" s="268"/>
      <c r="K61" s="268"/>
      <c r="L61" s="268"/>
      <c r="M61" s="274">
        <f>+'HOJA DE TRABAJO'!$H$116*'HOJA DE TRABAJO'!$F$19</f>
        <v>1.6346153846153847E-2</v>
      </c>
      <c r="N61" s="268"/>
      <c r="O61" s="270">
        <f>(SUM(O40:O60)*M61)+IF(O37=0,0,'HOJA DE TRABAJO'!$J$119)</f>
        <v>0</v>
      </c>
    </row>
    <row r="62" spans="1:15" s="132" customFormat="1" ht="14.25" outlineLevel="1" x14ac:dyDescent="0.2">
      <c r="A62" s="278" t="s">
        <v>1460</v>
      </c>
      <c r="B62" s="279"/>
      <c r="C62" s="279"/>
      <c r="D62" s="279"/>
      <c r="E62" s="280">
        <f>+E29</f>
        <v>0.13</v>
      </c>
      <c r="F62" s="279"/>
      <c r="G62" s="281">
        <f>+SUM(G39:G61)*E62</f>
        <v>0</v>
      </c>
      <c r="H62" s="282"/>
      <c r="I62" s="278" t="s">
        <v>1460</v>
      </c>
      <c r="J62" s="279"/>
      <c r="K62" s="279"/>
      <c r="L62" s="279"/>
      <c r="M62" s="280">
        <f>+E29</f>
        <v>0.13</v>
      </c>
      <c r="N62" s="279"/>
      <c r="O62" s="281">
        <f>+SUM(O39:O61)*M62</f>
        <v>0</v>
      </c>
    </row>
    <row r="63" spans="1:15" s="132" customFormat="1" outlineLevel="1" x14ac:dyDescent="0.25">
      <c r="A63" s="283" t="s">
        <v>1459</v>
      </c>
      <c r="B63" s="284"/>
      <c r="C63" s="284"/>
      <c r="D63" s="284"/>
      <c r="E63" s="284"/>
      <c r="F63" s="284"/>
      <c r="G63" s="285">
        <f>+SUM(G40:G62)</f>
        <v>0</v>
      </c>
      <c r="H63" s="286"/>
      <c r="I63" s="283" t="s">
        <v>1459</v>
      </c>
      <c r="J63" s="284"/>
      <c r="K63" s="284"/>
      <c r="L63" s="284"/>
      <c r="M63" s="284"/>
      <c r="N63" s="284"/>
      <c r="O63" s="285">
        <f>+SUM(O40:O62)</f>
        <v>0</v>
      </c>
    </row>
    <row r="64" spans="1:15" s="132" customFormat="1" ht="14.25" outlineLevel="1" x14ac:dyDescent="0.2">
      <c r="A64" s="277" t="s">
        <v>1458</v>
      </c>
      <c r="B64" s="268"/>
      <c r="C64" s="268"/>
      <c r="D64" s="268"/>
      <c r="E64" s="274">
        <f>+B65+B66</f>
        <v>0.16</v>
      </c>
      <c r="F64" s="268"/>
      <c r="G64" s="270">
        <f>+G67-G63</f>
        <v>0</v>
      </c>
      <c r="H64" s="271"/>
      <c r="I64" s="277" t="s">
        <v>1458</v>
      </c>
      <c r="J64" s="268"/>
      <c r="K64" s="268"/>
      <c r="L64" s="268"/>
      <c r="M64" s="274">
        <f>+J65+J66</f>
        <v>0.16</v>
      </c>
      <c r="N64" s="268"/>
      <c r="O64" s="270">
        <f>+O67-O63</f>
        <v>0</v>
      </c>
    </row>
    <row r="65" spans="1:15" s="132" customFormat="1" ht="14.25" outlineLevel="1" x14ac:dyDescent="0.2">
      <c r="A65" s="287" t="s">
        <v>1457</v>
      </c>
      <c r="B65" s="288">
        <v>0.13</v>
      </c>
      <c r="C65" s="268"/>
      <c r="D65" s="268"/>
      <c r="E65" s="276"/>
      <c r="F65" s="268"/>
      <c r="G65" s="270"/>
      <c r="H65" s="271"/>
      <c r="I65" s="287" t="s">
        <v>1457</v>
      </c>
      <c r="J65" s="288">
        <v>0.13</v>
      </c>
      <c r="K65" s="268"/>
      <c r="L65" s="268"/>
      <c r="M65" s="276"/>
      <c r="N65" s="268"/>
      <c r="O65" s="270"/>
    </row>
    <row r="66" spans="1:15" s="132" customFormat="1" ht="14.25" outlineLevel="1" x14ac:dyDescent="0.2">
      <c r="A66" s="289" t="s">
        <v>1456</v>
      </c>
      <c r="B66" s="290">
        <v>0.03</v>
      </c>
      <c r="C66" s="279"/>
      <c r="D66" s="279"/>
      <c r="E66" s="291"/>
      <c r="F66" s="279"/>
      <c r="G66" s="281"/>
      <c r="H66" s="282"/>
      <c r="I66" s="289" t="s">
        <v>1456</v>
      </c>
      <c r="J66" s="290">
        <v>0.03</v>
      </c>
      <c r="K66" s="279"/>
      <c r="L66" s="279"/>
      <c r="M66" s="291"/>
      <c r="N66" s="279"/>
      <c r="O66" s="281"/>
    </row>
    <row r="67" spans="1:15" s="132" customFormat="1" outlineLevel="1" x14ac:dyDescent="0.25">
      <c r="A67" s="283" t="s">
        <v>1519</v>
      </c>
      <c r="B67" s="284"/>
      <c r="C67" s="284"/>
      <c r="D67" s="284"/>
      <c r="E67" s="284"/>
      <c r="F67" s="284"/>
      <c r="G67" s="285">
        <f>IFERROR((G63/0.84),0)</f>
        <v>0</v>
      </c>
      <c r="H67" s="286"/>
      <c r="I67" s="283" t="s">
        <v>1519</v>
      </c>
      <c r="J67" s="284"/>
      <c r="K67" s="284"/>
      <c r="L67" s="284"/>
      <c r="M67" s="284"/>
      <c r="N67" s="284"/>
      <c r="O67" s="285">
        <f>IFERROR((O63/0.84),0)</f>
        <v>0</v>
      </c>
    </row>
    <row r="68" spans="1:15" s="132" customFormat="1" ht="14.25" outlineLevel="1" x14ac:dyDescent="0.2">
      <c r="H68" s="133"/>
    </row>
    <row r="69" spans="1:15" s="132" customFormat="1" ht="14.25" outlineLevel="1" x14ac:dyDescent="0.2">
      <c r="H69" s="133"/>
    </row>
    <row r="70" spans="1:15" s="132" customFormat="1" ht="14.25" outlineLevel="1" x14ac:dyDescent="0.2">
      <c r="H70" s="133"/>
    </row>
    <row r="71" spans="1:15" s="132" customFormat="1" outlineLevel="2" x14ac:dyDescent="0.25">
      <c r="A71" s="292" t="s">
        <v>1477</v>
      </c>
      <c r="B71" s="292"/>
      <c r="C71" s="292"/>
      <c r="D71" s="292"/>
      <c r="E71" s="268"/>
      <c r="F71" s="292" t="s">
        <v>11</v>
      </c>
      <c r="G71" s="292">
        <f>+'HOJA DE TRABAJO'!L42</f>
        <v>0</v>
      </c>
      <c r="H71" s="133"/>
      <c r="I71" s="292" t="s">
        <v>1477</v>
      </c>
      <c r="J71" s="292"/>
      <c r="K71" s="292"/>
      <c r="L71" s="292"/>
      <c r="M71" s="268"/>
      <c r="N71" s="292" t="s">
        <v>11</v>
      </c>
      <c r="O71" s="292">
        <f>+'HOJA DE TRABAJO'!L43</f>
        <v>0</v>
      </c>
    </row>
    <row r="72" spans="1:15" s="132" customFormat="1" outlineLevel="2" x14ac:dyDescent="0.25">
      <c r="A72" s="294"/>
      <c r="B72" s="294" t="s">
        <v>1476</v>
      </c>
      <c r="C72" s="588">
        <f>+'HOJA DE TRABAJO'!C42:E42</f>
        <v>0</v>
      </c>
      <c r="D72" s="588"/>
      <c r="E72" s="588"/>
      <c r="F72" s="294"/>
      <c r="G72" s="294"/>
      <c r="H72" s="133"/>
      <c r="I72" s="294"/>
      <c r="J72" s="294" t="s">
        <v>1476</v>
      </c>
      <c r="K72" s="588">
        <f>+'HOJA DE TRABAJO'!C43</f>
        <v>0</v>
      </c>
      <c r="L72" s="588"/>
      <c r="M72" s="588"/>
      <c r="N72" s="294"/>
      <c r="O72" s="294"/>
    </row>
    <row r="73" spans="1:15" s="132" customFormat="1" ht="14.25" outlineLevel="2" x14ac:dyDescent="0.2">
      <c r="A73" s="587" t="s">
        <v>1478</v>
      </c>
      <c r="B73" s="587"/>
      <c r="C73" s="587"/>
      <c r="D73" s="587"/>
      <c r="E73" s="587"/>
      <c r="F73" s="587"/>
      <c r="G73" s="587"/>
      <c r="H73" s="133"/>
      <c r="I73" s="587" t="s">
        <v>1478</v>
      </c>
      <c r="J73" s="587"/>
      <c r="K73" s="587"/>
      <c r="L73" s="587"/>
      <c r="M73" s="587"/>
      <c r="N73" s="587"/>
      <c r="O73" s="587"/>
    </row>
    <row r="74" spans="1:15" s="132" customFormat="1" ht="14.25" outlineLevel="2" x14ac:dyDescent="0.2">
      <c r="A74" s="268"/>
      <c r="B74" s="268"/>
      <c r="C74" s="268"/>
      <c r="D74" s="268"/>
      <c r="E74" s="268"/>
      <c r="F74" s="268"/>
      <c r="G74" s="268"/>
      <c r="H74" s="133"/>
      <c r="I74" s="268"/>
      <c r="J74" s="268"/>
      <c r="K74" s="268"/>
      <c r="L74" s="268"/>
      <c r="M74" s="268"/>
      <c r="N74" s="268"/>
      <c r="O74" s="268"/>
    </row>
    <row r="75" spans="1:15" s="132" customFormat="1" ht="14.25" outlineLevel="2" x14ac:dyDescent="0.2">
      <c r="A75" s="268" t="s">
        <v>1475</v>
      </c>
      <c r="B75" s="268"/>
      <c r="C75" s="268"/>
      <c r="D75" s="268"/>
      <c r="E75" s="268"/>
      <c r="F75" s="268"/>
      <c r="G75" s="270">
        <f>+'HOJA DE TRABAJO'!M42</f>
        <v>0</v>
      </c>
      <c r="H75" s="133"/>
      <c r="I75" s="268" t="s">
        <v>1475</v>
      </c>
      <c r="J75" s="268"/>
      <c r="K75" s="268"/>
      <c r="L75" s="268"/>
      <c r="M75" s="268"/>
      <c r="N75" s="268"/>
      <c r="O75" s="270">
        <f>+'HOJA DE TRABAJO'!M43</f>
        <v>0</v>
      </c>
    </row>
    <row r="76" spans="1:15" s="132" customFormat="1" ht="14.25" outlineLevel="2" x14ac:dyDescent="0.2">
      <c r="A76" s="268" t="s">
        <v>1588</v>
      </c>
      <c r="B76" s="268"/>
      <c r="C76" s="268"/>
      <c r="D76" s="268"/>
      <c r="E76" s="268"/>
      <c r="F76" s="268"/>
      <c r="G76" s="270">
        <f>IF(G75=0,0,SUM('HOJA DE TRABAJO'!$R$29:$R$31))</f>
        <v>0</v>
      </c>
      <c r="H76" s="271"/>
      <c r="I76" s="268" t="s">
        <v>1588</v>
      </c>
      <c r="J76" s="268"/>
      <c r="K76" s="268"/>
      <c r="L76" s="268"/>
      <c r="M76" s="268"/>
      <c r="N76" s="268"/>
      <c r="O76" s="270">
        <f>IF(O75=0,0,SUM('HOJA DE TRABAJO'!$R$29:$R$31))</f>
        <v>0</v>
      </c>
    </row>
    <row r="77" spans="1:15" s="132" customFormat="1" ht="14.25" outlineLevel="2" x14ac:dyDescent="0.2">
      <c r="A77" s="272" t="s">
        <v>1474</v>
      </c>
      <c r="B77" s="268"/>
      <c r="C77" s="268"/>
      <c r="D77" s="268"/>
      <c r="E77" s="268"/>
      <c r="F77" s="268"/>
      <c r="G77" s="270"/>
      <c r="H77" s="133"/>
      <c r="I77" s="272" t="s">
        <v>1474</v>
      </c>
      <c r="J77" s="268"/>
      <c r="K77" s="268"/>
      <c r="L77" s="268"/>
      <c r="M77" s="268"/>
      <c r="N77" s="268"/>
      <c r="O77" s="270"/>
    </row>
    <row r="78" spans="1:15" s="132" customFormat="1" outlineLevel="2" x14ac:dyDescent="0.25">
      <c r="A78" s="273" t="s">
        <v>1473</v>
      </c>
      <c r="B78" s="268"/>
      <c r="C78" s="268"/>
      <c r="D78" s="268"/>
      <c r="E78" s="268"/>
      <c r="F78" s="274">
        <f>+SUM(E79:E82)</f>
        <v>0.12710000000000002</v>
      </c>
      <c r="G78" s="270">
        <f>+(G75*100/87.29-G75)+(F78*G76)</f>
        <v>0</v>
      </c>
      <c r="H78" s="271"/>
      <c r="I78" s="273" t="s">
        <v>1469</v>
      </c>
      <c r="J78" s="268"/>
      <c r="K78" s="268"/>
      <c r="L78" s="268"/>
      <c r="M78" s="276"/>
      <c r="N78" s="274">
        <f>+SUM(M79:M82)</f>
        <v>0.12710000000000002</v>
      </c>
      <c r="O78" s="270">
        <f>+(O75*100/87.29-O75)+(N78*O76)</f>
        <v>0</v>
      </c>
    </row>
    <row r="79" spans="1:15" s="132" customFormat="1" ht="14.25" outlineLevel="2" x14ac:dyDescent="0.2">
      <c r="A79" s="275" t="s">
        <v>1472</v>
      </c>
      <c r="B79" s="268"/>
      <c r="C79" s="268"/>
      <c r="D79" s="268"/>
      <c r="E79" s="276">
        <v>0.1</v>
      </c>
      <c r="F79" s="268"/>
      <c r="G79" s="270"/>
      <c r="H79" s="133"/>
      <c r="I79" s="275" t="s">
        <v>1472</v>
      </c>
      <c r="J79" s="268"/>
      <c r="K79" s="268"/>
      <c r="L79" s="268"/>
      <c r="M79" s="276">
        <v>0.1</v>
      </c>
      <c r="N79" s="268"/>
      <c r="O79" s="270"/>
    </row>
    <row r="80" spans="1:15" s="132" customFormat="1" ht="14.25" outlineLevel="2" x14ac:dyDescent="0.2">
      <c r="A80" s="275" t="s">
        <v>1471</v>
      </c>
      <c r="B80" s="268"/>
      <c r="C80" s="268"/>
      <c r="D80" s="268"/>
      <c r="E80" s="276">
        <v>1.7100000000000001E-2</v>
      </c>
      <c r="F80" s="268"/>
      <c r="G80" s="270"/>
      <c r="H80" s="133"/>
      <c r="I80" s="275" t="s">
        <v>1471</v>
      </c>
      <c r="J80" s="268"/>
      <c r="K80" s="268"/>
      <c r="L80" s="268"/>
      <c r="M80" s="276">
        <v>1.7100000000000001E-2</v>
      </c>
      <c r="N80" s="268"/>
      <c r="O80" s="270"/>
    </row>
    <row r="81" spans="1:15" s="132" customFormat="1" ht="14.25" outlineLevel="2" x14ac:dyDescent="0.2">
      <c r="A81" s="275" t="s">
        <v>1470</v>
      </c>
      <c r="B81" s="268"/>
      <c r="C81" s="268"/>
      <c r="D81" s="268"/>
      <c r="E81" s="276">
        <v>5.0000000000000001E-3</v>
      </c>
      <c r="F81" s="268"/>
      <c r="G81" s="270"/>
      <c r="H81" s="133"/>
      <c r="I81" s="275" t="s">
        <v>1470</v>
      </c>
      <c r="J81" s="268"/>
      <c r="K81" s="268"/>
      <c r="L81" s="268"/>
      <c r="M81" s="276">
        <v>5.0000000000000001E-3</v>
      </c>
      <c r="N81" s="268"/>
      <c r="O81" s="270"/>
    </row>
    <row r="82" spans="1:15" s="132" customFormat="1" ht="14.25" outlineLevel="2" x14ac:dyDescent="0.2">
      <c r="A82" s="275" t="s">
        <v>1466</v>
      </c>
      <c r="B82" s="268"/>
      <c r="C82" s="268"/>
      <c r="D82" s="268"/>
      <c r="E82" s="276">
        <f>+E81</f>
        <v>5.0000000000000001E-3</v>
      </c>
      <c r="F82" s="268"/>
      <c r="G82" s="270"/>
      <c r="H82" s="133"/>
      <c r="I82" s="275" t="s">
        <v>1466</v>
      </c>
      <c r="J82" s="268"/>
      <c r="K82" s="268"/>
      <c r="L82" s="268"/>
      <c r="M82" s="276">
        <f>+M81</f>
        <v>5.0000000000000001E-3</v>
      </c>
      <c r="N82" s="268"/>
      <c r="O82" s="270"/>
    </row>
    <row r="83" spans="1:15" s="132" customFormat="1" outlineLevel="2" x14ac:dyDescent="0.25">
      <c r="A83" s="273" t="s">
        <v>1469</v>
      </c>
      <c r="B83" s="268"/>
      <c r="C83" s="268"/>
      <c r="D83" s="268"/>
      <c r="E83" s="276"/>
      <c r="F83" s="274">
        <f>+SUM(E84:E93)</f>
        <v>0.83360000000000001</v>
      </c>
      <c r="G83" s="270">
        <f>(G75+G78+G76)*F83</f>
        <v>0</v>
      </c>
      <c r="H83" s="133"/>
      <c r="I83" s="273" t="s">
        <v>1469</v>
      </c>
      <c r="J83" s="268"/>
      <c r="K83" s="268"/>
      <c r="L83" s="268"/>
      <c r="M83" s="276"/>
      <c r="N83" s="274">
        <f>+SUM(M84:M93)</f>
        <v>0.83360000000000001</v>
      </c>
      <c r="O83" s="270">
        <f>(O75+O78+O76)*N83</f>
        <v>0</v>
      </c>
    </row>
    <row r="84" spans="1:15" s="132" customFormat="1" ht="14.25" outlineLevel="2" x14ac:dyDescent="0.2">
      <c r="A84" s="275" t="s">
        <v>1468</v>
      </c>
      <c r="B84" s="268"/>
      <c r="C84" s="268"/>
      <c r="D84" s="268"/>
      <c r="E84" s="276">
        <v>0.1</v>
      </c>
      <c r="F84" s="268"/>
      <c r="G84" s="270"/>
      <c r="H84" s="133"/>
      <c r="I84" s="275" t="s">
        <v>1468</v>
      </c>
      <c r="J84" s="268"/>
      <c r="K84" s="268"/>
      <c r="L84" s="268"/>
      <c r="M84" s="276">
        <v>0.1</v>
      </c>
      <c r="N84" s="268"/>
      <c r="O84" s="270"/>
    </row>
    <row r="85" spans="1:15" s="132" customFormat="1" ht="14.25" outlineLevel="2" x14ac:dyDescent="0.2">
      <c r="A85" s="275" t="s">
        <v>1466</v>
      </c>
      <c r="B85" s="268"/>
      <c r="C85" s="268"/>
      <c r="D85" s="268"/>
      <c r="E85" s="276">
        <v>0.03</v>
      </c>
      <c r="F85" s="268"/>
      <c r="G85" s="270"/>
      <c r="H85" s="133"/>
      <c r="I85" s="275" t="s">
        <v>1466</v>
      </c>
      <c r="J85" s="268"/>
      <c r="K85" s="268"/>
      <c r="L85" s="268"/>
      <c r="M85" s="276">
        <v>0.03</v>
      </c>
      <c r="N85" s="268"/>
      <c r="O85" s="270"/>
    </row>
    <row r="86" spans="1:15" s="132" customFormat="1" ht="14.25" outlineLevel="2" x14ac:dyDescent="0.2">
      <c r="A86" s="275" t="s">
        <v>1465</v>
      </c>
      <c r="B86" s="268"/>
      <c r="C86" s="268"/>
      <c r="D86" s="268"/>
      <c r="E86" s="276">
        <v>3.7100000000000001E-2</v>
      </c>
      <c r="F86" s="268"/>
      <c r="G86" s="270"/>
      <c r="H86" s="133"/>
      <c r="I86" s="275" t="s">
        <v>1465</v>
      </c>
      <c r="J86" s="268"/>
      <c r="K86" s="268"/>
      <c r="L86" s="268"/>
      <c r="M86" s="276">
        <v>3.7100000000000001E-2</v>
      </c>
      <c r="N86" s="268"/>
      <c r="O86" s="270"/>
    </row>
    <row r="87" spans="1:15" s="132" customFormat="1" ht="14.25" outlineLevel="2" x14ac:dyDescent="0.2">
      <c r="A87" s="275" t="s">
        <v>1501</v>
      </c>
      <c r="B87" s="268"/>
      <c r="C87" s="268"/>
      <c r="D87" s="268"/>
      <c r="E87" s="276">
        <f>+IF('HOJA DE TRABAJO'!$J$17="SI",0,IF('HOJA DE TRABAJO'!$J$17="NO",0.0833,))</f>
        <v>8.3299999999999999E-2</v>
      </c>
      <c r="F87" s="268"/>
      <c r="G87" s="270"/>
      <c r="H87" s="133"/>
      <c r="I87" s="275" t="s">
        <v>1501</v>
      </c>
      <c r="J87" s="268"/>
      <c r="K87" s="268"/>
      <c r="L87" s="268"/>
      <c r="M87" s="276">
        <f>+IF('HOJA DE TRABAJO'!$J$17="SI",0,IF('HOJA DE TRABAJO'!$J$17="NO",0.0833,))</f>
        <v>8.3299999999999999E-2</v>
      </c>
      <c r="N87" s="268"/>
      <c r="O87" s="270"/>
    </row>
    <row r="88" spans="1:15" s="132" customFormat="1" ht="14.25" outlineLevel="2" x14ac:dyDescent="0.2">
      <c r="A88" s="275" t="s">
        <v>1463</v>
      </c>
      <c r="B88" s="268"/>
      <c r="C88" s="268"/>
      <c r="D88" s="268"/>
      <c r="E88" s="276">
        <f>+IF('HOJA DE TRABAJO'!$J$17="SI",0,IF('HOJA DE TRABAJO'!$J$17="NO",0.0833,))</f>
        <v>8.3299999999999999E-2</v>
      </c>
      <c r="F88" s="268"/>
      <c r="G88" s="270"/>
      <c r="H88" s="133"/>
      <c r="I88" s="275" t="s">
        <v>1463</v>
      </c>
      <c r="J88" s="268"/>
      <c r="K88" s="268"/>
      <c r="L88" s="268"/>
      <c r="M88" s="276">
        <f>+IF('HOJA DE TRABAJO'!$J$17="SI",0,IF('HOJA DE TRABAJO'!$J$17="NO",0.0833,))</f>
        <v>8.3299999999999999E-2</v>
      </c>
      <c r="N88" s="268"/>
      <c r="O88" s="270"/>
    </row>
    <row r="89" spans="1:15" s="132" customFormat="1" ht="14.25" outlineLevel="2" x14ac:dyDescent="0.2">
      <c r="A89" s="275" t="str">
        <f>+'HOJA DE TRABAJO'!$B$29</f>
        <v xml:space="preserve">Previsión Segundo  Aguinaldo </v>
      </c>
      <c r="B89" s="268"/>
      <c r="C89" s="268"/>
      <c r="D89" s="268"/>
      <c r="E89" s="276">
        <f>+'HOJA DE TRABAJO'!$E$29</f>
        <v>8.3299999999999999E-2</v>
      </c>
      <c r="F89" s="268"/>
      <c r="G89" s="270"/>
      <c r="H89" s="133"/>
      <c r="I89" s="275" t="str">
        <f>+'HOJA DE TRABAJO'!$B$29</f>
        <v xml:space="preserve">Previsión Segundo  Aguinaldo </v>
      </c>
      <c r="J89" s="268"/>
      <c r="K89" s="268"/>
      <c r="L89" s="268"/>
      <c r="M89" s="276">
        <f>+'HOJA DE TRABAJO'!$E$29</f>
        <v>8.3299999999999999E-2</v>
      </c>
      <c r="N89" s="268"/>
      <c r="O89" s="270"/>
    </row>
    <row r="90" spans="1:15" s="132" customFormat="1" ht="14.25" outlineLevel="2" x14ac:dyDescent="0.2">
      <c r="A90" s="275" t="str">
        <f>+'HOJA DE TRABAJO'!$B$30</f>
        <v>Seguro de Accidente</v>
      </c>
      <c r="B90" s="268"/>
      <c r="C90" s="268"/>
      <c r="D90" s="268"/>
      <c r="E90" s="276">
        <f>+'HOJA DE TRABAJO'!$E$30</f>
        <v>0</v>
      </c>
      <c r="F90" s="268"/>
      <c r="G90" s="270"/>
      <c r="H90" s="133"/>
      <c r="I90" s="275" t="str">
        <f>+'HOJA DE TRABAJO'!$B$30</f>
        <v>Seguro de Accidente</v>
      </c>
      <c r="J90" s="268"/>
      <c r="K90" s="268"/>
      <c r="L90" s="268"/>
      <c r="M90" s="276">
        <f>+'HOJA DE TRABAJO'!$E$30</f>
        <v>0</v>
      </c>
      <c r="N90" s="268"/>
      <c r="O90" s="270"/>
    </row>
    <row r="91" spans="1:15" s="132" customFormat="1" ht="14.25" outlineLevel="2" x14ac:dyDescent="0.2">
      <c r="A91" s="275" t="str">
        <f>+'HOJA DE TRABAJO'!$B$31</f>
        <v xml:space="preserve">Vacaciones </v>
      </c>
      <c r="B91" s="268"/>
      <c r="C91" s="268"/>
      <c r="D91" s="268"/>
      <c r="E91" s="276">
        <f>+'HOJA DE TRABAJO'!$E$31</f>
        <v>0</v>
      </c>
      <c r="F91" s="268"/>
      <c r="G91" s="270"/>
      <c r="H91" s="133"/>
      <c r="I91" s="275" t="str">
        <f>+'HOJA DE TRABAJO'!$B$31</f>
        <v xml:space="preserve">Vacaciones </v>
      </c>
      <c r="J91" s="268"/>
      <c r="K91" s="268"/>
      <c r="L91" s="268"/>
      <c r="M91" s="276">
        <f>+'HOJA DE TRABAJO'!$E$31</f>
        <v>0</v>
      </c>
      <c r="N91" s="268"/>
      <c r="O91" s="270"/>
    </row>
    <row r="92" spans="1:15" s="132" customFormat="1" ht="14.25" outlineLevel="2" x14ac:dyDescent="0.2">
      <c r="A92" s="275" t="str">
        <f>+'HOJA DE TRABAJO'!$F$29</f>
        <v xml:space="preserve">Previsicion de Subsidio </v>
      </c>
      <c r="B92" s="268"/>
      <c r="C92" s="268"/>
      <c r="D92" s="268"/>
      <c r="E92" s="276">
        <f>+'HOJA DE TRABAJO'!$L$29</f>
        <v>0.33329999999999999</v>
      </c>
      <c r="F92" s="268"/>
      <c r="G92" s="270"/>
      <c r="H92" s="133"/>
      <c r="I92" s="275" t="str">
        <f>+'HOJA DE TRABAJO'!$F$29</f>
        <v xml:space="preserve">Previsicion de Subsidio </v>
      </c>
      <c r="J92" s="268"/>
      <c r="K92" s="268"/>
      <c r="L92" s="268"/>
      <c r="M92" s="276">
        <f>+'HOJA DE TRABAJO'!$L$29</f>
        <v>0.33329999999999999</v>
      </c>
      <c r="N92" s="268"/>
      <c r="O92" s="270"/>
    </row>
    <row r="93" spans="1:15" s="132" customFormat="1" ht="14.25" outlineLevel="2" x14ac:dyDescent="0.2">
      <c r="A93" s="275" t="str">
        <f>+'HOJA DE TRABAJO'!$F$30</f>
        <v>Previsicion de Desahucio</v>
      </c>
      <c r="B93" s="268"/>
      <c r="C93" s="268"/>
      <c r="D93" s="268"/>
      <c r="E93" s="276">
        <f>+'HOJA DE TRABAJO'!$L$30</f>
        <v>8.3299999999999999E-2</v>
      </c>
      <c r="F93" s="268"/>
      <c r="G93" s="270"/>
      <c r="H93" s="133"/>
      <c r="I93" s="275" t="str">
        <f>+'HOJA DE TRABAJO'!$F$30</f>
        <v>Previsicion de Desahucio</v>
      </c>
      <c r="J93" s="268"/>
      <c r="K93" s="268"/>
      <c r="L93" s="268"/>
      <c r="M93" s="276">
        <f>+'HOJA DE TRABAJO'!$L$30</f>
        <v>8.3299999999999999E-2</v>
      </c>
      <c r="N93" s="268"/>
      <c r="O93" s="270"/>
    </row>
    <row r="94" spans="1:15" s="132" customFormat="1" ht="14.25" outlineLevel="2" x14ac:dyDescent="0.2">
      <c r="A94" s="277" t="s">
        <v>1461</v>
      </c>
      <c r="B94" s="268"/>
      <c r="C94" s="268"/>
      <c r="D94" s="268"/>
      <c r="E94" s="276"/>
      <c r="F94" s="268"/>
      <c r="G94" s="270">
        <f>IF(G71=0,0,(('HOJA DE TRABAJO'!$U$108)/'HOJA DE TRABAJO'!$BA$44))</f>
        <v>0</v>
      </c>
      <c r="H94" s="337"/>
      <c r="I94" s="277" t="s">
        <v>1461</v>
      </c>
      <c r="J94" s="268"/>
      <c r="K94" s="268"/>
      <c r="L94" s="268"/>
      <c r="M94" s="276"/>
      <c r="N94" s="268"/>
      <c r="O94" s="270">
        <f>IF(O71=0,0,(('HOJA DE TRABAJO'!$U$108)/'HOJA DE TRABAJO'!$BA$44))</f>
        <v>0</v>
      </c>
    </row>
    <row r="95" spans="1:15" s="132" customFormat="1" ht="14.25" outlineLevel="2" x14ac:dyDescent="0.2">
      <c r="A95" s="277" t="s">
        <v>1504</v>
      </c>
      <c r="B95" s="268"/>
      <c r="C95" s="268"/>
      <c r="D95" s="268"/>
      <c r="E95" s="274">
        <f>+'HOJA DE TRABAJO'!$H$116*'HOJA DE TRABAJO'!$F$19</f>
        <v>1.6346153846153847E-2</v>
      </c>
      <c r="F95" s="268"/>
      <c r="G95" s="270">
        <f>(SUM(G74:G94)*E95)+IF(G71=0,0,'HOJA DE TRABAJO'!$J$119)</f>
        <v>0</v>
      </c>
      <c r="H95" s="271"/>
      <c r="I95" s="277" t="s">
        <v>1503</v>
      </c>
      <c r="J95" s="268"/>
      <c r="K95" s="268"/>
      <c r="L95" s="268"/>
      <c r="M95" s="274">
        <f>+'HOJA DE TRABAJO'!$H$116*'HOJA DE TRABAJO'!$F$19</f>
        <v>1.6346153846153847E-2</v>
      </c>
      <c r="N95" s="268"/>
      <c r="O95" s="270">
        <f>(SUM(O74:O94)*M95)+IF(O71=0,0,'HOJA DE TRABAJO'!$J$119)</f>
        <v>0</v>
      </c>
    </row>
    <row r="96" spans="1:15" s="132" customFormat="1" ht="14.25" outlineLevel="2" x14ac:dyDescent="0.2">
      <c r="A96" s="278" t="s">
        <v>1460</v>
      </c>
      <c r="B96" s="279"/>
      <c r="C96" s="279"/>
      <c r="D96" s="279"/>
      <c r="E96" s="280">
        <f>+E62</f>
        <v>0.13</v>
      </c>
      <c r="F96" s="279"/>
      <c r="G96" s="281">
        <f>+SUM(G73:G95)*E96</f>
        <v>0</v>
      </c>
      <c r="H96" s="133"/>
      <c r="I96" s="278" t="s">
        <v>1460</v>
      </c>
      <c r="J96" s="279"/>
      <c r="K96" s="279"/>
      <c r="L96" s="279"/>
      <c r="M96" s="280">
        <f>+E62</f>
        <v>0.13</v>
      </c>
      <c r="N96" s="279"/>
      <c r="O96" s="281">
        <f>+SUM(O73:O95)*M96</f>
        <v>0</v>
      </c>
    </row>
    <row r="97" spans="1:15" s="132" customFormat="1" outlineLevel="2" x14ac:dyDescent="0.25">
      <c r="A97" s="283" t="s">
        <v>1459</v>
      </c>
      <c r="B97" s="284"/>
      <c r="C97" s="284"/>
      <c r="D97" s="284"/>
      <c r="E97" s="284"/>
      <c r="F97" s="284"/>
      <c r="G97" s="285">
        <f>+SUM(G74:G96)</f>
        <v>0</v>
      </c>
      <c r="H97" s="133"/>
      <c r="I97" s="283" t="s">
        <v>1459</v>
      </c>
      <c r="J97" s="284"/>
      <c r="K97" s="284"/>
      <c r="L97" s="284"/>
      <c r="M97" s="284"/>
      <c r="N97" s="284"/>
      <c r="O97" s="285">
        <f>+SUM(O74:O96)</f>
        <v>0</v>
      </c>
    </row>
    <row r="98" spans="1:15" s="132" customFormat="1" ht="14.25" outlineLevel="2" x14ac:dyDescent="0.2">
      <c r="A98" s="277" t="s">
        <v>1458</v>
      </c>
      <c r="B98" s="268"/>
      <c r="C98" s="268"/>
      <c r="D98" s="268"/>
      <c r="E98" s="274">
        <f>+B99+B100</f>
        <v>0.16</v>
      </c>
      <c r="F98" s="268"/>
      <c r="G98" s="270">
        <f>+G101-G97</f>
        <v>0</v>
      </c>
      <c r="H98" s="133"/>
      <c r="I98" s="277" t="s">
        <v>1458</v>
      </c>
      <c r="J98" s="268"/>
      <c r="K98" s="268"/>
      <c r="L98" s="268"/>
      <c r="M98" s="274">
        <f>+J99+J100</f>
        <v>0.16</v>
      </c>
      <c r="N98" s="268"/>
      <c r="O98" s="270">
        <f>+O101-O97</f>
        <v>0</v>
      </c>
    </row>
    <row r="99" spans="1:15" s="132" customFormat="1" ht="14.25" outlineLevel="2" x14ac:dyDescent="0.2">
      <c r="A99" s="287" t="s">
        <v>1457</v>
      </c>
      <c r="B99" s="288">
        <v>0.13</v>
      </c>
      <c r="C99" s="268"/>
      <c r="D99" s="268"/>
      <c r="E99" s="276"/>
      <c r="F99" s="268"/>
      <c r="G99" s="270"/>
      <c r="H99" s="133"/>
      <c r="I99" s="287" t="s">
        <v>1457</v>
      </c>
      <c r="J99" s="288">
        <v>0.13</v>
      </c>
      <c r="K99" s="268"/>
      <c r="L99" s="268"/>
      <c r="M99" s="276"/>
      <c r="N99" s="268"/>
      <c r="O99" s="270"/>
    </row>
    <row r="100" spans="1:15" s="132" customFormat="1" ht="14.25" outlineLevel="2" x14ac:dyDescent="0.2">
      <c r="A100" s="289" t="s">
        <v>1456</v>
      </c>
      <c r="B100" s="290">
        <v>0.03</v>
      </c>
      <c r="C100" s="279"/>
      <c r="D100" s="279"/>
      <c r="E100" s="291"/>
      <c r="F100" s="279"/>
      <c r="G100" s="281"/>
      <c r="H100" s="133"/>
      <c r="I100" s="289" t="s">
        <v>1456</v>
      </c>
      <c r="J100" s="290">
        <v>0.03</v>
      </c>
      <c r="K100" s="279"/>
      <c r="L100" s="279"/>
      <c r="M100" s="291"/>
      <c r="N100" s="279"/>
      <c r="O100" s="281"/>
    </row>
    <row r="101" spans="1:15" s="132" customFormat="1" outlineLevel="2" x14ac:dyDescent="0.25">
      <c r="A101" s="283" t="s">
        <v>1519</v>
      </c>
      <c r="B101" s="284"/>
      <c r="C101" s="284"/>
      <c r="D101" s="284"/>
      <c r="E101" s="284"/>
      <c r="F101" s="284"/>
      <c r="G101" s="285">
        <f>IFERROR((G97/0.84),0)</f>
        <v>0</v>
      </c>
      <c r="H101" s="133"/>
      <c r="I101" s="283" t="s">
        <v>1519</v>
      </c>
      <c r="J101" s="284"/>
      <c r="K101" s="284"/>
      <c r="L101" s="284"/>
      <c r="M101" s="284"/>
      <c r="N101" s="284"/>
      <c r="O101" s="285">
        <f>IFERROR((O97/0.84),0)</f>
        <v>0</v>
      </c>
    </row>
    <row r="109" spans="1:15" x14ac:dyDescent="0.25">
      <c r="H109" s="84"/>
    </row>
  </sheetData>
  <customSheetViews>
    <customSheetView guid="{D98A1565-B6EB-4D88-8DB8-23EB436D0197}">
      <selection activeCell="L2" sqref="L2"/>
      <pageMargins left="0.7" right="0.7" top="0.75" bottom="0.75" header="0.3" footer="0.3"/>
    </customSheetView>
  </customSheetViews>
  <mergeCells count="13">
    <mergeCell ref="A73:G73"/>
    <mergeCell ref="I73:O73"/>
    <mergeCell ref="C5:E5"/>
    <mergeCell ref="K5:M5"/>
    <mergeCell ref="A6:G6"/>
    <mergeCell ref="I6:O6"/>
    <mergeCell ref="C38:E38"/>
    <mergeCell ref="K38:M38"/>
    <mergeCell ref="E2:J2"/>
    <mergeCell ref="A39:G39"/>
    <mergeCell ref="I39:O39"/>
    <mergeCell ref="C72:E72"/>
    <mergeCell ref="K72:M72"/>
  </mergeCells>
  <conditionalFormatting sqref="G34">
    <cfRule type="cellIs" priority="1" operator="equal">
      <formula>0</formula>
    </cfRule>
  </conditionalFormatting>
  <pageMargins left="0.7" right="0.7" top="0.75" bottom="0.75" header="0.3" footer="0.3"/>
  <pageSetup orientation="portrait" horizontalDpi="4294967292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O107"/>
  <sheetViews>
    <sheetView topLeftCell="A3" zoomScale="70" zoomScaleNormal="70" workbookViewId="0">
      <selection activeCell="P26" sqref="P26"/>
    </sheetView>
  </sheetViews>
  <sheetFormatPr baseColWidth="10" defaultRowHeight="15" outlineLevelRow="2" x14ac:dyDescent="0.25"/>
  <sheetData>
    <row r="2" spans="1:15" ht="28.5" x14ac:dyDescent="0.45">
      <c r="E2" s="586" t="str">
        <f>+'HOJA DE TRABAJO'!Q36</f>
        <v>LA PAZ</v>
      </c>
      <c r="F2" s="586"/>
      <c r="G2" s="586"/>
      <c r="H2" s="586"/>
      <c r="I2" s="586"/>
      <c r="J2" s="586"/>
      <c r="K2" s="586"/>
    </row>
    <row r="4" spans="1:15" s="132" customFormat="1" x14ac:dyDescent="0.25">
      <c r="A4" s="292" t="s">
        <v>1477</v>
      </c>
      <c r="B4" s="292"/>
      <c r="C4" s="292"/>
      <c r="D4" s="292"/>
      <c r="E4" s="268"/>
      <c r="F4" s="292" t="s">
        <v>11</v>
      </c>
      <c r="G4" s="292">
        <f>+'HOJA DE TRABAJO'!Q38</f>
        <v>1</v>
      </c>
      <c r="H4" s="293"/>
      <c r="I4" s="292" t="s">
        <v>1477</v>
      </c>
      <c r="J4" s="292"/>
      <c r="K4" s="292"/>
      <c r="L4" s="292"/>
      <c r="M4" s="292"/>
      <c r="N4" s="292" t="s">
        <v>11</v>
      </c>
      <c r="O4" s="292">
        <f>+'HOJA DE TRABAJO'!Q39</f>
        <v>0</v>
      </c>
    </row>
    <row r="5" spans="1:15" s="132" customFormat="1" x14ac:dyDescent="0.25">
      <c r="A5" s="294"/>
      <c r="B5" s="294" t="s">
        <v>1476</v>
      </c>
      <c r="C5" s="588" t="str">
        <f>+'HOJA DE TRABAJO'!C38:E38</f>
        <v>VENDEDOR INSTITUCIONAL</v>
      </c>
      <c r="D5" s="588"/>
      <c r="E5" s="588"/>
      <c r="F5" s="294"/>
      <c r="G5" s="294"/>
      <c r="H5" s="293"/>
      <c r="I5" s="294"/>
      <c r="J5" s="294" t="s">
        <v>1476</v>
      </c>
      <c r="K5" s="588">
        <f>+'HOJA DE TRABAJO'!C39</f>
        <v>0</v>
      </c>
      <c r="L5" s="588"/>
      <c r="M5" s="588"/>
      <c r="N5" s="294"/>
      <c r="O5" s="294"/>
    </row>
    <row r="6" spans="1:15" s="132" customFormat="1" ht="14.25" x14ac:dyDescent="0.2">
      <c r="A6" s="587" t="s">
        <v>1478</v>
      </c>
      <c r="B6" s="587"/>
      <c r="C6" s="587"/>
      <c r="D6" s="587"/>
      <c r="E6" s="587"/>
      <c r="F6" s="587"/>
      <c r="G6" s="587"/>
      <c r="H6" s="269"/>
      <c r="I6" s="587" t="s">
        <v>1478</v>
      </c>
      <c r="J6" s="587"/>
      <c r="K6" s="587"/>
      <c r="L6" s="587"/>
      <c r="M6" s="587"/>
      <c r="N6" s="587"/>
      <c r="O6" s="587"/>
    </row>
    <row r="7" spans="1:15" s="132" customFormat="1" ht="14.25" x14ac:dyDescent="0.2">
      <c r="A7" s="268"/>
      <c r="B7" s="268"/>
      <c r="C7" s="268"/>
      <c r="D7" s="268"/>
      <c r="E7" s="268"/>
      <c r="F7" s="268"/>
      <c r="G7" s="268"/>
      <c r="H7" s="133"/>
      <c r="I7" s="268"/>
      <c r="J7" s="268"/>
      <c r="K7" s="268"/>
      <c r="L7" s="268"/>
      <c r="M7" s="268"/>
      <c r="N7" s="268"/>
      <c r="O7" s="268"/>
    </row>
    <row r="8" spans="1:15" s="132" customFormat="1" ht="14.25" x14ac:dyDescent="0.2">
      <c r="A8" s="268" t="s">
        <v>1475</v>
      </c>
      <c r="B8" s="268"/>
      <c r="C8" s="268"/>
      <c r="D8" s="268"/>
      <c r="E8" s="268"/>
      <c r="F8" s="268"/>
      <c r="G8" s="270">
        <f>+'HOJA DE TRABAJO'!R38</f>
        <v>1942.02</v>
      </c>
      <c r="H8" s="271"/>
      <c r="I8" s="268" t="str">
        <f>A8</f>
        <v>Costo líquido por Supervisor  (líquido pagable Bs.)</v>
      </c>
      <c r="J8" s="268"/>
      <c r="K8" s="268"/>
      <c r="L8" s="268"/>
      <c r="M8" s="268"/>
      <c r="N8" s="268"/>
      <c r="O8" s="270">
        <f>+'HOJA DE TRABAJO'!R39</f>
        <v>0</v>
      </c>
    </row>
    <row r="9" spans="1:15" s="132" customFormat="1" ht="14.25" x14ac:dyDescent="0.2">
      <c r="A9" s="268" t="s">
        <v>1588</v>
      </c>
      <c r="B9" s="268"/>
      <c r="C9" s="268"/>
      <c r="D9" s="268"/>
      <c r="E9" s="268"/>
      <c r="F9" s="268"/>
      <c r="G9" s="270">
        <f>IF(G8=0,0,SUM('HOJA DE TRABAJO'!$R$29:$R$31))</f>
        <v>600</v>
      </c>
      <c r="H9" s="271"/>
      <c r="I9" s="268" t="s">
        <v>1588</v>
      </c>
      <c r="J9" s="268"/>
      <c r="K9" s="268"/>
      <c r="L9" s="268"/>
      <c r="M9" s="268"/>
      <c r="N9" s="268"/>
      <c r="O9" s="270">
        <f>IF(O8=0,0,SUM('HOJA DE TRABAJO'!$R$29:$R$31))</f>
        <v>0</v>
      </c>
    </row>
    <row r="10" spans="1:15" s="132" customFormat="1" ht="14.25" x14ac:dyDescent="0.2">
      <c r="A10" s="272" t="s">
        <v>1474</v>
      </c>
      <c r="B10" s="268"/>
      <c r="C10" s="268"/>
      <c r="D10" s="268"/>
      <c r="E10" s="268"/>
      <c r="F10" s="268"/>
      <c r="G10" s="270"/>
      <c r="H10" s="271"/>
      <c r="I10" s="272" t="s">
        <v>1474</v>
      </c>
      <c r="J10" s="268"/>
      <c r="K10" s="268"/>
      <c r="L10" s="268"/>
      <c r="M10" s="268"/>
      <c r="N10" s="268"/>
      <c r="O10" s="270"/>
    </row>
    <row r="11" spans="1:15" s="132" customFormat="1" x14ac:dyDescent="0.25">
      <c r="A11" s="273" t="s">
        <v>1473</v>
      </c>
      <c r="B11" s="268"/>
      <c r="C11" s="268"/>
      <c r="D11" s="268"/>
      <c r="E11" s="268"/>
      <c r="F11" s="274">
        <f>+SUM(E12:E15)</f>
        <v>0.12710000000000002</v>
      </c>
      <c r="G11" s="270">
        <f>+(G8*100/87.29-G8)+(G9*F11)</f>
        <v>359.03092679573797</v>
      </c>
      <c r="H11" s="271"/>
      <c r="I11" s="273" t="s">
        <v>1473</v>
      </c>
      <c r="J11" s="268"/>
      <c r="K11" s="268"/>
      <c r="L11" s="268"/>
      <c r="M11" s="268"/>
      <c r="N11" s="274">
        <f>+SUM(M12:M15)</f>
        <v>0.12710000000000002</v>
      </c>
      <c r="O11" s="270">
        <f>+(O8*100/87.29-O8)+(N11*O9)</f>
        <v>0</v>
      </c>
    </row>
    <row r="12" spans="1:15" s="132" customFormat="1" ht="14.25" x14ac:dyDescent="0.2">
      <c r="A12" s="275" t="s">
        <v>1472</v>
      </c>
      <c r="B12" s="268"/>
      <c r="C12" s="268"/>
      <c r="D12" s="268"/>
      <c r="E12" s="276">
        <v>0.1</v>
      </c>
      <c r="F12" s="268"/>
      <c r="G12" s="270"/>
      <c r="H12" s="271"/>
      <c r="I12" s="275" t="s">
        <v>1472</v>
      </c>
      <c r="J12" s="268"/>
      <c r="K12" s="268"/>
      <c r="L12" s="268"/>
      <c r="M12" s="276">
        <v>0.1</v>
      </c>
      <c r="N12" s="268"/>
      <c r="O12" s="270"/>
    </row>
    <row r="13" spans="1:15" s="132" customFormat="1" ht="14.25" x14ac:dyDescent="0.2">
      <c r="A13" s="275" t="s">
        <v>1471</v>
      </c>
      <c r="B13" s="268"/>
      <c r="C13" s="268"/>
      <c r="D13" s="268"/>
      <c r="E13" s="276">
        <v>1.7100000000000001E-2</v>
      </c>
      <c r="F13" s="268"/>
      <c r="G13" s="270"/>
      <c r="H13" s="271"/>
      <c r="I13" s="275" t="s">
        <v>1471</v>
      </c>
      <c r="J13" s="268"/>
      <c r="K13" s="268"/>
      <c r="L13" s="268"/>
      <c r="M13" s="276">
        <v>1.7100000000000001E-2</v>
      </c>
      <c r="N13" s="268"/>
      <c r="O13" s="270"/>
    </row>
    <row r="14" spans="1:15" s="132" customFormat="1" ht="14.25" x14ac:dyDescent="0.2">
      <c r="A14" s="275" t="s">
        <v>1470</v>
      </c>
      <c r="B14" s="268"/>
      <c r="C14" s="268"/>
      <c r="D14" s="268"/>
      <c r="E14" s="276">
        <v>5.0000000000000001E-3</v>
      </c>
      <c r="F14" s="268"/>
      <c r="G14" s="270"/>
      <c r="H14" s="271"/>
      <c r="I14" s="275" t="s">
        <v>1470</v>
      </c>
      <c r="J14" s="268"/>
      <c r="K14" s="268"/>
      <c r="L14" s="268"/>
      <c r="M14" s="276">
        <v>5.0000000000000001E-3</v>
      </c>
      <c r="N14" s="268"/>
      <c r="O14" s="270"/>
    </row>
    <row r="15" spans="1:15" s="132" customFormat="1" ht="14.25" x14ac:dyDescent="0.2">
      <c r="A15" s="275" t="s">
        <v>1466</v>
      </c>
      <c r="B15" s="268"/>
      <c r="C15" s="268"/>
      <c r="D15" s="268"/>
      <c r="E15" s="276">
        <f>+E14</f>
        <v>5.0000000000000001E-3</v>
      </c>
      <c r="F15" s="268"/>
      <c r="G15" s="270"/>
      <c r="H15" s="271"/>
      <c r="I15" s="275" t="s">
        <v>1466</v>
      </c>
      <c r="J15" s="268"/>
      <c r="K15" s="268"/>
      <c r="L15" s="268"/>
      <c r="M15" s="276">
        <f>+M14</f>
        <v>5.0000000000000001E-3</v>
      </c>
      <c r="N15" s="268"/>
      <c r="O15" s="270"/>
    </row>
    <row r="16" spans="1:15" s="132" customFormat="1" x14ac:dyDescent="0.25">
      <c r="A16" s="273" t="s">
        <v>1469</v>
      </c>
      <c r="B16" s="268"/>
      <c r="C16" s="268"/>
      <c r="D16" s="268"/>
      <c r="E16" s="276"/>
      <c r="F16" s="274">
        <f>+SUM(E17:E26)</f>
        <v>0.83360000000000001</v>
      </c>
      <c r="G16" s="270">
        <f>(G8+G11+G9)*F16</f>
        <v>2418.3160525769272</v>
      </c>
      <c r="H16" s="271"/>
      <c r="I16" s="273" t="s">
        <v>1469</v>
      </c>
      <c r="J16" s="268"/>
      <c r="K16" s="268"/>
      <c r="L16" s="268"/>
      <c r="M16" s="276"/>
      <c r="N16" s="274">
        <f>+SUM(M17:M26)</f>
        <v>0.83360000000000001</v>
      </c>
      <c r="O16" s="270">
        <f>(O8+O11+O9)*N16</f>
        <v>0</v>
      </c>
    </row>
    <row r="17" spans="1:15" s="132" customFormat="1" ht="14.25" x14ac:dyDescent="0.2">
      <c r="A17" s="275" t="s">
        <v>1468</v>
      </c>
      <c r="B17" s="268"/>
      <c r="C17" s="268"/>
      <c r="D17" s="268"/>
      <c r="E17" s="276">
        <v>0.1</v>
      </c>
      <c r="F17" s="268"/>
      <c r="G17" s="270"/>
      <c r="H17" s="271"/>
      <c r="I17" s="275" t="s">
        <v>1468</v>
      </c>
      <c r="J17" s="268"/>
      <c r="K17" s="268"/>
      <c r="L17" s="268"/>
      <c r="M17" s="276">
        <v>0.1</v>
      </c>
      <c r="N17" s="268"/>
      <c r="O17" s="270"/>
    </row>
    <row r="18" spans="1:15" s="132" customFormat="1" ht="14.25" x14ac:dyDescent="0.2">
      <c r="A18" s="275" t="s">
        <v>1466</v>
      </c>
      <c r="B18" s="268"/>
      <c r="C18" s="268"/>
      <c r="D18" s="268"/>
      <c r="E18" s="276">
        <v>0.03</v>
      </c>
      <c r="F18" s="268"/>
      <c r="G18" s="270"/>
      <c r="H18" s="271"/>
      <c r="I18" s="275" t="s">
        <v>1466</v>
      </c>
      <c r="J18" s="268"/>
      <c r="K18" s="268"/>
      <c r="L18" s="268"/>
      <c r="M18" s="276">
        <v>0.03</v>
      </c>
      <c r="N18" s="268"/>
      <c r="O18" s="270"/>
    </row>
    <row r="19" spans="1:15" s="132" customFormat="1" ht="14.25" x14ac:dyDescent="0.2">
      <c r="A19" s="275" t="s">
        <v>1465</v>
      </c>
      <c r="B19" s="268"/>
      <c r="C19" s="268"/>
      <c r="D19" s="268"/>
      <c r="E19" s="276">
        <v>3.7100000000000001E-2</v>
      </c>
      <c r="F19" s="268"/>
      <c r="G19" s="270"/>
      <c r="H19" s="271"/>
      <c r="I19" s="275" t="s">
        <v>1465</v>
      </c>
      <c r="J19" s="268"/>
      <c r="K19" s="268"/>
      <c r="L19" s="268"/>
      <c r="M19" s="276">
        <v>3.7100000000000001E-2</v>
      </c>
      <c r="N19" s="268"/>
      <c r="O19" s="270"/>
    </row>
    <row r="20" spans="1:15" s="132" customFormat="1" ht="14.25" x14ac:dyDescent="0.2">
      <c r="A20" s="275" t="s">
        <v>1501</v>
      </c>
      <c r="B20" s="268"/>
      <c r="C20" s="268"/>
      <c r="D20" s="268"/>
      <c r="E20" s="276">
        <f>+IF('HOJA DE TRABAJO'!$J$17="SI",0,IF('HOJA DE TRABAJO'!$J$17="NO",0.0833,))</f>
        <v>8.3299999999999999E-2</v>
      </c>
      <c r="F20" s="268"/>
      <c r="G20" s="270"/>
      <c r="H20" s="271"/>
      <c r="I20" s="275" t="s">
        <v>1500</v>
      </c>
      <c r="J20" s="268"/>
      <c r="K20" s="268"/>
      <c r="L20" s="268"/>
      <c r="M20" s="276">
        <f>+IF('HOJA DE TRABAJO'!$J$17="SI",0,IF('HOJA DE TRABAJO'!$J$17="NO",0.0833,))</f>
        <v>8.3299999999999999E-2</v>
      </c>
      <c r="N20" s="268"/>
      <c r="O20" s="270"/>
    </row>
    <row r="21" spans="1:15" s="132" customFormat="1" ht="14.25" x14ac:dyDescent="0.2">
      <c r="A21" s="275" t="s">
        <v>1463</v>
      </c>
      <c r="B21" s="268"/>
      <c r="C21" s="268"/>
      <c r="D21" s="268"/>
      <c r="E21" s="276">
        <f>+IF('HOJA DE TRABAJO'!$J$17="SI",0,IF('HOJA DE TRABAJO'!$J$17="NO",0.0833,))</f>
        <v>8.3299999999999999E-2</v>
      </c>
      <c r="F21" s="268"/>
      <c r="G21" s="270"/>
      <c r="H21" s="271"/>
      <c r="I21" s="275" t="s">
        <v>1463</v>
      </c>
      <c r="J21" s="268"/>
      <c r="K21" s="268"/>
      <c r="L21" s="268"/>
      <c r="M21" s="276">
        <f>+IF('HOJA DE TRABAJO'!$J$17="SI",0,IF('HOJA DE TRABAJO'!$J$17="NO",0.0833,))</f>
        <v>8.3299999999999999E-2</v>
      </c>
      <c r="N21" s="268"/>
      <c r="O21" s="270"/>
    </row>
    <row r="22" spans="1:15" s="132" customFormat="1" ht="14.25" x14ac:dyDescent="0.2">
      <c r="A22" s="275" t="str">
        <f>+'HOJA DE TRABAJO'!$B$29</f>
        <v xml:space="preserve">Previsión Segundo  Aguinaldo </v>
      </c>
      <c r="B22" s="268"/>
      <c r="C22" s="268"/>
      <c r="D22" s="268"/>
      <c r="E22" s="276">
        <f>+'HOJA DE TRABAJO'!$E$29</f>
        <v>8.3299999999999999E-2</v>
      </c>
      <c r="F22" s="268"/>
      <c r="G22" s="270"/>
      <c r="H22" s="271"/>
      <c r="I22" s="275" t="str">
        <f>+'HOJA DE TRABAJO'!$B$29</f>
        <v xml:space="preserve">Previsión Segundo  Aguinaldo </v>
      </c>
      <c r="J22" s="268"/>
      <c r="K22" s="268"/>
      <c r="L22" s="268"/>
      <c r="M22" s="276">
        <f>+'HOJA DE TRABAJO'!$E$29</f>
        <v>8.3299999999999999E-2</v>
      </c>
      <c r="N22" s="268"/>
      <c r="O22" s="270"/>
    </row>
    <row r="23" spans="1:15" s="132" customFormat="1" ht="14.25" x14ac:dyDescent="0.2">
      <c r="A23" s="275" t="str">
        <f>+'HOJA DE TRABAJO'!$B$30</f>
        <v>Seguro de Accidente</v>
      </c>
      <c r="B23" s="268"/>
      <c r="C23" s="268"/>
      <c r="D23" s="268"/>
      <c r="E23" s="276">
        <f>+'HOJA DE TRABAJO'!$E$30</f>
        <v>0</v>
      </c>
      <c r="F23" s="268"/>
      <c r="G23" s="270"/>
      <c r="H23" s="271"/>
      <c r="I23" s="275" t="str">
        <f>+'HOJA DE TRABAJO'!$B$30</f>
        <v>Seguro de Accidente</v>
      </c>
      <c r="J23" s="268"/>
      <c r="K23" s="268"/>
      <c r="L23" s="268"/>
      <c r="M23" s="276">
        <f>+'HOJA DE TRABAJO'!$E$30</f>
        <v>0</v>
      </c>
      <c r="N23" s="268"/>
      <c r="O23" s="270"/>
    </row>
    <row r="24" spans="1:15" s="132" customFormat="1" ht="14.25" x14ac:dyDescent="0.2">
      <c r="A24" s="275" t="str">
        <f>+'HOJA DE TRABAJO'!$B$31</f>
        <v xml:space="preserve">Vacaciones </v>
      </c>
      <c r="B24" s="268"/>
      <c r="C24" s="268"/>
      <c r="D24" s="268"/>
      <c r="E24" s="276">
        <f>+'HOJA DE TRABAJO'!$E$31</f>
        <v>0</v>
      </c>
      <c r="F24" s="268"/>
      <c r="G24" s="270"/>
      <c r="H24" s="271"/>
      <c r="I24" s="275" t="str">
        <f>+'HOJA DE TRABAJO'!$B$31</f>
        <v xml:space="preserve">Vacaciones </v>
      </c>
      <c r="J24" s="268"/>
      <c r="K24" s="268"/>
      <c r="L24" s="268"/>
      <c r="M24" s="276">
        <f>+'HOJA DE TRABAJO'!$E$31</f>
        <v>0</v>
      </c>
      <c r="N24" s="268"/>
      <c r="O24" s="270"/>
    </row>
    <row r="25" spans="1:15" s="132" customFormat="1" ht="14.25" x14ac:dyDescent="0.2">
      <c r="A25" s="275" t="str">
        <f>+'HOJA DE TRABAJO'!$F$29</f>
        <v xml:space="preserve">Previsicion de Subsidio </v>
      </c>
      <c r="B25" s="268"/>
      <c r="C25" s="268"/>
      <c r="D25" s="268"/>
      <c r="E25" s="276">
        <f>+'HOJA DE TRABAJO'!$L$29</f>
        <v>0.33329999999999999</v>
      </c>
      <c r="F25" s="268"/>
      <c r="G25" s="270"/>
      <c r="H25" s="271"/>
      <c r="I25" s="275" t="str">
        <f>+'HOJA DE TRABAJO'!$F$29</f>
        <v xml:space="preserve">Previsicion de Subsidio </v>
      </c>
      <c r="J25" s="268"/>
      <c r="K25" s="268"/>
      <c r="L25" s="268"/>
      <c r="M25" s="276">
        <f>+'HOJA DE TRABAJO'!$L$29</f>
        <v>0.33329999999999999</v>
      </c>
      <c r="N25" s="268"/>
      <c r="O25" s="270"/>
    </row>
    <row r="26" spans="1:15" s="132" customFormat="1" ht="14.25" x14ac:dyDescent="0.2">
      <c r="A26" s="275" t="str">
        <f>+'HOJA DE TRABAJO'!$F$30</f>
        <v>Previsicion de Desahucio</v>
      </c>
      <c r="B26" s="268"/>
      <c r="C26" s="268"/>
      <c r="D26" s="268"/>
      <c r="E26" s="276">
        <f>+'HOJA DE TRABAJO'!$L$30</f>
        <v>8.3299999999999999E-2</v>
      </c>
      <c r="F26" s="268"/>
      <c r="G26" s="270"/>
      <c r="H26" s="271"/>
      <c r="I26" s="275" t="str">
        <f>+'HOJA DE TRABAJO'!$F$30</f>
        <v>Previsicion de Desahucio</v>
      </c>
      <c r="J26" s="268"/>
      <c r="K26" s="268"/>
      <c r="L26" s="268"/>
      <c r="M26" s="276">
        <f>+'HOJA DE TRABAJO'!$L$30</f>
        <v>8.3299999999999999E-2</v>
      </c>
      <c r="N26" s="268"/>
      <c r="O26" s="270"/>
    </row>
    <row r="27" spans="1:15" s="132" customFormat="1" ht="14.25" x14ac:dyDescent="0.2">
      <c r="A27" s="277" t="s">
        <v>1461</v>
      </c>
      <c r="B27" s="268"/>
      <c r="C27" s="268"/>
      <c r="D27" s="268"/>
      <c r="E27" s="276"/>
      <c r="F27" s="268"/>
      <c r="G27" s="270">
        <f>IF(G4=0,0,(('HOJA DE TRABAJO'!$U$108)/'HOJA DE TRABAJO'!$BA$44))</f>
        <v>684.49998225460638</v>
      </c>
      <c r="H27" s="337"/>
      <c r="I27" s="277" t="s">
        <v>1461</v>
      </c>
      <c r="J27" s="268"/>
      <c r="K27" s="268"/>
      <c r="L27" s="268"/>
      <c r="M27" s="276"/>
      <c r="N27" s="268"/>
      <c r="O27" s="270">
        <f>IF(O4=0,0,(('HOJA DE TRABAJO'!$U$108)/'HOJA DE TRABAJO'!$BA$44))</f>
        <v>0</v>
      </c>
    </row>
    <row r="28" spans="1:15" s="132" customFormat="1" ht="14.25" x14ac:dyDescent="0.2">
      <c r="A28" s="277" t="s">
        <v>1504</v>
      </c>
      <c r="B28" s="268"/>
      <c r="C28" s="268"/>
      <c r="D28" s="268"/>
      <c r="E28" s="274">
        <f>+'HOJA DE TRABAJO'!$H$116*'HOJA DE TRABAJO'!$F$19</f>
        <v>1.6346153846153847E-2</v>
      </c>
      <c r="F28" s="268"/>
      <c r="G28" s="270">
        <f>(SUM(G7:G27)*E28)+IF(G4=0,0,'HOJA DE TRABAJO'!$J$119)</f>
        <v>98.349874324021016</v>
      </c>
      <c r="H28" s="271"/>
      <c r="I28" s="277" t="s">
        <v>1503</v>
      </c>
      <c r="J28" s="268"/>
      <c r="K28" s="268"/>
      <c r="L28" s="268"/>
      <c r="M28" s="274">
        <f>+'HOJA DE TRABAJO'!$H$116*'HOJA DE TRABAJO'!$F$19</f>
        <v>1.6346153846153847E-2</v>
      </c>
      <c r="N28" s="268"/>
      <c r="O28" s="270">
        <f>(SUM(O7:O27)*M28)+IF(O4=0,0,'HOJA DE TRABAJO'!$J$119)</f>
        <v>0</v>
      </c>
    </row>
    <row r="29" spans="1:15" s="132" customFormat="1" ht="14.25" x14ac:dyDescent="0.2">
      <c r="A29" s="278" t="s">
        <v>1460</v>
      </c>
      <c r="B29" s="279"/>
      <c r="C29" s="279"/>
      <c r="D29" s="279"/>
      <c r="E29" s="280">
        <f>+'HOJA 1 aux'!E29</f>
        <v>0.13</v>
      </c>
      <c r="F29" s="279"/>
      <c r="G29" s="281">
        <f>+SUM(G6:G28)*E29</f>
        <v>793.28818867366795</v>
      </c>
      <c r="H29" s="282"/>
      <c r="I29" s="278" t="s">
        <v>1460</v>
      </c>
      <c r="J29" s="279"/>
      <c r="K29" s="279"/>
      <c r="L29" s="279"/>
      <c r="M29" s="280">
        <f>+E29</f>
        <v>0.13</v>
      </c>
      <c r="N29" s="279"/>
      <c r="O29" s="281">
        <f>+SUM(O6:O28)*M29</f>
        <v>0</v>
      </c>
    </row>
    <row r="30" spans="1:15" s="132" customFormat="1" x14ac:dyDescent="0.25">
      <c r="A30" s="283" t="s">
        <v>1459</v>
      </c>
      <c r="B30" s="284"/>
      <c r="C30" s="284"/>
      <c r="D30" s="284"/>
      <c r="E30" s="284"/>
      <c r="F30" s="284"/>
      <c r="G30" s="285">
        <f>+SUM(G7:G29)</f>
        <v>6895.5050246249593</v>
      </c>
      <c r="H30" s="286"/>
      <c r="I30" s="283" t="s">
        <v>1459</v>
      </c>
      <c r="J30" s="284"/>
      <c r="K30" s="284"/>
      <c r="L30" s="284"/>
      <c r="M30" s="284"/>
      <c r="N30" s="284"/>
      <c r="O30" s="285">
        <f>+SUM(O7:O29)</f>
        <v>0</v>
      </c>
    </row>
    <row r="31" spans="1:15" s="132" customFormat="1" ht="14.25" x14ac:dyDescent="0.2">
      <c r="A31" s="277" t="s">
        <v>1458</v>
      </c>
      <c r="B31" s="268"/>
      <c r="C31" s="268"/>
      <c r="D31" s="268"/>
      <c r="E31" s="274">
        <f>+B32+B33</f>
        <v>0.16</v>
      </c>
      <c r="F31" s="268"/>
      <c r="G31" s="270">
        <f>+G34-G30</f>
        <v>1313.4295284999935</v>
      </c>
      <c r="H31" s="271"/>
      <c r="I31" s="277" t="s">
        <v>1458</v>
      </c>
      <c r="J31" s="268"/>
      <c r="K31" s="268"/>
      <c r="L31" s="268"/>
      <c r="M31" s="274">
        <f>+J32+J33</f>
        <v>0.16</v>
      </c>
      <c r="N31" s="268"/>
      <c r="O31" s="270">
        <f>+O34-O30</f>
        <v>0</v>
      </c>
    </row>
    <row r="32" spans="1:15" s="132" customFormat="1" ht="14.25" x14ac:dyDescent="0.2">
      <c r="A32" s="287" t="s">
        <v>1457</v>
      </c>
      <c r="B32" s="288">
        <v>0.13</v>
      </c>
      <c r="C32" s="268"/>
      <c r="D32" s="268"/>
      <c r="E32" s="276"/>
      <c r="F32" s="268"/>
      <c r="G32" s="270"/>
      <c r="H32" s="271"/>
      <c r="I32" s="287" t="s">
        <v>1457</v>
      </c>
      <c r="J32" s="288">
        <v>0.13</v>
      </c>
      <c r="K32" s="268"/>
      <c r="L32" s="268"/>
      <c r="M32" s="276"/>
      <c r="N32" s="268"/>
      <c r="O32" s="270"/>
    </row>
    <row r="33" spans="1:15" s="132" customFormat="1" ht="14.25" x14ac:dyDescent="0.2">
      <c r="A33" s="289" t="s">
        <v>1456</v>
      </c>
      <c r="B33" s="290">
        <v>0.03</v>
      </c>
      <c r="C33" s="279"/>
      <c r="D33" s="279"/>
      <c r="E33" s="291"/>
      <c r="F33" s="279"/>
      <c r="G33" s="281"/>
      <c r="H33" s="282"/>
      <c r="I33" s="289" t="s">
        <v>1456</v>
      </c>
      <c r="J33" s="290">
        <v>0.03</v>
      </c>
      <c r="K33" s="279"/>
      <c r="L33" s="279"/>
      <c r="M33" s="291"/>
      <c r="N33" s="279"/>
      <c r="O33" s="281"/>
    </row>
    <row r="34" spans="1:15" s="132" customFormat="1" x14ac:dyDescent="0.25">
      <c r="A34" s="283" t="s">
        <v>1519</v>
      </c>
      <c r="B34" s="284"/>
      <c r="C34" s="284"/>
      <c r="D34" s="284"/>
      <c r="E34" s="284"/>
      <c r="F34" s="284"/>
      <c r="G34" s="285">
        <f>IFERROR((G30/0.84),0)</f>
        <v>8208.9345531249528</v>
      </c>
      <c r="H34" s="286"/>
      <c r="I34" s="283" t="s">
        <v>1519</v>
      </c>
      <c r="J34" s="284"/>
      <c r="K34" s="284"/>
      <c r="L34" s="284"/>
      <c r="M34" s="284"/>
      <c r="N34" s="284"/>
      <c r="O34" s="285">
        <f>IFERROR((O30/0.84),0)</f>
        <v>0</v>
      </c>
    </row>
    <row r="35" spans="1:15" s="132" customFormat="1" ht="14.25" x14ac:dyDescent="0.2">
      <c r="H35" s="133"/>
    </row>
    <row r="36" spans="1:15" s="132" customFormat="1" ht="14.25" x14ac:dyDescent="0.2">
      <c r="H36" s="133"/>
    </row>
    <row r="37" spans="1:15" s="132" customFormat="1" outlineLevel="1" x14ac:dyDescent="0.25">
      <c r="A37" s="292" t="s">
        <v>1477</v>
      </c>
      <c r="B37" s="292"/>
      <c r="C37" s="292"/>
      <c r="D37" s="292"/>
      <c r="E37" s="268"/>
      <c r="F37" s="292" t="s">
        <v>11</v>
      </c>
      <c r="G37" s="292">
        <f>+'HOJA DE TRABAJO'!Q40</f>
        <v>0</v>
      </c>
      <c r="H37" s="293"/>
      <c r="I37" s="292" t="s">
        <v>1477</v>
      </c>
      <c r="J37" s="292"/>
      <c r="K37" s="292"/>
      <c r="L37" s="292"/>
      <c r="M37" s="268"/>
      <c r="N37" s="292" t="s">
        <v>11</v>
      </c>
      <c r="O37" s="292">
        <f>+'HOJA DE TRABAJO'!Q41</f>
        <v>0</v>
      </c>
    </row>
    <row r="38" spans="1:15" s="132" customFormat="1" outlineLevel="1" x14ac:dyDescent="0.25">
      <c r="A38" s="294"/>
      <c r="B38" s="294" t="s">
        <v>1476</v>
      </c>
      <c r="C38" s="588">
        <f>+'HOJA DE TRABAJO'!C40:E40</f>
        <v>0</v>
      </c>
      <c r="D38" s="588"/>
      <c r="E38" s="588"/>
      <c r="F38" s="294"/>
      <c r="G38" s="294"/>
      <c r="H38" s="269"/>
      <c r="I38" s="294"/>
      <c r="J38" s="294" t="s">
        <v>1476</v>
      </c>
      <c r="K38" s="588">
        <f>+'HOJA DE TRABAJO'!C41</f>
        <v>0</v>
      </c>
      <c r="L38" s="588"/>
      <c r="M38" s="588"/>
      <c r="N38" s="294"/>
      <c r="O38" s="294"/>
    </row>
    <row r="39" spans="1:15" s="132" customFormat="1" ht="14.25" outlineLevel="1" x14ac:dyDescent="0.2">
      <c r="A39" s="587" t="s">
        <v>1478</v>
      </c>
      <c r="B39" s="587"/>
      <c r="C39" s="587"/>
      <c r="D39" s="587"/>
      <c r="E39" s="587"/>
      <c r="F39" s="587"/>
      <c r="G39" s="587"/>
      <c r="H39" s="133"/>
      <c r="I39" s="587" t="s">
        <v>1478</v>
      </c>
      <c r="J39" s="587"/>
      <c r="K39" s="587"/>
      <c r="L39" s="587"/>
      <c r="M39" s="587"/>
      <c r="N39" s="587"/>
      <c r="O39" s="587"/>
    </row>
    <row r="40" spans="1:15" s="132" customFormat="1" ht="14.25" outlineLevel="1" x14ac:dyDescent="0.2">
      <c r="A40" s="268" t="s">
        <v>1475</v>
      </c>
      <c r="B40" s="268"/>
      <c r="C40" s="268"/>
      <c r="D40" s="268"/>
      <c r="E40" s="268"/>
      <c r="F40" s="268"/>
      <c r="G40" s="270">
        <f>+'HOJA DE TRABAJO'!R40</f>
        <v>0</v>
      </c>
      <c r="H40" s="271"/>
      <c r="I40" s="268" t="str">
        <f>A40</f>
        <v>Costo líquido por Supervisor  (líquido pagable Bs.)</v>
      </c>
      <c r="J40" s="268"/>
      <c r="K40" s="268"/>
      <c r="L40" s="268"/>
      <c r="M40" s="268"/>
      <c r="N40" s="268"/>
      <c r="O40" s="270">
        <f>+'HOJA DE TRABAJO'!R41</f>
        <v>0</v>
      </c>
    </row>
    <row r="41" spans="1:15" s="132" customFormat="1" ht="14.25" outlineLevel="1" x14ac:dyDescent="0.2">
      <c r="A41" s="268" t="s">
        <v>1588</v>
      </c>
      <c r="B41" s="268"/>
      <c r="C41" s="268"/>
      <c r="D41" s="268"/>
      <c r="E41" s="268"/>
      <c r="F41" s="268"/>
      <c r="G41" s="270">
        <f>IF(G40=0,0,SUM('HOJA DE TRABAJO'!$R$29:$R$31))</f>
        <v>0</v>
      </c>
      <c r="H41" s="271"/>
      <c r="I41" s="268" t="s">
        <v>1588</v>
      </c>
      <c r="J41" s="268"/>
      <c r="K41" s="268"/>
      <c r="L41" s="268"/>
      <c r="M41" s="268"/>
      <c r="N41" s="268"/>
      <c r="O41" s="270">
        <f>IF(O40=0,0,SUM('HOJA DE TRABAJO'!$R$29:$R$31))</f>
        <v>0</v>
      </c>
    </row>
    <row r="42" spans="1:15" s="132" customFormat="1" ht="14.25" outlineLevel="1" x14ac:dyDescent="0.2">
      <c r="A42" s="272" t="s">
        <v>1474</v>
      </c>
      <c r="B42" s="268"/>
      <c r="C42" s="268"/>
      <c r="D42" s="268"/>
      <c r="E42" s="268"/>
      <c r="F42" s="268"/>
      <c r="G42" s="270"/>
      <c r="H42" s="271"/>
      <c r="I42" s="272" t="s">
        <v>1474</v>
      </c>
      <c r="J42" s="268"/>
      <c r="K42" s="268"/>
      <c r="L42" s="268"/>
      <c r="M42" s="268"/>
      <c r="N42" s="268"/>
      <c r="O42" s="270"/>
    </row>
    <row r="43" spans="1:15" s="132" customFormat="1" outlineLevel="1" x14ac:dyDescent="0.25">
      <c r="A43" s="273" t="s">
        <v>1473</v>
      </c>
      <c r="B43" s="268"/>
      <c r="C43" s="268"/>
      <c r="D43" s="268"/>
      <c r="E43" s="268"/>
      <c r="F43" s="274">
        <f>+SUM(E44:E47)</f>
        <v>0.12710000000000002</v>
      </c>
      <c r="G43" s="270">
        <f>+(G40*100/87.29-G40)+(F43*G41)</f>
        <v>0</v>
      </c>
      <c r="H43" s="271"/>
      <c r="I43" s="273" t="s">
        <v>1473</v>
      </c>
      <c r="J43" s="268"/>
      <c r="K43" s="268"/>
      <c r="L43" s="268"/>
      <c r="M43" s="268"/>
      <c r="N43" s="274">
        <f>+SUM(M44:M47)</f>
        <v>0.12710000000000002</v>
      </c>
      <c r="O43" s="270">
        <f>+(O40*100/87.29-O40)+(N43*O41)</f>
        <v>0</v>
      </c>
    </row>
    <row r="44" spans="1:15" s="132" customFormat="1" ht="14.25" outlineLevel="1" x14ac:dyDescent="0.2">
      <c r="A44" s="275" t="s">
        <v>1472</v>
      </c>
      <c r="B44" s="268"/>
      <c r="C44" s="268"/>
      <c r="D44" s="268"/>
      <c r="E44" s="276">
        <v>0.1</v>
      </c>
      <c r="F44" s="268"/>
      <c r="G44" s="270"/>
      <c r="H44" s="271"/>
      <c r="I44" s="275" t="s">
        <v>1472</v>
      </c>
      <c r="J44" s="268"/>
      <c r="K44" s="268"/>
      <c r="L44" s="268"/>
      <c r="M44" s="276">
        <v>0.1</v>
      </c>
      <c r="N44" s="268"/>
      <c r="O44" s="270"/>
    </row>
    <row r="45" spans="1:15" s="132" customFormat="1" ht="14.25" outlineLevel="1" x14ac:dyDescent="0.2">
      <c r="A45" s="275" t="s">
        <v>1471</v>
      </c>
      <c r="B45" s="268"/>
      <c r="C45" s="268"/>
      <c r="D45" s="268"/>
      <c r="E45" s="276">
        <v>1.7100000000000001E-2</v>
      </c>
      <c r="F45" s="268"/>
      <c r="G45" s="270"/>
      <c r="H45" s="271"/>
      <c r="I45" s="275" t="s">
        <v>1471</v>
      </c>
      <c r="J45" s="268"/>
      <c r="K45" s="268"/>
      <c r="L45" s="268"/>
      <c r="M45" s="276">
        <v>1.7100000000000001E-2</v>
      </c>
      <c r="N45" s="268"/>
      <c r="O45" s="270"/>
    </row>
    <row r="46" spans="1:15" s="132" customFormat="1" ht="14.25" outlineLevel="1" x14ac:dyDescent="0.2">
      <c r="A46" s="275" t="s">
        <v>1470</v>
      </c>
      <c r="B46" s="268"/>
      <c r="C46" s="268"/>
      <c r="D46" s="268"/>
      <c r="E46" s="276">
        <v>5.0000000000000001E-3</v>
      </c>
      <c r="F46" s="268"/>
      <c r="G46" s="270"/>
      <c r="H46" s="271"/>
      <c r="I46" s="275" t="s">
        <v>1470</v>
      </c>
      <c r="J46" s="268"/>
      <c r="K46" s="268"/>
      <c r="L46" s="268"/>
      <c r="M46" s="276">
        <v>5.0000000000000001E-3</v>
      </c>
      <c r="N46" s="268"/>
      <c r="O46" s="270"/>
    </row>
    <row r="47" spans="1:15" s="132" customFormat="1" ht="14.25" outlineLevel="1" x14ac:dyDescent="0.2">
      <c r="A47" s="275" t="s">
        <v>1466</v>
      </c>
      <c r="B47" s="268"/>
      <c r="C47" s="268"/>
      <c r="D47" s="268"/>
      <c r="E47" s="276">
        <f>+E46</f>
        <v>5.0000000000000001E-3</v>
      </c>
      <c r="F47" s="268"/>
      <c r="G47" s="270"/>
      <c r="H47" s="271"/>
      <c r="I47" s="275" t="s">
        <v>1466</v>
      </c>
      <c r="J47" s="268"/>
      <c r="K47" s="268"/>
      <c r="L47" s="268"/>
      <c r="M47" s="276">
        <f>+M46</f>
        <v>5.0000000000000001E-3</v>
      </c>
      <c r="N47" s="268"/>
      <c r="O47" s="270"/>
    </row>
    <row r="48" spans="1:15" s="132" customFormat="1" outlineLevel="1" x14ac:dyDescent="0.25">
      <c r="A48" s="273" t="s">
        <v>1469</v>
      </c>
      <c r="B48" s="268"/>
      <c r="C48" s="268"/>
      <c r="D48" s="268"/>
      <c r="E48" s="276"/>
      <c r="F48" s="274">
        <f>+SUM(E49:E59)</f>
        <v>0.83360000000000001</v>
      </c>
      <c r="G48" s="270">
        <f>(G40+G43+G41)*F48</f>
        <v>0</v>
      </c>
      <c r="H48" s="271"/>
      <c r="I48" s="273" t="s">
        <v>1469</v>
      </c>
      <c r="J48" s="268"/>
      <c r="K48" s="268"/>
      <c r="L48" s="268"/>
      <c r="M48" s="276"/>
      <c r="N48" s="274">
        <f>+SUM(M49:M58)</f>
        <v>0.75029999999999997</v>
      </c>
      <c r="O48" s="270">
        <f>(O40+O43+O41)*N48</f>
        <v>0</v>
      </c>
    </row>
    <row r="49" spans="1:15" s="132" customFormat="1" ht="14.25" outlineLevel="1" x14ac:dyDescent="0.2">
      <c r="A49" s="275" t="s">
        <v>1468</v>
      </c>
      <c r="B49" s="268"/>
      <c r="C49" s="268"/>
      <c r="D49" s="268"/>
      <c r="E49" s="276">
        <v>0.1</v>
      </c>
      <c r="F49" s="268"/>
      <c r="G49" s="270"/>
      <c r="H49" s="271"/>
      <c r="I49" s="275" t="s">
        <v>1468</v>
      </c>
      <c r="J49" s="268"/>
      <c r="K49" s="268"/>
      <c r="L49" s="268"/>
      <c r="M49" s="276">
        <v>0.1</v>
      </c>
      <c r="N49" s="268"/>
      <c r="O49" s="270"/>
    </row>
    <row r="50" spans="1:15" s="132" customFormat="1" ht="14.25" outlineLevel="1" x14ac:dyDescent="0.2">
      <c r="A50" s="275" t="s">
        <v>1467</v>
      </c>
      <c r="B50" s="268"/>
      <c r="C50" s="268"/>
      <c r="D50" s="268"/>
      <c r="E50" s="276"/>
      <c r="F50" s="268"/>
      <c r="G50" s="270"/>
      <c r="H50" s="271"/>
      <c r="I50" s="275" t="s">
        <v>1467</v>
      </c>
      <c r="J50" s="268"/>
      <c r="K50" s="268"/>
      <c r="L50" s="268"/>
      <c r="M50" s="276"/>
      <c r="N50" s="268"/>
      <c r="O50" s="270"/>
    </row>
    <row r="51" spans="1:15" s="132" customFormat="1" ht="14.25" outlineLevel="1" x14ac:dyDescent="0.2">
      <c r="A51" s="275" t="s">
        <v>1466</v>
      </c>
      <c r="B51" s="268"/>
      <c r="C51" s="268"/>
      <c r="D51" s="268"/>
      <c r="E51" s="276">
        <v>0.03</v>
      </c>
      <c r="F51" s="268"/>
      <c r="G51" s="270"/>
      <c r="H51" s="271"/>
      <c r="I51" s="275" t="s">
        <v>1466</v>
      </c>
      <c r="J51" s="268"/>
      <c r="K51" s="268"/>
      <c r="L51" s="268"/>
      <c r="M51" s="276">
        <v>0.03</v>
      </c>
      <c r="N51" s="268"/>
      <c r="O51" s="270"/>
    </row>
    <row r="52" spans="1:15" s="132" customFormat="1" ht="14.25" outlineLevel="1" x14ac:dyDescent="0.2">
      <c r="A52" s="275" t="s">
        <v>1465</v>
      </c>
      <c r="B52" s="268"/>
      <c r="C52" s="268"/>
      <c r="D52" s="268"/>
      <c r="E52" s="276">
        <v>3.7100000000000001E-2</v>
      </c>
      <c r="F52" s="268"/>
      <c r="G52" s="270"/>
      <c r="H52" s="271"/>
      <c r="I52" s="275" t="s">
        <v>1465</v>
      </c>
      <c r="J52" s="268"/>
      <c r="K52" s="268"/>
      <c r="L52" s="268"/>
      <c r="M52" s="276">
        <v>3.7100000000000001E-2</v>
      </c>
      <c r="N52" s="268"/>
      <c r="O52" s="270"/>
    </row>
    <row r="53" spans="1:15" s="132" customFormat="1" ht="14.25" outlineLevel="1" x14ac:dyDescent="0.2">
      <c r="A53" s="275" t="s">
        <v>1500</v>
      </c>
      <c r="B53" s="268"/>
      <c r="C53" s="268"/>
      <c r="D53" s="268"/>
      <c r="E53" s="276">
        <f>+IF('HOJA DE TRABAJO'!$J$17="SI",0,IF('HOJA DE TRABAJO'!$J$17="NO",0.0833,))</f>
        <v>8.3299999999999999E-2</v>
      </c>
      <c r="F53" s="268"/>
      <c r="G53" s="270"/>
      <c r="H53" s="271"/>
      <c r="I53" s="275" t="s">
        <v>1501</v>
      </c>
      <c r="J53" s="268"/>
      <c r="K53" s="268"/>
      <c r="L53" s="268"/>
      <c r="M53" s="276">
        <f>+IF('HOJA DE TRABAJO'!$J$17="SI",0,IF('HOJA DE TRABAJO'!$J$17="NO",0.0833,))</f>
        <v>8.3299999999999999E-2</v>
      </c>
      <c r="N53" s="268"/>
      <c r="O53" s="270"/>
    </row>
    <row r="54" spans="1:15" s="132" customFormat="1" ht="14.25" outlineLevel="1" x14ac:dyDescent="0.2">
      <c r="A54" s="275" t="s">
        <v>1463</v>
      </c>
      <c r="B54" s="268"/>
      <c r="C54" s="268"/>
      <c r="D54" s="268"/>
      <c r="E54" s="276">
        <f>+IF('HOJA DE TRABAJO'!$J$17="SI",0,IF('HOJA DE TRABAJO'!$J$17="NO",0.0833,))</f>
        <v>8.3299999999999999E-2</v>
      </c>
      <c r="F54" s="268"/>
      <c r="G54" s="270"/>
      <c r="H54" s="271"/>
      <c r="I54" s="275" t="s">
        <v>1463</v>
      </c>
      <c r="J54" s="268"/>
      <c r="K54" s="268"/>
      <c r="L54" s="268"/>
      <c r="M54" s="276">
        <f>+IF('HOJA DE TRABAJO'!$J$17="SI",0,IF('HOJA DE TRABAJO'!$J$17="NO",0.0833,))</f>
        <v>8.3299999999999999E-2</v>
      </c>
      <c r="N54" s="268"/>
      <c r="O54" s="270"/>
    </row>
    <row r="55" spans="1:15" s="132" customFormat="1" ht="14.25" outlineLevel="1" x14ac:dyDescent="0.2">
      <c r="A55" s="275" t="str">
        <f>+'HOJA DE TRABAJO'!$B$29</f>
        <v xml:space="preserve">Previsión Segundo  Aguinaldo </v>
      </c>
      <c r="B55" s="268"/>
      <c r="C55" s="268"/>
      <c r="D55" s="268"/>
      <c r="E55" s="276">
        <f>+'HOJA DE TRABAJO'!$E$29</f>
        <v>8.3299999999999999E-2</v>
      </c>
      <c r="F55" s="268"/>
      <c r="G55" s="270"/>
      <c r="H55" s="271"/>
      <c r="I55" s="275" t="str">
        <f>+'HOJA DE TRABAJO'!$B$29</f>
        <v xml:space="preserve">Previsión Segundo  Aguinaldo </v>
      </c>
      <c r="J55" s="268"/>
      <c r="K55" s="268"/>
      <c r="L55" s="268"/>
      <c r="M55" s="276">
        <f>+'HOJA DE TRABAJO'!$E$29</f>
        <v>8.3299999999999999E-2</v>
      </c>
      <c r="N55" s="268"/>
      <c r="O55" s="270"/>
    </row>
    <row r="56" spans="1:15" s="132" customFormat="1" ht="14.25" outlineLevel="1" x14ac:dyDescent="0.2">
      <c r="A56" s="275" t="str">
        <f>+'HOJA DE TRABAJO'!$B$30</f>
        <v>Seguro de Accidente</v>
      </c>
      <c r="B56" s="268"/>
      <c r="C56" s="268"/>
      <c r="D56" s="268"/>
      <c r="E56" s="276">
        <f>+'HOJA DE TRABAJO'!$E$30</f>
        <v>0</v>
      </c>
      <c r="F56" s="268"/>
      <c r="G56" s="270"/>
      <c r="H56" s="271"/>
      <c r="I56" s="275" t="str">
        <f>+'HOJA DE TRABAJO'!$B$30</f>
        <v>Seguro de Accidente</v>
      </c>
      <c r="J56" s="268"/>
      <c r="K56" s="268"/>
      <c r="L56" s="268"/>
      <c r="M56" s="276">
        <f>+'HOJA DE TRABAJO'!$E$30</f>
        <v>0</v>
      </c>
      <c r="N56" s="268"/>
      <c r="O56" s="270"/>
    </row>
    <row r="57" spans="1:15" s="132" customFormat="1" ht="14.25" outlineLevel="1" x14ac:dyDescent="0.2">
      <c r="A57" s="275" t="str">
        <f>+'HOJA DE TRABAJO'!$B$31</f>
        <v xml:space="preserve">Vacaciones </v>
      </c>
      <c r="B57" s="268"/>
      <c r="C57" s="268"/>
      <c r="D57" s="268"/>
      <c r="E57" s="276">
        <f>+'HOJA DE TRABAJO'!$E$31</f>
        <v>0</v>
      </c>
      <c r="F57" s="268"/>
      <c r="G57" s="270"/>
      <c r="H57" s="271"/>
      <c r="I57" s="275" t="str">
        <f>+'HOJA DE TRABAJO'!$B$31</f>
        <v xml:space="preserve">Vacaciones </v>
      </c>
      <c r="J57" s="268"/>
      <c r="K57" s="268"/>
      <c r="L57" s="268"/>
      <c r="M57" s="276">
        <f>+'HOJA DE TRABAJO'!$E$31</f>
        <v>0</v>
      </c>
      <c r="N57" s="268"/>
      <c r="O57" s="270"/>
    </row>
    <row r="58" spans="1:15" s="132" customFormat="1" ht="14.25" outlineLevel="1" x14ac:dyDescent="0.2">
      <c r="A58" s="275" t="str">
        <f>+'HOJA DE TRABAJO'!$F$29</f>
        <v xml:space="preserve">Previsicion de Subsidio </v>
      </c>
      <c r="B58" s="268"/>
      <c r="C58" s="268"/>
      <c r="D58" s="268"/>
      <c r="E58" s="276">
        <f>+'HOJA DE TRABAJO'!$L$29</f>
        <v>0.33329999999999999</v>
      </c>
      <c r="F58" s="268"/>
      <c r="G58" s="270"/>
      <c r="H58" s="271"/>
      <c r="I58" s="275" t="str">
        <f>+'HOJA DE TRABAJO'!$F$29</f>
        <v xml:space="preserve">Previsicion de Subsidio </v>
      </c>
      <c r="J58" s="268"/>
      <c r="K58" s="268"/>
      <c r="L58" s="268"/>
      <c r="M58" s="276">
        <f>+'HOJA DE TRABAJO'!$L$29</f>
        <v>0.33329999999999999</v>
      </c>
      <c r="N58" s="268"/>
      <c r="O58" s="270"/>
    </row>
    <row r="59" spans="1:15" s="132" customFormat="1" ht="14.25" outlineLevel="1" x14ac:dyDescent="0.2">
      <c r="A59" s="275" t="str">
        <f>+'HOJA DE TRABAJO'!$F$30</f>
        <v>Previsicion de Desahucio</v>
      </c>
      <c r="B59" s="268"/>
      <c r="C59" s="268"/>
      <c r="D59" s="268"/>
      <c r="E59" s="276">
        <f>+'HOJA DE TRABAJO'!$L$30</f>
        <v>8.3299999999999999E-2</v>
      </c>
      <c r="F59" s="268"/>
      <c r="G59" s="270"/>
      <c r="H59" s="271"/>
      <c r="I59" s="275" t="str">
        <f>+'HOJA DE TRABAJO'!$F$30</f>
        <v>Previsicion de Desahucio</v>
      </c>
      <c r="J59" s="268"/>
      <c r="K59" s="268"/>
      <c r="L59" s="268"/>
      <c r="M59" s="276">
        <f>+'HOJA DE TRABAJO'!$L$30</f>
        <v>8.3299999999999999E-2</v>
      </c>
      <c r="N59" s="268"/>
      <c r="O59" s="270"/>
    </row>
    <row r="60" spans="1:15" s="132" customFormat="1" ht="14.25" outlineLevel="1" x14ac:dyDescent="0.2">
      <c r="A60" s="277" t="s">
        <v>1461</v>
      </c>
      <c r="B60" s="268"/>
      <c r="C60" s="268"/>
      <c r="D60" s="268"/>
      <c r="E60" s="276"/>
      <c r="F60" s="268"/>
      <c r="G60" s="270">
        <f>IF(G37=0,0,(('HOJA DE TRABAJO'!$U$108)/'HOJA DE TRABAJO'!$BA$44))</f>
        <v>0</v>
      </c>
      <c r="H60" s="337"/>
      <c r="I60" s="277" t="s">
        <v>1461</v>
      </c>
      <c r="J60" s="268"/>
      <c r="K60" s="268"/>
      <c r="L60" s="268"/>
      <c r="M60" s="276"/>
      <c r="N60" s="268"/>
      <c r="O60" s="270">
        <f>IF(O37=0,0,(('HOJA DE TRABAJO'!$U$108)/'HOJA DE TRABAJO'!$BA$44))</f>
        <v>0</v>
      </c>
    </row>
    <row r="61" spans="1:15" s="132" customFormat="1" ht="14.25" outlineLevel="1" x14ac:dyDescent="0.2">
      <c r="A61" s="277" t="s">
        <v>1504</v>
      </c>
      <c r="B61" s="268"/>
      <c r="C61" s="268"/>
      <c r="D61" s="268"/>
      <c r="E61" s="274">
        <f>+'HOJA DE TRABAJO'!$H$116*'HOJA DE TRABAJO'!$F$19</f>
        <v>1.6346153846153847E-2</v>
      </c>
      <c r="F61" s="268"/>
      <c r="G61" s="270">
        <f>(SUM(G40:G60)*E61)+IF(G37=0,0,'HOJA DE TRABAJO'!$J$119)</f>
        <v>0</v>
      </c>
      <c r="H61" s="271"/>
      <c r="I61" s="277" t="s">
        <v>1503</v>
      </c>
      <c r="J61" s="268"/>
      <c r="K61" s="268"/>
      <c r="L61" s="268"/>
      <c r="M61" s="274">
        <f>+'HOJA DE TRABAJO'!$H$116*'HOJA DE TRABAJO'!$F$19</f>
        <v>1.6346153846153847E-2</v>
      </c>
      <c r="N61" s="268"/>
      <c r="O61" s="270">
        <f>(SUM(O40:O60)*M61)+IF(O37=0,0,'HOJA DE TRABAJO'!$J$119)</f>
        <v>0</v>
      </c>
    </row>
    <row r="62" spans="1:15" s="132" customFormat="1" ht="14.25" outlineLevel="1" x14ac:dyDescent="0.2">
      <c r="A62" s="278" t="s">
        <v>1460</v>
      </c>
      <c r="B62" s="279"/>
      <c r="C62" s="279"/>
      <c r="D62" s="279"/>
      <c r="E62" s="280">
        <f>+E29</f>
        <v>0.13</v>
      </c>
      <c r="F62" s="279"/>
      <c r="G62" s="281">
        <f>+SUM(G39:G61)*E62</f>
        <v>0</v>
      </c>
      <c r="H62" s="282"/>
      <c r="I62" s="278" t="s">
        <v>1460</v>
      </c>
      <c r="J62" s="279"/>
      <c r="K62" s="279"/>
      <c r="L62" s="279"/>
      <c r="M62" s="280">
        <f>+E29</f>
        <v>0.13</v>
      </c>
      <c r="N62" s="279"/>
      <c r="O62" s="281">
        <f>+SUM(O39:O61)*M62</f>
        <v>0</v>
      </c>
    </row>
    <row r="63" spans="1:15" s="132" customFormat="1" outlineLevel="1" x14ac:dyDescent="0.25">
      <c r="A63" s="283" t="s">
        <v>1459</v>
      </c>
      <c r="B63" s="284"/>
      <c r="C63" s="284"/>
      <c r="D63" s="284"/>
      <c r="E63" s="284"/>
      <c r="F63" s="284"/>
      <c r="G63" s="285">
        <f>+SUM(G40:G62)</f>
        <v>0</v>
      </c>
      <c r="H63" s="286"/>
      <c r="I63" s="283" t="s">
        <v>1459</v>
      </c>
      <c r="J63" s="284"/>
      <c r="K63" s="284"/>
      <c r="L63" s="284"/>
      <c r="M63" s="284"/>
      <c r="N63" s="284"/>
      <c r="O63" s="285">
        <f>+SUM(O40:O62)</f>
        <v>0</v>
      </c>
    </row>
    <row r="64" spans="1:15" s="132" customFormat="1" ht="14.25" outlineLevel="1" x14ac:dyDescent="0.2">
      <c r="A64" s="277" t="s">
        <v>1458</v>
      </c>
      <c r="B64" s="268"/>
      <c r="C64" s="268"/>
      <c r="D64" s="268"/>
      <c r="E64" s="274">
        <f>+B65+B66</f>
        <v>0.16</v>
      </c>
      <c r="F64" s="268"/>
      <c r="G64" s="270">
        <f>+G67-G63</f>
        <v>0</v>
      </c>
      <c r="H64" s="271"/>
      <c r="I64" s="277" t="s">
        <v>1458</v>
      </c>
      <c r="J64" s="268"/>
      <c r="K64" s="268"/>
      <c r="L64" s="268"/>
      <c r="M64" s="274">
        <f>+J65+J66</f>
        <v>0.16</v>
      </c>
      <c r="N64" s="268"/>
      <c r="O64" s="270">
        <f>+O67-O63</f>
        <v>0</v>
      </c>
    </row>
    <row r="65" spans="1:15" s="132" customFormat="1" ht="14.25" outlineLevel="1" x14ac:dyDescent="0.2">
      <c r="A65" s="287" t="s">
        <v>1457</v>
      </c>
      <c r="B65" s="288">
        <v>0.13</v>
      </c>
      <c r="C65" s="268"/>
      <c r="D65" s="268"/>
      <c r="E65" s="276"/>
      <c r="F65" s="268"/>
      <c r="G65" s="270"/>
      <c r="H65" s="271"/>
      <c r="I65" s="287" t="s">
        <v>1457</v>
      </c>
      <c r="J65" s="288">
        <v>0.13</v>
      </c>
      <c r="K65" s="268"/>
      <c r="L65" s="268"/>
      <c r="M65" s="276"/>
      <c r="N65" s="268"/>
      <c r="O65" s="270"/>
    </row>
    <row r="66" spans="1:15" s="132" customFormat="1" ht="14.25" outlineLevel="1" x14ac:dyDescent="0.2">
      <c r="A66" s="289" t="s">
        <v>1456</v>
      </c>
      <c r="B66" s="290">
        <v>0.03</v>
      </c>
      <c r="C66" s="279"/>
      <c r="D66" s="279"/>
      <c r="E66" s="291"/>
      <c r="F66" s="279"/>
      <c r="G66" s="281"/>
      <c r="H66" s="282"/>
      <c r="I66" s="289" t="s">
        <v>1456</v>
      </c>
      <c r="J66" s="290">
        <v>0.03</v>
      </c>
      <c r="K66" s="279"/>
      <c r="L66" s="279"/>
      <c r="M66" s="291"/>
      <c r="N66" s="279"/>
      <c r="O66" s="281"/>
    </row>
    <row r="67" spans="1:15" s="132" customFormat="1" outlineLevel="1" x14ac:dyDescent="0.25">
      <c r="A67" s="283" t="s">
        <v>1519</v>
      </c>
      <c r="B67" s="284"/>
      <c r="C67" s="284"/>
      <c r="D67" s="284"/>
      <c r="E67" s="284"/>
      <c r="F67" s="284"/>
      <c r="G67" s="285">
        <f>IFERROR((G63/0.84),0)</f>
        <v>0</v>
      </c>
      <c r="H67" s="286"/>
      <c r="I67" s="283" t="s">
        <v>1519</v>
      </c>
      <c r="J67" s="284"/>
      <c r="K67" s="284"/>
      <c r="L67" s="284"/>
      <c r="M67" s="284"/>
      <c r="N67" s="284"/>
      <c r="O67" s="285">
        <f>IFERROR((O63/0.84),0)</f>
        <v>0</v>
      </c>
    </row>
    <row r="68" spans="1:15" s="132" customFormat="1" ht="14.25" outlineLevel="1" x14ac:dyDescent="0.2">
      <c r="H68" s="133"/>
    </row>
    <row r="69" spans="1:15" s="132" customFormat="1" ht="14.25" outlineLevel="1" x14ac:dyDescent="0.2">
      <c r="H69" s="133"/>
    </row>
    <row r="70" spans="1:15" s="132" customFormat="1" ht="14.25" outlineLevel="1" x14ac:dyDescent="0.2">
      <c r="H70" s="133"/>
    </row>
    <row r="71" spans="1:15" s="132" customFormat="1" outlineLevel="2" x14ac:dyDescent="0.25">
      <c r="A71" s="292" t="s">
        <v>1477</v>
      </c>
      <c r="B71" s="292"/>
      <c r="C71" s="292"/>
      <c r="D71" s="292"/>
      <c r="E71" s="268"/>
      <c r="F71" s="292" t="s">
        <v>11</v>
      </c>
      <c r="G71" s="292">
        <f>+'HOJA DE TRABAJO'!Q42</f>
        <v>0</v>
      </c>
      <c r="H71" s="133"/>
      <c r="I71" s="292" t="s">
        <v>1477</v>
      </c>
      <c r="J71" s="292"/>
      <c r="K71" s="292"/>
      <c r="L71" s="292"/>
      <c r="M71" s="268"/>
      <c r="N71" s="292" t="s">
        <v>11</v>
      </c>
      <c r="O71" s="292">
        <f>+'HOJA DE TRABAJO'!Q43</f>
        <v>0</v>
      </c>
    </row>
    <row r="72" spans="1:15" s="132" customFormat="1" outlineLevel="2" x14ac:dyDescent="0.25">
      <c r="A72" s="294"/>
      <c r="B72" s="294" t="s">
        <v>1476</v>
      </c>
      <c r="C72" s="588">
        <f>+'HOJA DE TRABAJO'!C42:E42</f>
        <v>0</v>
      </c>
      <c r="D72" s="588"/>
      <c r="E72" s="588"/>
      <c r="F72" s="294"/>
      <c r="G72" s="294"/>
      <c r="H72" s="133"/>
      <c r="I72" s="294"/>
      <c r="J72" s="294" t="s">
        <v>1476</v>
      </c>
      <c r="K72" s="588">
        <f>+'HOJA DE TRABAJO'!C43</f>
        <v>0</v>
      </c>
      <c r="L72" s="588"/>
      <c r="M72" s="588"/>
      <c r="N72" s="294"/>
      <c r="O72" s="294"/>
    </row>
    <row r="73" spans="1:15" s="132" customFormat="1" ht="14.25" outlineLevel="2" x14ac:dyDescent="0.2">
      <c r="A73" s="587" t="s">
        <v>1478</v>
      </c>
      <c r="B73" s="587"/>
      <c r="C73" s="587"/>
      <c r="D73" s="587"/>
      <c r="E73" s="587"/>
      <c r="F73" s="587"/>
      <c r="G73" s="587"/>
      <c r="H73" s="133"/>
      <c r="I73" s="587" t="s">
        <v>1478</v>
      </c>
      <c r="J73" s="587"/>
      <c r="K73" s="587"/>
      <c r="L73" s="587"/>
      <c r="M73" s="587"/>
      <c r="N73" s="587"/>
      <c r="O73" s="587"/>
    </row>
    <row r="74" spans="1:15" s="132" customFormat="1" ht="14.25" outlineLevel="2" x14ac:dyDescent="0.2">
      <c r="A74" s="268"/>
      <c r="B74" s="268"/>
      <c r="C74" s="268"/>
      <c r="D74" s="268"/>
      <c r="E74" s="268"/>
      <c r="F74" s="268"/>
      <c r="G74" s="268"/>
      <c r="H74" s="133"/>
      <c r="I74" s="268"/>
      <c r="J74" s="268"/>
      <c r="K74" s="268"/>
      <c r="L74" s="268"/>
      <c r="M74" s="268"/>
      <c r="N74" s="268"/>
      <c r="O74" s="268"/>
    </row>
    <row r="75" spans="1:15" s="132" customFormat="1" ht="14.25" outlineLevel="2" x14ac:dyDescent="0.2">
      <c r="A75" s="268" t="s">
        <v>1475</v>
      </c>
      <c r="B75" s="268"/>
      <c r="C75" s="268"/>
      <c r="D75" s="268"/>
      <c r="E75" s="268"/>
      <c r="F75" s="268"/>
      <c r="G75" s="270">
        <f>+'HOJA DE TRABAJO'!R42</f>
        <v>0</v>
      </c>
      <c r="H75" s="133"/>
      <c r="I75" s="268" t="s">
        <v>1475</v>
      </c>
      <c r="J75" s="268"/>
      <c r="K75" s="268"/>
      <c r="L75" s="268"/>
      <c r="M75" s="268"/>
      <c r="N75" s="268"/>
      <c r="O75" s="270">
        <f>+'HOJA DE TRABAJO'!R43</f>
        <v>0</v>
      </c>
    </row>
    <row r="76" spans="1:15" s="132" customFormat="1" ht="14.25" outlineLevel="2" x14ac:dyDescent="0.2">
      <c r="A76" s="268" t="s">
        <v>1588</v>
      </c>
      <c r="B76" s="268"/>
      <c r="C76" s="268"/>
      <c r="D76" s="268"/>
      <c r="E76" s="268"/>
      <c r="F76" s="268"/>
      <c r="G76" s="270">
        <f>IF(G75=0,0,SUM('HOJA DE TRABAJO'!$R$29:$R$31))</f>
        <v>0</v>
      </c>
      <c r="H76" s="271"/>
      <c r="I76" s="268" t="s">
        <v>1588</v>
      </c>
      <c r="J76" s="268"/>
      <c r="K76" s="268"/>
      <c r="L76" s="268"/>
      <c r="M76" s="268"/>
      <c r="N76" s="268"/>
      <c r="O76" s="270">
        <f>IF(O75=0,0,SUM('HOJA DE TRABAJO'!$R$29:$R$31))</f>
        <v>0</v>
      </c>
    </row>
    <row r="77" spans="1:15" s="132" customFormat="1" ht="14.25" outlineLevel="2" x14ac:dyDescent="0.2">
      <c r="A77" s="272" t="s">
        <v>1474</v>
      </c>
      <c r="B77" s="268"/>
      <c r="C77" s="268"/>
      <c r="D77" s="268"/>
      <c r="E77" s="268"/>
      <c r="F77" s="268"/>
      <c r="G77" s="270"/>
      <c r="H77" s="133"/>
      <c r="I77" s="272" t="s">
        <v>1474</v>
      </c>
      <c r="J77" s="268"/>
      <c r="K77" s="268"/>
      <c r="L77" s="268"/>
      <c r="M77" s="268"/>
      <c r="N77" s="268"/>
      <c r="O77" s="270"/>
    </row>
    <row r="78" spans="1:15" s="132" customFormat="1" outlineLevel="2" x14ac:dyDescent="0.25">
      <c r="A78" s="273" t="s">
        <v>1473</v>
      </c>
      <c r="B78" s="268"/>
      <c r="C78" s="268"/>
      <c r="D78" s="268"/>
      <c r="E78" s="268"/>
      <c r="F78" s="274">
        <f>+SUM(E79:E82)</f>
        <v>0.12710000000000002</v>
      </c>
      <c r="G78" s="270">
        <f>+(G75*100/87.29-G75)+(G76*F78)</f>
        <v>0</v>
      </c>
      <c r="H78" s="271"/>
      <c r="I78" s="273" t="s">
        <v>1473</v>
      </c>
      <c r="J78" s="268"/>
      <c r="K78" s="268"/>
      <c r="L78" s="268"/>
      <c r="M78" s="268"/>
      <c r="N78" s="274">
        <f>+SUM(M79:M82)</f>
        <v>0.12710000000000002</v>
      </c>
      <c r="O78" s="270">
        <f>+(O75*100/87.29-O75)+(N78*O76)</f>
        <v>0</v>
      </c>
    </row>
    <row r="79" spans="1:15" s="132" customFormat="1" ht="14.25" outlineLevel="2" x14ac:dyDescent="0.2">
      <c r="A79" s="275" t="s">
        <v>1472</v>
      </c>
      <c r="B79" s="268"/>
      <c r="C79" s="268"/>
      <c r="D79" s="268"/>
      <c r="E79" s="276">
        <v>0.1</v>
      </c>
      <c r="F79" s="268"/>
      <c r="G79" s="270"/>
      <c r="H79" s="133"/>
      <c r="I79" s="275" t="s">
        <v>1472</v>
      </c>
      <c r="J79" s="268"/>
      <c r="K79" s="268"/>
      <c r="L79" s="268"/>
      <c r="M79" s="276">
        <v>0.1</v>
      </c>
      <c r="N79" s="268"/>
      <c r="O79" s="270"/>
    </row>
    <row r="80" spans="1:15" s="132" customFormat="1" ht="14.25" outlineLevel="2" x14ac:dyDescent="0.2">
      <c r="A80" s="275" t="s">
        <v>1471</v>
      </c>
      <c r="B80" s="268"/>
      <c r="C80" s="268"/>
      <c r="D80" s="268"/>
      <c r="E80" s="276">
        <v>1.7100000000000001E-2</v>
      </c>
      <c r="F80" s="268"/>
      <c r="G80" s="270"/>
      <c r="H80" s="133"/>
      <c r="I80" s="275" t="s">
        <v>1471</v>
      </c>
      <c r="J80" s="268"/>
      <c r="K80" s="268"/>
      <c r="L80" s="268"/>
      <c r="M80" s="276">
        <v>1.7100000000000001E-2</v>
      </c>
      <c r="N80" s="268"/>
      <c r="O80" s="270"/>
    </row>
    <row r="81" spans="1:15" s="132" customFormat="1" ht="14.25" outlineLevel="2" x14ac:dyDescent="0.2">
      <c r="A81" s="275" t="s">
        <v>1470</v>
      </c>
      <c r="B81" s="268"/>
      <c r="C81" s="268"/>
      <c r="D81" s="268"/>
      <c r="E81" s="276">
        <v>5.0000000000000001E-3</v>
      </c>
      <c r="F81" s="268"/>
      <c r="G81" s="270"/>
      <c r="H81" s="133"/>
      <c r="I81" s="275" t="s">
        <v>1470</v>
      </c>
      <c r="J81" s="268"/>
      <c r="K81" s="268"/>
      <c r="L81" s="268"/>
      <c r="M81" s="276">
        <v>5.0000000000000001E-3</v>
      </c>
      <c r="N81" s="268"/>
      <c r="O81" s="270"/>
    </row>
    <row r="82" spans="1:15" s="132" customFormat="1" ht="14.25" outlineLevel="2" x14ac:dyDescent="0.2">
      <c r="A82" s="275" t="s">
        <v>1466</v>
      </c>
      <c r="B82" s="268"/>
      <c r="C82" s="268"/>
      <c r="D82" s="268"/>
      <c r="E82" s="276">
        <f>+E81</f>
        <v>5.0000000000000001E-3</v>
      </c>
      <c r="F82" s="268"/>
      <c r="G82" s="270"/>
      <c r="H82" s="133"/>
      <c r="I82" s="275" t="s">
        <v>1466</v>
      </c>
      <c r="J82" s="268"/>
      <c r="K82" s="268"/>
      <c r="L82" s="268"/>
      <c r="M82" s="276">
        <f>+M81</f>
        <v>5.0000000000000001E-3</v>
      </c>
      <c r="N82" s="268"/>
      <c r="O82" s="270"/>
    </row>
    <row r="83" spans="1:15" s="132" customFormat="1" outlineLevel="2" x14ac:dyDescent="0.25">
      <c r="A83" s="273" t="s">
        <v>1469</v>
      </c>
      <c r="B83" s="268"/>
      <c r="C83" s="268"/>
      <c r="D83" s="268"/>
      <c r="E83" s="276"/>
      <c r="F83" s="274">
        <f>+SUM(E84:E93)</f>
        <v>0.83360000000000001</v>
      </c>
      <c r="G83" s="270">
        <f>(G75+G78+G76)*F83</f>
        <v>0</v>
      </c>
      <c r="H83" s="133"/>
      <c r="I83" s="273" t="s">
        <v>1469</v>
      </c>
      <c r="J83" s="268"/>
      <c r="K83" s="268"/>
      <c r="L83" s="268"/>
      <c r="M83" s="276"/>
      <c r="N83" s="274">
        <f>+SUM(M84:M93)</f>
        <v>0.83360000000000001</v>
      </c>
      <c r="O83" s="270">
        <f>(O75+O78+O76)*N83</f>
        <v>0</v>
      </c>
    </row>
    <row r="84" spans="1:15" s="132" customFormat="1" ht="14.25" outlineLevel="2" x14ac:dyDescent="0.2">
      <c r="A84" s="275" t="s">
        <v>1468</v>
      </c>
      <c r="B84" s="268"/>
      <c r="C84" s="268"/>
      <c r="D84" s="268"/>
      <c r="E84" s="276">
        <v>0.1</v>
      </c>
      <c r="F84" s="268"/>
      <c r="G84" s="270"/>
      <c r="H84" s="133"/>
      <c r="I84" s="275" t="s">
        <v>1468</v>
      </c>
      <c r="J84" s="268"/>
      <c r="K84" s="268"/>
      <c r="L84" s="268"/>
      <c r="M84" s="276">
        <v>0.1</v>
      </c>
      <c r="N84" s="268"/>
      <c r="O84" s="270"/>
    </row>
    <row r="85" spans="1:15" s="132" customFormat="1" ht="14.25" outlineLevel="2" x14ac:dyDescent="0.2">
      <c r="A85" s="275" t="s">
        <v>1466</v>
      </c>
      <c r="B85" s="268"/>
      <c r="C85" s="268"/>
      <c r="D85" s="268"/>
      <c r="E85" s="276">
        <v>0.03</v>
      </c>
      <c r="F85" s="268"/>
      <c r="G85" s="270"/>
      <c r="H85" s="133"/>
      <c r="I85" s="275" t="s">
        <v>1466</v>
      </c>
      <c r="J85" s="268"/>
      <c r="K85" s="268"/>
      <c r="L85" s="268"/>
      <c r="M85" s="276">
        <v>0.03</v>
      </c>
      <c r="N85" s="268"/>
      <c r="O85" s="270"/>
    </row>
    <row r="86" spans="1:15" s="132" customFormat="1" ht="14.25" outlineLevel="2" x14ac:dyDescent="0.2">
      <c r="A86" s="275" t="s">
        <v>1465</v>
      </c>
      <c r="B86" s="268"/>
      <c r="C86" s="268"/>
      <c r="D86" s="268"/>
      <c r="E86" s="276">
        <v>3.7100000000000001E-2</v>
      </c>
      <c r="F86" s="268"/>
      <c r="G86" s="270"/>
      <c r="H86" s="133"/>
      <c r="I86" s="275" t="s">
        <v>1465</v>
      </c>
      <c r="J86" s="268"/>
      <c r="K86" s="268"/>
      <c r="L86" s="268"/>
      <c r="M86" s="276">
        <v>3.7100000000000001E-2</v>
      </c>
      <c r="N86" s="268"/>
      <c r="O86" s="270"/>
    </row>
    <row r="87" spans="1:15" s="132" customFormat="1" ht="14.25" outlineLevel="2" x14ac:dyDescent="0.2">
      <c r="A87" s="275" t="s">
        <v>1500</v>
      </c>
      <c r="B87" s="268"/>
      <c r="C87" s="268"/>
      <c r="D87" s="268"/>
      <c r="E87" s="276">
        <f>+IF('HOJA DE TRABAJO'!$J$17="SI",0,IF('HOJA DE TRABAJO'!$J$17="NO",0.0833,))</f>
        <v>8.3299999999999999E-2</v>
      </c>
      <c r="F87" s="268"/>
      <c r="G87" s="270"/>
      <c r="H87" s="133"/>
      <c r="I87" s="275" t="s">
        <v>1500</v>
      </c>
      <c r="J87" s="268"/>
      <c r="K87" s="268"/>
      <c r="L87" s="268"/>
      <c r="M87" s="276">
        <f>+IF('HOJA DE TRABAJO'!$J$17="SI",0,IF('HOJA DE TRABAJO'!$J$17="NO",0.0833,))</f>
        <v>8.3299999999999999E-2</v>
      </c>
      <c r="N87" s="268"/>
      <c r="O87" s="270"/>
    </row>
    <row r="88" spans="1:15" s="132" customFormat="1" ht="14.25" outlineLevel="2" x14ac:dyDescent="0.2">
      <c r="A88" s="275" t="s">
        <v>1463</v>
      </c>
      <c r="B88" s="268"/>
      <c r="C88" s="268"/>
      <c r="D88" s="268"/>
      <c r="E88" s="276">
        <f>+IF('HOJA DE TRABAJO'!$J$17="SI",0,IF('HOJA DE TRABAJO'!$J$17="NO",0.0833,))</f>
        <v>8.3299999999999999E-2</v>
      </c>
      <c r="F88" s="268"/>
      <c r="G88" s="270"/>
      <c r="H88" s="133"/>
      <c r="I88" s="275" t="s">
        <v>1463</v>
      </c>
      <c r="J88" s="268"/>
      <c r="K88" s="268"/>
      <c r="L88" s="268"/>
      <c r="M88" s="276">
        <f>+IF('HOJA DE TRABAJO'!$J$17="SI",0,IF('HOJA DE TRABAJO'!$J$17="NO",0.0833,))</f>
        <v>8.3299999999999999E-2</v>
      </c>
      <c r="N88" s="268"/>
      <c r="O88" s="270"/>
    </row>
    <row r="89" spans="1:15" s="132" customFormat="1" ht="14.25" outlineLevel="2" x14ac:dyDescent="0.2">
      <c r="A89" s="275" t="str">
        <f>+'HOJA DE TRABAJO'!$B$29</f>
        <v xml:space="preserve">Previsión Segundo  Aguinaldo </v>
      </c>
      <c r="B89" s="268"/>
      <c r="C89" s="268"/>
      <c r="D89" s="268"/>
      <c r="E89" s="276">
        <f>+'HOJA DE TRABAJO'!$E$29</f>
        <v>8.3299999999999999E-2</v>
      </c>
      <c r="F89" s="268"/>
      <c r="G89" s="270"/>
      <c r="H89" s="133"/>
      <c r="I89" s="275" t="str">
        <f>+'HOJA DE TRABAJO'!$B$29</f>
        <v xml:space="preserve">Previsión Segundo  Aguinaldo </v>
      </c>
      <c r="J89" s="268"/>
      <c r="K89" s="268"/>
      <c r="L89" s="268"/>
      <c r="M89" s="276">
        <f>+'HOJA DE TRABAJO'!$E$29</f>
        <v>8.3299999999999999E-2</v>
      </c>
      <c r="N89" s="268"/>
      <c r="O89" s="270"/>
    </row>
    <row r="90" spans="1:15" s="132" customFormat="1" ht="14.25" outlineLevel="2" x14ac:dyDescent="0.2">
      <c r="A90" s="275" t="str">
        <f>+'HOJA DE TRABAJO'!$B$30</f>
        <v>Seguro de Accidente</v>
      </c>
      <c r="B90" s="268"/>
      <c r="C90" s="268"/>
      <c r="D90" s="268"/>
      <c r="E90" s="276">
        <f>+'HOJA DE TRABAJO'!$E$30</f>
        <v>0</v>
      </c>
      <c r="F90" s="268"/>
      <c r="G90" s="270"/>
      <c r="H90" s="133"/>
      <c r="I90" s="275" t="str">
        <f>+'HOJA DE TRABAJO'!$B$30</f>
        <v>Seguro de Accidente</v>
      </c>
      <c r="J90" s="268"/>
      <c r="K90" s="268"/>
      <c r="L90" s="268"/>
      <c r="M90" s="276">
        <f>+'HOJA DE TRABAJO'!$E$30</f>
        <v>0</v>
      </c>
      <c r="N90" s="268"/>
      <c r="O90" s="270"/>
    </row>
    <row r="91" spans="1:15" s="132" customFormat="1" ht="14.25" outlineLevel="2" x14ac:dyDescent="0.2">
      <c r="A91" s="275" t="str">
        <f>+'HOJA DE TRABAJO'!$B$31</f>
        <v xml:space="preserve">Vacaciones </v>
      </c>
      <c r="B91" s="268"/>
      <c r="C91" s="268"/>
      <c r="D91" s="268"/>
      <c r="E91" s="276">
        <f>+'HOJA DE TRABAJO'!$E$31</f>
        <v>0</v>
      </c>
      <c r="F91" s="268"/>
      <c r="G91" s="270"/>
      <c r="H91" s="133"/>
      <c r="I91" s="275" t="str">
        <f>+'HOJA DE TRABAJO'!$B$31</f>
        <v xml:space="preserve">Vacaciones </v>
      </c>
      <c r="J91" s="268"/>
      <c r="K91" s="268"/>
      <c r="L91" s="268"/>
      <c r="M91" s="276">
        <f>+'HOJA DE TRABAJO'!$E$31</f>
        <v>0</v>
      </c>
      <c r="N91" s="268"/>
      <c r="O91" s="270"/>
    </row>
    <row r="92" spans="1:15" s="132" customFormat="1" ht="14.25" outlineLevel="2" x14ac:dyDescent="0.2">
      <c r="A92" s="275" t="str">
        <f>+'HOJA DE TRABAJO'!$F$29</f>
        <v xml:space="preserve">Previsicion de Subsidio </v>
      </c>
      <c r="B92" s="268"/>
      <c r="C92" s="268"/>
      <c r="D92" s="268"/>
      <c r="E92" s="276">
        <f>+'HOJA DE TRABAJO'!$L$29</f>
        <v>0.33329999999999999</v>
      </c>
      <c r="F92" s="268"/>
      <c r="G92" s="270"/>
      <c r="H92" s="133"/>
      <c r="I92" s="275" t="str">
        <f>+'HOJA DE TRABAJO'!$F$29</f>
        <v xml:space="preserve">Previsicion de Subsidio </v>
      </c>
      <c r="J92" s="268"/>
      <c r="K92" s="268"/>
      <c r="L92" s="268"/>
      <c r="M92" s="276">
        <f>+'HOJA DE TRABAJO'!$L$29</f>
        <v>0.33329999999999999</v>
      </c>
      <c r="N92" s="268"/>
      <c r="O92" s="270"/>
    </row>
    <row r="93" spans="1:15" s="132" customFormat="1" ht="14.25" outlineLevel="2" x14ac:dyDescent="0.2">
      <c r="A93" s="275" t="str">
        <f>+'HOJA DE TRABAJO'!$F$30</f>
        <v>Previsicion de Desahucio</v>
      </c>
      <c r="B93" s="268"/>
      <c r="C93" s="268"/>
      <c r="D93" s="268"/>
      <c r="E93" s="276">
        <f>+'HOJA DE TRABAJO'!$L$30</f>
        <v>8.3299999999999999E-2</v>
      </c>
      <c r="F93" s="268"/>
      <c r="G93" s="270"/>
      <c r="H93" s="133"/>
      <c r="I93" s="275" t="str">
        <f>+'HOJA DE TRABAJO'!$F$30</f>
        <v>Previsicion de Desahucio</v>
      </c>
      <c r="J93" s="268"/>
      <c r="K93" s="268"/>
      <c r="L93" s="268"/>
      <c r="M93" s="276">
        <f>+'HOJA DE TRABAJO'!$L$30</f>
        <v>8.3299999999999999E-2</v>
      </c>
      <c r="N93" s="268"/>
      <c r="O93" s="270"/>
    </row>
    <row r="94" spans="1:15" s="132" customFormat="1" ht="14.25" outlineLevel="2" x14ac:dyDescent="0.2">
      <c r="A94" s="277" t="s">
        <v>1461</v>
      </c>
      <c r="B94" s="268"/>
      <c r="C94" s="268"/>
      <c r="D94" s="268"/>
      <c r="E94" s="276"/>
      <c r="F94" s="268"/>
      <c r="G94" s="270">
        <f>IF(G71=0,0,(('HOJA DE TRABAJO'!$U$108)/'HOJA DE TRABAJO'!$BA$44))</f>
        <v>0</v>
      </c>
      <c r="H94" s="337"/>
      <c r="I94" s="277" t="s">
        <v>1461</v>
      </c>
      <c r="J94" s="268"/>
      <c r="K94" s="268"/>
      <c r="L94" s="268"/>
      <c r="M94" s="276"/>
      <c r="N94" s="268"/>
      <c r="O94" s="270">
        <f>IF(O71=0,0,(('HOJA DE TRABAJO'!$U$108)/'HOJA DE TRABAJO'!$BA$44))</f>
        <v>0</v>
      </c>
    </row>
    <row r="95" spans="1:15" s="132" customFormat="1" ht="14.25" outlineLevel="2" x14ac:dyDescent="0.2">
      <c r="A95" s="277" t="s">
        <v>1504</v>
      </c>
      <c r="B95" s="268"/>
      <c r="C95" s="268"/>
      <c r="D95" s="268"/>
      <c r="E95" s="274">
        <f>+'HOJA DE TRABAJO'!$H$116*'HOJA DE TRABAJO'!$F$19</f>
        <v>1.6346153846153847E-2</v>
      </c>
      <c r="F95" s="268"/>
      <c r="G95" s="270">
        <f>(SUM(G74:G94)*E95)+IF(G71=0,0,'HOJA DE TRABAJO'!$J$119)</f>
        <v>0</v>
      </c>
      <c r="H95" s="271"/>
      <c r="I95" s="277" t="s">
        <v>1503</v>
      </c>
      <c r="J95" s="268"/>
      <c r="K95" s="268"/>
      <c r="L95" s="268"/>
      <c r="M95" s="274">
        <f>+'HOJA DE TRABAJO'!$H$116*'HOJA DE TRABAJO'!$F$19</f>
        <v>1.6346153846153847E-2</v>
      </c>
      <c r="N95" s="268"/>
      <c r="O95" s="270">
        <f>(SUM(O74:O94)*M95)+IF(O71=0,0,'HOJA DE TRABAJO'!$J$119)</f>
        <v>0</v>
      </c>
    </row>
    <row r="96" spans="1:15" s="132" customFormat="1" ht="14.25" outlineLevel="2" x14ac:dyDescent="0.2">
      <c r="A96" s="278" t="s">
        <v>1460</v>
      </c>
      <c r="B96" s="279"/>
      <c r="C96" s="279"/>
      <c r="D96" s="279"/>
      <c r="E96" s="280">
        <f>+E62</f>
        <v>0.13</v>
      </c>
      <c r="F96" s="279"/>
      <c r="G96" s="281">
        <f>+SUM(G73:G95)*E96</f>
        <v>0</v>
      </c>
      <c r="H96" s="133"/>
      <c r="I96" s="278" t="s">
        <v>1460</v>
      </c>
      <c r="J96" s="279"/>
      <c r="K96" s="279"/>
      <c r="L96" s="279"/>
      <c r="M96" s="280">
        <f>+E96</f>
        <v>0.13</v>
      </c>
      <c r="N96" s="279"/>
      <c r="O96" s="281">
        <f>+SUM(O73:O95)*M96</f>
        <v>0</v>
      </c>
    </row>
    <row r="97" spans="1:15" s="132" customFormat="1" outlineLevel="2" x14ac:dyDescent="0.25">
      <c r="A97" s="283" t="s">
        <v>1459</v>
      </c>
      <c r="B97" s="284"/>
      <c r="C97" s="284"/>
      <c r="D97" s="284"/>
      <c r="E97" s="284"/>
      <c r="F97" s="284"/>
      <c r="G97" s="285">
        <f>+SUM(G74:G96)</f>
        <v>0</v>
      </c>
      <c r="H97" s="133"/>
      <c r="I97" s="283" t="s">
        <v>1459</v>
      </c>
      <c r="J97" s="284"/>
      <c r="K97" s="284"/>
      <c r="L97" s="284"/>
      <c r="M97" s="284"/>
      <c r="N97" s="284"/>
      <c r="O97" s="285">
        <f>+SUM(O74:O96)</f>
        <v>0</v>
      </c>
    </row>
    <row r="98" spans="1:15" s="132" customFormat="1" ht="14.25" outlineLevel="2" x14ac:dyDescent="0.2">
      <c r="A98" s="277" t="s">
        <v>1458</v>
      </c>
      <c r="B98" s="268"/>
      <c r="C98" s="268"/>
      <c r="D98" s="268"/>
      <c r="E98" s="274">
        <f>+B99+B100</f>
        <v>0.16</v>
      </c>
      <c r="F98" s="268"/>
      <c r="G98" s="270">
        <f>+G101-G97</f>
        <v>0</v>
      </c>
      <c r="H98" s="133"/>
      <c r="I98" s="277" t="s">
        <v>1458</v>
      </c>
      <c r="J98" s="268"/>
      <c r="K98" s="268"/>
      <c r="L98" s="268"/>
      <c r="M98" s="274">
        <f>+J99+J100</f>
        <v>0.16</v>
      </c>
      <c r="N98" s="268"/>
      <c r="O98" s="270">
        <f>+O101-O97</f>
        <v>0</v>
      </c>
    </row>
    <row r="99" spans="1:15" s="132" customFormat="1" ht="14.25" outlineLevel="2" x14ac:dyDescent="0.2">
      <c r="A99" s="287" t="s">
        <v>1457</v>
      </c>
      <c r="B99" s="288">
        <v>0.13</v>
      </c>
      <c r="C99" s="268"/>
      <c r="D99" s="268"/>
      <c r="E99" s="276"/>
      <c r="F99" s="268"/>
      <c r="G99" s="270"/>
      <c r="H99" s="133"/>
      <c r="I99" s="287" t="s">
        <v>1457</v>
      </c>
      <c r="J99" s="288">
        <v>0.13</v>
      </c>
      <c r="K99" s="268"/>
      <c r="L99" s="268"/>
      <c r="M99" s="276"/>
      <c r="N99" s="268"/>
      <c r="O99" s="270"/>
    </row>
    <row r="100" spans="1:15" s="132" customFormat="1" ht="14.25" outlineLevel="2" x14ac:dyDescent="0.2">
      <c r="A100" s="289" t="s">
        <v>1456</v>
      </c>
      <c r="B100" s="290">
        <v>0.03</v>
      </c>
      <c r="C100" s="279"/>
      <c r="D100" s="279"/>
      <c r="E100" s="291"/>
      <c r="F100" s="279"/>
      <c r="G100" s="281"/>
      <c r="H100" s="133"/>
      <c r="I100" s="289" t="s">
        <v>1456</v>
      </c>
      <c r="J100" s="290">
        <v>0.03</v>
      </c>
      <c r="K100" s="279"/>
      <c r="L100" s="279"/>
      <c r="M100" s="291"/>
      <c r="N100" s="279"/>
      <c r="O100" s="281"/>
    </row>
    <row r="101" spans="1:15" s="132" customFormat="1" outlineLevel="2" x14ac:dyDescent="0.25">
      <c r="A101" s="283" t="s">
        <v>1519</v>
      </c>
      <c r="B101" s="284"/>
      <c r="C101" s="284"/>
      <c r="D101" s="284"/>
      <c r="E101" s="284"/>
      <c r="F101" s="284"/>
      <c r="G101" s="285">
        <f>IFERROR((G97/0.84),0)</f>
        <v>0</v>
      </c>
      <c r="H101" s="133"/>
      <c r="I101" s="283" t="s">
        <v>1519</v>
      </c>
      <c r="J101" s="284"/>
      <c r="K101" s="284"/>
      <c r="L101" s="284"/>
      <c r="M101" s="284"/>
      <c r="N101" s="284"/>
      <c r="O101" s="285">
        <f>IFERROR((O97/0.84),0)</f>
        <v>0</v>
      </c>
    </row>
    <row r="102" spans="1:15" s="132" customFormat="1" ht="14.25" x14ac:dyDescent="0.2"/>
    <row r="103" spans="1:15" s="132" customFormat="1" ht="14.25" x14ac:dyDescent="0.2"/>
    <row r="107" spans="1:15" x14ac:dyDescent="0.25">
      <c r="D107" s="84"/>
    </row>
  </sheetData>
  <customSheetViews>
    <customSheetView guid="{D98A1565-B6EB-4D88-8DB8-23EB436D0197}" topLeftCell="A64">
      <selection activeCell="G64" sqref="G64"/>
      <pageMargins left="0.7" right="0.7" top="0.75" bottom="0.75" header="0.3" footer="0.3"/>
    </customSheetView>
  </customSheetViews>
  <mergeCells count="13">
    <mergeCell ref="A73:G73"/>
    <mergeCell ref="I73:O73"/>
    <mergeCell ref="C5:E5"/>
    <mergeCell ref="K5:M5"/>
    <mergeCell ref="A6:G6"/>
    <mergeCell ref="I6:O6"/>
    <mergeCell ref="C38:E38"/>
    <mergeCell ref="K38:M38"/>
    <mergeCell ref="E2:K2"/>
    <mergeCell ref="A39:G39"/>
    <mergeCell ref="I39:O39"/>
    <mergeCell ref="C72:E72"/>
    <mergeCell ref="K72:M72"/>
  </mergeCells>
  <pageMargins left="0.7" right="0.7" top="0.75" bottom="0.75" header="0.3" footer="0.3"/>
  <pageSetup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P104"/>
  <sheetViews>
    <sheetView zoomScale="60" zoomScaleNormal="60" workbookViewId="0">
      <selection activeCell="I109" sqref="I109"/>
    </sheetView>
  </sheetViews>
  <sheetFormatPr baseColWidth="10" defaultRowHeight="15" outlineLevelRow="2" x14ac:dyDescent="0.25"/>
  <sheetData>
    <row r="2" spans="1:15" ht="28.5" x14ac:dyDescent="0.45">
      <c r="E2" s="586" t="str">
        <f>+'HOJA DE TRABAJO'!W36</f>
        <v>TARIJA</v>
      </c>
      <c r="F2" s="586"/>
      <c r="G2" s="586"/>
      <c r="H2" s="586"/>
      <c r="I2" s="586"/>
      <c r="J2" s="586"/>
      <c r="K2" s="586"/>
    </row>
    <row r="4" spans="1:15" s="132" customFormat="1" x14ac:dyDescent="0.25">
      <c r="A4" s="292" t="s">
        <v>1477</v>
      </c>
      <c r="B4" s="292"/>
      <c r="C4" s="292"/>
      <c r="D4" s="292"/>
      <c r="E4" s="268"/>
      <c r="F4" s="292" t="s">
        <v>11</v>
      </c>
      <c r="G4" s="292">
        <f>+'HOJA DE TRABAJO'!W38</f>
        <v>0</v>
      </c>
      <c r="H4" s="293"/>
      <c r="I4" s="292" t="s">
        <v>1477</v>
      </c>
      <c r="J4" s="292"/>
      <c r="K4" s="292"/>
      <c r="L4" s="292"/>
      <c r="M4" s="292"/>
      <c r="N4" s="292" t="s">
        <v>11</v>
      </c>
      <c r="O4" s="292">
        <f>+'HOJA DE TRABAJO'!W39</f>
        <v>0</v>
      </c>
    </row>
    <row r="5" spans="1:15" s="132" customFormat="1" x14ac:dyDescent="0.25">
      <c r="A5" s="294"/>
      <c r="B5" s="294" t="s">
        <v>1476</v>
      </c>
      <c r="C5" s="588" t="str">
        <f>+'HOJA DE TRABAJO'!C38:E38</f>
        <v>VENDEDOR INSTITUCIONAL</v>
      </c>
      <c r="D5" s="588"/>
      <c r="E5" s="588"/>
      <c r="F5" s="294"/>
      <c r="G5" s="294"/>
      <c r="H5" s="293"/>
      <c r="I5" s="294"/>
      <c r="J5" s="294" t="s">
        <v>1476</v>
      </c>
      <c r="K5" s="588">
        <f>+'HOJA DE TRABAJO'!C39</f>
        <v>0</v>
      </c>
      <c r="L5" s="588"/>
      <c r="M5" s="588"/>
      <c r="N5" s="294"/>
      <c r="O5" s="294"/>
    </row>
    <row r="6" spans="1:15" s="132" customFormat="1" ht="14.25" x14ac:dyDescent="0.2">
      <c r="A6" s="587" t="s">
        <v>1478</v>
      </c>
      <c r="B6" s="587"/>
      <c r="C6" s="587"/>
      <c r="D6" s="587"/>
      <c r="E6" s="587"/>
      <c r="F6" s="587"/>
      <c r="G6" s="587"/>
      <c r="H6" s="269"/>
      <c r="I6" s="587" t="s">
        <v>1478</v>
      </c>
      <c r="J6" s="587"/>
      <c r="K6" s="587"/>
      <c r="L6" s="587"/>
      <c r="M6" s="587"/>
      <c r="N6" s="587"/>
      <c r="O6" s="587"/>
    </row>
    <row r="7" spans="1:15" s="132" customFormat="1" ht="14.25" x14ac:dyDescent="0.2">
      <c r="A7" s="268"/>
      <c r="B7" s="268"/>
      <c r="C7" s="268"/>
      <c r="D7" s="268"/>
      <c r="E7" s="268"/>
      <c r="F7" s="268"/>
      <c r="G7" s="268"/>
      <c r="H7" s="133"/>
      <c r="I7" s="268"/>
      <c r="J7" s="268"/>
      <c r="K7" s="268"/>
      <c r="L7" s="268"/>
      <c r="M7" s="268"/>
      <c r="N7" s="268"/>
      <c r="O7" s="268"/>
    </row>
    <row r="8" spans="1:15" s="132" customFormat="1" ht="14.25" x14ac:dyDescent="0.2">
      <c r="A8" s="268" t="s">
        <v>1475</v>
      </c>
      <c r="B8" s="268"/>
      <c r="C8" s="268"/>
      <c r="D8" s="268"/>
      <c r="E8" s="268"/>
      <c r="F8" s="268"/>
      <c r="G8" s="270">
        <f>+'HOJA DE TRABAJO'!X38</f>
        <v>0</v>
      </c>
      <c r="H8" s="271"/>
      <c r="I8" s="268" t="str">
        <f>A8</f>
        <v>Costo líquido por Supervisor  (líquido pagable Bs.)</v>
      </c>
      <c r="J8" s="268"/>
      <c r="K8" s="268"/>
      <c r="L8" s="268"/>
      <c r="M8" s="268"/>
      <c r="N8" s="268"/>
      <c r="O8" s="270">
        <f>+'HOJA DE TRABAJO'!X39</f>
        <v>0</v>
      </c>
    </row>
    <row r="9" spans="1:15" s="132" customFormat="1" ht="14.25" x14ac:dyDescent="0.2">
      <c r="A9" s="268" t="s">
        <v>1588</v>
      </c>
      <c r="B9" s="268"/>
      <c r="C9" s="268"/>
      <c r="D9" s="268"/>
      <c r="E9" s="268"/>
      <c r="F9" s="268"/>
      <c r="G9" s="270">
        <f>IF(G8=0,0,SUM('HOJA DE TRABAJO'!$R$29:$R$31))</f>
        <v>0</v>
      </c>
      <c r="H9" s="271"/>
      <c r="I9" s="268" t="s">
        <v>1588</v>
      </c>
      <c r="J9" s="268"/>
      <c r="K9" s="268"/>
      <c r="L9" s="268"/>
      <c r="M9" s="268"/>
      <c r="N9" s="268"/>
      <c r="O9" s="270">
        <f>IF(O8=0,0,SUM('HOJA DE TRABAJO'!$R$29:$R$31))</f>
        <v>0</v>
      </c>
    </row>
    <row r="10" spans="1:15" s="132" customFormat="1" ht="14.25" x14ac:dyDescent="0.2">
      <c r="A10" s="272" t="s">
        <v>1474</v>
      </c>
      <c r="B10" s="268"/>
      <c r="C10" s="268"/>
      <c r="D10" s="268"/>
      <c r="E10" s="268"/>
      <c r="F10" s="268"/>
      <c r="G10" s="270"/>
      <c r="H10" s="271"/>
      <c r="I10" s="272" t="s">
        <v>1474</v>
      </c>
      <c r="J10" s="268"/>
      <c r="K10" s="268"/>
      <c r="L10" s="268"/>
      <c r="M10" s="268"/>
      <c r="N10" s="268"/>
      <c r="O10" s="270"/>
    </row>
    <row r="11" spans="1:15" s="132" customFormat="1" x14ac:dyDescent="0.25">
      <c r="A11" s="273" t="s">
        <v>1473</v>
      </c>
      <c r="B11" s="268"/>
      <c r="C11" s="268"/>
      <c r="D11" s="268"/>
      <c r="E11" s="268"/>
      <c r="F11" s="274">
        <f>+SUM(E12:E15)</f>
        <v>0.12710000000000002</v>
      </c>
      <c r="G11" s="270">
        <f>+(G8*100/87.29-G8)+(G9*F11)</f>
        <v>0</v>
      </c>
      <c r="H11" s="271"/>
      <c r="I11" s="273" t="s">
        <v>1473</v>
      </c>
      <c r="J11" s="268"/>
      <c r="K11" s="268"/>
      <c r="L11" s="268"/>
      <c r="M11" s="268"/>
      <c r="N11" s="274">
        <f>+SUM(M12:M15)</f>
        <v>0.12710000000000002</v>
      </c>
      <c r="O11" s="270">
        <f>+(O8*100/87.29-O8)+(N11*O9)</f>
        <v>0</v>
      </c>
    </row>
    <row r="12" spans="1:15" s="132" customFormat="1" ht="14.25" x14ac:dyDescent="0.2">
      <c r="A12" s="275" t="s">
        <v>1472</v>
      </c>
      <c r="B12" s="268"/>
      <c r="C12" s="268"/>
      <c r="D12" s="268"/>
      <c r="E12" s="276">
        <v>0.1</v>
      </c>
      <c r="F12" s="268"/>
      <c r="G12" s="270"/>
      <c r="H12" s="271"/>
      <c r="I12" s="275" t="s">
        <v>1472</v>
      </c>
      <c r="J12" s="268"/>
      <c r="K12" s="268"/>
      <c r="L12" s="268"/>
      <c r="M12" s="276">
        <v>0.1</v>
      </c>
      <c r="N12" s="268"/>
      <c r="O12" s="270"/>
    </row>
    <row r="13" spans="1:15" s="132" customFormat="1" ht="14.25" x14ac:dyDescent="0.2">
      <c r="A13" s="275" t="s">
        <v>1471</v>
      </c>
      <c r="B13" s="268"/>
      <c r="C13" s="268"/>
      <c r="D13" s="268"/>
      <c r="E13" s="276">
        <v>1.7100000000000001E-2</v>
      </c>
      <c r="F13" s="268"/>
      <c r="G13" s="270"/>
      <c r="H13" s="271"/>
      <c r="I13" s="275" t="s">
        <v>1471</v>
      </c>
      <c r="J13" s="268"/>
      <c r="K13" s="268"/>
      <c r="L13" s="268"/>
      <c r="M13" s="276">
        <v>1.7100000000000001E-2</v>
      </c>
      <c r="N13" s="268"/>
      <c r="O13" s="270"/>
    </row>
    <row r="14" spans="1:15" s="132" customFormat="1" ht="14.25" x14ac:dyDescent="0.2">
      <c r="A14" s="275" t="s">
        <v>1470</v>
      </c>
      <c r="B14" s="268"/>
      <c r="C14" s="268"/>
      <c r="D14" s="268"/>
      <c r="E14" s="276">
        <v>5.0000000000000001E-3</v>
      </c>
      <c r="F14" s="268"/>
      <c r="G14" s="270"/>
      <c r="H14" s="271"/>
      <c r="I14" s="275" t="s">
        <v>1470</v>
      </c>
      <c r="J14" s="268"/>
      <c r="K14" s="268"/>
      <c r="L14" s="268"/>
      <c r="M14" s="276">
        <v>5.0000000000000001E-3</v>
      </c>
      <c r="N14" s="268"/>
      <c r="O14" s="270"/>
    </row>
    <row r="15" spans="1:15" s="132" customFormat="1" ht="14.25" x14ac:dyDescent="0.2">
      <c r="A15" s="275" t="s">
        <v>1466</v>
      </c>
      <c r="B15" s="268"/>
      <c r="C15" s="268"/>
      <c r="D15" s="268"/>
      <c r="E15" s="276">
        <f>+E14</f>
        <v>5.0000000000000001E-3</v>
      </c>
      <c r="F15" s="268"/>
      <c r="G15" s="270"/>
      <c r="H15" s="271"/>
      <c r="I15" s="275" t="s">
        <v>1466</v>
      </c>
      <c r="J15" s="268"/>
      <c r="K15" s="268"/>
      <c r="L15" s="268"/>
      <c r="M15" s="276">
        <f>+M14</f>
        <v>5.0000000000000001E-3</v>
      </c>
      <c r="N15" s="268"/>
      <c r="O15" s="270"/>
    </row>
    <row r="16" spans="1:15" s="132" customFormat="1" x14ac:dyDescent="0.25">
      <c r="A16" s="273" t="s">
        <v>1469</v>
      </c>
      <c r="B16" s="268"/>
      <c r="C16" s="268"/>
      <c r="D16" s="268"/>
      <c r="E16" s="276"/>
      <c r="F16" s="274">
        <f>+SUM(E17:E26)</f>
        <v>0.83360000000000001</v>
      </c>
      <c r="G16" s="270">
        <f>(G8+G11+G9)*F16</f>
        <v>0</v>
      </c>
      <c r="H16" s="271"/>
      <c r="I16" s="273" t="s">
        <v>1469</v>
      </c>
      <c r="J16" s="268"/>
      <c r="K16" s="268"/>
      <c r="L16" s="268"/>
      <c r="M16" s="276"/>
      <c r="N16" s="274">
        <f>+SUM(M17:M26)</f>
        <v>0.83360000000000001</v>
      </c>
      <c r="O16" s="270">
        <f>(O8+O11+O9)*N16</f>
        <v>0</v>
      </c>
    </row>
    <row r="17" spans="1:16" s="132" customFormat="1" ht="14.25" x14ac:dyDescent="0.2">
      <c r="A17" s="275" t="s">
        <v>1468</v>
      </c>
      <c r="B17" s="268"/>
      <c r="C17" s="268"/>
      <c r="D17" s="268"/>
      <c r="E17" s="276">
        <v>0.1</v>
      </c>
      <c r="F17" s="268"/>
      <c r="G17" s="270"/>
      <c r="H17" s="271"/>
      <c r="I17" s="275" t="s">
        <v>1468</v>
      </c>
      <c r="J17" s="268"/>
      <c r="K17" s="268"/>
      <c r="L17" s="268"/>
      <c r="M17" s="276">
        <v>0.1</v>
      </c>
      <c r="N17" s="268"/>
      <c r="O17" s="270"/>
    </row>
    <row r="18" spans="1:16" s="132" customFormat="1" ht="14.25" x14ac:dyDescent="0.2">
      <c r="A18" s="275" t="s">
        <v>1466</v>
      </c>
      <c r="B18" s="268"/>
      <c r="C18" s="268"/>
      <c r="D18" s="268"/>
      <c r="E18" s="276">
        <v>0.03</v>
      </c>
      <c r="F18" s="268"/>
      <c r="G18" s="270"/>
      <c r="H18" s="271"/>
      <c r="I18" s="275" t="s">
        <v>1466</v>
      </c>
      <c r="J18" s="268"/>
      <c r="K18" s="268"/>
      <c r="L18" s="268"/>
      <c r="M18" s="276">
        <v>0.03</v>
      </c>
      <c r="N18" s="268"/>
      <c r="O18" s="270"/>
    </row>
    <row r="19" spans="1:16" s="132" customFormat="1" ht="14.25" x14ac:dyDescent="0.2">
      <c r="A19" s="275" t="s">
        <v>1465</v>
      </c>
      <c r="B19" s="268"/>
      <c r="C19" s="268"/>
      <c r="D19" s="268"/>
      <c r="E19" s="276">
        <v>3.7100000000000001E-2</v>
      </c>
      <c r="F19" s="268"/>
      <c r="G19" s="270"/>
      <c r="H19" s="271"/>
      <c r="I19" s="275" t="s">
        <v>1465</v>
      </c>
      <c r="J19" s="268"/>
      <c r="K19" s="268"/>
      <c r="L19" s="268"/>
      <c r="M19" s="276">
        <v>3.7100000000000001E-2</v>
      </c>
      <c r="N19" s="268"/>
      <c r="O19" s="270"/>
    </row>
    <row r="20" spans="1:16" s="132" customFormat="1" ht="14.25" x14ac:dyDescent="0.2">
      <c r="A20" s="275" t="s">
        <v>1500</v>
      </c>
      <c r="B20" s="268"/>
      <c r="C20" s="268"/>
      <c r="D20" s="268"/>
      <c r="E20" s="276">
        <f>+IF('HOJA DE TRABAJO'!$J$17="SI",0,IF('HOJA DE TRABAJO'!$J$17="NO",0.0833,))</f>
        <v>8.3299999999999999E-2</v>
      </c>
      <c r="F20" s="268"/>
      <c r="G20" s="270"/>
      <c r="H20" s="271"/>
      <c r="I20" s="275" t="s">
        <v>1500</v>
      </c>
      <c r="J20" s="268"/>
      <c r="K20" s="268"/>
      <c r="L20" s="268"/>
      <c r="M20" s="276">
        <f>+IF('HOJA DE TRABAJO'!$J$17="SI",0,IF('HOJA DE TRABAJO'!$J$17="NO",0.0833,))</f>
        <v>8.3299999999999999E-2</v>
      </c>
      <c r="N20" s="268"/>
      <c r="O20" s="270"/>
    </row>
    <row r="21" spans="1:16" s="132" customFormat="1" ht="14.25" x14ac:dyDescent="0.2">
      <c r="A21" s="275" t="s">
        <v>1463</v>
      </c>
      <c r="B21" s="268"/>
      <c r="C21" s="268"/>
      <c r="D21" s="268"/>
      <c r="E21" s="276">
        <f>+IF('HOJA DE TRABAJO'!$J$17="SI",0,IF('HOJA DE TRABAJO'!$J$17="NO",0.0833,))</f>
        <v>8.3299999999999999E-2</v>
      </c>
      <c r="F21" s="268"/>
      <c r="G21" s="270"/>
      <c r="H21" s="271"/>
      <c r="I21" s="275" t="s">
        <v>1463</v>
      </c>
      <c r="J21" s="268"/>
      <c r="K21" s="268"/>
      <c r="L21" s="268"/>
      <c r="M21" s="276">
        <f>+IF('HOJA DE TRABAJO'!$J$17="SI",0,IF('HOJA DE TRABAJO'!$J$17="NO",0.0833,))</f>
        <v>8.3299999999999999E-2</v>
      </c>
      <c r="N21" s="268"/>
      <c r="O21" s="270"/>
    </row>
    <row r="22" spans="1:16" s="132" customFormat="1" ht="14.25" x14ac:dyDescent="0.2">
      <c r="A22" s="275" t="str">
        <f>+'HOJA DE TRABAJO'!$B$29</f>
        <v xml:space="preserve">Previsión Segundo  Aguinaldo </v>
      </c>
      <c r="B22" s="268"/>
      <c r="C22" s="268"/>
      <c r="D22" s="268"/>
      <c r="E22" s="276">
        <f>+'HOJA DE TRABAJO'!$E$29</f>
        <v>8.3299999999999999E-2</v>
      </c>
      <c r="F22" s="268"/>
      <c r="G22" s="270"/>
      <c r="H22" s="271"/>
      <c r="I22" s="275" t="str">
        <f>+'HOJA DE TRABAJO'!$B$29</f>
        <v xml:space="preserve">Previsión Segundo  Aguinaldo </v>
      </c>
      <c r="J22" s="268"/>
      <c r="K22" s="268"/>
      <c r="L22" s="268"/>
      <c r="M22" s="276">
        <f>+'HOJA DE TRABAJO'!$E$29</f>
        <v>8.3299999999999999E-2</v>
      </c>
      <c r="N22" s="268"/>
      <c r="O22" s="270"/>
    </row>
    <row r="23" spans="1:16" s="132" customFormat="1" ht="14.25" x14ac:dyDescent="0.2">
      <c r="A23" s="275" t="str">
        <f>+'HOJA DE TRABAJO'!$B$30</f>
        <v>Seguro de Accidente</v>
      </c>
      <c r="B23" s="268"/>
      <c r="C23" s="268"/>
      <c r="D23" s="268"/>
      <c r="E23" s="276">
        <f>+'HOJA DE TRABAJO'!$E$30</f>
        <v>0</v>
      </c>
      <c r="F23" s="268"/>
      <c r="G23" s="270"/>
      <c r="H23" s="271"/>
      <c r="I23" s="275" t="str">
        <f>+'HOJA DE TRABAJO'!$B$30</f>
        <v>Seguro de Accidente</v>
      </c>
      <c r="J23" s="268"/>
      <c r="K23" s="268"/>
      <c r="L23" s="268"/>
      <c r="M23" s="276">
        <f>+'HOJA DE TRABAJO'!$E$30</f>
        <v>0</v>
      </c>
      <c r="N23" s="268"/>
      <c r="O23" s="270"/>
    </row>
    <row r="24" spans="1:16" s="132" customFormat="1" ht="14.25" x14ac:dyDescent="0.2">
      <c r="A24" s="275" t="str">
        <f>+'HOJA DE TRABAJO'!$B$31</f>
        <v xml:space="preserve">Vacaciones </v>
      </c>
      <c r="B24" s="268"/>
      <c r="C24" s="268"/>
      <c r="D24" s="268"/>
      <c r="E24" s="276">
        <f>+'HOJA DE TRABAJO'!$E$31</f>
        <v>0</v>
      </c>
      <c r="F24" s="268"/>
      <c r="G24" s="270"/>
      <c r="H24" s="271"/>
      <c r="I24" s="275" t="str">
        <f>+'HOJA DE TRABAJO'!$B$31</f>
        <v xml:space="preserve">Vacaciones </v>
      </c>
      <c r="J24" s="268"/>
      <c r="K24" s="268"/>
      <c r="L24" s="268"/>
      <c r="M24" s="276">
        <f>+'HOJA DE TRABAJO'!$E$31</f>
        <v>0</v>
      </c>
      <c r="N24" s="268"/>
      <c r="O24" s="270"/>
    </row>
    <row r="25" spans="1:16" s="132" customFormat="1" ht="14.25" x14ac:dyDescent="0.2">
      <c r="A25" s="275" t="str">
        <f>+'HOJA DE TRABAJO'!$F$29</f>
        <v xml:space="preserve">Previsicion de Subsidio </v>
      </c>
      <c r="B25" s="268"/>
      <c r="C25" s="268"/>
      <c r="D25" s="268"/>
      <c r="E25" s="276">
        <f>+'HOJA DE TRABAJO'!$L$29</f>
        <v>0.33329999999999999</v>
      </c>
      <c r="F25" s="268"/>
      <c r="G25" s="270"/>
      <c r="H25" s="271"/>
      <c r="I25" s="275" t="str">
        <f>+'HOJA DE TRABAJO'!$F$29</f>
        <v xml:space="preserve">Previsicion de Subsidio </v>
      </c>
      <c r="J25" s="268"/>
      <c r="K25" s="268"/>
      <c r="L25" s="268"/>
      <c r="M25" s="276">
        <f>+'HOJA DE TRABAJO'!$L$29</f>
        <v>0.33329999999999999</v>
      </c>
      <c r="N25" s="268"/>
      <c r="O25" s="270"/>
    </row>
    <row r="26" spans="1:16" s="132" customFormat="1" ht="14.25" x14ac:dyDescent="0.2">
      <c r="A26" s="275" t="str">
        <f>+'HOJA DE TRABAJO'!$F$30</f>
        <v>Previsicion de Desahucio</v>
      </c>
      <c r="B26" s="268"/>
      <c r="C26" s="268"/>
      <c r="D26" s="268"/>
      <c r="E26" s="276">
        <f>+'HOJA DE TRABAJO'!$L$30</f>
        <v>8.3299999999999999E-2</v>
      </c>
      <c r="F26" s="268"/>
      <c r="G26" s="270"/>
      <c r="H26" s="271"/>
      <c r="I26" s="275" t="str">
        <f>+'HOJA DE TRABAJO'!$F$30</f>
        <v>Previsicion de Desahucio</v>
      </c>
      <c r="J26" s="268"/>
      <c r="K26" s="268"/>
      <c r="L26" s="268"/>
      <c r="M26" s="276">
        <f>+'HOJA DE TRABAJO'!$L$30</f>
        <v>8.3299999999999999E-2</v>
      </c>
      <c r="N26" s="268"/>
      <c r="O26" s="270"/>
    </row>
    <row r="27" spans="1:16" s="132" customFormat="1" ht="14.25" x14ac:dyDescent="0.2">
      <c r="A27" s="277" t="s">
        <v>1461</v>
      </c>
      <c r="B27" s="268"/>
      <c r="C27" s="268"/>
      <c r="D27" s="268"/>
      <c r="E27" s="276"/>
      <c r="F27" s="268"/>
      <c r="G27" s="270">
        <f>IF(G4=0,0,(('HOJA DE TRABAJO'!$U$108)/'HOJA DE TRABAJO'!$BA$44))</f>
        <v>0</v>
      </c>
      <c r="H27" s="337"/>
      <c r="I27" s="277" t="s">
        <v>1461</v>
      </c>
      <c r="J27" s="268"/>
      <c r="K27" s="268"/>
      <c r="L27" s="268"/>
      <c r="M27" s="276"/>
      <c r="N27" s="268"/>
      <c r="O27" s="270">
        <f>IF(O4=0,0,(('HOJA DE TRABAJO'!$U$108)/'HOJA DE TRABAJO'!$BA$44))</f>
        <v>0</v>
      </c>
      <c r="P27" s="123"/>
    </row>
    <row r="28" spans="1:16" s="132" customFormat="1" ht="14.25" x14ac:dyDescent="0.2">
      <c r="A28" s="277" t="s">
        <v>1504</v>
      </c>
      <c r="B28" s="268"/>
      <c r="C28" s="268"/>
      <c r="D28" s="268"/>
      <c r="E28" s="274">
        <f>+'HOJA DE TRABAJO'!$H$116*'HOJA DE TRABAJO'!$F$19</f>
        <v>1.6346153846153847E-2</v>
      </c>
      <c r="F28" s="268"/>
      <c r="G28" s="270">
        <f>(SUM(G7:G27)*E28)+IF(G4=0,0,'HOJA DE TRABAJO'!$J$119)</f>
        <v>0</v>
      </c>
      <c r="H28" s="271"/>
      <c r="I28" s="277" t="s">
        <v>1503</v>
      </c>
      <c r="J28" s="268"/>
      <c r="K28" s="268"/>
      <c r="L28" s="268"/>
      <c r="M28" s="274">
        <f>+'HOJA DE TRABAJO'!$H$116*'HOJA DE TRABAJO'!$F$19</f>
        <v>1.6346153846153847E-2</v>
      </c>
      <c r="N28" s="268"/>
      <c r="O28" s="270">
        <f>(SUM(O7:O27)*M28)+IF(O4=0,0,'HOJA DE TRABAJO'!$J$119)</f>
        <v>0</v>
      </c>
    </row>
    <row r="29" spans="1:16" s="132" customFormat="1" ht="14.25" x14ac:dyDescent="0.2">
      <c r="A29" s="278" t="s">
        <v>1460</v>
      </c>
      <c r="B29" s="279"/>
      <c r="C29" s="279"/>
      <c r="D29" s="279"/>
      <c r="E29" s="280">
        <f>+'HOJA 1 aux'!E29</f>
        <v>0.13</v>
      </c>
      <c r="F29" s="279"/>
      <c r="G29" s="281">
        <f>+SUM(G6:G28)*E29</f>
        <v>0</v>
      </c>
      <c r="H29" s="282"/>
      <c r="I29" s="278" t="s">
        <v>1460</v>
      </c>
      <c r="J29" s="279"/>
      <c r="K29" s="279"/>
      <c r="L29" s="279"/>
      <c r="M29" s="280">
        <f>+E29</f>
        <v>0.13</v>
      </c>
      <c r="N29" s="279"/>
      <c r="O29" s="281">
        <f>+SUM(O6:O28)*M29</f>
        <v>0</v>
      </c>
    </row>
    <row r="30" spans="1:16" s="132" customFormat="1" x14ac:dyDescent="0.25">
      <c r="A30" s="283" t="s">
        <v>1459</v>
      </c>
      <c r="B30" s="284"/>
      <c r="C30" s="284"/>
      <c r="D30" s="284"/>
      <c r="E30" s="284"/>
      <c r="F30" s="284"/>
      <c r="G30" s="285">
        <f>+SUM(G7:G29)</f>
        <v>0</v>
      </c>
      <c r="H30" s="286"/>
      <c r="I30" s="283" t="s">
        <v>1459</v>
      </c>
      <c r="J30" s="284"/>
      <c r="K30" s="284"/>
      <c r="L30" s="284"/>
      <c r="M30" s="284"/>
      <c r="N30" s="284"/>
      <c r="O30" s="285">
        <f>+SUM(O7:O29)</f>
        <v>0</v>
      </c>
    </row>
    <row r="31" spans="1:16" s="132" customFormat="1" ht="14.25" x14ac:dyDescent="0.2">
      <c r="A31" s="277" t="s">
        <v>1458</v>
      </c>
      <c r="B31" s="268"/>
      <c r="C31" s="268"/>
      <c r="D31" s="268"/>
      <c r="E31" s="274">
        <f>+B32+B33</f>
        <v>0.16</v>
      </c>
      <c r="F31" s="268"/>
      <c r="G31" s="270">
        <f>+G34-G30</f>
        <v>0</v>
      </c>
      <c r="H31" s="271"/>
      <c r="I31" s="277" t="s">
        <v>1458</v>
      </c>
      <c r="J31" s="268"/>
      <c r="K31" s="268"/>
      <c r="L31" s="268"/>
      <c r="M31" s="274">
        <f>+J32+J33</f>
        <v>0.16</v>
      </c>
      <c r="N31" s="268"/>
      <c r="O31" s="270">
        <f>+O34-O30</f>
        <v>0</v>
      </c>
    </row>
    <row r="32" spans="1:16" s="132" customFormat="1" ht="14.25" x14ac:dyDescent="0.2">
      <c r="A32" s="287" t="s">
        <v>1457</v>
      </c>
      <c r="B32" s="288">
        <v>0.13</v>
      </c>
      <c r="C32" s="268"/>
      <c r="D32" s="268"/>
      <c r="E32" s="276"/>
      <c r="F32" s="268"/>
      <c r="G32" s="270"/>
      <c r="H32" s="271"/>
      <c r="I32" s="287" t="s">
        <v>1457</v>
      </c>
      <c r="J32" s="288">
        <v>0.13</v>
      </c>
      <c r="K32" s="268"/>
      <c r="L32" s="268"/>
      <c r="M32" s="276"/>
      <c r="N32" s="268"/>
      <c r="O32" s="270"/>
    </row>
    <row r="33" spans="1:15" s="132" customFormat="1" ht="14.25" x14ac:dyDescent="0.2">
      <c r="A33" s="289" t="s">
        <v>1456</v>
      </c>
      <c r="B33" s="290">
        <v>0.03</v>
      </c>
      <c r="C33" s="279"/>
      <c r="D33" s="279"/>
      <c r="E33" s="291"/>
      <c r="F33" s="279"/>
      <c r="G33" s="281"/>
      <c r="H33" s="282"/>
      <c r="I33" s="289" t="s">
        <v>1456</v>
      </c>
      <c r="J33" s="290">
        <v>0.03</v>
      </c>
      <c r="K33" s="279"/>
      <c r="L33" s="279"/>
      <c r="M33" s="291"/>
      <c r="N33" s="279"/>
      <c r="O33" s="281"/>
    </row>
    <row r="34" spans="1:15" s="132" customFormat="1" x14ac:dyDescent="0.25">
      <c r="A34" s="283" t="s">
        <v>1519</v>
      </c>
      <c r="B34" s="284"/>
      <c r="C34" s="284"/>
      <c r="D34" s="284"/>
      <c r="E34" s="284"/>
      <c r="F34" s="284"/>
      <c r="G34" s="285">
        <f>IFERROR((G30/0.84),0)</f>
        <v>0</v>
      </c>
      <c r="H34" s="286"/>
      <c r="I34" s="283" t="s">
        <v>1519</v>
      </c>
      <c r="J34" s="284"/>
      <c r="K34" s="284"/>
      <c r="L34" s="284"/>
      <c r="M34" s="284"/>
      <c r="N34" s="284"/>
      <c r="O34" s="285">
        <f>IFERROR((O30/0.84),0)</f>
        <v>0</v>
      </c>
    </row>
    <row r="35" spans="1:15" s="132" customFormat="1" ht="14.25" x14ac:dyDescent="0.2">
      <c r="H35" s="133"/>
    </row>
    <row r="36" spans="1:15" s="132" customFormat="1" ht="14.25" x14ac:dyDescent="0.2">
      <c r="H36" s="133"/>
    </row>
    <row r="37" spans="1:15" s="132" customFormat="1" outlineLevel="1" x14ac:dyDescent="0.25">
      <c r="A37" s="292" t="s">
        <v>1477</v>
      </c>
      <c r="B37" s="292"/>
      <c r="C37" s="292"/>
      <c r="D37" s="292"/>
      <c r="E37" s="268"/>
      <c r="F37" s="292" t="s">
        <v>11</v>
      </c>
      <c r="G37" s="292">
        <f>+'HOJA DE TRABAJO'!W40</f>
        <v>0</v>
      </c>
      <c r="H37" s="293"/>
      <c r="I37" s="292" t="s">
        <v>1477</v>
      </c>
      <c r="J37" s="292"/>
      <c r="K37" s="292"/>
      <c r="L37" s="292"/>
      <c r="M37" s="268"/>
      <c r="N37" s="292" t="s">
        <v>11</v>
      </c>
      <c r="O37" s="292">
        <f>+'HOJA DE TRABAJO'!W41</f>
        <v>0</v>
      </c>
    </row>
    <row r="38" spans="1:15" s="132" customFormat="1" outlineLevel="1" x14ac:dyDescent="0.25">
      <c r="A38" s="294"/>
      <c r="B38" s="294" t="s">
        <v>1476</v>
      </c>
      <c r="C38" s="588">
        <f>+'HOJA DE TRABAJO'!C40:E40</f>
        <v>0</v>
      </c>
      <c r="D38" s="588"/>
      <c r="E38" s="588"/>
      <c r="F38" s="294"/>
      <c r="G38" s="294"/>
      <c r="H38" s="269"/>
      <c r="I38" s="294"/>
      <c r="J38" s="294" t="s">
        <v>1476</v>
      </c>
      <c r="K38" s="588">
        <f>+'HOJA DE TRABAJO'!C41</f>
        <v>0</v>
      </c>
      <c r="L38" s="588"/>
      <c r="M38" s="588"/>
      <c r="N38" s="294"/>
      <c r="O38" s="294"/>
    </row>
    <row r="39" spans="1:15" s="132" customFormat="1" ht="14.25" outlineLevel="1" x14ac:dyDescent="0.2">
      <c r="A39" s="587" t="s">
        <v>1478</v>
      </c>
      <c r="B39" s="587"/>
      <c r="C39" s="587"/>
      <c r="D39" s="587"/>
      <c r="E39" s="587"/>
      <c r="F39" s="587"/>
      <c r="G39" s="587"/>
      <c r="H39" s="133"/>
      <c r="I39" s="587" t="s">
        <v>1478</v>
      </c>
      <c r="J39" s="587"/>
      <c r="K39" s="587"/>
      <c r="L39" s="587"/>
      <c r="M39" s="587"/>
      <c r="N39" s="587"/>
      <c r="O39" s="587"/>
    </row>
    <row r="40" spans="1:15" s="132" customFormat="1" ht="14.25" outlineLevel="1" x14ac:dyDescent="0.2">
      <c r="A40" s="268" t="s">
        <v>1475</v>
      </c>
      <c r="B40" s="268"/>
      <c r="C40" s="268"/>
      <c r="D40" s="268"/>
      <c r="E40" s="268"/>
      <c r="F40" s="268"/>
      <c r="G40" s="270">
        <f>+'HOJA DE TRABAJO'!X40</f>
        <v>0</v>
      </c>
      <c r="H40" s="271"/>
      <c r="I40" s="268" t="str">
        <f>A40</f>
        <v>Costo líquido por Supervisor  (líquido pagable Bs.)</v>
      </c>
      <c r="J40" s="268"/>
      <c r="K40" s="268"/>
      <c r="L40" s="268"/>
      <c r="M40" s="268"/>
      <c r="N40" s="268"/>
      <c r="O40" s="270">
        <f>+'HOJA DE TRABAJO'!X41</f>
        <v>0</v>
      </c>
    </row>
    <row r="41" spans="1:15" s="132" customFormat="1" ht="14.25" outlineLevel="1" x14ac:dyDescent="0.2">
      <c r="A41" s="268" t="s">
        <v>1588</v>
      </c>
      <c r="B41" s="268"/>
      <c r="C41" s="268"/>
      <c r="D41" s="268"/>
      <c r="E41" s="268"/>
      <c r="F41" s="268"/>
      <c r="G41" s="270">
        <f>IF(G40=0,0,SUM('HOJA DE TRABAJO'!$R$29:$R$31))</f>
        <v>0</v>
      </c>
      <c r="H41" s="271"/>
      <c r="I41" s="268" t="s">
        <v>1588</v>
      </c>
      <c r="J41" s="268"/>
      <c r="K41" s="268"/>
      <c r="L41" s="268"/>
      <c r="M41" s="268"/>
      <c r="N41" s="268"/>
      <c r="O41" s="270">
        <f>IF(O40=0,0,SUM('HOJA DE TRABAJO'!$R$29:$R$31))</f>
        <v>0</v>
      </c>
    </row>
    <row r="42" spans="1:15" s="132" customFormat="1" ht="14.25" outlineLevel="1" x14ac:dyDescent="0.2">
      <c r="A42" s="272" t="s">
        <v>1474</v>
      </c>
      <c r="B42" s="268"/>
      <c r="C42" s="268"/>
      <c r="D42" s="268"/>
      <c r="E42" s="268"/>
      <c r="F42" s="268"/>
      <c r="G42" s="270"/>
      <c r="H42" s="271"/>
      <c r="I42" s="272" t="s">
        <v>1474</v>
      </c>
      <c r="J42" s="268"/>
      <c r="K42" s="268"/>
      <c r="L42" s="268"/>
      <c r="M42" s="268"/>
      <c r="N42" s="268"/>
      <c r="O42" s="270"/>
    </row>
    <row r="43" spans="1:15" s="132" customFormat="1" outlineLevel="1" x14ac:dyDescent="0.25">
      <c r="A43" s="273" t="s">
        <v>1473</v>
      </c>
      <c r="B43" s="268"/>
      <c r="C43" s="268"/>
      <c r="D43" s="268"/>
      <c r="E43" s="268"/>
      <c r="F43" s="274">
        <f>+SUM(E44:E47)</f>
        <v>0.12710000000000002</v>
      </c>
      <c r="G43" s="270">
        <f>+(G40*100/87.29-G40)+(F43*G41)</f>
        <v>0</v>
      </c>
      <c r="H43" s="271"/>
      <c r="I43" s="273" t="s">
        <v>1473</v>
      </c>
      <c r="J43" s="268"/>
      <c r="K43" s="268"/>
      <c r="L43" s="268"/>
      <c r="M43" s="268"/>
      <c r="N43" s="274">
        <f>+SUM(M44:M47)</f>
        <v>0.12710000000000002</v>
      </c>
      <c r="O43" s="270">
        <f>+(O40*100/87.29-O40)+(N43*O41)</f>
        <v>0</v>
      </c>
    </row>
    <row r="44" spans="1:15" s="132" customFormat="1" ht="14.25" outlineLevel="1" x14ac:dyDescent="0.2">
      <c r="A44" s="275" t="s">
        <v>1472</v>
      </c>
      <c r="B44" s="268"/>
      <c r="C44" s="268"/>
      <c r="D44" s="268"/>
      <c r="E44" s="276">
        <v>0.1</v>
      </c>
      <c r="F44" s="268"/>
      <c r="G44" s="270"/>
      <c r="H44" s="271"/>
      <c r="I44" s="275" t="s">
        <v>1472</v>
      </c>
      <c r="J44" s="268"/>
      <c r="K44" s="268"/>
      <c r="L44" s="268"/>
      <c r="M44" s="276">
        <v>0.1</v>
      </c>
      <c r="N44" s="268"/>
      <c r="O44" s="270"/>
    </row>
    <row r="45" spans="1:15" s="132" customFormat="1" ht="14.25" outlineLevel="1" x14ac:dyDescent="0.2">
      <c r="A45" s="275" t="s">
        <v>1471</v>
      </c>
      <c r="B45" s="268"/>
      <c r="C45" s="268"/>
      <c r="D45" s="268"/>
      <c r="E45" s="276">
        <v>1.7100000000000001E-2</v>
      </c>
      <c r="F45" s="268"/>
      <c r="G45" s="270"/>
      <c r="H45" s="271"/>
      <c r="I45" s="275" t="s">
        <v>1471</v>
      </c>
      <c r="J45" s="268"/>
      <c r="K45" s="268"/>
      <c r="L45" s="268"/>
      <c r="M45" s="276">
        <v>1.7100000000000001E-2</v>
      </c>
      <c r="N45" s="268"/>
      <c r="O45" s="270"/>
    </row>
    <row r="46" spans="1:15" s="132" customFormat="1" ht="14.25" outlineLevel="1" x14ac:dyDescent="0.2">
      <c r="A46" s="275" t="s">
        <v>1470</v>
      </c>
      <c r="B46" s="268"/>
      <c r="C46" s="268"/>
      <c r="D46" s="268"/>
      <c r="E46" s="276">
        <v>5.0000000000000001E-3</v>
      </c>
      <c r="F46" s="268"/>
      <c r="G46" s="270"/>
      <c r="H46" s="271"/>
      <c r="I46" s="275" t="s">
        <v>1470</v>
      </c>
      <c r="J46" s="268"/>
      <c r="K46" s="268"/>
      <c r="L46" s="268"/>
      <c r="M46" s="276">
        <v>5.0000000000000001E-3</v>
      </c>
      <c r="N46" s="268"/>
      <c r="O46" s="270"/>
    </row>
    <row r="47" spans="1:15" s="132" customFormat="1" ht="14.25" outlineLevel="1" x14ac:dyDescent="0.2">
      <c r="A47" s="275" t="s">
        <v>1466</v>
      </c>
      <c r="B47" s="268"/>
      <c r="C47" s="268"/>
      <c r="D47" s="268"/>
      <c r="E47" s="276">
        <f>+E46</f>
        <v>5.0000000000000001E-3</v>
      </c>
      <c r="F47" s="268"/>
      <c r="G47" s="270"/>
      <c r="H47" s="271"/>
      <c r="I47" s="275" t="s">
        <v>1466</v>
      </c>
      <c r="J47" s="268"/>
      <c r="K47" s="268"/>
      <c r="L47" s="268"/>
      <c r="M47" s="276">
        <f>+M46</f>
        <v>5.0000000000000001E-3</v>
      </c>
      <c r="N47" s="268"/>
      <c r="O47" s="270"/>
    </row>
    <row r="48" spans="1:15" s="132" customFormat="1" outlineLevel="1" x14ac:dyDescent="0.25">
      <c r="A48" s="273" t="s">
        <v>1469</v>
      </c>
      <c r="B48" s="268"/>
      <c r="C48" s="268"/>
      <c r="D48" s="268"/>
      <c r="E48" s="276"/>
      <c r="F48" s="274">
        <f>+SUM(E49:E59)</f>
        <v>0.83360000000000001</v>
      </c>
      <c r="G48" s="270">
        <f>(G40+G43+G41)*F48</f>
        <v>0</v>
      </c>
      <c r="H48" s="271"/>
      <c r="I48" s="273" t="s">
        <v>1469</v>
      </c>
      <c r="J48" s="268"/>
      <c r="K48" s="268"/>
      <c r="L48" s="268"/>
      <c r="M48" s="276"/>
      <c r="N48" s="274">
        <f>+SUM(M49:M58)</f>
        <v>0.75029999999999997</v>
      </c>
      <c r="O48" s="270">
        <f>(O40+O43+O41)*N48</f>
        <v>0</v>
      </c>
    </row>
    <row r="49" spans="1:15" s="132" customFormat="1" ht="14.25" outlineLevel="1" x14ac:dyDescent="0.2">
      <c r="A49" s="275" t="s">
        <v>1468</v>
      </c>
      <c r="B49" s="268"/>
      <c r="C49" s="268"/>
      <c r="D49" s="268"/>
      <c r="E49" s="276">
        <v>0.1</v>
      </c>
      <c r="F49" s="268"/>
      <c r="G49" s="270"/>
      <c r="H49" s="271"/>
      <c r="I49" s="275" t="s">
        <v>1468</v>
      </c>
      <c r="J49" s="268"/>
      <c r="K49" s="268"/>
      <c r="L49" s="268"/>
      <c r="M49" s="276">
        <v>0.1</v>
      </c>
      <c r="N49" s="268"/>
      <c r="O49" s="270"/>
    </row>
    <row r="50" spans="1:15" s="132" customFormat="1" ht="14.25" outlineLevel="1" x14ac:dyDescent="0.2">
      <c r="A50" s="275" t="s">
        <v>1467</v>
      </c>
      <c r="B50" s="268"/>
      <c r="C50" s="268"/>
      <c r="D50" s="268"/>
      <c r="E50" s="276"/>
      <c r="F50" s="268"/>
      <c r="G50" s="270"/>
      <c r="H50" s="271"/>
      <c r="I50" s="275" t="s">
        <v>1467</v>
      </c>
      <c r="J50" s="268"/>
      <c r="K50" s="268"/>
      <c r="L50" s="268"/>
      <c r="M50" s="276"/>
      <c r="N50" s="268"/>
      <c r="O50" s="270"/>
    </row>
    <row r="51" spans="1:15" s="132" customFormat="1" ht="14.25" outlineLevel="1" x14ac:dyDescent="0.2">
      <c r="A51" s="275" t="s">
        <v>1466</v>
      </c>
      <c r="B51" s="268"/>
      <c r="C51" s="268"/>
      <c r="D51" s="268"/>
      <c r="E51" s="276">
        <v>0.03</v>
      </c>
      <c r="F51" s="268"/>
      <c r="G51" s="270"/>
      <c r="H51" s="271"/>
      <c r="I51" s="275" t="s">
        <v>1466</v>
      </c>
      <c r="J51" s="268"/>
      <c r="K51" s="268"/>
      <c r="L51" s="268"/>
      <c r="M51" s="276">
        <v>0.03</v>
      </c>
      <c r="N51" s="268"/>
      <c r="O51" s="270"/>
    </row>
    <row r="52" spans="1:15" s="132" customFormat="1" ht="14.25" outlineLevel="1" x14ac:dyDescent="0.2">
      <c r="A52" s="275" t="s">
        <v>1465</v>
      </c>
      <c r="B52" s="268"/>
      <c r="C52" s="268"/>
      <c r="D52" s="268"/>
      <c r="E52" s="276">
        <v>3.7100000000000001E-2</v>
      </c>
      <c r="F52" s="268"/>
      <c r="G52" s="270"/>
      <c r="H52" s="271"/>
      <c r="I52" s="275" t="s">
        <v>1465</v>
      </c>
      <c r="J52" s="268"/>
      <c r="K52" s="268"/>
      <c r="L52" s="268"/>
      <c r="M52" s="276">
        <v>3.7100000000000001E-2</v>
      </c>
      <c r="N52" s="268"/>
      <c r="O52" s="270"/>
    </row>
    <row r="53" spans="1:15" s="132" customFormat="1" ht="14.25" outlineLevel="1" x14ac:dyDescent="0.2">
      <c r="A53" s="275" t="s">
        <v>1500</v>
      </c>
      <c r="B53" s="268"/>
      <c r="C53" s="268"/>
      <c r="D53" s="268"/>
      <c r="E53" s="276">
        <f>+IF('HOJA DE TRABAJO'!$J$17="SI",0,IF('HOJA DE TRABAJO'!$J$17="NO",0.0833,))</f>
        <v>8.3299999999999999E-2</v>
      </c>
      <c r="F53" s="268"/>
      <c r="G53" s="270"/>
      <c r="H53" s="271"/>
      <c r="I53" s="275" t="s">
        <v>1500</v>
      </c>
      <c r="J53" s="268"/>
      <c r="K53" s="268"/>
      <c r="L53" s="268"/>
      <c r="M53" s="276">
        <f>+IF('HOJA DE TRABAJO'!$J$17="SI",0,IF('HOJA DE TRABAJO'!$J$17="NO",0.0833,))</f>
        <v>8.3299999999999999E-2</v>
      </c>
      <c r="N53" s="268"/>
      <c r="O53" s="270"/>
    </row>
    <row r="54" spans="1:15" s="132" customFormat="1" ht="14.25" outlineLevel="1" x14ac:dyDescent="0.2">
      <c r="A54" s="275" t="s">
        <v>1463</v>
      </c>
      <c r="B54" s="268"/>
      <c r="C54" s="268"/>
      <c r="D54" s="268"/>
      <c r="E54" s="276">
        <f>+IF('HOJA DE TRABAJO'!$J$17="SI",0,IF('HOJA DE TRABAJO'!$J$17="NO",0.0833,))</f>
        <v>8.3299999999999999E-2</v>
      </c>
      <c r="F54" s="268"/>
      <c r="G54" s="270"/>
      <c r="H54" s="271"/>
      <c r="I54" s="275" t="s">
        <v>1463</v>
      </c>
      <c r="J54" s="268"/>
      <c r="K54" s="268"/>
      <c r="L54" s="268"/>
      <c r="M54" s="276">
        <f>+IF('HOJA DE TRABAJO'!$J$17="SI",0,IF('HOJA DE TRABAJO'!$J$17="NO",0.0833,))</f>
        <v>8.3299999999999999E-2</v>
      </c>
      <c r="N54" s="268"/>
      <c r="O54" s="270"/>
    </row>
    <row r="55" spans="1:15" s="132" customFormat="1" ht="14.25" outlineLevel="1" x14ac:dyDescent="0.2">
      <c r="A55" s="275" t="str">
        <f>+'HOJA DE TRABAJO'!$B$29</f>
        <v xml:space="preserve">Previsión Segundo  Aguinaldo </v>
      </c>
      <c r="B55" s="268"/>
      <c r="C55" s="268"/>
      <c r="D55" s="268"/>
      <c r="E55" s="276">
        <f>+'HOJA DE TRABAJO'!$E$29</f>
        <v>8.3299999999999999E-2</v>
      </c>
      <c r="F55" s="268"/>
      <c r="G55" s="270"/>
      <c r="H55" s="271"/>
      <c r="I55" s="275" t="str">
        <f>+'HOJA DE TRABAJO'!$B$29</f>
        <v xml:space="preserve">Previsión Segundo  Aguinaldo </v>
      </c>
      <c r="J55" s="268"/>
      <c r="K55" s="268"/>
      <c r="L55" s="268"/>
      <c r="M55" s="276">
        <f>+'HOJA DE TRABAJO'!$E$29</f>
        <v>8.3299999999999999E-2</v>
      </c>
      <c r="N55" s="268"/>
      <c r="O55" s="270"/>
    </row>
    <row r="56" spans="1:15" s="132" customFormat="1" ht="14.25" outlineLevel="1" x14ac:dyDescent="0.2">
      <c r="A56" s="275" t="str">
        <f>+'HOJA DE TRABAJO'!$B$30</f>
        <v>Seguro de Accidente</v>
      </c>
      <c r="B56" s="268"/>
      <c r="C56" s="268"/>
      <c r="D56" s="268"/>
      <c r="E56" s="276">
        <f>+'HOJA DE TRABAJO'!$E$30</f>
        <v>0</v>
      </c>
      <c r="F56" s="268"/>
      <c r="G56" s="270"/>
      <c r="H56" s="271"/>
      <c r="I56" s="275" t="str">
        <f>+'HOJA DE TRABAJO'!$B$30</f>
        <v>Seguro de Accidente</v>
      </c>
      <c r="J56" s="268"/>
      <c r="K56" s="268"/>
      <c r="L56" s="268"/>
      <c r="M56" s="276">
        <f>+'HOJA DE TRABAJO'!$E$30</f>
        <v>0</v>
      </c>
      <c r="N56" s="268"/>
      <c r="O56" s="270"/>
    </row>
    <row r="57" spans="1:15" s="132" customFormat="1" ht="14.25" outlineLevel="1" x14ac:dyDescent="0.2">
      <c r="A57" s="275" t="str">
        <f>+'HOJA DE TRABAJO'!$B$31</f>
        <v xml:space="preserve">Vacaciones </v>
      </c>
      <c r="B57" s="268"/>
      <c r="C57" s="268"/>
      <c r="D57" s="268"/>
      <c r="E57" s="276">
        <f>+'HOJA DE TRABAJO'!$E$31</f>
        <v>0</v>
      </c>
      <c r="F57" s="268"/>
      <c r="G57" s="270"/>
      <c r="H57" s="271"/>
      <c r="I57" s="275" t="str">
        <f>+'HOJA DE TRABAJO'!$B$31</f>
        <v xml:space="preserve">Vacaciones </v>
      </c>
      <c r="J57" s="268"/>
      <c r="K57" s="268"/>
      <c r="L57" s="268"/>
      <c r="M57" s="276">
        <f>+'HOJA DE TRABAJO'!$E$31</f>
        <v>0</v>
      </c>
      <c r="N57" s="268"/>
      <c r="O57" s="270"/>
    </row>
    <row r="58" spans="1:15" s="132" customFormat="1" ht="14.25" outlineLevel="1" x14ac:dyDescent="0.2">
      <c r="A58" s="275" t="str">
        <f>+'HOJA DE TRABAJO'!$F$29</f>
        <v xml:space="preserve">Previsicion de Subsidio </v>
      </c>
      <c r="B58" s="268"/>
      <c r="C58" s="268"/>
      <c r="D58" s="268"/>
      <c r="E58" s="276">
        <f>+'HOJA DE TRABAJO'!$L$29</f>
        <v>0.33329999999999999</v>
      </c>
      <c r="F58" s="268"/>
      <c r="G58" s="270"/>
      <c r="H58" s="271"/>
      <c r="I58" s="275" t="str">
        <f>+'HOJA DE TRABAJO'!$F$29</f>
        <v xml:space="preserve">Previsicion de Subsidio </v>
      </c>
      <c r="J58" s="268"/>
      <c r="K58" s="268"/>
      <c r="L58" s="268"/>
      <c r="M58" s="276">
        <f>+'HOJA DE TRABAJO'!$L$29</f>
        <v>0.33329999999999999</v>
      </c>
      <c r="N58" s="268"/>
      <c r="O58" s="270"/>
    </row>
    <row r="59" spans="1:15" s="132" customFormat="1" ht="14.25" outlineLevel="1" x14ac:dyDescent="0.2">
      <c r="A59" s="275" t="str">
        <f>+'HOJA DE TRABAJO'!$F$30</f>
        <v>Previsicion de Desahucio</v>
      </c>
      <c r="B59" s="268"/>
      <c r="C59" s="268"/>
      <c r="D59" s="268"/>
      <c r="E59" s="276">
        <f>+'HOJA DE TRABAJO'!$L$30</f>
        <v>8.3299999999999999E-2</v>
      </c>
      <c r="F59" s="268"/>
      <c r="G59" s="270"/>
      <c r="H59" s="271"/>
      <c r="I59" s="275" t="str">
        <f>+'HOJA DE TRABAJO'!$F$30</f>
        <v>Previsicion de Desahucio</v>
      </c>
      <c r="J59" s="268"/>
      <c r="K59" s="268"/>
      <c r="L59" s="268"/>
      <c r="M59" s="276">
        <f>+'HOJA DE TRABAJO'!$L$30</f>
        <v>8.3299999999999999E-2</v>
      </c>
      <c r="N59" s="268"/>
      <c r="O59" s="270"/>
    </row>
    <row r="60" spans="1:15" s="132" customFormat="1" ht="14.25" outlineLevel="1" x14ac:dyDescent="0.2">
      <c r="A60" s="277" t="s">
        <v>1461</v>
      </c>
      <c r="B60" s="268"/>
      <c r="C60" s="268"/>
      <c r="D60" s="268"/>
      <c r="E60" s="276"/>
      <c r="F60" s="268"/>
      <c r="G60" s="270">
        <f>IF(G37=0,0,(('HOJA DE TRABAJO'!$U$108)/'HOJA DE TRABAJO'!$BA$44))</f>
        <v>0</v>
      </c>
      <c r="H60" s="337"/>
      <c r="I60" s="277" t="s">
        <v>1461</v>
      </c>
      <c r="J60" s="268"/>
      <c r="K60" s="268"/>
      <c r="L60" s="268"/>
      <c r="M60" s="276"/>
      <c r="N60" s="268"/>
      <c r="O60" s="270">
        <f>IF(O37=0,0,(('HOJA DE TRABAJO'!$U$108)/'HOJA DE TRABAJO'!$BA$44))</f>
        <v>0</v>
      </c>
    </row>
    <row r="61" spans="1:15" s="132" customFormat="1" ht="14.25" outlineLevel="1" x14ac:dyDescent="0.2">
      <c r="A61" s="277" t="s">
        <v>1504</v>
      </c>
      <c r="B61" s="268"/>
      <c r="C61" s="268"/>
      <c r="D61" s="268"/>
      <c r="E61" s="274">
        <f>+'HOJA DE TRABAJO'!$H$116*'HOJA DE TRABAJO'!$F$19</f>
        <v>1.6346153846153847E-2</v>
      </c>
      <c r="F61" s="268"/>
      <c r="G61" s="270">
        <f>(SUM(G40:G60)*E61)+IF(G37=0,0,'HOJA DE TRABAJO'!$J$119)</f>
        <v>0</v>
      </c>
      <c r="H61" s="271"/>
      <c r="I61" s="277" t="s">
        <v>1503</v>
      </c>
      <c r="J61" s="268"/>
      <c r="K61" s="268"/>
      <c r="L61" s="268"/>
      <c r="M61" s="274">
        <f>+'HOJA DE TRABAJO'!$H$116*'HOJA DE TRABAJO'!$F$19</f>
        <v>1.6346153846153847E-2</v>
      </c>
      <c r="N61" s="268"/>
      <c r="O61" s="270">
        <f>(SUM(O40:O60)*M61)+IF(O37=0,0,'HOJA DE TRABAJO'!$J$119)</f>
        <v>0</v>
      </c>
    </row>
    <row r="62" spans="1:15" s="132" customFormat="1" ht="14.25" outlineLevel="1" x14ac:dyDescent="0.2">
      <c r="A62" s="278" t="s">
        <v>1460</v>
      </c>
      <c r="B62" s="279"/>
      <c r="C62" s="279"/>
      <c r="D62" s="279"/>
      <c r="E62" s="280">
        <f>+E29</f>
        <v>0.13</v>
      </c>
      <c r="F62" s="279"/>
      <c r="G62" s="281">
        <f>+SUM(G39:G61)*E62</f>
        <v>0</v>
      </c>
      <c r="H62" s="282"/>
      <c r="I62" s="278" t="s">
        <v>1460</v>
      </c>
      <c r="J62" s="279"/>
      <c r="K62" s="279"/>
      <c r="L62" s="279"/>
      <c r="M62" s="280">
        <f>+E29</f>
        <v>0.13</v>
      </c>
      <c r="N62" s="279"/>
      <c r="O62" s="281">
        <f>+SUM(O39:O61)*M62</f>
        <v>0</v>
      </c>
    </row>
    <row r="63" spans="1:15" s="132" customFormat="1" outlineLevel="1" x14ac:dyDescent="0.25">
      <c r="A63" s="283" t="s">
        <v>1459</v>
      </c>
      <c r="B63" s="284"/>
      <c r="C63" s="284"/>
      <c r="D63" s="284"/>
      <c r="E63" s="284"/>
      <c r="F63" s="284"/>
      <c r="G63" s="285">
        <f>+SUM(G40:G62)</f>
        <v>0</v>
      </c>
      <c r="H63" s="286"/>
      <c r="I63" s="283" t="s">
        <v>1459</v>
      </c>
      <c r="J63" s="284"/>
      <c r="K63" s="284"/>
      <c r="L63" s="284"/>
      <c r="M63" s="284"/>
      <c r="N63" s="284"/>
      <c r="O63" s="285">
        <f>+SUM(O40:O62)</f>
        <v>0</v>
      </c>
    </row>
    <row r="64" spans="1:15" s="132" customFormat="1" ht="14.25" outlineLevel="1" x14ac:dyDescent="0.2">
      <c r="A64" s="277" t="s">
        <v>1458</v>
      </c>
      <c r="B64" s="268"/>
      <c r="C64" s="268"/>
      <c r="D64" s="268"/>
      <c r="E64" s="274">
        <f>+B65+B66</f>
        <v>0.16</v>
      </c>
      <c r="F64" s="268"/>
      <c r="G64" s="270">
        <f>+G67-G63</f>
        <v>0</v>
      </c>
      <c r="H64" s="271"/>
      <c r="I64" s="277" t="s">
        <v>1458</v>
      </c>
      <c r="J64" s="268"/>
      <c r="K64" s="268"/>
      <c r="L64" s="268"/>
      <c r="M64" s="274">
        <f>+J65+J66</f>
        <v>0.16</v>
      </c>
      <c r="N64" s="268"/>
      <c r="O64" s="270">
        <f>+O67-O63</f>
        <v>0</v>
      </c>
    </row>
    <row r="65" spans="1:15" s="132" customFormat="1" ht="14.25" outlineLevel="1" x14ac:dyDescent="0.2">
      <c r="A65" s="287" t="s">
        <v>1457</v>
      </c>
      <c r="B65" s="288">
        <v>0.13</v>
      </c>
      <c r="C65" s="268"/>
      <c r="D65" s="268"/>
      <c r="E65" s="276"/>
      <c r="F65" s="268"/>
      <c r="G65" s="270"/>
      <c r="H65" s="271"/>
      <c r="I65" s="287" t="s">
        <v>1457</v>
      </c>
      <c r="J65" s="288">
        <v>0.13</v>
      </c>
      <c r="K65" s="268"/>
      <c r="L65" s="268"/>
      <c r="M65" s="276"/>
      <c r="N65" s="268"/>
      <c r="O65" s="270"/>
    </row>
    <row r="66" spans="1:15" s="132" customFormat="1" ht="14.25" outlineLevel="1" x14ac:dyDescent="0.2">
      <c r="A66" s="289" t="s">
        <v>1456</v>
      </c>
      <c r="B66" s="290">
        <v>0.03</v>
      </c>
      <c r="C66" s="279"/>
      <c r="D66" s="279"/>
      <c r="E66" s="291"/>
      <c r="F66" s="279"/>
      <c r="G66" s="281"/>
      <c r="H66" s="282"/>
      <c r="I66" s="289" t="s">
        <v>1456</v>
      </c>
      <c r="J66" s="290">
        <v>0.03</v>
      </c>
      <c r="K66" s="279"/>
      <c r="L66" s="279"/>
      <c r="M66" s="291"/>
      <c r="N66" s="279"/>
      <c r="O66" s="281"/>
    </row>
    <row r="67" spans="1:15" s="132" customFormat="1" outlineLevel="1" x14ac:dyDescent="0.25">
      <c r="A67" s="283" t="s">
        <v>1519</v>
      </c>
      <c r="B67" s="284"/>
      <c r="C67" s="284"/>
      <c r="D67" s="284"/>
      <c r="E67" s="284"/>
      <c r="F67" s="284"/>
      <c r="G67" s="285">
        <f>IFERROR((G63/0.84),0)</f>
        <v>0</v>
      </c>
      <c r="H67" s="286"/>
      <c r="I67" s="283" t="s">
        <v>1519</v>
      </c>
      <c r="J67" s="284"/>
      <c r="K67" s="284"/>
      <c r="L67" s="284"/>
      <c r="M67" s="284"/>
      <c r="N67" s="284"/>
      <c r="O67" s="285">
        <f>IFERROR((O63/0.84),0)</f>
        <v>0</v>
      </c>
    </row>
    <row r="68" spans="1:15" s="132" customFormat="1" ht="14.25" outlineLevel="1" x14ac:dyDescent="0.2">
      <c r="H68" s="133"/>
    </row>
    <row r="69" spans="1:15" s="132" customFormat="1" ht="14.25" outlineLevel="1" x14ac:dyDescent="0.2">
      <c r="H69" s="133"/>
    </row>
    <row r="70" spans="1:15" s="132" customFormat="1" ht="14.25" outlineLevel="1" x14ac:dyDescent="0.2">
      <c r="H70" s="133"/>
    </row>
    <row r="71" spans="1:15" s="132" customFormat="1" outlineLevel="2" x14ac:dyDescent="0.25">
      <c r="A71" s="292" t="s">
        <v>1477</v>
      </c>
      <c r="B71" s="292"/>
      <c r="C71" s="292"/>
      <c r="D71" s="292"/>
      <c r="E71" s="268"/>
      <c r="F71" s="292" t="s">
        <v>11</v>
      </c>
      <c r="G71" s="292">
        <f>+'HOJA DE TRABAJO'!W42</f>
        <v>0</v>
      </c>
      <c r="H71" s="133"/>
      <c r="I71" s="292" t="s">
        <v>1477</v>
      </c>
      <c r="J71" s="292"/>
      <c r="K71" s="292"/>
      <c r="L71" s="292"/>
      <c r="M71" s="268"/>
      <c r="N71" s="292" t="s">
        <v>11</v>
      </c>
      <c r="O71" s="292">
        <f>+'HOJA DE TRABAJO'!W43</f>
        <v>0</v>
      </c>
    </row>
    <row r="72" spans="1:15" s="132" customFormat="1" outlineLevel="2" x14ac:dyDescent="0.25">
      <c r="A72" s="294"/>
      <c r="B72" s="294" t="s">
        <v>1476</v>
      </c>
      <c r="C72" s="588">
        <f>+'HOJA DE TRABAJO'!C42:E42</f>
        <v>0</v>
      </c>
      <c r="D72" s="588"/>
      <c r="E72" s="588"/>
      <c r="F72" s="294"/>
      <c r="G72" s="294"/>
      <c r="H72" s="133"/>
      <c r="I72" s="294"/>
      <c r="J72" s="294" t="s">
        <v>1476</v>
      </c>
      <c r="K72" s="588">
        <f>+'HOJA DE TRABAJO'!C43</f>
        <v>0</v>
      </c>
      <c r="L72" s="588"/>
      <c r="M72" s="588"/>
      <c r="N72" s="294"/>
      <c r="O72" s="294"/>
    </row>
    <row r="73" spans="1:15" s="132" customFormat="1" ht="14.25" outlineLevel="2" x14ac:dyDescent="0.2">
      <c r="A73" s="587" t="s">
        <v>1478</v>
      </c>
      <c r="B73" s="587"/>
      <c r="C73" s="587"/>
      <c r="D73" s="587"/>
      <c r="E73" s="587"/>
      <c r="F73" s="587"/>
      <c r="G73" s="587"/>
      <c r="H73" s="133"/>
      <c r="I73" s="587" t="s">
        <v>1478</v>
      </c>
      <c r="J73" s="587"/>
      <c r="K73" s="587"/>
      <c r="L73" s="587"/>
      <c r="M73" s="587"/>
      <c r="N73" s="587"/>
      <c r="O73" s="587"/>
    </row>
    <row r="74" spans="1:15" s="132" customFormat="1" ht="14.25" outlineLevel="2" x14ac:dyDescent="0.2">
      <c r="A74" s="268"/>
      <c r="B74" s="268"/>
      <c r="C74" s="268"/>
      <c r="D74" s="268"/>
      <c r="E74" s="268"/>
      <c r="F74" s="268"/>
      <c r="G74" s="268"/>
      <c r="H74" s="133"/>
      <c r="I74" s="268"/>
      <c r="J74" s="268"/>
      <c r="K74" s="268"/>
      <c r="L74" s="268"/>
      <c r="M74" s="268"/>
      <c r="N74" s="268"/>
      <c r="O74" s="268"/>
    </row>
    <row r="75" spans="1:15" s="132" customFormat="1" ht="14.25" outlineLevel="2" x14ac:dyDescent="0.2">
      <c r="A75" s="268" t="s">
        <v>1475</v>
      </c>
      <c r="B75" s="268"/>
      <c r="C75" s="268"/>
      <c r="D75" s="268"/>
      <c r="E75" s="268"/>
      <c r="F75" s="268"/>
      <c r="G75" s="270">
        <f>+'HOJA DE TRABAJO'!X42</f>
        <v>0</v>
      </c>
      <c r="H75" s="133"/>
      <c r="I75" s="268" t="s">
        <v>1475</v>
      </c>
      <c r="J75" s="268"/>
      <c r="K75" s="268"/>
      <c r="L75" s="268"/>
      <c r="M75" s="268"/>
      <c r="N75" s="268"/>
      <c r="O75" s="270">
        <f>+'HOJA DE TRABAJO'!X43</f>
        <v>0</v>
      </c>
    </row>
    <row r="76" spans="1:15" s="132" customFormat="1" ht="14.25" outlineLevel="2" x14ac:dyDescent="0.2">
      <c r="A76" s="268" t="s">
        <v>1588</v>
      </c>
      <c r="B76" s="268"/>
      <c r="C76" s="268"/>
      <c r="D76" s="268"/>
      <c r="E76" s="268"/>
      <c r="F76" s="268"/>
      <c r="G76" s="270">
        <f>IF(G75=0,0,SUM('HOJA DE TRABAJO'!$R$29:$R$31))</f>
        <v>0</v>
      </c>
      <c r="H76" s="271"/>
      <c r="I76" s="268" t="s">
        <v>1588</v>
      </c>
      <c r="J76" s="268"/>
      <c r="K76" s="268"/>
      <c r="L76" s="268"/>
      <c r="M76" s="268"/>
      <c r="N76" s="268"/>
      <c r="O76" s="270">
        <f>IF(O75=0,0,SUM('HOJA DE TRABAJO'!$R$29:$R$31))</f>
        <v>0</v>
      </c>
    </row>
    <row r="77" spans="1:15" s="132" customFormat="1" ht="14.25" outlineLevel="2" x14ac:dyDescent="0.2">
      <c r="A77" s="272" t="s">
        <v>1474</v>
      </c>
      <c r="B77" s="268"/>
      <c r="C77" s="268"/>
      <c r="D77" s="268"/>
      <c r="E77" s="268"/>
      <c r="F77" s="268"/>
      <c r="G77" s="270"/>
      <c r="H77" s="133"/>
      <c r="I77" s="272" t="s">
        <v>1474</v>
      </c>
      <c r="J77" s="268"/>
      <c r="K77" s="268"/>
      <c r="L77" s="268"/>
      <c r="M77" s="268"/>
      <c r="N77" s="268"/>
      <c r="O77" s="270"/>
    </row>
    <row r="78" spans="1:15" s="132" customFormat="1" outlineLevel="2" x14ac:dyDescent="0.25">
      <c r="A78" s="273" t="s">
        <v>1473</v>
      </c>
      <c r="B78" s="268"/>
      <c r="C78" s="268"/>
      <c r="D78" s="268"/>
      <c r="E78" s="268"/>
      <c r="F78" s="274">
        <f>+SUM(E79:E82)</f>
        <v>0.12710000000000002</v>
      </c>
      <c r="G78" s="270">
        <f>+(G75*100/87.29-G75)+(G76*F78)</f>
        <v>0</v>
      </c>
      <c r="H78" s="271"/>
      <c r="I78" s="273" t="s">
        <v>1473</v>
      </c>
      <c r="J78" s="268"/>
      <c r="K78" s="268"/>
      <c r="L78" s="268"/>
      <c r="M78" s="268"/>
      <c r="N78" s="274">
        <f>+SUM(M79:M82)</f>
        <v>0.12710000000000002</v>
      </c>
      <c r="O78" s="270">
        <f>+(O75*100/87.29-O75)+(N78*O76)</f>
        <v>0</v>
      </c>
    </row>
    <row r="79" spans="1:15" s="132" customFormat="1" ht="14.25" outlineLevel="2" x14ac:dyDescent="0.2">
      <c r="A79" s="275" t="s">
        <v>1472</v>
      </c>
      <c r="B79" s="268"/>
      <c r="C79" s="268"/>
      <c r="D79" s="268"/>
      <c r="E79" s="276">
        <v>0.1</v>
      </c>
      <c r="F79" s="268"/>
      <c r="G79" s="270"/>
      <c r="H79" s="133"/>
      <c r="I79" s="275" t="s">
        <v>1472</v>
      </c>
      <c r="J79" s="268"/>
      <c r="K79" s="268"/>
      <c r="L79" s="268"/>
      <c r="M79" s="276">
        <v>0.1</v>
      </c>
      <c r="N79" s="268"/>
      <c r="O79" s="270"/>
    </row>
    <row r="80" spans="1:15" s="132" customFormat="1" ht="14.25" outlineLevel="2" x14ac:dyDescent="0.2">
      <c r="A80" s="275" t="s">
        <v>1471</v>
      </c>
      <c r="B80" s="268"/>
      <c r="C80" s="268"/>
      <c r="D80" s="268"/>
      <c r="E80" s="276">
        <v>1.7100000000000001E-2</v>
      </c>
      <c r="F80" s="268"/>
      <c r="G80" s="270"/>
      <c r="H80" s="133"/>
      <c r="I80" s="275" t="s">
        <v>1471</v>
      </c>
      <c r="J80" s="268"/>
      <c r="K80" s="268"/>
      <c r="L80" s="268"/>
      <c r="M80" s="276">
        <v>1.7100000000000001E-2</v>
      </c>
      <c r="N80" s="268"/>
      <c r="O80" s="270"/>
    </row>
    <row r="81" spans="1:15" s="132" customFormat="1" ht="14.25" outlineLevel="2" x14ac:dyDescent="0.2">
      <c r="A81" s="275" t="s">
        <v>1470</v>
      </c>
      <c r="B81" s="268"/>
      <c r="C81" s="268"/>
      <c r="D81" s="268"/>
      <c r="E81" s="276">
        <v>5.0000000000000001E-3</v>
      </c>
      <c r="F81" s="268"/>
      <c r="G81" s="270"/>
      <c r="H81" s="133"/>
      <c r="I81" s="275" t="s">
        <v>1470</v>
      </c>
      <c r="J81" s="268"/>
      <c r="K81" s="268"/>
      <c r="L81" s="268"/>
      <c r="M81" s="276">
        <v>5.0000000000000001E-3</v>
      </c>
      <c r="N81" s="268"/>
      <c r="O81" s="270"/>
    </row>
    <row r="82" spans="1:15" s="132" customFormat="1" ht="14.25" outlineLevel="2" x14ac:dyDescent="0.2">
      <c r="A82" s="275" t="s">
        <v>1466</v>
      </c>
      <c r="B82" s="268"/>
      <c r="C82" s="268"/>
      <c r="D82" s="268"/>
      <c r="E82" s="276">
        <f>+E81</f>
        <v>5.0000000000000001E-3</v>
      </c>
      <c r="F82" s="268"/>
      <c r="G82" s="270"/>
      <c r="H82" s="133"/>
      <c r="I82" s="275" t="s">
        <v>1466</v>
      </c>
      <c r="J82" s="268"/>
      <c r="K82" s="268"/>
      <c r="L82" s="268"/>
      <c r="M82" s="276">
        <f>+M81</f>
        <v>5.0000000000000001E-3</v>
      </c>
      <c r="N82" s="268"/>
      <c r="O82" s="270"/>
    </row>
    <row r="83" spans="1:15" s="132" customFormat="1" outlineLevel="2" x14ac:dyDescent="0.25">
      <c r="A83" s="273" t="s">
        <v>1469</v>
      </c>
      <c r="B83" s="268"/>
      <c r="C83" s="268"/>
      <c r="D83" s="268"/>
      <c r="E83" s="276"/>
      <c r="F83" s="274">
        <f>+SUM(E84:E93)</f>
        <v>0.83360000000000001</v>
      </c>
      <c r="G83" s="270">
        <f>(G75+G78+G76)*F83</f>
        <v>0</v>
      </c>
      <c r="H83" s="271"/>
      <c r="I83" s="273" t="s">
        <v>1469</v>
      </c>
      <c r="J83" s="268"/>
      <c r="K83" s="268"/>
      <c r="L83" s="268"/>
      <c r="M83" s="276"/>
      <c r="N83" s="274">
        <f>+SUM(M84:M93)</f>
        <v>0.83360000000000001</v>
      </c>
      <c r="O83" s="270">
        <f>(O75+O78+O76)*N83</f>
        <v>0</v>
      </c>
    </row>
    <row r="84" spans="1:15" s="132" customFormat="1" ht="14.25" outlineLevel="2" x14ac:dyDescent="0.2">
      <c r="A84" s="275" t="s">
        <v>1468</v>
      </c>
      <c r="B84" s="268"/>
      <c r="C84" s="268"/>
      <c r="D84" s="268"/>
      <c r="E84" s="276">
        <v>0.1</v>
      </c>
      <c r="F84" s="268"/>
      <c r="G84" s="270"/>
      <c r="H84" s="133"/>
      <c r="I84" s="275" t="s">
        <v>1468</v>
      </c>
      <c r="J84" s="268"/>
      <c r="K84" s="268"/>
      <c r="L84" s="268"/>
      <c r="M84" s="276">
        <v>0.1</v>
      </c>
      <c r="N84" s="268"/>
      <c r="O84" s="270"/>
    </row>
    <row r="85" spans="1:15" s="132" customFormat="1" ht="14.25" outlineLevel="2" x14ac:dyDescent="0.2">
      <c r="A85" s="275" t="s">
        <v>1466</v>
      </c>
      <c r="B85" s="268"/>
      <c r="C85" s="268"/>
      <c r="D85" s="268"/>
      <c r="E85" s="276">
        <v>0.03</v>
      </c>
      <c r="F85" s="268"/>
      <c r="G85" s="270"/>
      <c r="H85" s="133"/>
      <c r="I85" s="275" t="s">
        <v>1466</v>
      </c>
      <c r="J85" s="268"/>
      <c r="K85" s="268"/>
      <c r="L85" s="268"/>
      <c r="M85" s="276">
        <v>0.03</v>
      </c>
      <c r="N85" s="268"/>
      <c r="O85" s="270"/>
    </row>
    <row r="86" spans="1:15" s="132" customFormat="1" ht="14.25" outlineLevel="2" x14ac:dyDescent="0.2">
      <c r="A86" s="275" t="s">
        <v>1465</v>
      </c>
      <c r="B86" s="268"/>
      <c r="C86" s="268"/>
      <c r="D86" s="268"/>
      <c r="E86" s="276">
        <v>3.7100000000000001E-2</v>
      </c>
      <c r="F86" s="268"/>
      <c r="G86" s="270"/>
      <c r="H86" s="133"/>
      <c r="I86" s="275" t="s">
        <v>1465</v>
      </c>
      <c r="J86" s="268"/>
      <c r="K86" s="268"/>
      <c r="L86" s="268"/>
      <c r="M86" s="276">
        <v>3.7100000000000001E-2</v>
      </c>
      <c r="N86" s="268"/>
      <c r="O86" s="270"/>
    </row>
    <row r="87" spans="1:15" s="132" customFormat="1" ht="14.25" outlineLevel="2" x14ac:dyDescent="0.2">
      <c r="A87" s="275" t="s">
        <v>1500</v>
      </c>
      <c r="B87" s="268"/>
      <c r="C87" s="268"/>
      <c r="D87" s="268"/>
      <c r="E87" s="276">
        <f>+IF('HOJA DE TRABAJO'!$J$17="SI",0,IF('HOJA DE TRABAJO'!$J$17="NO",0.0833,))</f>
        <v>8.3299999999999999E-2</v>
      </c>
      <c r="F87" s="268"/>
      <c r="G87" s="270"/>
      <c r="H87" s="133"/>
      <c r="I87" s="275" t="s">
        <v>1500</v>
      </c>
      <c r="J87" s="268"/>
      <c r="K87" s="268"/>
      <c r="L87" s="268"/>
      <c r="M87" s="276">
        <f>+IF('HOJA DE TRABAJO'!$J$17="SI",0,IF('HOJA DE TRABAJO'!$J$17="NO",0.0833,))</f>
        <v>8.3299999999999999E-2</v>
      </c>
      <c r="N87" s="268"/>
      <c r="O87" s="270"/>
    </row>
    <row r="88" spans="1:15" s="132" customFormat="1" ht="14.25" outlineLevel="2" x14ac:dyDescent="0.2">
      <c r="A88" s="275" t="s">
        <v>1463</v>
      </c>
      <c r="B88" s="268"/>
      <c r="C88" s="268"/>
      <c r="D88" s="268"/>
      <c r="E88" s="276">
        <f>+IF('HOJA DE TRABAJO'!$J$17="SI",0,IF('HOJA DE TRABAJO'!$J$17="NO",0.0833,))</f>
        <v>8.3299999999999999E-2</v>
      </c>
      <c r="F88" s="268"/>
      <c r="G88" s="270"/>
      <c r="H88" s="133"/>
      <c r="I88" s="275" t="s">
        <v>1463</v>
      </c>
      <c r="J88" s="268"/>
      <c r="K88" s="268"/>
      <c r="L88" s="268"/>
      <c r="M88" s="276">
        <f>+IF('HOJA DE TRABAJO'!$J$17="SI",0,IF('HOJA DE TRABAJO'!$J$17="NO",0.0833,))</f>
        <v>8.3299999999999999E-2</v>
      </c>
      <c r="N88" s="268"/>
      <c r="O88" s="270"/>
    </row>
    <row r="89" spans="1:15" s="132" customFormat="1" ht="14.25" outlineLevel="2" x14ac:dyDescent="0.2">
      <c r="A89" s="275" t="str">
        <f>+'HOJA DE TRABAJO'!$B$29</f>
        <v xml:space="preserve">Previsión Segundo  Aguinaldo </v>
      </c>
      <c r="B89" s="268"/>
      <c r="C89" s="268"/>
      <c r="D89" s="268"/>
      <c r="E89" s="276">
        <f>+'HOJA DE TRABAJO'!$E$29</f>
        <v>8.3299999999999999E-2</v>
      </c>
      <c r="F89" s="268"/>
      <c r="G89" s="270"/>
      <c r="H89" s="133"/>
      <c r="I89" s="275" t="str">
        <f>+'HOJA DE TRABAJO'!$B$29</f>
        <v xml:space="preserve">Previsión Segundo  Aguinaldo </v>
      </c>
      <c r="J89" s="268"/>
      <c r="K89" s="268"/>
      <c r="L89" s="268"/>
      <c r="M89" s="276">
        <f>+'HOJA DE TRABAJO'!$E$29</f>
        <v>8.3299999999999999E-2</v>
      </c>
      <c r="N89" s="268"/>
      <c r="O89" s="270"/>
    </row>
    <row r="90" spans="1:15" s="132" customFormat="1" ht="14.25" outlineLevel="2" x14ac:dyDescent="0.2">
      <c r="A90" s="275" t="str">
        <f>+'HOJA DE TRABAJO'!$B$30</f>
        <v>Seguro de Accidente</v>
      </c>
      <c r="B90" s="268"/>
      <c r="C90" s="268"/>
      <c r="D90" s="268"/>
      <c r="E90" s="276">
        <f>+'HOJA DE TRABAJO'!$E$30</f>
        <v>0</v>
      </c>
      <c r="F90" s="268"/>
      <c r="G90" s="270"/>
      <c r="H90" s="133"/>
      <c r="I90" s="275" t="str">
        <f>+'HOJA DE TRABAJO'!$B$30</f>
        <v>Seguro de Accidente</v>
      </c>
      <c r="J90" s="268"/>
      <c r="K90" s="268"/>
      <c r="L90" s="268"/>
      <c r="M90" s="276">
        <f>+'HOJA DE TRABAJO'!$E$30</f>
        <v>0</v>
      </c>
      <c r="N90" s="268"/>
      <c r="O90" s="270"/>
    </row>
    <row r="91" spans="1:15" s="132" customFormat="1" ht="14.25" outlineLevel="2" x14ac:dyDescent="0.2">
      <c r="A91" s="275" t="str">
        <f>+'HOJA DE TRABAJO'!$B$31</f>
        <v xml:space="preserve">Vacaciones </v>
      </c>
      <c r="B91" s="268"/>
      <c r="C91" s="268"/>
      <c r="D91" s="268"/>
      <c r="E91" s="276">
        <f>+'HOJA DE TRABAJO'!$E$31</f>
        <v>0</v>
      </c>
      <c r="F91" s="268"/>
      <c r="G91" s="270"/>
      <c r="H91" s="133"/>
      <c r="I91" s="275" t="str">
        <f>+'HOJA DE TRABAJO'!$B$31</f>
        <v xml:space="preserve">Vacaciones </v>
      </c>
      <c r="J91" s="268"/>
      <c r="K91" s="268"/>
      <c r="L91" s="268"/>
      <c r="M91" s="276">
        <f>+'HOJA DE TRABAJO'!$E$31</f>
        <v>0</v>
      </c>
      <c r="N91" s="268"/>
      <c r="O91" s="270"/>
    </row>
    <row r="92" spans="1:15" s="132" customFormat="1" ht="14.25" outlineLevel="2" x14ac:dyDescent="0.2">
      <c r="A92" s="275" t="str">
        <f>+'HOJA DE TRABAJO'!$F$29</f>
        <v xml:space="preserve">Previsicion de Subsidio </v>
      </c>
      <c r="B92" s="268"/>
      <c r="C92" s="268"/>
      <c r="D92" s="268"/>
      <c r="E92" s="276">
        <f>+'HOJA DE TRABAJO'!$L$29</f>
        <v>0.33329999999999999</v>
      </c>
      <c r="F92" s="268"/>
      <c r="G92" s="270"/>
      <c r="H92" s="133"/>
      <c r="I92" s="275" t="str">
        <f>+'HOJA DE TRABAJO'!$F$29</f>
        <v xml:space="preserve">Previsicion de Subsidio </v>
      </c>
      <c r="J92" s="268"/>
      <c r="K92" s="268"/>
      <c r="L92" s="268"/>
      <c r="M92" s="276">
        <f>+'HOJA DE TRABAJO'!$L$29</f>
        <v>0.33329999999999999</v>
      </c>
      <c r="N92" s="268"/>
      <c r="O92" s="270"/>
    </row>
    <row r="93" spans="1:15" s="132" customFormat="1" ht="14.25" outlineLevel="2" x14ac:dyDescent="0.2">
      <c r="A93" s="275" t="str">
        <f>+'HOJA DE TRABAJO'!$F$30</f>
        <v>Previsicion de Desahucio</v>
      </c>
      <c r="B93" s="268"/>
      <c r="C93" s="268"/>
      <c r="D93" s="268"/>
      <c r="E93" s="276">
        <f>+'HOJA DE TRABAJO'!$L$30</f>
        <v>8.3299999999999999E-2</v>
      </c>
      <c r="F93" s="268"/>
      <c r="G93" s="270"/>
      <c r="H93" s="133"/>
      <c r="I93" s="275" t="str">
        <f>+'HOJA DE TRABAJO'!$F$30</f>
        <v>Previsicion de Desahucio</v>
      </c>
      <c r="J93" s="268"/>
      <c r="K93" s="268"/>
      <c r="L93" s="268"/>
      <c r="M93" s="276">
        <f>+'HOJA DE TRABAJO'!$L$30</f>
        <v>8.3299999999999999E-2</v>
      </c>
      <c r="N93" s="268"/>
      <c r="O93" s="270"/>
    </row>
    <row r="94" spans="1:15" s="132" customFormat="1" ht="14.25" outlineLevel="2" x14ac:dyDescent="0.2">
      <c r="A94" s="277" t="s">
        <v>1461</v>
      </c>
      <c r="B94" s="268"/>
      <c r="C94" s="268"/>
      <c r="D94" s="268"/>
      <c r="E94" s="276"/>
      <c r="F94" s="268"/>
      <c r="G94" s="270">
        <f>IF(G71=0,0,(('HOJA DE TRABAJO'!$U$108)/'HOJA DE TRABAJO'!$BA$44))</f>
        <v>0</v>
      </c>
      <c r="H94" s="337"/>
      <c r="I94" s="277" t="s">
        <v>1461</v>
      </c>
      <c r="J94" s="268"/>
      <c r="K94" s="268"/>
      <c r="L94" s="268"/>
      <c r="M94" s="276"/>
      <c r="N94" s="268"/>
      <c r="O94" s="270">
        <f>IF(O71=0,0,(('HOJA DE TRABAJO'!$U$108)/'HOJA DE TRABAJO'!$BA$44))</f>
        <v>0</v>
      </c>
    </row>
    <row r="95" spans="1:15" s="132" customFormat="1" ht="14.25" outlineLevel="2" x14ac:dyDescent="0.2">
      <c r="A95" s="277" t="s">
        <v>1504</v>
      </c>
      <c r="B95" s="268"/>
      <c r="C95" s="268"/>
      <c r="D95" s="268"/>
      <c r="E95" s="274">
        <f>+'HOJA DE TRABAJO'!$H$116*'HOJA DE TRABAJO'!$F$19</f>
        <v>1.6346153846153847E-2</v>
      </c>
      <c r="F95" s="268"/>
      <c r="G95" s="270">
        <f>(SUM(G74:G94)*E95)+IF(G71=0,0,'HOJA DE TRABAJO'!$J$119)</f>
        <v>0</v>
      </c>
      <c r="H95" s="271"/>
      <c r="I95" s="277" t="s">
        <v>1503</v>
      </c>
      <c r="J95" s="268"/>
      <c r="K95" s="268"/>
      <c r="L95" s="268"/>
      <c r="M95" s="274">
        <f>+'HOJA DE TRABAJO'!$H$116*'HOJA DE TRABAJO'!$F$19</f>
        <v>1.6346153846153847E-2</v>
      </c>
      <c r="N95" s="268"/>
      <c r="O95" s="270">
        <f>(SUM(O74:O94)*M95)+IF(O71=0,0,'HOJA DE TRABAJO'!$J$119)</f>
        <v>0</v>
      </c>
    </row>
    <row r="96" spans="1:15" s="132" customFormat="1" ht="14.25" outlineLevel="2" x14ac:dyDescent="0.2">
      <c r="A96" s="278" t="s">
        <v>1460</v>
      </c>
      <c r="B96" s="279"/>
      <c r="C96" s="279"/>
      <c r="D96" s="279"/>
      <c r="E96" s="280">
        <f>+E62</f>
        <v>0.13</v>
      </c>
      <c r="F96" s="279"/>
      <c r="G96" s="281">
        <f>+SUM(G73:G95)*E96</f>
        <v>0</v>
      </c>
      <c r="H96" s="133"/>
      <c r="I96" s="278" t="s">
        <v>1460</v>
      </c>
      <c r="J96" s="279"/>
      <c r="K96" s="279"/>
      <c r="L96" s="279"/>
      <c r="M96" s="280">
        <f>+E62</f>
        <v>0.13</v>
      </c>
      <c r="N96" s="279"/>
      <c r="O96" s="281">
        <f>+SUM(O73:O95)*M96</f>
        <v>0</v>
      </c>
    </row>
    <row r="97" spans="1:15" s="132" customFormat="1" outlineLevel="2" x14ac:dyDescent="0.25">
      <c r="A97" s="283" t="s">
        <v>1459</v>
      </c>
      <c r="B97" s="284"/>
      <c r="C97" s="284"/>
      <c r="D97" s="284"/>
      <c r="E97" s="284"/>
      <c r="F97" s="284"/>
      <c r="G97" s="285">
        <f>+SUM(G74:G96)</f>
        <v>0</v>
      </c>
      <c r="H97" s="133"/>
      <c r="I97" s="283" t="s">
        <v>1459</v>
      </c>
      <c r="J97" s="284"/>
      <c r="K97" s="284"/>
      <c r="L97" s="284"/>
      <c r="M97" s="284"/>
      <c r="N97" s="284"/>
      <c r="O97" s="285">
        <f>+SUM(O74:O96)</f>
        <v>0</v>
      </c>
    </row>
    <row r="98" spans="1:15" s="132" customFormat="1" ht="14.25" outlineLevel="2" x14ac:dyDescent="0.2">
      <c r="A98" s="277" t="s">
        <v>1458</v>
      </c>
      <c r="B98" s="268"/>
      <c r="C98" s="268"/>
      <c r="D98" s="268"/>
      <c r="E98" s="274">
        <f>+B99+B100</f>
        <v>0.16</v>
      </c>
      <c r="F98" s="268"/>
      <c r="G98" s="270">
        <f>+G101-G97</f>
        <v>0</v>
      </c>
      <c r="H98" s="133"/>
      <c r="I98" s="277" t="s">
        <v>1458</v>
      </c>
      <c r="J98" s="268"/>
      <c r="K98" s="268"/>
      <c r="L98" s="268"/>
      <c r="M98" s="274">
        <f>+J99+J100</f>
        <v>0.16</v>
      </c>
      <c r="N98" s="268"/>
      <c r="O98" s="270">
        <f>+O101-O97</f>
        <v>0</v>
      </c>
    </row>
    <row r="99" spans="1:15" s="132" customFormat="1" ht="14.25" outlineLevel="2" x14ac:dyDescent="0.2">
      <c r="A99" s="287" t="s">
        <v>1457</v>
      </c>
      <c r="B99" s="288">
        <v>0.13</v>
      </c>
      <c r="C99" s="268"/>
      <c r="D99" s="268"/>
      <c r="E99" s="276"/>
      <c r="F99" s="268"/>
      <c r="G99" s="270"/>
      <c r="H99" s="133"/>
      <c r="I99" s="287" t="s">
        <v>1457</v>
      </c>
      <c r="J99" s="288">
        <v>0.13</v>
      </c>
      <c r="K99" s="268"/>
      <c r="L99" s="268"/>
      <c r="M99" s="276"/>
      <c r="N99" s="268"/>
      <c r="O99" s="270"/>
    </row>
    <row r="100" spans="1:15" s="132" customFormat="1" ht="14.25" outlineLevel="2" x14ac:dyDescent="0.2">
      <c r="A100" s="289" t="s">
        <v>1456</v>
      </c>
      <c r="B100" s="290">
        <v>0.03</v>
      </c>
      <c r="C100" s="279"/>
      <c r="D100" s="279"/>
      <c r="E100" s="291"/>
      <c r="F100" s="279"/>
      <c r="G100" s="281"/>
      <c r="H100" s="133"/>
      <c r="I100" s="289" t="s">
        <v>1456</v>
      </c>
      <c r="J100" s="290">
        <v>0.03</v>
      </c>
      <c r="K100" s="279"/>
      <c r="L100" s="279"/>
      <c r="M100" s="291"/>
      <c r="N100" s="279"/>
      <c r="O100" s="281"/>
    </row>
    <row r="101" spans="1:15" s="132" customFormat="1" outlineLevel="2" x14ac:dyDescent="0.25">
      <c r="A101" s="283" t="s">
        <v>1519</v>
      </c>
      <c r="B101" s="284"/>
      <c r="C101" s="284"/>
      <c r="D101" s="284"/>
      <c r="E101" s="284"/>
      <c r="F101" s="284"/>
      <c r="G101" s="285">
        <f>IFERROR((G97/0.84),0)</f>
        <v>0</v>
      </c>
      <c r="H101" s="133"/>
      <c r="I101" s="283" t="s">
        <v>1519</v>
      </c>
      <c r="J101" s="284"/>
      <c r="K101" s="284"/>
      <c r="L101" s="284"/>
      <c r="M101" s="284"/>
      <c r="N101" s="284"/>
      <c r="O101" s="285">
        <f>IFERROR((O97/0.84),0)</f>
        <v>0</v>
      </c>
    </row>
    <row r="102" spans="1:15" s="132" customFormat="1" ht="14.25" outlineLevel="2" x14ac:dyDescent="0.2"/>
    <row r="104" spans="1:15" x14ac:dyDescent="0.25">
      <c r="H104" s="84"/>
    </row>
  </sheetData>
  <customSheetViews>
    <customSheetView guid="{D98A1565-B6EB-4D88-8DB8-23EB436D0197}" topLeftCell="A64">
      <selection activeCell="N87" sqref="N87"/>
      <pageMargins left="0.7" right="0.7" top="0.75" bottom="0.75" header="0.3" footer="0.3"/>
    </customSheetView>
  </customSheetViews>
  <mergeCells count="13">
    <mergeCell ref="A73:G73"/>
    <mergeCell ref="I73:O73"/>
    <mergeCell ref="C5:E5"/>
    <mergeCell ref="K5:M5"/>
    <mergeCell ref="A6:G6"/>
    <mergeCell ref="I6:O6"/>
    <mergeCell ref="C38:E38"/>
    <mergeCell ref="K38:M38"/>
    <mergeCell ref="E2:K2"/>
    <mergeCell ref="A39:G39"/>
    <mergeCell ref="I39:O39"/>
    <mergeCell ref="C72:E72"/>
    <mergeCell ref="K72:M72"/>
  </mergeCells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AG131"/>
  <sheetViews>
    <sheetView zoomScale="60" zoomScaleNormal="60" workbookViewId="0">
      <selection activeCell="M126" sqref="M126"/>
    </sheetView>
  </sheetViews>
  <sheetFormatPr baseColWidth="10" defaultRowHeight="15" outlineLevelRow="2" x14ac:dyDescent="0.25"/>
  <sheetData>
    <row r="2" spans="1:15" ht="28.5" x14ac:dyDescent="0.45">
      <c r="E2" s="586" t="str">
        <f>+'HOJA DE TRABAJO'!AB36</f>
        <v>POTOSI</v>
      </c>
      <c r="F2" s="586"/>
      <c r="G2" s="586"/>
      <c r="H2" s="586"/>
      <c r="I2" s="586"/>
      <c r="J2" s="586"/>
      <c r="K2" s="586"/>
    </row>
    <row r="4" spans="1:15" s="132" customFormat="1" x14ac:dyDescent="0.25">
      <c r="A4" s="292" t="s">
        <v>1477</v>
      </c>
      <c r="B4" s="292"/>
      <c r="C4" s="292"/>
      <c r="D4" s="292"/>
      <c r="E4" s="268"/>
      <c r="F4" s="292" t="s">
        <v>11</v>
      </c>
      <c r="G4" s="292">
        <f>+'HOJA DE TRABAJO'!AB38</f>
        <v>0</v>
      </c>
      <c r="H4" s="293"/>
      <c r="I4" s="292" t="s">
        <v>1477</v>
      </c>
      <c r="J4" s="292"/>
      <c r="K4" s="292"/>
      <c r="L4" s="292"/>
      <c r="M4" s="292"/>
      <c r="N4" s="292" t="s">
        <v>11</v>
      </c>
      <c r="O4" s="292">
        <f>+'HOJA DE TRABAJO'!AB39</f>
        <v>0</v>
      </c>
    </row>
    <row r="5" spans="1:15" s="132" customFormat="1" x14ac:dyDescent="0.25">
      <c r="A5" s="294"/>
      <c r="B5" s="294" t="s">
        <v>1476</v>
      </c>
      <c r="C5" s="588" t="str">
        <f>+'HOJA DE TRABAJO'!C38:E38</f>
        <v>VENDEDOR INSTITUCIONAL</v>
      </c>
      <c r="D5" s="588"/>
      <c r="E5" s="588"/>
      <c r="F5" s="294"/>
      <c r="G5" s="294"/>
      <c r="H5" s="293"/>
      <c r="I5" s="294"/>
      <c r="J5" s="294" t="s">
        <v>1476</v>
      </c>
      <c r="K5" s="588">
        <f>+'HOJA DE TRABAJO'!C39</f>
        <v>0</v>
      </c>
      <c r="L5" s="588"/>
      <c r="M5" s="588"/>
      <c r="N5" s="294"/>
      <c r="O5" s="294"/>
    </row>
    <row r="6" spans="1:15" s="132" customFormat="1" ht="14.25" x14ac:dyDescent="0.2">
      <c r="A6" s="587" t="s">
        <v>1478</v>
      </c>
      <c r="B6" s="587"/>
      <c r="C6" s="587"/>
      <c r="D6" s="587"/>
      <c r="E6" s="587"/>
      <c r="F6" s="587"/>
      <c r="G6" s="587"/>
      <c r="H6" s="269"/>
      <c r="I6" s="587" t="s">
        <v>1478</v>
      </c>
      <c r="J6" s="587"/>
      <c r="K6" s="587"/>
      <c r="L6" s="587"/>
      <c r="M6" s="587"/>
      <c r="N6" s="587"/>
      <c r="O6" s="587"/>
    </row>
    <row r="7" spans="1:15" s="132" customFormat="1" ht="14.25" x14ac:dyDescent="0.2">
      <c r="A7" s="268"/>
      <c r="B7" s="268"/>
      <c r="C7" s="268"/>
      <c r="D7" s="268"/>
      <c r="E7" s="268"/>
      <c r="F7" s="268"/>
      <c r="G7" s="268"/>
      <c r="H7" s="133"/>
      <c r="I7" s="268"/>
      <c r="J7" s="268"/>
      <c r="K7" s="268"/>
      <c r="L7" s="268"/>
      <c r="M7" s="268"/>
      <c r="N7" s="268"/>
      <c r="O7" s="268"/>
    </row>
    <row r="8" spans="1:15" s="132" customFormat="1" ht="14.25" x14ac:dyDescent="0.2">
      <c r="A8" s="268" t="s">
        <v>1475</v>
      </c>
      <c r="B8" s="268"/>
      <c r="C8" s="268"/>
      <c r="D8" s="268"/>
      <c r="E8" s="268"/>
      <c r="F8" s="268"/>
      <c r="G8" s="270">
        <f>+'HOJA DE TRABAJO'!AC38</f>
        <v>0</v>
      </c>
      <c r="H8" s="271"/>
      <c r="I8" s="268" t="str">
        <f>A8</f>
        <v>Costo líquido por Supervisor  (líquido pagable Bs.)</v>
      </c>
      <c r="J8" s="268"/>
      <c r="K8" s="268"/>
      <c r="L8" s="268"/>
      <c r="M8" s="268"/>
      <c r="N8" s="268"/>
      <c r="O8" s="270">
        <f>+'HOJA DE TRABAJO'!AC39</f>
        <v>0</v>
      </c>
    </row>
    <row r="9" spans="1:15" s="132" customFormat="1" ht="14.25" x14ac:dyDescent="0.2">
      <c r="A9" s="268" t="s">
        <v>1588</v>
      </c>
      <c r="B9" s="268"/>
      <c r="C9" s="268"/>
      <c r="D9" s="268"/>
      <c r="E9" s="268"/>
      <c r="F9" s="268"/>
      <c r="G9" s="270">
        <f>IF(G8=0,0,SUM('HOJA DE TRABAJO'!$R$29:$R$31))</f>
        <v>0</v>
      </c>
      <c r="H9" s="271"/>
      <c r="I9" s="268" t="s">
        <v>1588</v>
      </c>
      <c r="J9" s="268"/>
      <c r="K9" s="268"/>
      <c r="L9" s="268"/>
      <c r="M9" s="268"/>
      <c r="N9" s="268"/>
      <c r="O9" s="270">
        <f>IF(O8=0,0,SUM('HOJA DE TRABAJO'!$R$29:$R$31))</f>
        <v>0</v>
      </c>
    </row>
    <row r="10" spans="1:15" s="132" customFormat="1" ht="14.25" x14ac:dyDescent="0.2">
      <c r="A10" s="272" t="s">
        <v>1474</v>
      </c>
      <c r="B10" s="268"/>
      <c r="C10" s="268"/>
      <c r="D10" s="268"/>
      <c r="E10" s="268"/>
      <c r="F10" s="268"/>
      <c r="G10" s="270"/>
      <c r="H10" s="271"/>
      <c r="I10" s="272" t="s">
        <v>1474</v>
      </c>
      <c r="J10" s="268"/>
      <c r="K10" s="268"/>
      <c r="L10" s="268"/>
      <c r="M10" s="268"/>
      <c r="N10" s="268"/>
      <c r="O10" s="270"/>
    </row>
    <row r="11" spans="1:15" s="132" customFormat="1" x14ac:dyDescent="0.25">
      <c r="A11" s="273" t="s">
        <v>1473</v>
      </c>
      <c r="B11" s="268"/>
      <c r="C11" s="268"/>
      <c r="D11" s="268"/>
      <c r="E11" s="268"/>
      <c r="F11" s="274">
        <f>+SUM(E12:E15)</f>
        <v>0.12710000000000002</v>
      </c>
      <c r="G11" s="270">
        <f>+(G8*100/87.29-G8)+(G9*F11)</f>
        <v>0</v>
      </c>
      <c r="H11" s="271"/>
      <c r="I11" s="273" t="s">
        <v>1473</v>
      </c>
      <c r="J11" s="268"/>
      <c r="K11" s="268"/>
      <c r="L11" s="268"/>
      <c r="M11" s="268"/>
      <c r="N11" s="274">
        <f>+SUM(M12:M15)</f>
        <v>0.12710000000000002</v>
      </c>
      <c r="O11" s="270">
        <f>+(O8*100/87.29-O8)+(N11*O9)</f>
        <v>0</v>
      </c>
    </row>
    <row r="12" spans="1:15" s="132" customFormat="1" ht="14.25" x14ac:dyDescent="0.2">
      <c r="A12" s="275" t="s">
        <v>1472</v>
      </c>
      <c r="B12" s="268"/>
      <c r="C12" s="268"/>
      <c r="D12" s="268"/>
      <c r="E12" s="276">
        <v>0.1</v>
      </c>
      <c r="F12" s="268"/>
      <c r="G12" s="270"/>
      <c r="H12" s="271"/>
      <c r="I12" s="275" t="s">
        <v>1472</v>
      </c>
      <c r="J12" s="268"/>
      <c r="K12" s="268"/>
      <c r="L12" s="268"/>
      <c r="M12" s="276">
        <v>0.1</v>
      </c>
      <c r="N12" s="268"/>
      <c r="O12" s="270"/>
    </row>
    <row r="13" spans="1:15" s="132" customFormat="1" ht="14.25" x14ac:dyDescent="0.2">
      <c r="A13" s="275" t="s">
        <v>1471</v>
      </c>
      <c r="B13" s="268"/>
      <c r="C13" s="268"/>
      <c r="D13" s="268"/>
      <c r="E13" s="276">
        <v>1.7100000000000001E-2</v>
      </c>
      <c r="F13" s="268"/>
      <c r="G13" s="270"/>
      <c r="H13" s="271"/>
      <c r="I13" s="275" t="s">
        <v>1471</v>
      </c>
      <c r="J13" s="268"/>
      <c r="K13" s="268"/>
      <c r="L13" s="268"/>
      <c r="M13" s="276">
        <v>1.7100000000000001E-2</v>
      </c>
      <c r="N13" s="268"/>
      <c r="O13" s="270"/>
    </row>
    <row r="14" spans="1:15" s="132" customFormat="1" ht="14.25" x14ac:dyDescent="0.2">
      <c r="A14" s="275" t="s">
        <v>1470</v>
      </c>
      <c r="B14" s="268"/>
      <c r="C14" s="268"/>
      <c r="D14" s="268"/>
      <c r="E14" s="276">
        <v>5.0000000000000001E-3</v>
      </c>
      <c r="F14" s="268"/>
      <c r="G14" s="270"/>
      <c r="H14" s="271"/>
      <c r="I14" s="275" t="s">
        <v>1470</v>
      </c>
      <c r="J14" s="268"/>
      <c r="K14" s="268"/>
      <c r="L14" s="268"/>
      <c r="M14" s="276">
        <v>5.0000000000000001E-3</v>
      </c>
      <c r="N14" s="268"/>
      <c r="O14" s="270"/>
    </row>
    <row r="15" spans="1:15" s="132" customFormat="1" ht="14.25" x14ac:dyDescent="0.2">
      <c r="A15" s="275" t="s">
        <v>1466</v>
      </c>
      <c r="B15" s="268"/>
      <c r="C15" s="268"/>
      <c r="D15" s="268"/>
      <c r="E15" s="276">
        <f>+E14</f>
        <v>5.0000000000000001E-3</v>
      </c>
      <c r="F15" s="268"/>
      <c r="G15" s="270"/>
      <c r="H15" s="271"/>
      <c r="I15" s="275" t="s">
        <v>1466</v>
      </c>
      <c r="J15" s="268"/>
      <c r="K15" s="268"/>
      <c r="L15" s="268"/>
      <c r="M15" s="276">
        <f>+M14</f>
        <v>5.0000000000000001E-3</v>
      </c>
      <c r="N15" s="268"/>
      <c r="O15" s="270"/>
    </row>
    <row r="16" spans="1:15" s="132" customFormat="1" x14ac:dyDescent="0.25">
      <c r="A16" s="273" t="s">
        <v>1469</v>
      </c>
      <c r="B16" s="268"/>
      <c r="C16" s="268"/>
      <c r="D16" s="268"/>
      <c r="E16" s="276"/>
      <c r="F16" s="274">
        <f>+SUM(E17:E26)</f>
        <v>0.83360000000000001</v>
      </c>
      <c r="G16" s="270">
        <f>(G8+G11+G9)*F16</f>
        <v>0</v>
      </c>
      <c r="H16" s="271"/>
      <c r="I16" s="273" t="s">
        <v>1469</v>
      </c>
      <c r="J16" s="268"/>
      <c r="K16" s="268"/>
      <c r="L16" s="268"/>
      <c r="M16" s="276"/>
      <c r="N16" s="274">
        <f>+SUM(M17:M26)</f>
        <v>0.83360000000000001</v>
      </c>
      <c r="O16" s="270">
        <f>(O8+O11+O9)*N16</f>
        <v>0</v>
      </c>
    </row>
    <row r="17" spans="1:16" s="132" customFormat="1" ht="14.25" x14ac:dyDescent="0.2">
      <c r="A17" s="275" t="s">
        <v>1468</v>
      </c>
      <c r="B17" s="268"/>
      <c r="C17" s="268"/>
      <c r="D17" s="268"/>
      <c r="E17" s="276">
        <v>0.1</v>
      </c>
      <c r="F17" s="268"/>
      <c r="G17" s="270"/>
      <c r="H17" s="271"/>
      <c r="I17" s="275" t="s">
        <v>1468</v>
      </c>
      <c r="J17" s="268"/>
      <c r="K17" s="268"/>
      <c r="L17" s="268"/>
      <c r="M17" s="276">
        <v>0.1</v>
      </c>
      <c r="N17" s="268"/>
      <c r="O17" s="270"/>
    </row>
    <row r="18" spans="1:16" s="132" customFormat="1" ht="14.25" x14ac:dyDescent="0.2">
      <c r="A18" s="275" t="s">
        <v>1466</v>
      </c>
      <c r="B18" s="268"/>
      <c r="C18" s="268"/>
      <c r="D18" s="268"/>
      <c r="E18" s="276">
        <v>0.03</v>
      </c>
      <c r="F18" s="268"/>
      <c r="G18" s="270"/>
      <c r="H18" s="271"/>
      <c r="I18" s="275" t="s">
        <v>1466</v>
      </c>
      <c r="J18" s="268"/>
      <c r="K18" s="268"/>
      <c r="L18" s="268"/>
      <c r="M18" s="276">
        <v>0.03</v>
      </c>
      <c r="N18" s="268"/>
      <c r="O18" s="270"/>
    </row>
    <row r="19" spans="1:16" s="132" customFormat="1" ht="14.25" x14ac:dyDescent="0.2">
      <c r="A19" s="275" t="s">
        <v>1465</v>
      </c>
      <c r="B19" s="268"/>
      <c r="C19" s="268"/>
      <c r="D19" s="268"/>
      <c r="E19" s="276">
        <v>3.7100000000000001E-2</v>
      </c>
      <c r="F19" s="268"/>
      <c r="G19" s="270"/>
      <c r="H19" s="271"/>
      <c r="I19" s="275" t="s">
        <v>1465</v>
      </c>
      <c r="J19" s="268"/>
      <c r="K19" s="268"/>
      <c r="L19" s="268"/>
      <c r="M19" s="276">
        <v>3.7100000000000001E-2</v>
      </c>
      <c r="N19" s="268"/>
      <c r="O19" s="270"/>
    </row>
    <row r="20" spans="1:16" s="132" customFormat="1" ht="14.25" x14ac:dyDescent="0.2">
      <c r="A20" s="275" t="s">
        <v>1500</v>
      </c>
      <c r="B20" s="268"/>
      <c r="C20" s="268"/>
      <c r="D20" s="268"/>
      <c r="E20" s="276">
        <f>+IF('HOJA DE TRABAJO'!$J$17="SI",0,IF('HOJA DE TRABAJO'!$J$17="NO",0.0833,))</f>
        <v>8.3299999999999999E-2</v>
      </c>
      <c r="F20" s="268"/>
      <c r="G20" s="270"/>
      <c r="H20" s="271"/>
      <c r="I20" s="275" t="s">
        <v>1500</v>
      </c>
      <c r="J20" s="268"/>
      <c r="K20" s="268"/>
      <c r="L20" s="268"/>
      <c r="M20" s="276">
        <f>+IF('HOJA DE TRABAJO'!$J$17="SI",0,IF('HOJA DE TRABAJO'!$J$17="NO",0.0833,))</f>
        <v>8.3299999999999999E-2</v>
      </c>
      <c r="N20" s="268"/>
      <c r="O20" s="270"/>
    </row>
    <row r="21" spans="1:16" s="132" customFormat="1" ht="14.25" x14ac:dyDescent="0.2">
      <c r="A21" s="275" t="s">
        <v>1463</v>
      </c>
      <c r="B21" s="268"/>
      <c r="C21" s="268"/>
      <c r="D21" s="268"/>
      <c r="E21" s="276">
        <f>+IF('HOJA DE TRABAJO'!$J$17="SI",0,IF('HOJA DE TRABAJO'!$J$17="NO",0.0833,))</f>
        <v>8.3299999999999999E-2</v>
      </c>
      <c r="F21" s="268"/>
      <c r="G21" s="270"/>
      <c r="H21" s="271"/>
      <c r="I21" s="275" t="s">
        <v>1463</v>
      </c>
      <c r="J21" s="268"/>
      <c r="K21" s="268"/>
      <c r="L21" s="268"/>
      <c r="M21" s="276">
        <f>+IF('HOJA DE TRABAJO'!$J$17="SI",0,IF('HOJA DE TRABAJO'!$J$17="NO",0.0833,))</f>
        <v>8.3299999999999999E-2</v>
      </c>
      <c r="N21" s="268"/>
      <c r="O21" s="270"/>
    </row>
    <row r="22" spans="1:16" s="132" customFormat="1" ht="14.25" x14ac:dyDescent="0.2">
      <c r="A22" s="275" t="str">
        <f>+'HOJA DE TRABAJO'!$B$29</f>
        <v xml:space="preserve">Previsión Segundo  Aguinaldo </v>
      </c>
      <c r="B22" s="268"/>
      <c r="C22" s="268"/>
      <c r="D22" s="268"/>
      <c r="E22" s="276">
        <f>+'HOJA DE TRABAJO'!$E$29</f>
        <v>8.3299999999999999E-2</v>
      </c>
      <c r="F22" s="268"/>
      <c r="G22" s="270"/>
      <c r="H22" s="271"/>
      <c r="I22" s="275" t="str">
        <f>+'HOJA DE TRABAJO'!$B$29</f>
        <v xml:space="preserve">Previsión Segundo  Aguinaldo </v>
      </c>
      <c r="J22" s="268"/>
      <c r="K22" s="268"/>
      <c r="L22" s="268"/>
      <c r="M22" s="276">
        <f>+'HOJA DE TRABAJO'!$E$29</f>
        <v>8.3299999999999999E-2</v>
      </c>
      <c r="N22" s="268"/>
      <c r="O22" s="270"/>
    </row>
    <row r="23" spans="1:16" s="132" customFormat="1" ht="14.25" x14ac:dyDescent="0.2">
      <c r="A23" s="275" t="str">
        <f>+'HOJA DE TRABAJO'!$B$30</f>
        <v>Seguro de Accidente</v>
      </c>
      <c r="B23" s="268"/>
      <c r="C23" s="268"/>
      <c r="D23" s="268"/>
      <c r="E23" s="276">
        <f>+'HOJA DE TRABAJO'!$E$30</f>
        <v>0</v>
      </c>
      <c r="F23" s="268"/>
      <c r="G23" s="270"/>
      <c r="H23" s="271"/>
      <c r="I23" s="275" t="str">
        <f>+'HOJA DE TRABAJO'!$B$30</f>
        <v>Seguro de Accidente</v>
      </c>
      <c r="J23" s="268"/>
      <c r="K23" s="268"/>
      <c r="L23" s="268"/>
      <c r="M23" s="276">
        <f>+'HOJA DE TRABAJO'!$E$30</f>
        <v>0</v>
      </c>
      <c r="N23" s="268"/>
      <c r="O23" s="270"/>
    </row>
    <row r="24" spans="1:16" s="132" customFormat="1" ht="14.25" x14ac:dyDescent="0.2">
      <c r="A24" s="275" t="str">
        <f>+'HOJA DE TRABAJO'!$B$31</f>
        <v xml:space="preserve">Vacaciones </v>
      </c>
      <c r="B24" s="268"/>
      <c r="C24" s="268"/>
      <c r="D24" s="268"/>
      <c r="E24" s="276">
        <f>+'HOJA DE TRABAJO'!$E$31</f>
        <v>0</v>
      </c>
      <c r="F24" s="268"/>
      <c r="G24" s="270"/>
      <c r="H24" s="271"/>
      <c r="I24" s="275" t="str">
        <f>+'HOJA DE TRABAJO'!$B$31</f>
        <v xml:space="preserve">Vacaciones </v>
      </c>
      <c r="J24" s="268"/>
      <c r="K24" s="268"/>
      <c r="L24" s="268"/>
      <c r="M24" s="276">
        <f>+'HOJA DE TRABAJO'!$E$31</f>
        <v>0</v>
      </c>
      <c r="N24" s="268"/>
      <c r="O24" s="270"/>
    </row>
    <row r="25" spans="1:16" s="132" customFormat="1" ht="14.25" x14ac:dyDescent="0.2">
      <c r="A25" s="275" t="str">
        <f>+'HOJA DE TRABAJO'!$F$29</f>
        <v xml:space="preserve">Previsicion de Subsidio </v>
      </c>
      <c r="B25" s="268"/>
      <c r="C25" s="268"/>
      <c r="D25" s="268"/>
      <c r="E25" s="276">
        <f>+'HOJA DE TRABAJO'!$L$29</f>
        <v>0.33329999999999999</v>
      </c>
      <c r="F25" s="268"/>
      <c r="G25" s="270"/>
      <c r="H25" s="271"/>
      <c r="I25" s="275" t="str">
        <f>+'HOJA DE TRABAJO'!$F$29</f>
        <v xml:space="preserve">Previsicion de Subsidio </v>
      </c>
      <c r="J25" s="268"/>
      <c r="K25" s="268"/>
      <c r="L25" s="268"/>
      <c r="M25" s="276">
        <f>+'HOJA DE TRABAJO'!$L$29</f>
        <v>0.33329999999999999</v>
      </c>
      <c r="N25" s="268"/>
      <c r="O25" s="270"/>
    </row>
    <row r="26" spans="1:16" s="132" customFormat="1" ht="14.25" x14ac:dyDescent="0.2">
      <c r="A26" s="275" t="str">
        <f>+'HOJA DE TRABAJO'!$F$30</f>
        <v>Previsicion de Desahucio</v>
      </c>
      <c r="B26" s="268"/>
      <c r="C26" s="268"/>
      <c r="D26" s="268"/>
      <c r="E26" s="276">
        <f>+'HOJA DE TRABAJO'!$L$30</f>
        <v>8.3299999999999999E-2</v>
      </c>
      <c r="F26" s="268"/>
      <c r="G26" s="270"/>
      <c r="H26" s="271"/>
      <c r="I26" s="275" t="str">
        <f>+'HOJA DE TRABAJO'!$F$30</f>
        <v>Previsicion de Desahucio</v>
      </c>
      <c r="J26" s="268"/>
      <c r="K26" s="268"/>
      <c r="L26" s="268"/>
      <c r="M26" s="276">
        <f>+'HOJA DE TRABAJO'!$L$30</f>
        <v>8.3299999999999999E-2</v>
      </c>
      <c r="N26" s="268"/>
      <c r="O26" s="270"/>
    </row>
    <row r="27" spans="1:16" s="132" customFormat="1" ht="14.25" x14ac:dyDescent="0.2">
      <c r="A27" s="277" t="s">
        <v>1461</v>
      </c>
      <c r="B27" s="268"/>
      <c r="C27" s="268"/>
      <c r="D27" s="268"/>
      <c r="E27" s="276"/>
      <c r="F27" s="268"/>
      <c r="G27" s="270">
        <f>IF(G4=0,0,(('HOJA DE TRABAJO'!$U$108)/'HOJA DE TRABAJO'!$BA$44))</f>
        <v>0</v>
      </c>
      <c r="H27" s="337"/>
      <c r="I27" s="277" t="s">
        <v>1461</v>
      </c>
      <c r="J27" s="268"/>
      <c r="K27" s="268"/>
      <c r="L27" s="268"/>
      <c r="M27" s="276"/>
      <c r="N27" s="268"/>
      <c r="O27" s="270">
        <f>IF(O4=0,0,(('HOJA DE TRABAJO'!$U$108)/'HOJA DE TRABAJO'!$BA$44))</f>
        <v>0</v>
      </c>
      <c r="P27" s="123"/>
    </row>
    <row r="28" spans="1:16" s="132" customFormat="1" ht="14.25" x14ac:dyDescent="0.2">
      <c r="A28" s="277" t="s">
        <v>1504</v>
      </c>
      <c r="B28" s="268"/>
      <c r="C28" s="268"/>
      <c r="D28" s="268"/>
      <c r="E28" s="274">
        <f>+'HOJA DE TRABAJO'!$H$116*'HOJA DE TRABAJO'!$F$19</f>
        <v>1.6346153846153847E-2</v>
      </c>
      <c r="F28" s="268"/>
      <c r="G28" s="270">
        <f>(SUM(G7:G27)*E28)+IF(G4=0,0,'HOJA DE TRABAJO'!$J$119)</f>
        <v>0</v>
      </c>
      <c r="H28" s="271"/>
      <c r="I28" s="277" t="s">
        <v>1503</v>
      </c>
      <c r="J28" s="268"/>
      <c r="K28" s="268"/>
      <c r="L28" s="268"/>
      <c r="M28" s="274">
        <f>+'HOJA DE TRABAJO'!$H$116*'HOJA DE TRABAJO'!$F$19</f>
        <v>1.6346153846153847E-2</v>
      </c>
      <c r="N28" s="268"/>
      <c r="O28" s="270">
        <f>(SUM(O7:O27)*M28)+IF(O4=0,0,'HOJA DE TRABAJO'!$J$119)</f>
        <v>0</v>
      </c>
    </row>
    <row r="29" spans="1:16" s="132" customFormat="1" ht="14.25" x14ac:dyDescent="0.2">
      <c r="A29" s="278" t="s">
        <v>1460</v>
      </c>
      <c r="B29" s="279"/>
      <c r="C29" s="279"/>
      <c r="D29" s="279"/>
      <c r="E29" s="280">
        <f>+'HOJA 1 aux'!E29</f>
        <v>0.13</v>
      </c>
      <c r="F29" s="279"/>
      <c r="G29" s="281">
        <f>+SUM(G6:G28)*E29</f>
        <v>0</v>
      </c>
      <c r="H29" s="282"/>
      <c r="I29" s="278" t="s">
        <v>1460</v>
      </c>
      <c r="J29" s="279"/>
      <c r="K29" s="279"/>
      <c r="L29" s="279"/>
      <c r="M29" s="280">
        <f>+E29</f>
        <v>0.13</v>
      </c>
      <c r="N29" s="279"/>
      <c r="O29" s="281">
        <f>+SUM(O6:O28)*M29</f>
        <v>0</v>
      </c>
    </row>
    <row r="30" spans="1:16" s="132" customFormat="1" x14ac:dyDescent="0.25">
      <c r="A30" s="283" t="s">
        <v>1459</v>
      </c>
      <c r="B30" s="284"/>
      <c r="C30" s="284"/>
      <c r="D30" s="284"/>
      <c r="E30" s="284"/>
      <c r="F30" s="284"/>
      <c r="G30" s="285">
        <f>+SUM(G7:G29)</f>
        <v>0</v>
      </c>
      <c r="H30" s="286"/>
      <c r="I30" s="283" t="s">
        <v>1459</v>
      </c>
      <c r="J30" s="284"/>
      <c r="K30" s="284"/>
      <c r="L30" s="284"/>
      <c r="M30" s="284"/>
      <c r="N30" s="284"/>
      <c r="O30" s="285">
        <f>+SUM(O7:O29)</f>
        <v>0</v>
      </c>
    </row>
    <row r="31" spans="1:16" s="132" customFormat="1" ht="14.25" x14ac:dyDescent="0.2">
      <c r="A31" s="277" t="s">
        <v>1458</v>
      </c>
      <c r="B31" s="268"/>
      <c r="C31" s="268"/>
      <c r="D31" s="268"/>
      <c r="E31" s="274">
        <f>+B32+B33</f>
        <v>0.16</v>
      </c>
      <c r="F31" s="268"/>
      <c r="G31" s="270">
        <f>+G34-G30</f>
        <v>0</v>
      </c>
      <c r="H31" s="271"/>
      <c r="I31" s="277" t="s">
        <v>1458</v>
      </c>
      <c r="J31" s="268"/>
      <c r="K31" s="268"/>
      <c r="L31" s="268"/>
      <c r="M31" s="274">
        <f>+J32+J33</f>
        <v>0.16</v>
      </c>
      <c r="N31" s="268"/>
      <c r="O31" s="270">
        <f>+O34-O30</f>
        <v>0</v>
      </c>
    </row>
    <row r="32" spans="1:16" s="132" customFormat="1" ht="14.25" x14ac:dyDescent="0.2">
      <c r="A32" s="287" t="s">
        <v>1457</v>
      </c>
      <c r="B32" s="288">
        <v>0.13</v>
      </c>
      <c r="C32" s="268"/>
      <c r="D32" s="268"/>
      <c r="E32" s="276"/>
      <c r="F32" s="268"/>
      <c r="G32" s="270"/>
      <c r="H32" s="271"/>
      <c r="I32" s="287" t="s">
        <v>1457</v>
      </c>
      <c r="J32" s="288">
        <v>0.13</v>
      </c>
      <c r="K32" s="268"/>
      <c r="L32" s="268"/>
      <c r="M32" s="276"/>
      <c r="N32" s="268"/>
      <c r="O32" s="270"/>
    </row>
    <row r="33" spans="1:15" s="132" customFormat="1" ht="14.25" x14ac:dyDescent="0.2">
      <c r="A33" s="289" t="s">
        <v>1456</v>
      </c>
      <c r="B33" s="290">
        <v>0.03</v>
      </c>
      <c r="C33" s="279"/>
      <c r="D33" s="279"/>
      <c r="E33" s="291"/>
      <c r="F33" s="279"/>
      <c r="G33" s="281"/>
      <c r="H33" s="282"/>
      <c r="I33" s="289" t="s">
        <v>1456</v>
      </c>
      <c r="J33" s="290">
        <v>0.03</v>
      </c>
      <c r="K33" s="279"/>
      <c r="L33" s="279"/>
      <c r="M33" s="291"/>
      <c r="N33" s="279"/>
      <c r="O33" s="281"/>
    </row>
    <row r="34" spans="1:15" s="132" customFormat="1" x14ac:dyDescent="0.25">
      <c r="A34" s="283" t="s">
        <v>1519</v>
      </c>
      <c r="B34" s="284"/>
      <c r="C34" s="284"/>
      <c r="D34" s="284"/>
      <c r="E34" s="284"/>
      <c r="F34" s="284"/>
      <c r="G34" s="285">
        <f>IFERROR((G30/0.84),0)</f>
        <v>0</v>
      </c>
      <c r="H34" s="286"/>
      <c r="I34" s="283" t="s">
        <v>1519</v>
      </c>
      <c r="J34" s="284"/>
      <c r="K34" s="284"/>
      <c r="L34" s="284"/>
      <c r="M34" s="284"/>
      <c r="N34" s="284"/>
      <c r="O34" s="285">
        <f>IFERROR((O30/0.84),0)</f>
        <v>0</v>
      </c>
    </row>
    <row r="35" spans="1:15" s="132" customFormat="1" ht="14.25" x14ac:dyDescent="0.2">
      <c r="H35" s="133"/>
    </row>
    <row r="36" spans="1:15" s="132" customFormat="1" ht="14.25" x14ac:dyDescent="0.2">
      <c r="H36" s="133"/>
    </row>
    <row r="37" spans="1:15" s="132" customFormat="1" outlineLevel="1" x14ac:dyDescent="0.25">
      <c r="A37" s="292" t="s">
        <v>1477</v>
      </c>
      <c r="B37" s="292"/>
      <c r="C37" s="292"/>
      <c r="D37" s="292"/>
      <c r="E37" s="268"/>
      <c r="F37" s="292" t="s">
        <v>11</v>
      </c>
      <c r="G37" s="292">
        <f>+'HOJA DE TRABAJO'!AB40</f>
        <v>0</v>
      </c>
      <c r="H37" s="293"/>
      <c r="I37" s="292" t="s">
        <v>1477</v>
      </c>
      <c r="J37" s="292"/>
      <c r="K37" s="292"/>
      <c r="L37" s="292"/>
      <c r="M37" s="268"/>
      <c r="N37" s="292" t="s">
        <v>11</v>
      </c>
      <c r="O37" s="292">
        <f>+'HOJA DE TRABAJO'!AB41</f>
        <v>0</v>
      </c>
    </row>
    <row r="38" spans="1:15" s="132" customFormat="1" outlineLevel="1" x14ac:dyDescent="0.25">
      <c r="A38" s="294"/>
      <c r="B38" s="294" t="s">
        <v>1476</v>
      </c>
      <c r="C38" s="588">
        <f>+'HOJA DE TRABAJO'!C40:E40</f>
        <v>0</v>
      </c>
      <c r="D38" s="588"/>
      <c r="E38" s="588"/>
      <c r="F38" s="294"/>
      <c r="G38" s="294"/>
      <c r="H38" s="269"/>
      <c r="I38" s="294"/>
      <c r="J38" s="294" t="s">
        <v>1476</v>
      </c>
      <c r="K38" s="588">
        <f>+'HOJA DE TRABAJO'!C41</f>
        <v>0</v>
      </c>
      <c r="L38" s="588"/>
      <c r="M38" s="588"/>
      <c r="N38" s="294"/>
      <c r="O38" s="294"/>
    </row>
    <row r="39" spans="1:15" s="132" customFormat="1" ht="14.25" outlineLevel="1" x14ac:dyDescent="0.2">
      <c r="A39" s="587" t="s">
        <v>1478</v>
      </c>
      <c r="B39" s="587"/>
      <c r="C39" s="587"/>
      <c r="D39" s="587"/>
      <c r="E39" s="587"/>
      <c r="F39" s="587"/>
      <c r="G39" s="587"/>
      <c r="H39" s="133"/>
      <c r="I39" s="587" t="s">
        <v>1478</v>
      </c>
      <c r="J39" s="587"/>
      <c r="K39" s="587"/>
      <c r="L39" s="587"/>
      <c r="M39" s="587"/>
      <c r="N39" s="587"/>
      <c r="O39" s="587"/>
    </row>
    <row r="40" spans="1:15" s="132" customFormat="1" ht="14.25" outlineLevel="1" x14ac:dyDescent="0.2">
      <c r="A40" s="268" t="s">
        <v>1475</v>
      </c>
      <c r="B40" s="268"/>
      <c r="C40" s="268"/>
      <c r="D40" s="268"/>
      <c r="E40" s="268"/>
      <c r="F40" s="268"/>
      <c r="G40" s="270">
        <f>+'HOJA DE TRABAJO'!AC40</f>
        <v>0</v>
      </c>
      <c r="H40" s="271"/>
      <c r="I40" s="268" t="str">
        <f>A40</f>
        <v>Costo líquido por Supervisor  (líquido pagable Bs.)</v>
      </c>
      <c r="J40" s="268"/>
      <c r="K40" s="268"/>
      <c r="L40" s="268"/>
      <c r="M40" s="268"/>
      <c r="N40" s="268"/>
      <c r="O40" s="270">
        <f>+'HOJA DE TRABAJO'!AC41</f>
        <v>0</v>
      </c>
    </row>
    <row r="41" spans="1:15" s="132" customFormat="1" ht="14.25" outlineLevel="1" x14ac:dyDescent="0.2">
      <c r="A41" s="268" t="s">
        <v>1588</v>
      </c>
      <c r="B41" s="268"/>
      <c r="C41" s="268"/>
      <c r="D41" s="268"/>
      <c r="E41" s="268"/>
      <c r="F41" s="268"/>
      <c r="G41" s="270">
        <f>IF(G40=0,0,SUM('HOJA DE TRABAJO'!$R$29:$R$31))</f>
        <v>0</v>
      </c>
      <c r="H41" s="271"/>
      <c r="I41" s="268" t="s">
        <v>1588</v>
      </c>
      <c r="J41" s="268"/>
      <c r="K41" s="268"/>
      <c r="L41" s="268"/>
      <c r="M41" s="268"/>
      <c r="N41" s="268"/>
      <c r="O41" s="270">
        <f>IF(O40=0,0,SUM('HOJA DE TRABAJO'!$R$29:$R$31))</f>
        <v>0</v>
      </c>
    </row>
    <row r="42" spans="1:15" s="132" customFormat="1" ht="14.25" outlineLevel="1" x14ac:dyDescent="0.2">
      <c r="A42" s="272" t="s">
        <v>1474</v>
      </c>
      <c r="B42" s="268"/>
      <c r="C42" s="268"/>
      <c r="D42" s="268"/>
      <c r="E42" s="268"/>
      <c r="F42" s="268"/>
      <c r="G42" s="270"/>
      <c r="H42" s="271"/>
      <c r="I42" s="272" t="s">
        <v>1474</v>
      </c>
      <c r="J42" s="268"/>
      <c r="K42" s="268"/>
      <c r="L42" s="268"/>
      <c r="M42" s="268"/>
      <c r="N42" s="268"/>
      <c r="O42" s="270"/>
    </row>
    <row r="43" spans="1:15" s="132" customFormat="1" outlineLevel="1" x14ac:dyDescent="0.25">
      <c r="A43" s="273" t="s">
        <v>1473</v>
      </c>
      <c r="B43" s="268"/>
      <c r="C43" s="268"/>
      <c r="D43" s="268"/>
      <c r="E43" s="268"/>
      <c r="F43" s="274">
        <f>+SUM(E44:E47)</f>
        <v>0.12710000000000002</v>
      </c>
      <c r="G43" s="270">
        <f>+(G40*100/87.29-G40)+(F43*G41)</f>
        <v>0</v>
      </c>
      <c r="H43" s="271"/>
      <c r="I43" s="273" t="s">
        <v>1473</v>
      </c>
      <c r="J43" s="268"/>
      <c r="K43" s="268"/>
      <c r="L43" s="268"/>
      <c r="M43" s="268"/>
      <c r="N43" s="274">
        <f>+SUM(M44:M47)</f>
        <v>0.12710000000000002</v>
      </c>
      <c r="O43" s="270">
        <f>+(O40*100/87.29-O40)+(N43*O41)</f>
        <v>0</v>
      </c>
    </row>
    <row r="44" spans="1:15" s="132" customFormat="1" ht="14.25" outlineLevel="1" x14ac:dyDescent="0.2">
      <c r="A44" s="275" t="s">
        <v>1472</v>
      </c>
      <c r="B44" s="268"/>
      <c r="C44" s="268"/>
      <c r="D44" s="268"/>
      <c r="E44" s="276">
        <v>0.1</v>
      </c>
      <c r="F44" s="268"/>
      <c r="G44" s="270"/>
      <c r="H44" s="271"/>
      <c r="I44" s="275" t="s">
        <v>1472</v>
      </c>
      <c r="J44" s="268"/>
      <c r="K44" s="268"/>
      <c r="L44" s="268"/>
      <c r="M44" s="276">
        <v>0.1</v>
      </c>
      <c r="N44" s="268"/>
      <c r="O44" s="270"/>
    </row>
    <row r="45" spans="1:15" s="132" customFormat="1" ht="14.25" outlineLevel="1" x14ac:dyDescent="0.2">
      <c r="A45" s="275" t="s">
        <v>1471</v>
      </c>
      <c r="B45" s="268"/>
      <c r="C45" s="268"/>
      <c r="D45" s="268"/>
      <c r="E45" s="276">
        <v>1.7100000000000001E-2</v>
      </c>
      <c r="F45" s="268"/>
      <c r="G45" s="270"/>
      <c r="H45" s="271"/>
      <c r="I45" s="275" t="s">
        <v>1471</v>
      </c>
      <c r="J45" s="268"/>
      <c r="K45" s="268"/>
      <c r="L45" s="268"/>
      <c r="M45" s="276">
        <v>1.7100000000000001E-2</v>
      </c>
      <c r="N45" s="268"/>
      <c r="O45" s="270"/>
    </row>
    <row r="46" spans="1:15" s="132" customFormat="1" ht="14.25" outlineLevel="1" x14ac:dyDescent="0.2">
      <c r="A46" s="275" t="s">
        <v>1470</v>
      </c>
      <c r="B46" s="268"/>
      <c r="C46" s="268"/>
      <c r="D46" s="268"/>
      <c r="E46" s="276">
        <v>5.0000000000000001E-3</v>
      </c>
      <c r="F46" s="268"/>
      <c r="G46" s="270"/>
      <c r="H46" s="271"/>
      <c r="I46" s="275" t="s">
        <v>1470</v>
      </c>
      <c r="J46" s="268"/>
      <c r="K46" s="268"/>
      <c r="L46" s="268"/>
      <c r="M46" s="276">
        <v>5.0000000000000001E-3</v>
      </c>
      <c r="N46" s="268"/>
      <c r="O46" s="270"/>
    </row>
    <row r="47" spans="1:15" s="132" customFormat="1" ht="14.25" outlineLevel="1" x14ac:dyDescent="0.2">
      <c r="A47" s="275" t="s">
        <v>1466</v>
      </c>
      <c r="B47" s="268"/>
      <c r="C47" s="268"/>
      <c r="D47" s="268"/>
      <c r="E47" s="276">
        <f>+E46</f>
        <v>5.0000000000000001E-3</v>
      </c>
      <c r="F47" s="268"/>
      <c r="G47" s="270"/>
      <c r="H47" s="271"/>
      <c r="I47" s="275" t="s">
        <v>1466</v>
      </c>
      <c r="J47" s="268"/>
      <c r="K47" s="268"/>
      <c r="L47" s="268"/>
      <c r="M47" s="276">
        <f>+M46</f>
        <v>5.0000000000000001E-3</v>
      </c>
      <c r="N47" s="268"/>
      <c r="O47" s="270"/>
    </row>
    <row r="48" spans="1:15" s="132" customFormat="1" outlineLevel="1" x14ac:dyDescent="0.25">
      <c r="A48" s="273" t="s">
        <v>1469</v>
      </c>
      <c r="B48" s="268"/>
      <c r="C48" s="268"/>
      <c r="D48" s="268"/>
      <c r="E48" s="276"/>
      <c r="F48" s="274">
        <f>+SUM(E49:E59)</f>
        <v>0.83360000000000001</v>
      </c>
      <c r="G48" s="270">
        <f>(G40+G43+G41)*F48</f>
        <v>0</v>
      </c>
      <c r="H48" s="271"/>
      <c r="I48" s="273" t="s">
        <v>1469</v>
      </c>
      <c r="J48" s="268"/>
      <c r="K48" s="268"/>
      <c r="L48" s="268"/>
      <c r="M48" s="276"/>
      <c r="N48" s="274">
        <f>+SUM(M49:M58)</f>
        <v>0.75029999999999997</v>
      </c>
      <c r="O48" s="270">
        <f>(O40+O43+O41)*N48</f>
        <v>0</v>
      </c>
    </row>
    <row r="49" spans="1:16" s="132" customFormat="1" ht="14.25" outlineLevel="1" x14ac:dyDescent="0.2">
      <c r="A49" s="275" t="s">
        <v>1468</v>
      </c>
      <c r="B49" s="268"/>
      <c r="C49" s="268"/>
      <c r="D49" s="268"/>
      <c r="E49" s="276">
        <v>0.1</v>
      </c>
      <c r="F49" s="268"/>
      <c r="G49" s="270"/>
      <c r="H49" s="271"/>
      <c r="I49" s="275" t="s">
        <v>1468</v>
      </c>
      <c r="J49" s="268"/>
      <c r="K49" s="268"/>
      <c r="L49" s="268"/>
      <c r="M49" s="276">
        <v>0.1</v>
      </c>
      <c r="N49" s="268"/>
      <c r="O49" s="270"/>
    </row>
    <row r="50" spans="1:16" s="132" customFormat="1" ht="14.25" outlineLevel="1" x14ac:dyDescent="0.2">
      <c r="A50" s="275" t="s">
        <v>1467</v>
      </c>
      <c r="B50" s="268"/>
      <c r="C50" s="268"/>
      <c r="D50" s="268"/>
      <c r="E50" s="276"/>
      <c r="F50" s="268"/>
      <c r="G50" s="270"/>
      <c r="H50" s="271"/>
      <c r="I50" s="275" t="s">
        <v>1467</v>
      </c>
      <c r="J50" s="268"/>
      <c r="K50" s="268"/>
      <c r="L50" s="268"/>
      <c r="M50" s="276"/>
      <c r="N50" s="268"/>
      <c r="O50" s="270"/>
    </row>
    <row r="51" spans="1:16" s="132" customFormat="1" ht="14.25" outlineLevel="1" x14ac:dyDescent="0.2">
      <c r="A51" s="275" t="s">
        <v>1466</v>
      </c>
      <c r="B51" s="268"/>
      <c r="C51" s="268"/>
      <c r="D51" s="268"/>
      <c r="E51" s="276">
        <v>0.03</v>
      </c>
      <c r="F51" s="268"/>
      <c r="G51" s="270"/>
      <c r="H51" s="271"/>
      <c r="I51" s="275" t="s">
        <v>1466</v>
      </c>
      <c r="J51" s="268"/>
      <c r="K51" s="268"/>
      <c r="L51" s="268"/>
      <c r="M51" s="276">
        <v>0.03</v>
      </c>
      <c r="N51" s="268"/>
      <c r="O51" s="270"/>
    </row>
    <row r="52" spans="1:16" s="132" customFormat="1" ht="14.25" outlineLevel="1" x14ac:dyDescent="0.2">
      <c r="A52" s="275" t="s">
        <v>1465</v>
      </c>
      <c r="B52" s="268"/>
      <c r="C52" s="268"/>
      <c r="D52" s="268"/>
      <c r="E52" s="276">
        <v>3.7100000000000001E-2</v>
      </c>
      <c r="F52" s="268"/>
      <c r="G52" s="270"/>
      <c r="H52" s="271"/>
      <c r="I52" s="275" t="s">
        <v>1465</v>
      </c>
      <c r="J52" s="268"/>
      <c r="K52" s="268"/>
      <c r="L52" s="268"/>
      <c r="M52" s="276">
        <v>3.7100000000000001E-2</v>
      </c>
      <c r="N52" s="268"/>
      <c r="O52" s="270"/>
    </row>
    <row r="53" spans="1:16" s="132" customFormat="1" ht="14.25" outlineLevel="1" x14ac:dyDescent="0.2">
      <c r="A53" s="275" t="s">
        <v>1500</v>
      </c>
      <c r="B53" s="268"/>
      <c r="C53" s="268"/>
      <c r="D53" s="268"/>
      <c r="E53" s="276">
        <f>+IF('HOJA DE TRABAJO'!$J$17="SI",0,IF('HOJA DE TRABAJO'!$J$17="NO",0.0833,))</f>
        <v>8.3299999999999999E-2</v>
      </c>
      <c r="F53" s="268"/>
      <c r="G53" s="270"/>
      <c r="H53" s="271"/>
      <c r="I53" s="275" t="s">
        <v>1500</v>
      </c>
      <c r="J53" s="268"/>
      <c r="K53" s="268"/>
      <c r="L53" s="268"/>
      <c r="M53" s="276">
        <f>+IF('HOJA DE TRABAJO'!$J$17="SI",0,IF('HOJA DE TRABAJO'!$J$17="NO",0.0833,))</f>
        <v>8.3299999999999999E-2</v>
      </c>
      <c r="N53" s="268"/>
      <c r="O53" s="270"/>
    </row>
    <row r="54" spans="1:16" s="132" customFormat="1" ht="14.25" outlineLevel="1" x14ac:dyDescent="0.2">
      <c r="A54" s="275" t="s">
        <v>1463</v>
      </c>
      <c r="B54" s="268"/>
      <c r="C54" s="268"/>
      <c r="D54" s="268"/>
      <c r="E54" s="276">
        <f>+IF('HOJA DE TRABAJO'!$J$17="SI",0,IF('HOJA DE TRABAJO'!$J$17="NO",0.0833,))</f>
        <v>8.3299999999999999E-2</v>
      </c>
      <c r="F54" s="268"/>
      <c r="G54" s="270"/>
      <c r="H54" s="271"/>
      <c r="I54" s="275" t="s">
        <v>1463</v>
      </c>
      <c r="J54" s="268"/>
      <c r="K54" s="268"/>
      <c r="L54" s="268"/>
      <c r="M54" s="276">
        <f>+IF('HOJA DE TRABAJO'!$J$17="SI",0,IF('HOJA DE TRABAJO'!$J$17="NO",0.0833,))</f>
        <v>8.3299999999999999E-2</v>
      </c>
      <c r="N54" s="268"/>
      <c r="O54" s="270"/>
    </row>
    <row r="55" spans="1:16" s="132" customFormat="1" ht="14.25" outlineLevel="1" x14ac:dyDescent="0.2">
      <c r="A55" s="275" t="str">
        <f>+'HOJA DE TRABAJO'!$B$29</f>
        <v xml:space="preserve">Previsión Segundo  Aguinaldo </v>
      </c>
      <c r="B55" s="268"/>
      <c r="C55" s="268"/>
      <c r="D55" s="268"/>
      <c r="E55" s="276">
        <f>+'HOJA DE TRABAJO'!$E$29</f>
        <v>8.3299999999999999E-2</v>
      </c>
      <c r="F55" s="268"/>
      <c r="G55" s="270"/>
      <c r="H55" s="271"/>
      <c r="I55" s="275" t="str">
        <f>+'HOJA DE TRABAJO'!$B$29</f>
        <v xml:space="preserve">Previsión Segundo  Aguinaldo </v>
      </c>
      <c r="J55" s="268"/>
      <c r="K55" s="268"/>
      <c r="L55" s="268"/>
      <c r="M55" s="276">
        <f>+'HOJA DE TRABAJO'!$E$29</f>
        <v>8.3299999999999999E-2</v>
      </c>
      <c r="N55" s="268"/>
      <c r="O55" s="270"/>
    </row>
    <row r="56" spans="1:16" s="132" customFormat="1" ht="14.25" outlineLevel="1" x14ac:dyDescent="0.2">
      <c r="A56" s="275" t="str">
        <f>+'HOJA DE TRABAJO'!$B$30</f>
        <v>Seguro de Accidente</v>
      </c>
      <c r="B56" s="268"/>
      <c r="C56" s="268"/>
      <c r="D56" s="268"/>
      <c r="E56" s="276">
        <f>+'HOJA DE TRABAJO'!$E$30</f>
        <v>0</v>
      </c>
      <c r="F56" s="268"/>
      <c r="G56" s="270"/>
      <c r="H56" s="271"/>
      <c r="I56" s="275" t="str">
        <f>+'HOJA DE TRABAJO'!$B$30</f>
        <v>Seguro de Accidente</v>
      </c>
      <c r="J56" s="268"/>
      <c r="K56" s="268"/>
      <c r="L56" s="268"/>
      <c r="M56" s="276">
        <f>+'HOJA DE TRABAJO'!$E$30</f>
        <v>0</v>
      </c>
      <c r="N56" s="268"/>
      <c r="O56" s="270"/>
    </row>
    <row r="57" spans="1:16" s="132" customFormat="1" ht="14.25" outlineLevel="1" x14ac:dyDescent="0.2">
      <c r="A57" s="275" t="str">
        <f>+'HOJA DE TRABAJO'!$B$31</f>
        <v xml:space="preserve">Vacaciones </v>
      </c>
      <c r="B57" s="268"/>
      <c r="C57" s="268"/>
      <c r="D57" s="268"/>
      <c r="E57" s="276">
        <f>+'HOJA DE TRABAJO'!$E$31</f>
        <v>0</v>
      </c>
      <c r="F57" s="268"/>
      <c r="G57" s="270"/>
      <c r="H57" s="271"/>
      <c r="I57" s="275" t="str">
        <f>+'HOJA DE TRABAJO'!$B$31</f>
        <v xml:space="preserve">Vacaciones </v>
      </c>
      <c r="J57" s="268"/>
      <c r="K57" s="268"/>
      <c r="L57" s="268"/>
      <c r="M57" s="276">
        <f>+'HOJA DE TRABAJO'!$E$31</f>
        <v>0</v>
      </c>
      <c r="N57" s="268"/>
      <c r="O57" s="270"/>
    </row>
    <row r="58" spans="1:16" s="132" customFormat="1" ht="14.25" outlineLevel="1" x14ac:dyDescent="0.2">
      <c r="A58" s="275" t="str">
        <f>+'HOJA DE TRABAJO'!$F$29</f>
        <v xml:space="preserve">Previsicion de Subsidio </v>
      </c>
      <c r="B58" s="268"/>
      <c r="C58" s="268"/>
      <c r="D58" s="268"/>
      <c r="E58" s="276">
        <f>+'HOJA DE TRABAJO'!$L$29</f>
        <v>0.33329999999999999</v>
      </c>
      <c r="F58" s="268"/>
      <c r="G58" s="270"/>
      <c r="H58" s="271"/>
      <c r="I58" s="275" t="str">
        <f>+'HOJA DE TRABAJO'!$F$29</f>
        <v xml:space="preserve">Previsicion de Subsidio </v>
      </c>
      <c r="J58" s="268"/>
      <c r="K58" s="268"/>
      <c r="L58" s="268"/>
      <c r="M58" s="276">
        <f>+'HOJA DE TRABAJO'!$L$29</f>
        <v>0.33329999999999999</v>
      </c>
      <c r="N58" s="268"/>
      <c r="O58" s="270"/>
    </row>
    <row r="59" spans="1:16" s="132" customFormat="1" ht="14.25" outlineLevel="1" x14ac:dyDescent="0.2">
      <c r="A59" s="275" t="str">
        <f>+'HOJA DE TRABAJO'!$F$30</f>
        <v>Previsicion de Desahucio</v>
      </c>
      <c r="B59" s="268"/>
      <c r="C59" s="268"/>
      <c r="D59" s="268"/>
      <c r="E59" s="276">
        <f>+'HOJA DE TRABAJO'!$L$30</f>
        <v>8.3299999999999999E-2</v>
      </c>
      <c r="F59" s="268"/>
      <c r="G59" s="270"/>
      <c r="H59" s="271"/>
      <c r="I59" s="275" t="str">
        <f>+'HOJA DE TRABAJO'!$F$30</f>
        <v>Previsicion de Desahucio</v>
      </c>
      <c r="J59" s="268"/>
      <c r="K59" s="268"/>
      <c r="L59" s="268"/>
      <c r="M59" s="276">
        <f>+'HOJA DE TRABAJO'!$L$30</f>
        <v>8.3299999999999999E-2</v>
      </c>
      <c r="N59" s="268"/>
      <c r="O59" s="270"/>
    </row>
    <row r="60" spans="1:16" s="132" customFormat="1" ht="14.25" outlineLevel="1" x14ac:dyDescent="0.2">
      <c r="A60" s="277" t="s">
        <v>1461</v>
      </c>
      <c r="B60" s="268"/>
      <c r="C60" s="268"/>
      <c r="D60" s="268"/>
      <c r="E60" s="276"/>
      <c r="F60" s="268"/>
      <c r="G60" s="270">
        <f>IF(G37=0,0,(('HOJA DE TRABAJO'!$U$108)/'HOJA DE TRABAJO'!$BA$44))</f>
        <v>0</v>
      </c>
      <c r="H60" s="337"/>
      <c r="I60" s="277" t="s">
        <v>1461</v>
      </c>
      <c r="J60" s="268"/>
      <c r="K60" s="268"/>
      <c r="L60" s="268"/>
      <c r="M60" s="276"/>
      <c r="N60" s="268"/>
      <c r="O60" s="270">
        <f>IF(O37=0,0,(('HOJA DE TRABAJO'!$U$108)/'HOJA DE TRABAJO'!$BA$44))</f>
        <v>0</v>
      </c>
      <c r="P60" s="123"/>
    </row>
    <row r="61" spans="1:16" s="132" customFormat="1" ht="14.25" outlineLevel="1" x14ac:dyDescent="0.2">
      <c r="A61" s="277" t="s">
        <v>1504</v>
      </c>
      <c r="B61" s="268"/>
      <c r="C61" s="268"/>
      <c r="D61" s="268"/>
      <c r="E61" s="274">
        <f>+'HOJA DE TRABAJO'!$H$116*'HOJA DE TRABAJO'!$F$19</f>
        <v>1.6346153846153847E-2</v>
      </c>
      <c r="F61" s="268"/>
      <c r="G61" s="270">
        <f>(SUM(G40:G60)*E61)+IF(G37=0,0,'HOJA DE TRABAJO'!$J$119)</f>
        <v>0</v>
      </c>
      <c r="H61" s="271"/>
      <c r="I61" s="277" t="s">
        <v>1503</v>
      </c>
      <c r="J61" s="268"/>
      <c r="K61" s="268"/>
      <c r="L61" s="268"/>
      <c r="M61" s="274">
        <f>+'HOJA DE TRABAJO'!$H$116*'HOJA DE TRABAJO'!$F$19</f>
        <v>1.6346153846153847E-2</v>
      </c>
      <c r="N61" s="268"/>
      <c r="O61" s="270">
        <f>(SUM(O40:O60)*M61)+IF(O37=0,0,'HOJA DE TRABAJO'!$J$119)</f>
        <v>0</v>
      </c>
    </row>
    <row r="62" spans="1:16" s="132" customFormat="1" ht="14.25" outlineLevel="1" x14ac:dyDescent="0.2">
      <c r="A62" s="278" t="s">
        <v>1460</v>
      </c>
      <c r="B62" s="279"/>
      <c r="C62" s="279"/>
      <c r="D62" s="279"/>
      <c r="E62" s="280">
        <f>+E29</f>
        <v>0.13</v>
      </c>
      <c r="F62" s="279"/>
      <c r="G62" s="281">
        <f>+SUM(G39:G61)*E62</f>
        <v>0</v>
      </c>
      <c r="H62" s="282"/>
      <c r="I62" s="278" t="s">
        <v>1460</v>
      </c>
      <c r="J62" s="279"/>
      <c r="K62" s="279"/>
      <c r="L62" s="279"/>
      <c r="M62" s="280">
        <f>+E62</f>
        <v>0.13</v>
      </c>
      <c r="N62" s="279"/>
      <c r="O62" s="281">
        <f>+SUM(O39:O61)*M62</f>
        <v>0</v>
      </c>
    </row>
    <row r="63" spans="1:16" s="132" customFormat="1" outlineLevel="1" x14ac:dyDescent="0.25">
      <c r="A63" s="283" t="s">
        <v>1459</v>
      </c>
      <c r="B63" s="284"/>
      <c r="C63" s="284"/>
      <c r="D63" s="284"/>
      <c r="E63" s="284"/>
      <c r="F63" s="284"/>
      <c r="G63" s="285">
        <f>+SUM(G40:G62)</f>
        <v>0</v>
      </c>
      <c r="H63" s="286"/>
      <c r="I63" s="283" t="s">
        <v>1459</v>
      </c>
      <c r="J63" s="284"/>
      <c r="K63" s="284"/>
      <c r="L63" s="284"/>
      <c r="M63" s="284"/>
      <c r="N63" s="284"/>
      <c r="O63" s="285">
        <f>+SUM(O40:O62)</f>
        <v>0</v>
      </c>
    </row>
    <row r="64" spans="1:16" s="132" customFormat="1" ht="14.25" outlineLevel="1" x14ac:dyDescent="0.2">
      <c r="A64" s="277" t="s">
        <v>1458</v>
      </c>
      <c r="B64" s="268"/>
      <c r="C64" s="268"/>
      <c r="D64" s="268"/>
      <c r="E64" s="274">
        <f>+B65+B66</f>
        <v>0.16</v>
      </c>
      <c r="F64" s="268"/>
      <c r="G64" s="270">
        <f>+G67-G63</f>
        <v>0</v>
      </c>
      <c r="H64" s="271"/>
      <c r="I64" s="277" t="s">
        <v>1458</v>
      </c>
      <c r="J64" s="268"/>
      <c r="K64" s="268"/>
      <c r="L64" s="268"/>
      <c r="M64" s="274">
        <f>+J65+J66</f>
        <v>0.16</v>
      </c>
      <c r="N64" s="268"/>
      <c r="O64" s="270">
        <f>+O67-O63</f>
        <v>0</v>
      </c>
    </row>
    <row r="65" spans="1:15" s="132" customFormat="1" ht="14.25" outlineLevel="1" x14ac:dyDescent="0.2">
      <c r="A65" s="287" t="s">
        <v>1457</v>
      </c>
      <c r="B65" s="288">
        <v>0.13</v>
      </c>
      <c r="C65" s="268"/>
      <c r="D65" s="268"/>
      <c r="E65" s="276"/>
      <c r="F65" s="268"/>
      <c r="G65" s="270"/>
      <c r="H65" s="271"/>
      <c r="I65" s="287" t="s">
        <v>1457</v>
      </c>
      <c r="J65" s="288">
        <v>0.13</v>
      </c>
      <c r="K65" s="268"/>
      <c r="L65" s="268"/>
      <c r="M65" s="276"/>
      <c r="N65" s="268"/>
      <c r="O65" s="270"/>
    </row>
    <row r="66" spans="1:15" s="132" customFormat="1" ht="14.25" outlineLevel="1" x14ac:dyDescent="0.2">
      <c r="A66" s="289" t="s">
        <v>1456</v>
      </c>
      <c r="B66" s="290">
        <v>0.03</v>
      </c>
      <c r="C66" s="279"/>
      <c r="D66" s="279"/>
      <c r="E66" s="291"/>
      <c r="F66" s="279"/>
      <c r="G66" s="281"/>
      <c r="H66" s="282"/>
      <c r="I66" s="289" t="s">
        <v>1456</v>
      </c>
      <c r="J66" s="290">
        <v>0.03</v>
      </c>
      <c r="K66" s="279"/>
      <c r="L66" s="279"/>
      <c r="M66" s="291"/>
      <c r="N66" s="279"/>
      <c r="O66" s="281"/>
    </row>
    <row r="67" spans="1:15" s="132" customFormat="1" outlineLevel="1" x14ac:dyDescent="0.25">
      <c r="A67" s="283" t="s">
        <v>1519</v>
      </c>
      <c r="B67" s="284"/>
      <c r="C67" s="284"/>
      <c r="D67" s="284"/>
      <c r="E67" s="284"/>
      <c r="F67" s="284"/>
      <c r="G67" s="285">
        <f>IFERROR((G63/0.84),0)</f>
        <v>0</v>
      </c>
      <c r="H67" s="286"/>
      <c r="I67" s="283" t="s">
        <v>1519</v>
      </c>
      <c r="J67" s="284"/>
      <c r="K67" s="284"/>
      <c r="L67" s="284"/>
      <c r="M67" s="284"/>
      <c r="N67" s="284"/>
      <c r="O67" s="285">
        <f>IFERROR((O63/0.84),0)</f>
        <v>0</v>
      </c>
    </row>
    <row r="68" spans="1:15" s="132" customFormat="1" ht="14.25" outlineLevel="1" x14ac:dyDescent="0.2">
      <c r="H68" s="133"/>
    </row>
    <row r="69" spans="1:15" s="132" customFormat="1" ht="14.25" outlineLevel="1" x14ac:dyDescent="0.2">
      <c r="H69" s="133"/>
    </row>
    <row r="70" spans="1:15" s="132" customFormat="1" ht="14.25" outlineLevel="1" x14ac:dyDescent="0.2">
      <c r="H70" s="133"/>
    </row>
    <row r="71" spans="1:15" s="132" customFormat="1" outlineLevel="2" x14ac:dyDescent="0.25">
      <c r="A71" s="292" t="s">
        <v>1477</v>
      </c>
      <c r="B71" s="292"/>
      <c r="C71" s="292"/>
      <c r="D71" s="292"/>
      <c r="E71" s="268"/>
      <c r="F71" s="292" t="s">
        <v>11</v>
      </c>
      <c r="G71" s="292">
        <f>+'HOJA DE TRABAJO'!AB42</f>
        <v>0</v>
      </c>
      <c r="H71" s="133"/>
      <c r="I71" s="292" t="s">
        <v>1477</v>
      </c>
      <c r="J71" s="292"/>
      <c r="K71" s="292"/>
      <c r="L71" s="292"/>
      <c r="M71" s="268"/>
      <c r="N71" s="292" t="s">
        <v>11</v>
      </c>
      <c r="O71" s="292">
        <f>+'HOJA DE TRABAJO'!AB43</f>
        <v>0</v>
      </c>
    </row>
    <row r="72" spans="1:15" s="132" customFormat="1" outlineLevel="2" x14ac:dyDescent="0.25">
      <c r="A72" s="294"/>
      <c r="B72" s="294" t="s">
        <v>1476</v>
      </c>
      <c r="C72" s="588">
        <f>+'HOJA DE TRABAJO'!C42:E42</f>
        <v>0</v>
      </c>
      <c r="D72" s="588"/>
      <c r="E72" s="588"/>
      <c r="F72" s="294"/>
      <c r="G72" s="294"/>
      <c r="H72" s="133"/>
      <c r="I72" s="294"/>
      <c r="J72" s="294" t="s">
        <v>1476</v>
      </c>
      <c r="K72" s="588">
        <f>+'HOJA DE TRABAJO'!C43</f>
        <v>0</v>
      </c>
      <c r="L72" s="588"/>
      <c r="M72" s="588"/>
      <c r="N72" s="294"/>
      <c r="O72" s="294"/>
    </row>
    <row r="73" spans="1:15" s="132" customFormat="1" ht="14.25" outlineLevel="2" x14ac:dyDescent="0.2">
      <c r="A73" s="587" t="s">
        <v>1478</v>
      </c>
      <c r="B73" s="587"/>
      <c r="C73" s="587"/>
      <c r="D73" s="587"/>
      <c r="E73" s="587"/>
      <c r="F73" s="587"/>
      <c r="G73" s="587"/>
      <c r="H73" s="133"/>
      <c r="I73" s="587" t="s">
        <v>1478</v>
      </c>
      <c r="J73" s="587"/>
      <c r="K73" s="587"/>
      <c r="L73" s="587"/>
      <c r="M73" s="587"/>
      <c r="N73" s="587"/>
      <c r="O73" s="587"/>
    </row>
    <row r="74" spans="1:15" s="132" customFormat="1" ht="14.25" outlineLevel="2" x14ac:dyDescent="0.2">
      <c r="A74" s="268"/>
      <c r="B74" s="268"/>
      <c r="C74" s="268"/>
      <c r="D74" s="268"/>
      <c r="E74" s="268"/>
      <c r="F74" s="268"/>
      <c r="G74" s="268"/>
      <c r="H74" s="133"/>
      <c r="I74" s="268"/>
      <c r="J74" s="268"/>
      <c r="K74" s="268"/>
      <c r="L74" s="268"/>
      <c r="M74" s="268"/>
      <c r="N74" s="268"/>
      <c r="O74" s="268"/>
    </row>
    <row r="75" spans="1:15" s="132" customFormat="1" ht="14.25" outlineLevel="2" x14ac:dyDescent="0.2">
      <c r="A75" s="268" t="s">
        <v>1475</v>
      </c>
      <c r="B75" s="268"/>
      <c r="C75" s="268"/>
      <c r="D75" s="268"/>
      <c r="E75" s="268"/>
      <c r="F75" s="268"/>
      <c r="G75" s="270">
        <f>+'HOJA DE TRABAJO'!AC42</f>
        <v>0</v>
      </c>
      <c r="H75" s="133"/>
      <c r="I75" s="268" t="s">
        <v>1475</v>
      </c>
      <c r="J75" s="268"/>
      <c r="K75" s="268"/>
      <c r="L75" s="268"/>
      <c r="M75" s="268"/>
      <c r="N75" s="268"/>
      <c r="O75" s="270">
        <f>+'HOJA DE TRABAJO'!AC43</f>
        <v>0</v>
      </c>
    </row>
    <row r="76" spans="1:15" s="132" customFormat="1" ht="14.25" outlineLevel="2" x14ac:dyDescent="0.2">
      <c r="A76" s="268" t="s">
        <v>1588</v>
      </c>
      <c r="B76" s="268"/>
      <c r="C76" s="268"/>
      <c r="D76" s="268"/>
      <c r="E76" s="268"/>
      <c r="F76" s="268"/>
      <c r="G76" s="270">
        <f>IF(G75=0,0,SUM('HOJA DE TRABAJO'!$R$29:$R$31))</f>
        <v>0</v>
      </c>
      <c r="H76" s="271"/>
      <c r="I76" s="268" t="s">
        <v>1588</v>
      </c>
      <c r="J76" s="268"/>
      <c r="K76" s="268"/>
      <c r="L76" s="268"/>
      <c r="M76" s="268"/>
      <c r="N76" s="268"/>
      <c r="O76" s="270">
        <f>IF(O75=0,0,SUM('HOJA DE TRABAJO'!$R$29:$R$31))</f>
        <v>0</v>
      </c>
    </row>
    <row r="77" spans="1:15" s="132" customFormat="1" ht="14.25" outlineLevel="2" x14ac:dyDescent="0.2">
      <c r="A77" s="272" t="s">
        <v>1474</v>
      </c>
      <c r="B77" s="268"/>
      <c r="C77" s="268"/>
      <c r="D77" s="268"/>
      <c r="E77" s="268"/>
      <c r="F77" s="268"/>
      <c r="G77" s="270"/>
      <c r="H77" s="133"/>
      <c r="I77" s="272" t="s">
        <v>1474</v>
      </c>
      <c r="J77" s="268"/>
      <c r="K77" s="268"/>
      <c r="L77" s="268"/>
      <c r="M77" s="268"/>
      <c r="N77" s="268"/>
      <c r="O77" s="270"/>
    </row>
    <row r="78" spans="1:15" s="132" customFormat="1" outlineLevel="2" x14ac:dyDescent="0.25">
      <c r="A78" s="273" t="s">
        <v>1473</v>
      </c>
      <c r="B78" s="268"/>
      <c r="C78" s="268"/>
      <c r="D78" s="268"/>
      <c r="E78" s="268"/>
      <c r="F78" s="274">
        <f>+SUM(E79:E82)</f>
        <v>0.12710000000000002</v>
      </c>
      <c r="G78" s="270">
        <f>+(G75*100/87.29-G75)+(G76*F78)</f>
        <v>0</v>
      </c>
      <c r="H78" s="271"/>
      <c r="I78" s="273" t="s">
        <v>1473</v>
      </c>
      <c r="J78" s="268"/>
      <c r="K78" s="268"/>
      <c r="L78" s="268"/>
      <c r="M78" s="268"/>
      <c r="N78" s="274">
        <f>+SUM(M79:M82)</f>
        <v>0.12710000000000002</v>
      </c>
      <c r="O78" s="270">
        <f>+(O75*100/87.29-O75)+(N78*O76)</f>
        <v>0</v>
      </c>
    </row>
    <row r="79" spans="1:15" s="132" customFormat="1" ht="14.25" outlineLevel="2" x14ac:dyDescent="0.2">
      <c r="A79" s="275" t="s">
        <v>1472</v>
      </c>
      <c r="B79" s="268"/>
      <c r="C79" s="268"/>
      <c r="D79" s="268"/>
      <c r="E79" s="276">
        <v>0.1</v>
      </c>
      <c r="F79" s="268"/>
      <c r="G79" s="270"/>
      <c r="H79" s="133"/>
      <c r="I79" s="275" t="s">
        <v>1472</v>
      </c>
      <c r="J79" s="268"/>
      <c r="K79" s="268"/>
      <c r="L79" s="268"/>
      <c r="M79" s="276">
        <v>0.1</v>
      </c>
      <c r="N79" s="268"/>
      <c r="O79" s="270"/>
    </row>
    <row r="80" spans="1:15" s="132" customFormat="1" ht="14.25" outlineLevel="2" x14ac:dyDescent="0.2">
      <c r="A80" s="275" t="s">
        <v>1471</v>
      </c>
      <c r="B80" s="268"/>
      <c r="C80" s="268"/>
      <c r="D80" s="268"/>
      <c r="E80" s="276">
        <v>1.7100000000000001E-2</v>
      </c>
      <c r="F80" s="268"/>
      <c r="G80" s="270"/>
      <c r="H80" s="133"/>
      <c r="I80" s="275" t="s">
        <v>1471</v>
      </c>
      <c r="J80" s="268"/>
      <c r="K80" s="268"/>
      <c r="L80" s="268"/>
      <c r="M80" s="276">
        <v>1.7100000000000001E-2</v>
      </c>
      <c r="N80" s="268"/>
      <c r="O80" s="270"/>
    </row>
    <row r="81" spans="1:15" s="132" customFormat="1" ht="14.25" outlineLevel="2" x14ac:dyDescent="0.2">
      <c r="A81" s="275" t="s">
        <v>1470</v>
      </c>
      <c r="B81" s="268"/>
      <c r="C81" s="268"/>
      <c r="D81" s="268"/>
      <c r="E81" s="276">
        <v>5.0000000000000001E-3</v>
      </c>
      <c r="F81" s="268"/>
      <c r="G81" s="270"/>
      <c r="H81" s="133"/>
      <c r="I81" s="275" t="s">
        <v>1470</v>
      </c>
      <c r="J81" s="268"/>
      <c r="K81" s="268"/>
      <c r="L81" s="268"/>
      <c r="M81" s="276">
        <v>5.0000000000000001E-3</v>
      </c>
      <c r="N81" s="268"/>
      <c r="O81" s="270"/>
    </row>
    <row r="82" spans="1:15" s="132" customFormat="1" ht="14.25" outlineLevel="2" x14ac:dyDescent="0.2">
      <c r="A82" s="275" t="s">
        <v>1466</v>
      </c>
      <c r="B82" s="268"/>
      <c r="C82" s="268"/>
      <c r="D82" s="268"/>
      <c r="E82" s="276">
        <f>+E81</f>
        <v>5.0000000000000001E-3</v>
      </c>
      <c r="F82" s="268"/>
      <c r="G82" s="270"/>
      <c r="H82" s="133"/>
      <c r="I82" s="275" t="s">
        <v>1466</v>
      </c>
      <c r="J82" s="268"/>
      <c r="K82" s="268"/>
      <c r="L82" s="268"/>
      <c r="M82" s="276">
        <f>+M81</f>
        <v>5.0000000000000001E-3</v>
      </c>
      <c r="N82" s="268"/>
      <c r="O82" s="270"/>
    </row>
    <row r="83" spans="1:15" s="132" customFormat="1" outlineLevel="2" x14ac:dyDescent="0.25">
      <c r="A83" s="273" t="s">
        <v>1469</v>
      </c>
      <c r="B83" s="268"/>
      <c r="C83" s="268"/>
      <c r="D83" s="268"/>
      <c r="E83" s="276"/>
      <c r="F83" s="274">
        <f>+SUM(E84:E93)</f>
        <v>0.83360000000000001</v>
      </c>
      <c r="G83" s="270">
        <f>(G75+G78+G76)*F83</f>
        <v>0</v>
      </c>
      <c r="H83" s="271"/>
      <c r="I83" s="273" t="s">
        <v>1469</v>
      </c>
      <c r="J83" s="268"/>
      <c r="K83" s="268"/>
      <c r="L83" s="268"/>
      <c r="M83" s="276"/>
      <c r="N83" s="274">
        <f>+SUM(M84:M93)</f>
        <v>0.83360000000000001</v>
      </c>
      <c r="O83" s="270">
        <f>(O75+O78+O76)*N83</f>
        <v>0</v>
      </c>
    </row>
    <row r="84" spans="1:15" s="132" customFormat="1" ht="14.25" outlineLevel="2" x14ac:dyDescent="0.2">
      <c r="A84" s="275" t="s">
        <v>1468</v>
      </c>
      <c r="B84" s="268"/>
      <c r="C84" s="268"/>
      <c r="D84" s="268"/>
      <c r="E84" s="276">
        <v>0.1</v>
      </c>
      <c r="F84" s="268"/>
      <c r="G84" s="270"/>
      <c r="H84" s="133"/>
      <c r="I84" s="275" t="s">
        <v>1468</v>
      </c>
      <c r="J84" s="268"/>
      <c r="K84" s="268"/>
      <c r="L84" s="268"/>
      <c r="M84" s="276">
        <v>0.1</v>
      </c>
      <c r="N84" s="268"/>
      <c r="O84" s="270"/>
    </row>
    <row r="85" spans="1:15" s="132" customFormat="1" ht="14.25" outlineLevel="2" x14ac:dyDescent="0.2">
      <c r="A85" s="275" t="s">
        <v>1466</v>
      </c>
      <c r="B85" s="268"/>
      <c r="C85" s="268"/>
      <c r="D85" s="268"/>
      <c r="E85" s="276">
        <v>0.03</v>
      </c>
      <c r="F85" s="268"/>
      <c r="G85" s="270"/>
      <c r="H85" s="133"/>
      <c r="I85" s="275" t="s">
        <v>1466</v>
      </c>
      <c r="J85" s="268"/>
      <c r="K85" s="268"/>
      <c r="L85" s="268"/>
      <c r="M85" s="276">
        <v>0.03</v>
      </c>
      <c r="N85" s="268"/>
      <c r="O85" s="270"/>
    </row>
    <row r="86" spans="1:15" s="132" customFormat="1" ht="14.25" outlineLevel="2" x14ac:dyDescent="0.2">
      <c r="A86" s="275" t="s">
        <v>1465</v>
      </c>
      <c r="B86" s="268"/>
      <c r="C86" s="268"/>
      <c r="D86" s="268"/>
      <c r="E86" s="276">
        <v>3.7100000000000001E-2</v>
      </c>
      <c r="F86" s="268"/>
      <c r="G86" s="270"/>
      <c r="H86" s="133"/>
      <c r="I86" s="275" t="s">
        <v>1465</v>
      </c>
      <c r="J86" s="268"/>
      <c r="K86" s="268"/>
      <c r="L86" s="268"/>
      <c r="M86" s="276">
        <v>3.7100000000000001E-2</v>
      </c>
      <c r="N86" s="268"/>
      <c r="O86" s="270"/>
    </row>
    <row r="87" spans="1:15" s="132" customFormat="1" ht="14.25" outlineLevel="2" x14ac:dyDescent="0.2">
      <c r="A87" s="275" t="s">
        <v>1500</v>
      </c>
      <c r="B87" s="268"/>
      <c r="C87" s="268"/>
      <c r="D87" s="268"/>
      <c r="E87" s="276">
        <f>+IF('HOJA DE TRABAJO'!$J$17="SI",0,IF('HOJA DE TRABAJO'!$J$17="NO",0.0833,))</f>
        <v>8.3299999999999999E-2</v>
      </c>
      <c r="F87" s="268"/>
      <c r="G87" s="270"/>
      <c r="H87" s="133"/>
      <c r="I87" s="275" t="s">
        <v>1500</v>
      </c>
      <c r="J87" s="268"/>
      <c r="K87" s="268"/>
      <c r="L87" s="268"/>
      <c r="M87" s="276">
        <f>+IF('HOJA DE TRABAJO'!$J$17="SI",0,IF('HOJA DE TRABAJO'!$J$17="NO",0.0833,))</f>
        <v>8.3299999999999999E-2</v>
      </c>
      <c r="N87" s="268"/>
      <c r="O87" s="270"/>
    </row>
    <row r="88" spans="1:15" s="132" customFormat="1" ht="14.25" outlineLevel="2" x14ac:dyDescent="0.2">
      <c r="A88" s="275" t="s">
        <v>1463</v>
      </c>
      <c r="B88" s="268"/>
      <c r="C88" s="268"/>
      <c r="D88" s="268"/>
      <c r="E88" s="276">
        <f>+IF('HOJA DE TRABAJO'!$J$17="SI",0,IF('HOJA DE TRABAJO'!$J$17="NO",0.0833,))</f>
        <v>8.3299999999999999E-2</v>
      </c>
      <c r="F88" s="268"/>
      <c r="G88" s="270"/>
      <c r="H88" s="133"/>
      <c r="I88" s="275" t="s">
        <v>1463</v>
      </c>
      <c r="J88" s="268"/>
      <c r="K88" s="268"/>
      <c r="L88" s="268"/>
      <c r="M88" s="276">
        <f>+IF('HOJA DE TRABAJO'!$J$17="SI",0,IF('HOJA DE TRABAJO'!$J$17="NO",0.0833,))</f>
        <v>8.3299999999999999E-2</v>
      </c>
      <c r="N88" s="268"/>
      <c r="O88" s="270"/>
    </row>
    <row r="89" spans="1:15" s="132" customFormat="1" ht="14.25" outlineLevel="2" x14ac:dyDescent="0.2">
      <c r="A89" s="275" t="str">
        <f>+'HOJA DE TRABAJO'!$B$29</f>
        <v xml:space="preserve">Previsión Segundo  Aguinaldo </v>
      </c>
      <c r="B89" s="268"/>
      <c r="C89" s="268"/>
      <c r="D89" s="268"/>
      <c r="E89" s="276">
        <f>+'HOJA DE TRABAJO'!$E$29</f>
        <v>8.3299999999999999E-2</v>
      </c>
      <c r="F89" s="268"/>
      <c r="G89" s="270"/>
      <c r="H89" s="133"/>
      <c r="I89" s="275" t="str">
        <f>+'HOJA DE TRABAJO'!$B$29</f>
        <v xml:space="preserve">Previsión Segundo  Aguinaldo </v>
      </c>
      <c r="J89" s="268"/>
      <c r="K89" s="268"/>
      <c r="L89" s="268"/>
      <c r="M89" s="276">
        <f>+'HOJA DE TRABAJO'!$E$29</f>
        <v>8.3299999999999999E-2</v>
      </c>
      <c r="N89" s="268"/>
      <c r="O89" s="270"/>
    </row>
    <row r="90" spans="1:15" s="132" customFormat="1" ht="14.25" outlineLevel="2" x14ac:dyDescent="0.2">
      <c r="A90" s="275" t="str">
        <f>+'HOJA DE TRABAJO'!$B$30</f>
        <v>Seguro de Accidente</v>
      </c>
      <c r="B90" s="268"/>
      <c r="C90" s="268"/>
      <c r="D90" s="268"/>
      <c r="E90" s="276">
        <f>+'HOJA DE TRABAJO'!$E$30</f>
        <v>0</v>
      </c>
      <c r="F90" s="268"/>
      <c r="G90" s="270"/>
      <c r="H90" s="133"/>
      <c r="I90" s="275" t="str">
        <f>+'HOJA DE TRABAJO'!$B$30</f>
        <v>Seguro de Accidente</v>
      </c>
      <c r="J90" s="268"/>
      <c r="K90" s="268"/>
      <c r="L90" s="268"/>
      <c r="M90" s="276">
        <f>+'HOJA DE TRABAJO'!$E$30</f>
        <v>0</v>
      </c>
      <c r="N90" s="268"/>
      <c r="O90" s="270"/>
    </row>
    <row r="91" spans="1:15" s="132" customFormat="1" ht="14.25" outlineLevel="2" x14ac:dyDescent="0.2">
      <c r="A91" s="275" t="str">
        <f>+'HOJA DE TRABAJO'!$B$31</f>
        <v xml:space="preserve">Vacaciones </v>
      </c>
      <c r="B91" s="268"/>
      <c r="C91" s="268"/>
      <c r="D91" s="268"/>
      <c r="E91" s="276">
        <f>+'HOJA DE TRABAJO'!$E$31</f>
        <v>0</v>
      </c>
      <c r="F91" s="268"/>
      <c r="G91" s="270"/>
      <c r="H91" s="133"/>
      <c r="I91" s="275" t="str">
        <f>+'HOJA DE TRABAJO'!$B$31</f>
        <v xml:space="preserve">Vacaciones </v>
      </c>
      <c r="J91" s="268"/>
      <c r="K91" s="268"/>
      <c r="L91" s="268"/>
      <c r="M91" s="276">
        <f>+'HOJA DE TRABAJO'!$E$31</f>
        <v>0</v>
      </c>
      <c r="N91" s="268"/>
      <c r="O91" s="270"/>
    </row>
    <row r="92" spans="1:15" s="132" customFormat="1" ht="14.25" outlineLevel="2" x14ac:dyDescent="0.2">
      <c r="A92" s="275" t="str">
        <f>+'HOJA DE TRABAJO'!$F$29</f>
        <v xml:space="preserve">Previsicion de Subsidio </v>
      </c>
      <c r="B92" s="268"/>
      <c r="C92" s="268"/>
      <c r="D92" s="268"/>
      <c r="E92" s="276">
        <f>+'HOJA DE TRABAJO'!$L$29</f>
        <v>0.33329999999999999</v>
      </c>
      <c r="F92" s="268"/>
      <c r="G92" s="270"/>
      <c r="H92" s="133"/>
      <c r="I92" s="275" t="str">
        <f>+'HOJA DE TRABAJO'!$F$29</f>
        <v xml:space="preserve">Previsicion de Subsidio </v>
      </c>
      <c r="J92" s="268"/>
      <c r="K92" s="268"/>
      <c r="L92" s="268"/>
      <c r="M92" s="276">
        <f>+'HOJA DE TRABAJO'!$L$29</f>
        <v>0.33329999999999999</v>
      </c>
      <c r="N92" s="268"/>
      <c r="O92" s="270"/>
    </row>
    <row r="93" spans="1:15" s="132" customFormat="1" ht="14.25" outlineLevel="2" x14ac:dyDescent="0.2">
      <c r="A93" s="275" t="str">
        <f>+'HOJA DE TRABAJO'!$F$30</f>
        <v>Previsicion de Desahucio</v>
      </c>
      <c r="B93" s="268"/>
      <c r="C93" s="268"/>
      <c r="D93" s="268"/>
      <c r="E93" s="276">
        <f>+'HOJA DE TRABAJO'!$L$30</f>
        <v>8.3299999999999999E-2</v>
      </c>
      <c r="F93" s="268"/>
      <c r="G93" s="270"/>
      <c r="H93" s="133"/>
      <c r="I93" s="275" t="str">
        <f>+'HOJA DE TRABAJO'!$F$30</f>
        <v>Previsicion de Desahucio</v>
      </c>
      <c r="J93" s="268"/>
      <c r="K93" s="268"/>
      <c r="L93" s="268"/>
      <c r="M93" s="276">
        <f>+'HOJA DE TRABAJO'!$L$30</f>
        <v>8.3299999999999999E-2</v>
      </c>
      <c r="N93" s="268"/>
      <c r="O93" s="270"/>
    </row>
    <row r="94" spans="1:15" s="132" customFormat="1" ht="14.25" outlineLevel="2" x14ac:dyDescent="0.2">
      <c r="A94" s="277" t="s">
        <v>1461</v>
      </c>
      <c r="B94" s="268"/>
      <c r="C94" s="268"/>
      <c r="D94" s="268"/>
      <c r="E94" s="276"/>
      <c r="F94" s="268"/>
      <c r="G94" s="270">
        <f>IF(G71=0,0,(('HOJA DE TRABAJO'!$U$108)/'HOJA DE TRABAJO'!$BA$44))</f>
        <v>0</v>
      </c>
      <c r="H94" s="337"/>
      <c r="I94" s="277" t="s">
        <v>1461</v>
      </c>
      <c r="J94" s="268"/>
      <c r="K94" s="268"/>
      <c r="L94" s="268"/>
      <c r="M94" s="276"/>
      <c r="N94" s="268"/>
      <c r="O94" s="270">
        <f>IF(O71=0,0,(('HOJA DE TRABAJO'!$U$108)/'HOJA DE TRABAJO'!$BA$44))</f>
        <v>0</v>
      </c>
    </row>
    <row r="95" spans="1:15" s="132" customFormat="1" ht="14.25" outlineLevel="2" x14ac:dyDescent="0.2">
      <c r="A95" s="277" t="s">
        <v>1504</v>
      </c>
      <c r="B95" s="268"/>
      <c r="C95" s="268"/>
      <c r="D95" s="268"/>
      <c r="E95" s="274">
        <f>+'HOJA DE TRABAJO'!$H$116*'HOJA DE TRABAJO'!$F$19</f>
        <v>1.6346153846153847E-2</v>
      </c>
      <c r="F95" s="268"/>
      <c r="G95" s="270">
        <f>(SUM(G74:G94)*E95)+IF(G71=0,0,'HOJA DE TRABAJO'!$J$119)</f>
        <v>0</v>
      </c>
      <c r="H95" s="271"/>
      <c r="I95" s="277" t="s">
        <v>1503</v>
      </c>
      <c r="J95" s="268"/>
      <c r="K95" s="268"/>
      <c r="L95" s="268"/>
      <c r="M95" s="274">
        <f>+'HOJA DE TRABAJO'!$H$116*'HOJA DE TRABAJO'!$F$19</f>
        <v>1.6346153846153847E-2</v>
      </c>
      <c r="N95" s="268"/>
      <c r="O95" s="270">
        <f>(SUM(O74:O94)*M95)+IF(O71=0,0,'HOJA DE TRABAJO'!$J$119)</f>
        <v>0</v>
      </c>
    </row>
    <row r="96" spans="1:15" s="132" customFormat="1" ht="14.25" outlineLevel="2" x14ac:dyDescent="0.2">
      <c r="A96" s="278" t="s">
        <v>1460</v>
      </c>
      <c r="B96" s="279"/>
      <c r="C96" s="279"/>
      <c r="D96" s="279"/>
      <c r="E96" s="280">
        <f>+E62</f>
        <v>0.13</v>
      </c>
      <c r="F96" s="279"/>
      <c r="G96" s="281">
        <f>+SUM(G73:G95)*E96</f>
        <v>0</v>
      </c>
      <c r="H96" s="133"/>
      <c r="I96" s="278" t="s">
        <v>1460</v>
      </c>
      <c r="J96" s="279"/>
      <c r="K96" s="279"/>
      <c r="L96" s="279"/>
      <c r="M96" s="280">
        <f>+E62</f>
        <v>0.13</v>
      </c>
      <c r="N96" s="279"/>
      <c r="O96" s="281">
        <f>+SUM(O73:O95)*M96</f>
        <v>0</v>
      </c>
    </row>
    <row r="97" spans="1:15" s="132" customFormat="1" outlineLevel="2" x14ac:dyDescent="0.25">
      <c r="A97" s="283" t="s">
        <v>1459</v>
      </c>
      <c r="B97" s="284"/>
      <c r="C97" s="284"/>
      <c r="D97" s="284"/>
      <c r="E97" s="284"/>
      <c r="F97" s="284"/>
      <c r="G97" s="285">
        <f>+SUM(G74:G96)</f>
        <v>0</v>
      </c>
      <c r="H97" s="133"/>
      <c r="I97" s="283" t="s">
        <v>1459</v>
      </c>
      <c r="J97" s="284"/>
      <c r="K97" s="284"/>
      <c r="L97" s="284"/>
      <c r="M97" s="284"/>
      <c r="N97" s="284"/>
      <c r="O97" s="285">
        <f>+SUM(O74:O96)</f>
        <v>0</v>
      </c>
    </row>
    <row r="98" spans="1:15" s="132" customFormat="1" ht="14.25" outlineLevel="2" x14ac:dyDescent="0.2">
      <c r="A98" s="277" t="s">
        <v>1458</v>
      </c>
      <c r="B98" s="268"/>
      <c r="C98" s="268"/>
      <c r="D98" s="268"/>
      <c r="E98" s="274">
        <f>+B99+B100</f>
        <v>0.16</v>
      </c>
      <c r="F98" s="268"/>
      <c r="G98" s="270">
        <f>+G101-G97</f>
        <v>0</v>
      </c>
      <c r="H98" s="133"/>
      <c r="I98" s="277" t="s">
        <v>1458</v>
      </c>
      <c r="J98" s="268"/>
      <c r="K98" s="268"/>
      <c r="L98" s="268"/>
      <c r="M98" s="274">
        <f>+J99+J100</f>
        <v>0.16</v>
      </c>
      <c r="N98" s="268"/>
      <c r="O98" s="270">
        <f>+O101-O97</f>
        <v>0</v>
      </c>
    </row>
    <row r="99" spans="1:15" s="132" customFormat="1" ht="14.25" outlineLevel="2" x14ac:dyDescent="0.2">
      <c r="A99" s="287" t="s">
        <v>1457</v>
      </c>
      <c r="B99" s="288">
        <v>0.13</v>
      </c>
      <c r="C99" s="268"/>
      <c r="D99" s="268"/>
      <c r="E99" s="276"/>
      <c r="F99" s="268"/>
      <c r="G99" s="270"/>
      <c r="H99" s="133"/>
      <c r="I99" s="287" t="s">
        <v>1457</v>
      </c>
      <c r="J99" s="288">
        <v>0.13</v>
      </c>
      <c r="K99" s="268"/>
      <c r="L99" s="268"/>
      <c r="M99" s="276"/>
      <c r="N99" s="268"/>
      <c r="O99" s="270"/>
    </row>
    <row r="100" spans="1:15" s="132" customFormat="1" ht="14.25" outlineLevel="2" x14ac:dyDescent="0.2">
      <c r="A100" s="289" t="s">
        <v>1456</v>
      </c>
      <c r="B100" s="290">
        <v>0.03</v>
      </c>
      <c r="C100" s="279"/>
      <c r="D100" s="279"/>
      <c r="E100" s="291"/>
      <c r="F100" s="279"/>
      <c r="G100" s="281"/>
      <c r="H100" s="133"/>
      <c r="I100" s="289" t="s">
        <v>1456</v>
      </c>
      <c r="J100" s="290">
        <v>0.03</v>
      </c>
      <c r="K100" s="279"/>
      <c r="L100" s="279"/>
      <c r="M100" s="291"/>
      <c r="N100" s="279"/>
      <c r="O100" s="281"/>
    </row>
    <row r="101" spans="1:15" s="132" customFormat="1" outlineLevel="2" x14ac:dyDescent="0.25">
      <c r="A101" s="283" t="s">
        <v>1519</v>
      </c>
      <c r="B101" s="284"/>
      <c r="C101" s="284"/>
      <c r="D101" s="284"/>
      <c r="E101" s="284"/>
      <c r="F101" s="284"/>
      <c r="G101" s="285">
        <f>IFERROR((G97/0.84),0)</f>
        <v>0</v>
      </c>
      <c r="H101" s="133"/>
      <c r="I101" s="283" t="s">
        <v>1519</v>
      </c>
      <c r="J101" s="284"/>
      <c r="K101" s="284"/>
      <c r="L101" s="284"/>
      <c r="M101" s="284"/>
      <c r="N101" s="284"/>
      <c r="O101" s="285">
        <f>IFERROR((O97/0.84),0)</f>
        <v>0</v>
      </c>
    </row>
    <row r="102" spans="1:15" s="132" customFormat="1" ht="14.25" x14ac:dyDescent="0.2"/>
    <row r="104" spans="1:15" x14ac:dyDescent="0.25">
      <c r="H104" s="84"/>
    </row>
    <row r="131" spans="33:33" x14ac:dyDescent="0.25">
      <c r="AG131">
        <f>+('HOJA 5 aux'!G37*'HOJA 5 aux'!G62)+('HOJA 5 aux'!O4*'HOJA 5 aux'!O29)+('HOJA 5 aux'!G37*'HOJA 5 aux'!G62)+('HOJA 5 aux'!O37*'HOJA 5 aux'!O62)+('HOJA 5 aux'!G71*'HOJA 5 aux'!G96)</f>
        <v>0</v>
      </c>
    </row>
  </sheetData>
  <customSheetViews>
    <customSheetView guid="{D98A1565-B6EB-4D88-8DB8-23EB436D0197}" topLeftCell="A87">
      <selection activeCell="H100" sqref="H100"/>
      <pageMargins left="0.7" right="0.7" top="0.75" bottom="0.75" header="0.3" footer="0.3"/>
    </customSheetView>
  </customSheetViews>
  <mergeCells count="13">
    <mergeCell ref="A73:G73"/>
    <mergeCell ref="I73:O73"/>
    <mergeCell ref="C5:E5"/>
    <mergeCell ref="K5:M5"/>
    <mergeCell ref="A6:G6"/>
    <mergeCell ref="I6:O6"/>
    <mergeCell ref="C38:E38"/>
    <mergeCell ref="K38:M38"/>
    <mergeCell ref="E2:K2"/>
    <mergeCell ref="A39:G39"/>
    <mergeCell ref="I39:O39"/>
    <mergeCell ref="C72:E72"/>
    <mergeCell ref="K72:M72"/>
  </mergeCells>
  <pageMargins left="0.7" right="0.7" top="0.75" bottom="0.75" header="0.3" footer="0.3"/>
  <pageSetup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2:O102"/>
  <sheetViews>
    <sheetView topLeftCell="A76" zoomScale="60" zoomScaleNormal="60" workbookViewId="0">
      <selection activeCell="M87" sqref="M87:M88"/>
    </sheetView>
  </sheetViews>
  <sheetFormatPr baseColWidth="10" defaultRowHeight="15" outlineLevelRow="2" x14ac:dyDescent="0.25"/>
  <sheetData>
    <row r="2" spans="1:15" ht="28.5" x14ac:dyDescent="0.45">
      <c r="E2" s="586" t="str">
        <f>+'HOJA DE TRABAJO'!AG36</f>
        <v>SUCRE</v>
      </c>
      <c r="F2" s="586"/>
      <c r="G2" s="586"/>
      <c r="H2" s="586"/>
      <c r="I2" s="586"/>
      <c r="J2" s="586"/>
      <c r="K2" s="586"/>
    </row>
    <row r="4" spans="1:15" s="132" customFormat="1" x14ac:dyDescent="0.25">
      <c r="A4" s="292" t="s">
        <v>1477</v>
      </c>
      <c r="B4" s="292"/>
      <c r="C4" s="292"/>
      <c r="D4" s="292"/>
      <c r="E4" s="268"/>
      <c r="F4" s="292" t="s">
        <v>11</v>
      </c>
      <c r="G4" s="292">
        <f>+'HOJA DE TRABAJO'!AG38</f>
        <v>0</v>
      </c>
      <c r="H4" s="293"/>
      <c r="I4" s="292" t="s">
        <v>1477</v>
      </c>
      <c r="J4" s="292"/>
      <c r="K4" s="292"/>
      <c r="L4" s="292"/>
      <c r="M4" s="292"/>
      <c r="N4" s="292" t="s">
        <v>11</v>
      </c>
      <c r="O4" s="292">
        <f>+'HOJA DE TRABAJO'!AG39</f>
        <v>0</v>
      </c>
    </row>
    <row r="5" spans="1:15" s="132" customFormat="1" x14ac:dyDescent="0.25">
      <c r="A5" s="294"/>
      <c r="B5" s="294" t="s">
        <v>1476</v>
      </c>
      <c r="C5" s="588" t="str">
        <f>+'HOJA DE TRABAJO'!C38:E38</f>
        <v>VENDEDOR INSTITUCIONAL</v>
      </c>
      <c r="D5" s="588"/>
      <c r="E5" s="588"/>
      <c r="F5" s="294"/>
      <c r="G5" s="294"/>
      <c r="H5" s="293"/>
      <c r="I5" s="294"/>
      <c r="J5" s="294" t="s">
        <v>1476</v>
      </c>
      <c r="K5" s="588">
        <f>+'HOJA DE TRABAJO'!C39</f>
        <v>0</v>
      </c>
      <c r="L5" s="588"/>
      <c r="M5" s="588"/>
      <c r="N5" s="294"/>
      <c r="O5" s="294"/>
    </row>
    <row r="6" spans="1:15" s="132" customFormat="1" ht="14.25" x14ac:dyDescent="0.2">
      <c r="A6" s="587" t="s">
        <v>1478</v>
      </c>
      <c r="B6" s="587"/>
      <c r="C6" s="587"/>
      <c r="D6" s="587"/>
      <c r="E6" s="587"/>
      <c r="F6" s="587"/>
      <c r="G6" s="587"/>
      <c r="H6" s="269"/>
      <c r="I6" s="587" t="s">
        <v>1478</v>
      </c>
      <c r="J6" s="587"/>
      <c r="K6" s="587"/>
      <c r="L6" s="587"/>
      <c r="M6" s="587"/>
      <c r="N6" s="587"/>
      <c r="O6" s="587"/>
    </row>
    <row r="7" spans="1:15" s="132" customFormat="1" ht="14.25" x14ac:dyDescent="0.2">
      <c r="A7" s="268"/>
      <c r="B7" s="268"/>
      <c r="C7" s="268"/>
      <c r="D7" s="268"/>
      <c r="E7" s="268"/>
      <c r="F7" s="268"/>
      <c r="G7" s="268"/>
      <c r="H7" s="133"/>
      <c r="I7" s="268"/>
      <c r="J7" s="268"/>
      <c r="K7" s="268"/>
      <c r="L7" s="268"/>
      <c r="M7" s="268"/>
      <c r="N7" s="268"/>
      <c r="O7" s="268"/>
    </row>
    <row r="8" spans="1:15" s="132" customFormat="1" ht="14.25" x14ac:dyDescent="0.2">
      <c r="A8" s="268" t="s">
        <v>1475</v>
      </c>
      <c r="B8" s="268"/>
      <c r="C8" s="268"/>
      <c r="D8" s="268"/>
      <c r="E8" s="268"/>
      <c r="F8" s="268"/>
      <c r="G8" s="270">
        <f>+'HOJA DE TRABAJO'!AH38</f>
        <v>0</v>
      </c>
      <c r="H8" s="271"/>
      <c r="I8" s="268" t="str">
        <f>A8</f>
        <v>Costo líquido por Supervisor  (líquido pagable Bs.)</v>
      </c>
      <c r="J8" s="268"/>
      <c r="K8" s="268"/>
      <c r="L8" s="268"/>
      <c r="M8" s="268"/>
      <c r="N8" s="268"/>
      <c r="O8" s="270">
        <f>+'HOJA DE TRABAJO'!AH39</f>
        <v>0</v>
      </c>
    </row>
    <row r="9" spans="1:15" s="132" customFormat="1" ht="14.25" x14ac:dyDescent="0.2">
      <c r="A9" s="268" t="s">
        <v>1588</v>
      </c>
      <c r="B9" s="268"/>
      <c r="C9" s="268"/>
      <c r="D9" s="268"/>
      <c r="E9" s="268"/>
      <c r="F9" s="268"/>
      <c r="G9" s="270">
        <f>IF(G8=0,0,SUM('HOJA DE TRABAJO'!$R$29:$R$31))</f>
        <v>0</v>
      </c>
      <c r="H9" s="271"/>
      <c r="I9" s="268" t="s">
        <v>1588</v>
      </c>
      <c r="J9" s="268"/>
      <c r="K9" s="268"/>
      <c r="L9" s="268"/>
      <c r="M9" s="268"/>
      <c r="N9" s="268"/>
      <c r="O9" s="270">
        <f>IF(O8=0,0,SUM('HOJA DE TRABAJO'!$R$29:$R$31))</f>
        <v>0</v>
      </c>
    </row>
    <row r="10" spans="1:15" s="132" customFormat="1" ht="14.25" x14ac:dyDescent="0.2">
      <c r="A10" s="272" t="s">
        <v>1474</v>
      </c>
      <c r="B10" s="268"/>
      <c r="C10" s="268"/>
      <c r="D10" s="268"/>
      <c r="E10" s="268"/>
      <c r="F10" s="268"/>
      <c r="G10" s="270"/>
      <c r="H10" s="271"/>
      <c r="I10" s="272" t="s">
        <v>1474</v>
      </c>
      <c r="J10" s="268"/>
      <c r="K10" s="268"/>
      <c r="L10" s="268"/>
      <c r="M10" s="268"/>
      <c r="N10" s="268"/>
      <c r="O10" s="270"/>
    </row>
    <row r="11" spans="1:15" s="132" customFormat="1" x14ac:dyDescent="0.25">
      <c r="A11" s="273" t="s">
        <v>1473</v>
      </c>
      <c r="B11" s="268"/>
      <c r="C11" s="268"/>
      <c r="D11" s="268"/>
      <c r="E11" s="268"/>
      <c r="F11" s="274">
        <f>+SUM(E12:E15)</f>
        <v>0.12710000000000002</v>
      </c>
      <c r="G11" s="270">
        <f>+(G8*100/87.29-G8)+(G9*F11)</f>
        <v>0</v>
      </c>
      <c r="H11" s="271"/>
      <c r="I11" s="273" t="s">
        <v>1473</v>
      </c>
      <c r="J11" s="268"/>
      <c r="K11" s="268"/>
      <c r="L11" s="268"/>
      <c r="M11" s="268"/>
      <c r="N11" s="274">
        <f>+SUM(M12:M15)</f>
        <v>0.12710000000000002</v>
      </c>
      <c r="O11" s="270">
        <f>+(O8*100/87.29-O8)+(N11*O9)</f>
        <v>0</v>
      </c>
    </row>
    <row r="12" spans="1:15" s="132" customFormat="1" ht="14.25" x14ac:dyDescent="0.2">
      <c r="A12" s="275" t="s">
        <v>1472</v>
      </c>
      <c r="B12" s="268"/>
      <c r="C12" s="268"/>
      <c r="D12" s="268"/>
      <c r="E12" s="276">
        <v>0.1</v>
      </c>
      <c r="F12" s="268"/>
      <c r="G12" s="270"/>
      <c r="H12" s="271"/>
      <c r="I12" s="275" t="s">
        <v>1472</v>
      </c>
      <c r="J12" s="268"/>
      <c r="K12" s="268"/>
      <c r="L12" s="268"/>
      <c r="M12" s="276">
        <v>0.1</v>
      </c>
      <c r="N12" s="268"/>
      <c r="O12" s="270"/>
    </row>
    <row r="13" spans="1:15" s="132" customFormat="1" ht="14.25" x14ac:dyDescent="0.2">
      <c r="A13" s="275" t="s">
        <v>1471</v>
      </c>
      <c r="B13" s="268"/>
      <c r="C13" s="268"/>
      <c r="D13" s="268"/>
      <c r="E13" s="276">
        <v>1.7100000000000001E-2</v>
      </c>
      <c r="F13" s="268"/>
      <c r="G13" s="270"/>
      <c r="H13" s="271"/>
      <c r="I13" s="275" t="s">
        <v>1471</v>
      </c>
      <c r="J13" s="268"/>
      <c r="K13" s="268"/>
      <c r="L13" s="268"/>
      <c r="M13" s="276">
        <v>1.7100000000000001E-2</v>
      </c>
      <c r="N13" s="268"/>
      <c r="O13" s="270"/>
    </row>
    <row r="14" spans="1:15" s="132" customFormat="1" ht="14.25" x14ac:dyDescent="0.2">
      <c r="A14" s="275" t="s">
        <v>1470</v>
      </c>
      <c r="B14" s="268"/>
      <c r="C14" s="268"/>
      <c r="D14" s="268"/>
      <c r="E14" s="276">
        <v>5.0000000000000001E-3</v>
      </c>
      <c r="F14" s="268"/>
      <c r="G14" s="270"/>
      <c r="H14" s="271"/>
      <c r="I14" s="275" t="s">
        <v>1470</v>
      </c>
      <c r="J14" s="268"/>
      <c r="K14" s="268"/>
      <c r="L14" s="268"/>
      <c r="M14" s="276">
        <v>5.0000000000000001E-3</v>
      </c>
      <c r="N14" s="268"/>
      <c r="O14" s="270"/>
    </row>
    <row r="15" spans="1:15" s="132" customFormat="1" ht="14.25" x14ac:dyDescent="0.2">
      <c r="A15" s="275" t="s">
        <v>1466</v>
      </c>
      <c r="B15" s="268"/>
      <c r="C15" s="268"/>
      <c r="D15" s="268"/>
      <c r="E15" s="276">
        <f>+E14</f>
        <v>5.0000000000000001E-3</v>
      </c>
      <c r="F15" s="268"/>
      <c r="G15" s="270"/>
      <c r="H15" s="271"/>
      <c r="I15" s="275" t="s">
        <v>1466</v>
      </c>
      <c r="J15" s="268"/>
      <c r="K15" s="268"/>
      <c r="L15" s="268"/>
      <c r="M15" s="276">
        <f>+M14</f>
        <v>5.0000000000000001E-3</v>
      </c>
      <c r="N15" s="268"/>
      <c r="O15" s="270"/>
    </row>
    <row r="16" spans="1:15" s="132" customFormat="1" x14ac:dyDescent="0.25">
      <c r="A16" s="273" t="s">
        <v>1469</v>
      </c>
      <c r="B16" s="268"/>
      <c r="C16" s="268"/>
      <c r="D16" s="268"/>
      <c r="E16" s="276"/>
      <c r="F16" s="274">
        <f>+SUM(E17:E26)</f>
        <v>0.83360000000000001</v>
      </c>
      <c r="G16" s="270">
        <f>(G8+G11+G9)*F16</f>
        <v>0</v>
      </c>
      <c r="H16" s="271"/>
      <c r="I16" s="273" t="s">
        <v>1469</v>
      </c>
      <c r="J16" s="268"/>
      <c r="K16" s="268"/>
      <c r="L16" s="268"/>
      <c r="M16" s="276"/>
      <c r="N16" s="274">
        <f>+SUM(M17:M26)</f>
        <v>0.83360000000000001</v>
      </c>
      <c r="O16" s="270">
        <f>(O8+O11+O9)*N16</f>
        <v>0</v>
      </c>
    </row>
    <row r="17" spans="1:15" s="132" customFormat="1" ht="14.25" x14ac:dyDescent="0.2">
      <c r="A17" s="275" t="s">
        <v>1468</v>
      </c>
      <c r="B17" s="268"/>
      <c r="C17" s="268"/>
      <c r="D17" s="268"/>
      <c r="E17" s="276">
        <v>0.1</v>
      </c>
      <c r="F17" s="268"/>
      <c r="G17" s="270"/>
      <c r="H17" s="271"/>
      <c r="I17" s="275" t="s">
        <v>1468</v>
      </c>
      <c r="J17" s="268"/>
      <c r="K17" s="268"/>
      <c r="L17" s="268"/>
      <c r="M17" s="276">
        <v>0.1</v>
      </c>
      <c r="N17" s="268"/>
      <c r="O17" s="270"/>
    </row>
    <row r="18" spans="1:15" s="132" customFormat="1" ht="14.25" x14ac:dyDescent="0.2">
      <c r="A18" s="275" t="s">
        <v>1466</v>
      </c>
      <c r="B18" s="268"/>
      <c r="C18" s="268"/>
      <c r="D18" s="268"/>
      <c r="E18" s="276">
        <v>0.03</v>
      </c>
      <c r="F18" s="268"/>
      <c r="G18" s="270"/>
      <c r="H18" s="271"/>
      <c r="I18" s="275" t="s">
        <v>1466</v>
      </c>
      <c r="J18" s="268"/>
      <c r="K18" s="268"/>
      <c r="L18" s="268"/>
      <c r="M18" s="276">
        <v>0.03</v>
      </c>
      <c r="N18" s="268"/>
      <c r="O18" s="270"/>
    </row>
    <row r="19" spans="1:15" s="132" customFormat="1" ht="14.25" x14ac:dyDescent="0.2">
      <c r="A19" s="275" t="s">
        <v>1465</v>
      </c>
      <c r="B19" s="268"/>
      <c r="C19" s="268"/>
      <c r="D19" s="268"/>
      <c r="E19" s="276">
        <v>3.7100000000000001E-2</v>
      </c>
      <c r="F19" s="268"/>
      <c r="G19" s="270"/>
      <c r="H19" s="271"/>
      <c r="I19" s="275" t="s">
        <v>1465</v>
      </c>
      <c r="J19" s="268"/>
      <c r="K19" s="268"/>
      <c r="L19" s="268"/>
      <c r="M19" s="276">
        <v>3.7100000000000001E-2</v>
      </c>
      <c r="N19" s="268"/>
      <c r="O19" s="270"/>
    </row>
    <row r="20" spans="1:15" s="132" customFormat="1" ht="14.25" x14ac:dyDescent="0.2">
      <c r="A20" s="275" t="s">
        <v>1500</v>
      </c>
      <c r="B20" s="268"/>
      <c r="C20" s="268"/>
      <c r="D20" s="268"/>
      <c r="E20" s="276">
        <f>+IF('HOJA DE TRABAJO'!$J$17="SI",0,IF('HOJA DE TRABAJO'!$J$17="NO",0.0833,))</f>
        <v>8.3299999999999999E-2</v>
      </c>
      <c r="F20" s="268"/>
      <c r="G20" s="270"/>
      <c r="H20" s="271"/>
      <c r="I20" s="275" t="s">
        <v>1500</v>
      </c>
      <c r="J20" s="268"/>
      <c r="K20" s="268"/>
      <c r="L20" s="268"/>
      <c r="M20" s="276">
        <f>+IF('HOJA DE TRABAJO'!$J$17="SI",0,IF('HOJA DE TRABAJO'!$J$17="NO",0.0833,))</f>
        <v>8.3299999999999999E-2</v>
      </c>
      <c r="N20" s="268"/>
      <c r="O20" s="270"/>
    </row>
    <row r="21" spans="1:15" s="132" customFormat="1" ht="14.25" x14ac:dyDescent="0.2">
      <c r="A21" s="275" t="s">
        <v>1463</v>
      </c>
      <c r="B21" s="268"/>
      <c r="C21" s="268"/>
      <c r="D21" s="268"/>
      <c r="E21" s="276">
        <f>+IF('HOJA DE TRABAJO'!$J$17="SI",0,IF('HOJA DE TRABAJO'!$J$17="NO",0.0833,))</f>
        <v>8.3299999999999999E-2</v>
      </c>
      <c r="F21" s="268"/>
      <c r="G21" s="270"/>
      <c r="H21" s="271"/>
      <c r="I21" s="275" t="s">
        <v>1463</v>
      </c>
      <c r="J21" s="268"/>
      <c r="K21" s="268"/>
      <c r="L21" s="268"/>
      <c r="M21" s="276">
        <f>+IF('HOJA DE TRABAJO'!$J$17="SI",0,IF('HOJA DE TRABAJO'!$J$17="NO",0.0833,))</f>
        <v>8.3299999999999999E-2</v>
      </c>
      <c r="N21" s="268"/>
      <c r="O21" s="270"/>
    </row>
    <row r="22" spans="1:15" s="132" customFormat="1" ht="14.25" x14ac:dyDescent="0.2">
      <c r="A22" s="275" t="str">
        <f>+'HOJA DE TRABAJO'!$B$29</f>
        <v xml:space="preserve">Previsión Segundo  Aguinaldo </v>
      </c>
      <c r="B22" s="268"/>
      <c r="C22" s="268"/>
      <c r="D22" s="268"/>
      <c r="E22" s="276">
        <f>+'HOJA DE TRABAJO'!$E$29</f>
        <v>8.3299999999999999E-2</v>
      </c>
      <c r="F22" s="268"/>
      <c r="G22" s="270"/>
      <c r="H22" s="271"/>
      <c r="I22" s="275" t="str">
        <f>+'HOJA DE TRABAJO'!$B$29</f>
        <v xml:space="preserve">Previsión Segundo  Aguinaldo </v>
      </c>
      <c r="J22" s="268"/>
      <c r="K22" s="268"/>
      <c r="L22" s="268"/>
      <c r="M22" s="276">
        <f>+'HOJA DE TRABAJO'!$E$29</f>
        <v>8.3299999999999999E-2</v>
      </c>
      <c r="N22" s="268"/>
      <c r="O22" s="270"/>
    </row>
    <row r="23" spans="1:15" s="132" customFormat="1" ht="14.25" x14ac:dyDescent="0.2">
      <c r="A23" s="275" t="str">
        <f>+'HOJA DE TRABAJO'!$B$30</f>
        <v>Seguro de Accidente</v>
      </c>
      <c r="B23" s="268"/>
      <c r="C23" s="268"/>
      <c r="D23" s="268"/>
      <c r="E23" s="276">
        <f>+'HOJA DE TRABAJO'!$E$30</f>
        <v>0</v>
      </c>
      <c r="F23" s="268"/>
      <c r="G23" s="270"/>
      <c r="H23" s="271"/>
      <c r="I23" s="275" t="str">
        <f>+'HOJA DE TRABAJO'!$B$30</f>
        <v>Seguro de Accidente</v>
      </c>
      <c r="J23" s="268"/>
      <c r="K23" s="268"/>
      <c r="L23" s="268"/>
      <c r="M23" s="276">
        <f>+'HOJA DE TRABAJO'!$E$30</f>
        <v>0</v>
      </c>
      <c r="N23" s="268"/>
      <c r="O23" s="270"/>
    </row>
    <row r="24" spans="1:15" s="132" customFormat="1" ht="14.25" x14ac:dyDescent="0.2">
      <c r="A24" s="275" t="str">
        <f>+'HOJA DE TRABAJO'!$B$31</f>
        <v xml:space="preserve">Vacaciones </v>
      </c>
      <c r="B24" s="268"/>
      <c r="C24" s="268"/>
      <c r="D24" s="268"/>
      <c r="E24" s="276">
        <f>+'HOJA DE TRABAJO'!$E$31</f>
        <v>0</v>
      </c>
      <c r="F24" s="268"/>
      <c r="G24" s="270"/>
      <c r="H24" s="271"/>
      <c r="I24" s="275" t="str">
        <f>+'HOJA DE TRABAJO'!$B$31</f>
        <v xml:space="preserve">Vacaciones </v>
      </c>
      <c r="J24" s="268"/>
      <c r="K24" s="268"/>
      <c r="L24" s="268"/>
      <c r="M24" s="276">
        <f>+'HOJA DE TRABAJO'!$E$31</f>
        <v>0</v>
      </c>
      <c r="N24" s="268"/>
      <c r="O24" s="270"/>
    </row>
    <row r="25" spans="1:15" s="132" customFormat="1" ht="14.25" x14ac:dyDescent="0.2">
      <c r="A25" s="275" t="str">
        <f>+'HOJA DE TRABAJO'!$F$29</f>
        <v xml:space="preserve">Previsicion de Subsidio </v>
      </c>
      <c r="B25" s="268"/>
      <c r="C25" s="268"/>
      <c r="D25" s="268"/>
      <c r="E25" s="276">
        <f>+'HOJA DE TRABAJO'!$L$29</f>
        <v>0.33329999999999999</v>
      </c>
      <c r="F25" s="268"/>
      <c r="G25" s="270"/>
      <c r="H25" s="271"/>
      <c r="I25" s="275" t="str">
        <f>+'HOJA DE TRABAJO'!$F$29</f>
        <v xml:space="preserve">Previsicion de Subsidio </v>
      </c>
      <c r="J25" s="268"/>
      <c r="K25" s="268"/>
      <c r="L25" s="268"/>
      <c r="M25" s="276">
        <f>+'HOJA DE TRABAJO'!$L$29</f>
        <v>0.33329999999999999</v>
      </c>
      <c r="N25" s="268"/>
      <c r="O25" s="270"/>
    </row>
    <row r="26" spans="1:15" s="132" customFormat="1" ht="14.25" x14ac:dyDescent="0.2">
      <c r="A26" s="275" t="str">
        <f>+'HOJA DE TRABAJO'!$F$30</f>
        <v>Previsicion de Desahucio</v>
      </c>
      <c r="B26" s="268"/>
      <c r="C26" s="268"/>
      <c r="D26" s="268"/>
      <c r="E26" s="276">
        <f>+'HOJA DE TRABAJO'!$L$30</f>
        <v>8.3299999999999999E-2</v>
      </c>
      <c r="F26" s="268"/>
      <c r="G26" s="270"/>
      <c r="H26" s="271"/>
      <c r="I26" s="275" t="str">
        <f>+'HOJA DE TRABAJO'!$F$30</f>
        <v>Previsicion de Desahucio</v>
      </c>
      <c r="J26" s="268"/>
      <c r="K26" s="268"/>
      <c r="L26" s="268"/>
      <c r="M26" s="276">
        <f>+'HOJA DE TRABAJO'!$L$30</f>
        <v>8.3299999999999999E-2</v>
      </c>
      <c r="N26" s="268"/>
      <c r="O26" s="270"/>
    </row>
    <row r="27" spans="1:15" s="132" customFormat="1" ht="14.25" x14ac:dyDescent="0.2">
      <c r="A27" s="277" t="s">
        <v>1461</v>
      </c>
      <c r="B27" s="268"/>
      <c r="C27" s="268"/>
      <c r="D27" s="268"/>
      <c r="E27" s="276"/>
      <c r="F27" s="268"/>
      <c r="G27" s="270">
        <f>IF(G4=0,0,(('HOJA DE TRABAJO'!$U$108)/'HOJA DE TRABAJO'!$BA$44))</f>
        <v>0</v>
      </c>
      <c r="H27" s="337"/>
      <c r="I27" s="277" t="s">
        <v>1461</v>
      </c>
      <c r="J27" s="268"/>
      <c r="K27" s="268"/>
      <c r="L27" s="268"/>
      <c r="M27" s="276"/>
      <c r="N27" s="268"/>
      <c r="O27" s="270">
        <f>IF(O4=0,0,(('HOJA DE TRABAJO'!$U$108)/'HOJA DE TRABAJO'!$BA$44))</f>
        <v>0</v>
      </c>
    </row>
    <row r="28" spans="1:15" s="132" customFormat="1" ht="14.25" x14ac:dyDescent="0.2">
      <c r="A28" s="277" t="s">
        <v>1504</v>
      </c>
      <c r="B28" s="268"/>
      <c r="C28" s="268"/>
      <c r="D28" s="268"/>
      <c r="E28" s="274">
        <f>+'HOJA DE TRABAJO'!$H$116*'HOJA DE TRABAJO'!$F$19</f>
        <v>1.6346153846153847E-2</v>
      </c>
      <c r="F28" s="268"/>
      <c r="G28" s="270">
        <f>(SUM(G7:G27)*E28)+IF(G4=0,0,'HOJA DE TRABAJO'!$J$119)</f>
        <v>0</v>
      </c>
      <c r="H28" s="271"/>
      <c r="I28" s="277" t="s">
        <v>1503</v>
      </c>
      <c r="J28" s="268"/>
      <c r="K28" s="268"/>
      <c r="L28" s="268"/>
      <c r="M28" s="274">
        <f>+'HOJA DE TRABAJO'!$H$116*'HOJA DE TRABAJO'!$F$19</f>
        <v>1.6346153846153847E-2</v>
      </c>
      <c r="N28" s="268"/>
      <c r="O28" s="270">
        <f>(SUM(O7:O27)*M28)+IF(O4=0,0,'HOJA DE TRABAJO'!$J$119)</f>
        <v>0</v>
      </c>
    </row>
    <row r="29" spans="1:15" s="132" customFormat="1" ht="14.25" x14ac:dyDescent="0.2">
      <c r="A29" s="278" t="s">
        <v>1460</v>
      </c>
      <c r="B29" s="279"/>
      <c r="C29" s="279"/>
      <c r="D29" s="279"/>
      <c r="E29" s="280">
        <f>+E62</f>
        <v>0.13</v>
      </c>
      <c r="F29" s="279"/>
      <c r="G29" s="281">
        <f>+SUM(G6:G28)*E29</f>
        <v>0</v>
      </c>
      <c r="H29" s="282"/>
      <c r="I29" s="278" t="s">
        <v>1460</v>
      </c>
      <c r="J29" s="279"/>
      <c r="K29" s="279"/>
      <c r="L29" s="279"/>
      <c r="M29" s="280">
        <f>+E62</f>
        <v>0.13</v>
      </c>
      <c r="N29" s="279"/>
      <c r="O29" s="281">
        <f>+SUM(O6:O28)*M29</f>
        <v>0</v>
      </c>
    </row>
    <row r="30" spans="1:15" s="132" customFormat="1" x14ac:dyDescent="0.25">
      <c r="A30" s="283" t="s">
        <v>1459</v>
      </c>
      <c r="B30" s="284"/>
      <c r="C30" s="284"/>
      <c r="D30" s="284"/>
      <c r="E30" s="284"/>
      <c r="F30" s="284"/>
      <c r="G30" s="285">
        <f>+SUM(G7:G29)</f>
        <v>0</v>
      </c>
      <c r="H30" s="286"/>
      <c r="I30" s="283" t="s">
        <v>1459</v>
      </c>
      <c r="J30" s="284"/>
      <c r="K30" s="284"/>
      <c r="L30" s="284"/>
      <c r="M30" s="284"/>
      <c r="N30" s="284"/>
      <c r="O30" s="285">
        <f>+SUM(O7:O29)</f>
        <v>0</v>
      </c>
    </row>
    <row r="31" spans="1:15" s="132" customFormat="1" ht="14.25" x14ac:dyDescent="0.2">
      <c r="A31" s="277" t="s">
        <v>1458</v>
      </c>
      <c r="B31" s="268"/>
      <c r="C31" s="268"/>
      <c r="D31" s="268"/>
      <c r="E31" s="274">
        <f>+B32+B33</f>
        <v>0.16</v>
      </c>
      <c r="F31" s="268"/>
      <c r="G31" s="270">
        <f>+G34-G30</f>
        <v>0</v>
      </c>
      <c r="H31" s="271"/>
      <c r="I31" s="277" t="s">
        <v>1458</v>
      </c>
      <c r="J31" s="268"/>
      <c r="K31" s="268"/>
      <c r="L31" s="268"/>
      <c r="M31" s="274">
        <f>+J32+J33</f>
        <v>0.16</v>
      </c>
      <c r="N31" s="268"/>
      <c r="O31" s="270">
        <f>+O34-O30</f>
        <v>0</v>
      </c>
    </row>
    <row r="32" spans="1:15" s="132" customFormat="1" ht="14.25" x14ac:dyDescent="0.2">
      <c r="A32" s="287" t="s">
        <v>1457</v>
      </c>
      <c r="B32" s="288">
        <v>0.13</v>
      </c>
      <c r="C32" s="268"/>
      <c r="D32" s="268"/>
      <c r="E32" s="276"/>
      <c r="F32" s="268"/>
      <c r="G32" s="270"/>
      <c r="H32" s="271"/>
      <c r="I32" s="287" t="s">
        <v>1457</v>
      </c>
      <c r="J32" s="288">
        <v>0.13</v>
      </c>
      <c r="K32" s="268"/>
      <c r="L32" s="268"/>
      <c r="M32" s="276"/>
      <c r="N32" s="268"/>
      <c r="O32" s="270"/>
    </row>
    <row r="33" spans="1:15" s="132" customFormat="1" ht="14.25" x14ac:dyDescent="0.2">
      <c r="A33" s="289" t="s">
        <v>1456</v>
      </c>
      <c r="B33" s="290">
        <v>0.03</v>
      </c>
      <c r="C33" s="279"/>
      <c r="D33" s="279"/>
      <c r="E33" s="291"/>
      <c r="F33" s="279"/>
      <c r="G33" s="281"/>
      <c r="H33" s="282"/>
      <c r="I33" s="289" t="s">
        <v>1456</v>
      </c>
      <c r="J33" s="290">
        <v>0.03</v>
      </c>
      <c r="K33" s="279"/>
      <c r="L33" s="279"/>
      <c r="M33" s="291"/>
      <c r="N33" s="279"/>
      <c r="O33" s="281"/>
    </row>
    <row r="34" spans="1:15" s="132" customFormat="1" x14ac:dyDescent="0.25">
      <c r="A34" s="283" t="s">
        <v>1519</v>
      </c>
      <c r="B34" s="284"/>
      <c r="C34" s="284"/>
      <c r="D34" s="284"/>
      <c r="E34" s="284"/>
      <c r="F34" s="284"/>
      <c r="G34" s="285">
        <f>IFERROR((G30/0.84),0)</f>
        <v>0</v>
      </c>
      <c r="H34" s="286"/>
      <c r="I34" s="283" t="s">
        <v>1519</v>
      </c>
      <c r="J34" s="284"/>
      <c r="K34" s="284"/>
      <c r="L34" s="284"/>
      <c r="M34" s="284"/>
      <c r="N34" s="284"/>
      <c r="O34" s="285">
        <f>IFERROR((O30/0.84),0)</f>
        <v>0</v>
      </c>
    </row>
    <row r="35" spans="1:15" s="132" customFormat="1" ht="14.25" x14ac:dyDescent="0.2">
      <c r="H35" s="133"/>
    </row>
    <row r="36" spans="1:15" s="132" customFormat="1" ht="14.25" x14ac:dyDescent="0.2">
      <c r="H36" s="133"/>
    </row>
    <row r="37" spans="1:15" s="132" customFormat="1" outlineLevel="1" x14ac:dyDescent="0.25">
      <c r="A37" s="292" t="s">
        <v>1477</v>
      </c>
      <c r="B37" s="292"/>
      <c r="C37" s="292"/>
      <c r="D37" s="292"/>
      <c r="E37" s="268"/>
      <c r="F37" s="292" t="s">
        <v>11</v>
      </c>
      <c r="G37" s="292">
        <f>+'HOJA DE TRABAJO'!AG40</f>
        <v>0</v>
      </c>
      <c r="H37" s="293"/>
      <c r="I37" s="292" t="s">
        <v>1477</v>
      </c>
      <c r="J37" s="292"/>
      <c r="K37" s="292"/>
      <c r="L37" s="292"/>
      <c r="M37" s="268"/>
      <c r="N37" s="292" t="s">
        <v>11</v>
      </c>
      <c r="O37" s="292">
        <f>+'HOJA DE TRABAJO'!AG41</f>
        <v>0</v>
      </c>
    </row>
    <row r="38" spans="1:15" s="132" customFormat="1" outlineLevel="1" x14ac:dyDescent="0.25">
      <c r="A38" s="294"/>
      <c r="B38" s="294" t="s">
        <v>1476</v>
      </c>
      <c r="C38" s="588">
        <f>+'HOJA DE TRABAJO'!C40:E40</f>
        <v>0</v>
      </c>
      <c r="D38" s="588"/>
      <c r="E38" s="588"/>
      <c r="F38" s="294"/>
      <c r="G38" s="294"/>
      <c r="H38" s="269"/>
      <c r="I38" s="294"/>
      <c r="J38" s="294" t="s">
        <v>1476</v>
      </c>
      <c r="K38" s="588">
        <f>+'HOJA DE TRABAJO'!C41</f>
        <v>0</v>
      </c>
      <c r="L38" s="588"/>
      <c r="M38" s="588"/>
      <c r="N38" s="294"/>
      <c r="O38" s="294"/>
    </row>
    <row r="39" spans="1:15" s="132" customFormat="1" ht="14.25" outlineLevel="1" x14ac:dyDescent="0.2">
      <c r="A39" s="587" t="s">
        <v>1478</v>
      </c>
      <c r="B39" s="587"/>
      <c r="C39" s="587"/>
      <c r="D39" s="587"/>
      <c r="E39" s="587"/>
      <c r="F39" s="587"/>
      <c r="G39" s="587"/>
      <c r="H39" s="133"/>
      <c r="I39" s="587" t="s">
        <v>1478</v>
      </c>
      <c r="J39" s="587"/>
      <c r="K39" s="587"/>
      <c r="L39" s="587"/>
      <c r="M39" s="587"/>
      <c r="N39" s="587"/>
      <c r="O39" s="587"/>
    </row>
    <row r="40" spans="1:15" s="132" customFormat="1" ht="14.25" outlineLevel="1" x14ac:dyDescent="0.2">
      <c r="A40" s="268" t="s">
        <v>1475</v>
      </c>
      <c r="B40" s="268"/>
      <c r="C40" s="268"/>
      <c r="D40" s="268"/>
      <c r="E40" s="268"/>
      <c r="F40" s="268"/>
      <c r="G40" s="270">
        <f>+'HOJA DE TRABAJO'!AH40</f>
        <v>0</v>
      </c>
      <c r="H40" s="271"/>
      <c r="I40" s="268" t="str">
        <f>A40</f>
        <v>Costo líquido por Supervisor  (líquido pagable Bs.)</v>
      </c>
      <c r="J40" s="268"/>
      <c r="K40" s="268"/>
      <c r="L40" s="268"/>
      <c r="M40" s="268"/>
      <c r="N40" s="268"/>
      <c r="O40" s="270">
        <f>+'HOJA DE TRABAJO'!AH41</f>
        <v>0</v>
      </c>
    </row>
    <row r="41" spans="1:15" s="132" customFormat="1" ht="14.25" outlineLevel="1" x14ac:dyDescent="0.2">
      <c r="A41" s="268" t="s">
        <v>1588</v>
      </c>
      <c r="B41" s="268"/>
      <c r="C41" s="268"/>
      <c r="D41" s="268"/>
      <c r="E41" s="268"/>
      <c r="F41" s="268"/>
      <c r="G41" s="270">
        <f>IF(G40=0,0,SUM('HOJA DE TRABAJO'!$R$29:$R$31))</f>
        <v>0</v>
      </c>
      <c r="H41" s="271"/>
      <c r="I41" s="268" t="s">
        <v>1588</v>
      </c>
      <c r="J41" s="268"/>
      <c r="K41" s="268"/>
      <c r="L41" s="268"/>
      <c r="M41" s="268"/>
      <c r="N41" s="268"/>
      <c r="O41" s="270">
        <f>IF(O40=0,0,SUM('HOJA DE TRABAJO'!$R$29:$R$31))</f>
        <v>0</v>
      </c>
    </row>
    <row r="42" spans="1:15" s="132" customFormat="1" ht="14.25" outlineLevel="1" x14ac:dyDescent="0.2">
      <c r="A42" s="272" t="s">
        <v>1474</v>
      </c>
      <c r="B42" s="268"/>
      <c r="C42" s="268"/>
      <c r="D42" s="268"/>
      <c r="E42" s="268"/>
      <c r="F42" s="268"/>
      <c r="G42" s="270"/>
      <c r="H42" s="271"/>
      <c r="I42" s="272" t="s">
        <v>1474</v>
      </c>
      <c r="J42" s="268"/>
      <c r="K42" s="268"/>
      <c r="L42" s="268"/>
      <c r="M42" s="268"/>
      <c r="N42" s="268"/>
      <c r="O42" s="270"/>
    </row>
    <row r="43" spans="1:15" s="132" customFormat="1" outlineLevel="1" x14ac:dyDescent="0.25">
      <c r="A43" s="273" t="s">
        <v>1473</v>
      </c>
      <c r="B43" s="268"/>
      <c r="C43" s="268"/>
      <c r="D43" s="268"/>
      <c r="E43" s="268"/>
      <c r="F43" s="274">
        <f>+SUM(E44:E47)</f>
        <v>0.12710000000000002</v>
      </c>
      <c r="G43" s="270">
        <f>+(G40*100/87.29-G40)+(F43*G41)</f>
        <v>0</v>
      </c>
      <c r="H43" s="271"/>
      <c r="I43" s="273" t="s">
        <v>1473</v>
      </c>
      <c r="J43" s="268"/>
      <c r="K43" s="268"/>
      <c r="L43" s="268"/>
      <c r="M43" s="268"/>
      <c r="N43" s="274">
        <f>+SUM(M44:M47)</f>
        <v>0.12710000000000002</v>
      </c>
      <c r="O43" s="270">
        <f>+(O40*100/87.29-O40)+(N43*O41)</f>
        <v>0</v>
      </c>
    </row>
    <row r="44" spans="1:15" s="132" customFormat="1" ht="14.25" outlineLevel="1" x14ac:dyDescent="0.2">
      <c r="A44" s="275" t="s">
        <v>1472</v>
      </c>
      <c r="B44" s="268"/>
      <c r="C44" s="268"/>
      <c r="D44" s="268"/>
      <c r="E44" s="276">
        <v>0.1</v>
      </c>
      <c r="F44" s="268"/>
      <c r="G44" s="270"/>
      <c r="H44" s="271"/>
      <c r="I44" s="275" t="s">
        <v>1472</v>
      </c>
      <c r="J44" s="268"/>
      <c r="K44" s="268"/>
      <c r="L44" s="268"/>
      <c r="M44" s="276">
        <v>0.1</v>
      </c>
      <c r="N44" s="268"/>
      <c r="O44" s="270"/>
    </row>
    <row r="45" spans="1:15" s="132" customFormat="1" ht="14.25" outlineLevel="1" x14ac:dyDescent="0.2">
      <c r="A45" s="275" t="s">
        <v>1471</v>
      </c>
      <c r="B45" s="268"/>
      <c r="C45" s="268"/>
      <c r="D45" s="268"/>
      <c r="E45" s="276">
        <v>1.7100000000000001E-2</v>
      </c>
      <c r="F45" s="268"/>
      <c r="G45" s="270"/>
      <c r="H45" s="271"/>
      <c r="I45" s="275" t="s">
        <v>1471</v>
      </c>
      <c r="J45" s="268"/>
      <c r="K45" s="268"/>
      <c r="L45" s="268"/>
      <c r="M45" s="276">
        <v>1.7100000000000001E-2</v>
      </c>
      <c r="N45" s="268"/>
      <c r="O45" s="270"/>
    </row>
    <row r="46" spans="1:15" s="132" customFormat="1" ht="14.25" outlineLevel="1" x14ac:dyDescent="0.2">
      <c r="A46" s="275" t="s">
        <v>1470</v>
      </c>
      <c r="B46" s="268"/>
      <c r="C46" s="268"/>
      <c r="D46" s="268"/>
      <c r="E46" s="276">
        <v>5.0000000000000001E-3</v>
      </c>
      <c r="F46" s="268"/>
      <c r="G46" s="270"/>
      <c r="H46" s="271"/>
      <c r="I46" s="275" t="s">
        <v>1470</v>
      </c>
      <c r="J46" s="268"/>
      <c r="K46" s="268"/>
      <c r="L46" s="268"/>
      <c r="M46" s="276">
        <v>5.0000000000000001E-3</v>
      </c>
      <c r="N46" s="268"/>
      <c r="O46" s="270"/>
    </row>
    <row r="47" spans="1:15" s="132" customFormat="1" ht="14.25" outlineLevel="1" x14ac:dyDescent="0.2">
      <c r="A47" s="275" t="s">
        <v>1466</v>
      </c>
      <c r="B47" s="268"/>
      <c r="C47" s="268"/>
      <c r="D47" s="268"/>
      <c r="E47" s="276">
        <f>+E46</f>
        <v>5.0000000000000001E-3</v>
      </c>
      <c r="F47" s="268"/>
      <c r="G47" s="270"/>
      <c r="H47" s="271"/>
      <c r="I47" s="275" t="s">
        <v>1466</v>
      </c>
      <c r="J47" s="268"/>
      <c r="K47" s="268"/>
      <c r="L47" s="268"/>
      <c r="M47" s="276">
        <f>+M46</f>
        <v>5.0000000000000001E-3</v>
      </c>
      <c r="N47" s="268"/>
      <c r="O47" s="270"/>
    </row>
    <row r="48" spans="1:15" s="132" customFormat="1" outlineLevel="1" x14ac:dyDescent="0.25">
      <c r="A48" s="273" t="s">
        <v>1469</v>
      </c>
      <c r="B48" s="268"/>
      <c r="C48" s="268"/>
      <c r="D48" s="268"/>
      <c r="E48" s="276"/>
      <c r="F48" s="274">
        <f>+SUM(E49:E59)</f>
        <v>0.83360000000000001</v>
      </c>
      <c r="G48" s="270">
        <f>(G40+G43+G41)*F48</f>
        <v>0</v>
      </c>
      <c r="H48" s="271"/>
      <c r="I48" s="273" t="s">
        <v>1469</v>
      </c>
      <c r="J48" s="268"/>
      <c r="K48" s="268"/>
      <c r="L48" s="268"/>
      <c r="M48" s="276"/>
      <c r="N48" s="274">
        <f>+SUM(M49:M59)</f>
        <v>0.83360000000000001</v>
      </c>
      <c r="O48" s="270">
        <f>(O40+O43+O41)*N48</f>
        <v>0</v>
      </c>
    </row>
    <row r="49" spans="1:15" s="132" customFormat="1" ht="14.25" outlineLevel="1" x14ac:dyDescent="0.2">
      <c r="A49" s="275" t="s">
        <v>1468</v>
      </c>
      <c r="B49" s="268"/>
      <c r="C49" s="268"/>
      <c r="D49" s="268"/>
      <c r="E49" s="276">
        <v>0.1</v>
      </c>
      <c r="F49" s="268"/>
      <c r="G49" s="270"/>
      <c r="H49" s="271"/>
      <c r="I49" s="275" t="s">
        <v>1468</v>
      </c>
      <c r="J49" s="268"/>
      <c r="K49" s="268"/>
      <c r="L49" s="268"/>
      <c r="M49" s="276">
        <v>0.1</v>
      </c>
      <c r="N49" s="268"/>
      <c r="O49" s="270"/>
    </row>
    <row r="50" spans="1:15" s="132" customFormat="1" ht="14.25" outlineLevel="1" x14ac:dyDescent="0.2">
      <c r="A50" s="275" t="s">
        <v>1467</v>
      </c>
      <c r="B50" s="268"/>
      <c r="C50" s="268"/>
      <c r="D50" s="268"/>
      <c r="E50" s="276"/>
      <c r="F50" s="268"/>
      <c r="G50" s="270"/>
      <c r="H50" s="271"/>
      <c r="I50" s="275" t="s">
        <v>1467</v>
      </c>
      <c r="J50" s="268"/>
      <c r="K50" s="268"/>
      <c r="L50" s="268"/>
      <c r="M50" s="276"/>
      <c r="N50" s="268"/>
      <c r="O50" s="270"/>
    </row>
    <row r="51" spans="1:15" s="132" customFormat="1" ht="14.25" outlineLevel="1" x14ac:dyDescent="0.2">
      <c r="A51" s="275" t="s">
        <v>1466</v>
      </c>
      <c r="B51" s="268"/>
      <c r="C51" s="268"/>
      <c r="D51" s="268"/>
      <c r="E51" s="276">
        <v>0.03</v>
      </c>
      <c r="F51" s="268"/>
      <c r="G51" s="270"/>
      <c r="H51" s="271"/>
      <c r="I51" s="275" t="s">
        <v>1466</v>
      </c>
      <c r="J51" s="268"/>
      <c r="K51" s="268"/>
      <c r="L51" s="268"/>
      <c r="M51" s="276">
        <v>0.03</v>
      </c>
      <c r="N51" s="268"/>
      <c r="O51" s="270"/>
    </row>
    <row r="52" spans="1:15" s="132" customFormat="1" ht="14.25" outlineLevel="1" x14ac:dyDescent="0.2">
      <c r="A52" s="275" t="s">
        <v>1465</v>
      </c>
      <c r="B52" s="268"/>
      <c r="C52" s="268"/>
      <c r="D52" s="268"/>
      <c r="E52" s="276">
        <v>3.7100000000000001E-2</v>
      </c>
      <c r="F52" s="268"/>
      <c r="G52" s="270"/>
      <c r="H52" s="271"/>
      <c r="I52" s="275" t="s">
        <v>1465</v>
      </c>
      <c r="J52" s="268"/>
      <c r="K52" s="268"/>
      <c r="L52" s="268"/>
      <c r="M52" s="276">
        <v>3.7100000000000001E-2</v>
      </c>
      <c r="N52" s="268"/>
      <c r="O52" s="270"/>
    </row>
    <row r="53" spans="1:15" s="132" customFormat="1" ht="14.25" outlineLevel="1" x14ac:dyDescent="0.2">
      <c r="A53" s="275" t="s">
        <v>1500</v>
      </c>
      <c r="B53" s="268"/>
      <c r="C53" s="268"/>
      <c r="D53" s="268"/>
      <c r="E53" s="276">
        <f>+IF('HOJA DE TRABAJO'!$J$17="SI",0,IF('HOJA DE TRABAJO'!$J$17="NO",0.0833,))</f>
        <v>8.3299999999999999E-2</v>
      </c>
      <c r="F53" s="268"/>
      <c r="G53" s="270"/>
      <c r="H53" s="271"/>
      <c r="I53" s="275" t="s">
        <v>1500</v>
      </c>
      <c r="J53" s="268"/>
      <c r="K53" s="268"/>
      <c r="L53" s="268"/>
      <c r="M53" s="276">
        <f>+IF('HOJA DE TRABAJO'!$J$17="SI",0,IF('HOJA DE TRABAJO'!$J$17="NO",0.0833,))</f>
        <v>8.3299999999999999E-2</v>
      </c>
      <c r="N53" s="268"/>
      <c r="O53" s="270"/>
    </row>
    <row r="54" spans="1:15" s="132" customFormat="1" ht="14.25" outlineLevel="1" x14ac:dyDescent="0.2">
      <c r="A54" s="275" t="s">
        <v>1463</v>
      </c>
      <c r="B54" s="268"/>
      <c r="C54" s="268"/>
      <c r="D54" s="268"/>
      <c r="E54" s="276">
        <f>+IF('HOJA DE TRABAJO'!$J$17="SI",0,IF('HOJA DE TRABAJO'!$J$17="NO",0.0833,))</f>
        <v>8.3299999999999999E-2</v>
      </c>
      <c r="F54" s="268"/>
      <c r="G54" s="270"/>
      <c r="H54" s="271"/>
      <c r="I54" s="275" t="s">
        <v>1463</v>
      </c>
      <c r="J54" s="268"/>
      <c r="K54" s="268"/>
      <c r="L54" s="268"/>
      <c r="M54" s="276">
        <f>+IF('HOJA DE TRABAJO'!$J$17="SI",0,IF('HOJA DE TRABAJO'!$J$17="NO",0.0833,))</f>
        <v>8.3299999999999999E-2</v>
      </c>
      <c r="N54" s="268"/>
      <c r="O54" s="270"/>
    </row>
    <row r="55" spans="1:15" s="132" customFormat="1" ht="14.25" outlineLevel="1" x14ac:dyDescent="0.2">
      <c r="A55" s="275" t="str">
        <f>+'HOJA DE TRABAJO'!$B$29</f>
        <v xml:space="preserve">Previsión Segundo  Aguinaldo </v>
      </c>
      <c r="B55" s="268"/>
      <c r="C55" s="268"/>
      <c r="D55" s="268"/>
      <c r="E55" s="276">
        <f>+'HOJA DE TRABAJO'!$E$29</f>
        <v>8.3299999999999999E-2</v>
      </c>
      <c r="F55" s="268"/>
      <c r="G55" s="270"/>
      <c r="H55" s="271"/>
      <c r="I55" s="275" t="str">
        <f>+'HOJA DE TRABAJO'!$B$29</f>
        <v xml:space="preserve">Previsión Segundo  Aguinaldo </v>
      </c>
      <c r="J55" s="268"/>
      <c r="K55" s="268"/>
      <c r="L55" s="268"/>
      <c r="M55" s="276">
        <f>+'HOJA DE TRABAJO'!$E$29</f>
        <v>8.3299999999999999E-2</v>
      </c>
      <c r="N55" s="268"/>
      <c r="O55" s="270"/>
    </row>
    <row r="56" spans="1:15" s="132" customFormat="1" ht="14.25" outlineLevel="1" x14ac:dyDescent="0.2">
      <c r="A56" s="275" t="str">
        <f>+'HOJA DE TRABAJO'!$B$30</f>
        <v>Seguro de Accidente</v>
      </c>
      <c r="B56" s="268"/>
      <c r="C56" s="268"/>
      <c r="D56" s="268"/>
      <c r="E56" s="276">
        <f>+'HOJA DE TRABAJO'!$E$30</f>
        <v>0</v>
      </c>
      <c r="F56" s="268"/>
      <c r="G56" s="270"/>
      <c r="H56" s="271"/>
      <c r="I56" s="275" t="str">
        <f>+'HOJA DE TRABAJO'!$B$30</f>
        <v>Seguro de Accidente</v>
      </c>
      <c r="J56" s="268"/>
      <c r="K56" s="268"/>
      <c r="L56" s="268"/>
      <c r="M56" s="276">
        <f>+'HOJA DE TRABAJO'!$E$30</f>
        <v>0</v>
      </c>
      <c r="N56" s="268"/>
      <c r="O56" s="270"/>
    </row>
    <row r="57" spans="1:15" s="132" customFormat="1" ht="14.25" outlineLevel="1" x14ac:dyDescent="0.2">
      <c r="A57" s="275" t="str">
        <f>+'HOJA DE TRABAJO'!$B$31</f>
        <v xml:space="preserve">Vacaciones </v>
      </c>
      <c r="B57" s="268"/>
      <c r="C57" s="268"/>
      <c r="D57" s="268"/>
      <c r="E57" s="276">
        <f>+'HOJA DE TRABAJO'!$E$31</f>
        <v>0</v>
      </c>
      <c r="F57" s="268"/>
      <c r="G57" s="270"/>
      <c r="H57" s="271"/>
      <c r="I57" s="275" t="str">
        <f>+'HOJA DE TRABAJO'!$B$31</f>
        <v xml:space="preserve">Vacaciones </v>
      </c>
      <c r="J57" s="268"/>
      <c r="K57" s="268"/>
      <c r="L57" s="268"/>
      <c r="M57" s="276">
        <f>+'HOJA DE TRABAJO'!$E$31</f>
        <v>0</v>
      </c>
      <c r="N57" s="268"/>
      <c r="O57" s="270"/>
    </row>
    <row r="58" spans="1:15" s="132" customFormat="1" ht="14.25" outlineLevel="1" x14ac:dyDescent="0.2">
      <c r="A58" s="275" t="str">
        <f>+'HOJA DE TRABAJO'!$F$29</f>
        <v xml:space="preserve">Previsicion de Subsidio </v>
      </c>
      <c r="B58" s="268"/>
      <c r="C58" s="268"/>
      <c r="D58" s="268"/>
      <c r="E58" s="276">
        <f>+'HOJA DE TRABAJO'!$L$29</f>
        <v>0.33329999999999999</v>
      </c>
      <c r="F58" s="268"/>
      <c r="G58" s="270"/>
      <c r="H58" s="271"/>
      <c r="I58" s="275" t="str">
        <f>+'HOJA DE TRABAJO'!$F$29</f>
        <v xml:space="preserve">Previsicion de Subsidio </v>
      </c>
      <c r="J58" s="268"/>
      <c r="K58" s="268"/>
      <c r="L58" s="268"/>
      <c r="M58" s="276">
        <f>+'HOJA DE TRABAJO'!$L$29</f>
        <v>0.33329999999999999</v>
      </c>
      <c r="N58" s="268"/>
      <c r="O58" s="270"/>
    </row>
    <row r="59" spans="1:15" s="132" customFormat="1" ht="14.25" outlineLevel="1" x14ac:dyDescent="0.2">
      <c r="A59" s="275" t="str">
        <f>+'HOJA DE TRABAJO'!$F$30</f>
        <v>Previsicion de Desahucio</v>
      </c>
      <c r="B59" s="268"/>
      <c r="C59" s="268"/>
      <c r="D59" s="268"/>
      <c r="E59" s="276">
        <f>+'HOJA DE TRABAJO'!$L$30</f>
        <v>8.3299999999999999E-2</v>
      </c>
      <c r="F59" s="268"/>
      <c r="G59" s="270"/>
      <c r="H59" s="271"/>
      <c r="I59" s="275" t="str">
        <f>+'HOJA DE TRABAJO'!$F$30</f>
        <v>Previsicion de Desahucio</v>
      </c>
      <c r="J59" s="268"/>
      <c r="K59" s="268"/>
      <c r="L59" s="268"/>
      <c r="M59" s="276">
        <f>+'HOJA DE TRABAJO'!$L$30</f>
        <v>8.3299999999999999E-2</v>
      </c>
      <c r="N59" s="268"/>
      <c r="O59" s="270"/>
    </row>
    <row r="60" spans="1:15" s="132" customFormat="1" ht="14.25" outlineLevel="1" x14ac:dyDescent="0.2">
      <c r="A60" s="277" t="s">
        <v>1461</v>
      </c>
      <c r="B60" s="268"/>
      <c r="C60" s="268"/>
      <c r="D60" s="268"/>
      <c r="E60" s="276"/>
      <c r="F60" s="268"/>
      <c r="G60" s="270">
        <f>IF(G37=0,0,(('HOJA DE TRABAJO'!$U$108)/'HOJA DE TRABAJO'!$BA$44))</f>
        <v>0</v>
      </c>
      <c r="H60" s="337"/>
      <c r="I60" s="277" t="s">
        <v>1461</v>
      </c>
      <c r="J60" s="268"/>
      <c r="K60" s="268"/>
      <c r="L60" s="268"/>
      <c r="M60" s="276"/>
      <c r="N60" s="268"/>
      <c r="O60" s="270">
        <f>IF(O37=0,0,(('HOJA DE TRABAJO'!$U$108)/'HOJA DE TRABAJO'!$BA$44))</f>
        <v>0</v>
      </c>
    </row>
    <row r="61" spans="1:15" s="132" customFormat="1" ht="14.25" outlineLevel="1" x14ac:dyDescent="0.2">
      <c r="A61" s="277" t="s">
        <v>1504</v>
      </c>
      <c r="B61" s="268"/>
      <c r="C61" s="268"/>
      <c r="D61" s="268"/>
      <c r="E61" s="274">
        <f>+'HOJA DE TRABAJO'!$H$116*'HOJA DE TRABAJO'!$F$19</f>
        <v>1.6346153846153847E-2</v>
      </c>
      <c r="F61" s="268"/>
      <c r="G61" s="270">
        <f>(SUM(G40:G60)*E61)+IF(G37=0,0,'HOJA DE TRABAJO'!$J$119)</f>
        <v>0</v>
      </c>
      <c r="H61" s="271"/>
      <c r="I61" s="277" t="s">
        <v>1503</v>
      </c>
      <c r="J61" s="268"/>
      <c r="K61" s="268"/>
      <c r="L61" s="268"/>
      <c r="M61" s="274">
        <f>+'HOJA DE TRABAJO'!$H$116*'HOJA DE TRABAJO'!$F$19</f>
        <v>1.6346153846153847E-2</v>
      </c>
      <c r="N61" s="268"/>
      <c r="O61" s="270">
        <f>(SUM(O40:O60)*M61)+IF(O37=0,0,'HOJA DE TRABAJO'!$J$119)</f>
        <v>0</v>
      </c>
    </row>
    <row r="62" spans="1:15" s="132" customFormat="1" ht="14.25" outlineLevel="1" x14ac:dyDescent="0.2">
      <c r="A62" s="278" t="s">
        <v>1460</v>
      </c>
      <c r="B62" s="279"/>
      <c r="C62" s="279"/>
      <c r="D62" s="279"/>
      <c r="E62" s="280">
        <f>+'HOJA 1 aux'!E29</f>
        <v>0.13</v>
      </c>
      <c r="F62" s="279"/>
      <c r="G62" s="281">
        <f>+SUM(G39:G61)*E62</f>
        <v>0</v>
      </c>
      <c r="H62" s="282"/>
      <c r="I62" s="278" t="s">
        <v>1460</v>
      </c>
      <c r="J62" s="279"/>
      <c r="K62" s="279"/>
      <c r="L62" s="279"/>
      <c r="M62" s="280">
        <f>+E62</f>
        <v>0.13</v>
      </c>
      <c r="N62" s="279"/>
      <c r="O62" s="281">
        <f>+SUM(O39:O61)*M62</f>
        <v>0</v>
      </c>
    </row>
    <row r="63" spans="1:15" s="132" customFormat="1" outlineLevel="1" x14ac:dyDescent="0.25">
      <c r="A63" s="283" t="s">
        <v>1459</v>
      </c>
      <c r="B63" s="284"/>
      <c r="C63" s="284"/>
      <c r="D63" s="284"/>
      <c r="E63" s="284"/>
      <c r="F63" s="284"/>
      <c r="G63" s="285">
        <f>+SUM(G40:G62)</f>
        <v>0</v>
      </c>
      <c r="H63" s="286"/>
      <c r="I63" s="283" t="s">
        <v>1459</v>
      </c>
      <c r="J63" s="284"/>
      <c r="K63" s="284"/>
      <c r="L63" s="284"/>
      <c r="M63" s="284"/>
      <c r="N63" s="284"/>
      <c r="O63" s="285">
        <f>+SUM(O40:O62)</f>
        <v>0</v>
      </c>
    </row>
    <row r="64" spans="1:15" s="132" customFormat="1" ht="14.25" outlineLevel="1" x14ac:dyDescent="0.2">
      <c r="A64" s="277" t="s">
        <v>1458</v>
      </c>
      <c r="B64" s="268"/>
      <c r="C64" s="268"/>
      <c r="D64" s="268"/>
      <c r="E64" s="274">
        <f>+B65+B66</f>
        <v>0.16</v>
      </c>
      <c r="F64" s="268"/>
      <c r="G64" s="270">
        <f>+G67-G63</f>
        <v>0</v>
      </c>
      <c r="H64" s="271"/>
      <c r="I64" s="277" t="s">
        <v>1458</v>
      </c>
      <c r="J64" s="268"/>
      <c r="K64" s="268"/>
      <c r="L64" s="268"/>
      <c r="M64" s="274">
        <f>+J65+J66</f>
        <v>0.16</v>
      </c>
      <c r="N64" s="268"/>
      <c r="O64" s="270">
        <f>+O67-O63</f>
        <v>0</v>
      </c>
    </row>
    <row r="65" spans="1:15" s="132" customFormat="1" ht="14.25" outlineLevel="1" x14ac:dyDescent="0.2">
      <c r="A65" s="287" t="s">
        <v>1457</v>
      </c>
      <c r="B65" s="288">
        <v>0.13</v>
      </c>
      <c r="C65" s="268"/>
      <c r="D65" s="268"/>
      <c r="E65" s="276"/>
      <c r="F65" s="268"/>
      <c r="G65" s="270"/>
      <c r="H65" s="271"/>
      <c r="I65" s="287" t="s">
        <v>1457</v>
      </c>
      <c r="J65" s="288">
        <v>0.13</v>
      </c>
      <c r="K65" s="268"/>
      <c r="L65" s="268"/>
      <c r="M65" s="276"/>
      <c r="N65" s="268"/>
      <c r="O65" s="270"/>
    </row>
    <row r="66" spans="1:15" s="132" customFormat="1" ht="14.25" outlineLevel="1" x14ac:dyDescent="0.2">
      <c r="A66" s="289" t="s">
        <v>1456</v>
      </c>
      <c r="B66" s="290">
        <v>0.03</v>
      </c>
      <c r="C66" s="279"/>
      <c r="D66" s="279"/>
      <c r="E66" s="291"/>
      <c r="F66" s="279"/>
      <c r="G66" s="281"/>
      <c r="H66" s="282"/>
      <c r="I66" s="289" t="s">
        <v>1456</v>
      </c>
      <c r="J66" s="290">
        <v>0.03</v>
      </c>
      <c r="K66" s="279"/>
      <c r="L66" s="279"/>
      <c r="M66" s="291"/>
      <c r="N66" s="279"/>
      <c r="O66" s="281"/>
    </row>
    <row r="67" spans="1:15" s="132" customFormat="1" outlineLevel="1" x14ac:dyDescent="0.25">
      <c r="A67" s="283" t="s">
        <v>1519</v>
      </c>
      <c r="B67" s="284"/>
      <c r="C67" s="284"/>
      <c r="D67" s="284"/>
      <c r="E67" s="284"/>
      <c r="F67" s="284"/>
      <c r="G67" s="285">
        <f>IFERROR((G63/0.84),0)</f>
        <v>0</v>
      </c>
      <c r="H67" s="286"/>
      <c r="I67" s="283" t="s">
        <v>1519</v>
      </c>
      <c r="J67" s="284"/>
      <c r="K67" s="284"/>
      <c r="L67" s="284"/>
      <c r="M67" s="284"/>
      <c r="N67" s="284"/>
      <c r="O67" s="285">
        <f>IFERROR((O63/0.84),0)</f>
        <v>0</v>
      </c>
    </row>
    <row r="68" spans="1:15" s="132" customFormat="1" ht="14.25" outlineLevel="1" x14ac:dyDescent="0.2">
      <c r="H68" s="133"/>
    </row>
    <row r="69" spans="1:15" s="132" customFormat="1" ht="14.25" outlineLevel="1" x14ac:dyDescent="0.2">
      <c r="H69" s="133"/>
    </row>
    <row r="70" spans="1:15" s="132" customFormat="1" ht="14.25" outlineLevel="1" x14ac:dyDescent="0.2">
      <c r="H70" s="133"/>
    </row>
    <row r="71" spans="1:15" s="132" customFormat="1" outlineLevel="2" x14ac:dyDescent="0.25">
      <c r="A71" s="292" t="s">
        <v>1477</v>
      </c>
      <c r="B71" s="292"/>
      <c r="C71" s="292"/>
      <c r="D71" s="292"/>
      <c r="E71" s="268"/>
      <c r="F71" s="292" t="s">
        <v>11</v>
      </c>
      <c r="G71" s="292">
        <f>+'HOJA DE TRABAJO'!AG42</f>
        <v>0</v>
      </c>
      <c r="H71" s="133"/>
      <c r="I71" s="292" t="s">
        <v>1477</v>
      </c>
      <c r="J71" s="292"/>
      <c r="K71" s="292"/>
      <c r="L71" s="292"/>
      <c r="M71" s="268"/>
      <c r="N71" s="292" t="s">
        <v>11</v>
      </c>
      <c r="O71" s="292">
        <f>+'HOJA DE TRABAJO'!AG43</f>
        <v>0</v>
      </c>
    </row>
    <row r="72" spans="1:15" s="132" customFormat="1" outlineLevel="2" x14ac:dyDescent="0.25">
      <c r="A72" s="294"/>
      <c r="B72" s="294" t="s">
        <v>1476</v>
      </c>
      <c r="C72" s="588">
        <f>+'HOJA DE TRABAJO'!C42:E42</f>
        <v>0</v>
      </c>
      <c r="D72" s="588"/>
      <c r="E72" s="588"/>
      <c r="F72" s="294"/>
      <c r="G72" s="294"/>
      <c r="H72" s="133"/>
      <c r="I72" s="294"/>
      <c r="J72" s="294" t="s">
        <v>1476</v>
      </c>
      <c r="K72" s="588">
        <f>+'HOJA DE TRABAJO'!C43</f>
        <v>0</v>
      </c>
      <c r="L72" s="588"/>
      <c r="M72" s="588"/>
      <c r="N72" s="294"/>
      <c r="O72" s="294"/>
    </row>
    <row r="73" spans="1:15" s="132" customFormat="1" ht="14.25" outlineLevel="2" x14ac:dyDescent="0.2">
      <c r="A73" s="587" t="s">
        <v>1478</v>
      </c>
      <c r="B73" s="587"/>
      <c r="C73" s="587"/>
      <c r="D73" s="587"/>
      <c r="E73" s="587"/>
      <c r="F73" s="587"/>
      <c r="G73" s="587"/>
      <c r="H73" s="133"/>
      <c r="I73" s="587" t="s">
        <v>1478</v>
      </c>
      <c r="J73" s="587"/>
      <c r="K73" s="587"/>
      <c r="L73" s="587"/>
      <c r="M73" s="587"/>
      <c r="N73" s="587"/>
      <c r="O73" s="587"/>
    </row>
    <row r="74" spans="1:15" s="132" customFormat="1" ht="14.25" outlineLevel="2" x14ac:dyDescent="0.2">
      <c r="A74" s="268"/>
      <c r="B74" s="268"/>
      <c r="C74" s="268"/>
      <c r="D74" s="268"/>
      <c r="E74" s="268"/>
      <c r="F74" s="268"/>
      <c r="G74" s="268"/>
      <c r="H74" s="133"/>
      <c r="I74" s="268"/>
      <c r="J74" s="268"/>
      <c r="K74" s="268"/>
      <c r="L74" s="268"/>
      <c r="M74" s="268"/>
      <c r="N74" s="268"/>
      <c r="O74" s="268"/>
    </row>
    <row r="75" spans="1:15" s="132" customFormat="1" ht="14.25" outlineLevel="2" x14ac:dyDescent="0.2">
      <c r="A75" s="268" t="s">
        <v>1475</v>
      </c>
      <c r="B75" s="268"/>
      <c r="C75" s="268"/>
      <c r="D75" s="268"/>
      <c r="E75" s="268"/>
      <c r="F75" s="268"/>
      <c r="G75" s="270">
        <f>+'HOJA DE TRABAJO'!AH42</f>
        <v>0</v>
      </c>
      <c r="H75" s="133"/>
      <c r="I75" s="268" t="s">
        <v>1475</v>
      </c>
      <c r="J75" s="268"/>
      <c r="K75" s="268"/>
      <c r="L75" s="268"/>
      <c r="M75" s="268"/>
      <c r="N75" s="268"/>
      <c r="O75" s="270">
        <f>+'HOJA DE TRABAJO'!AH43</f>
        <v>0</v>
      </c>
    </row>
    <row r="76" spans="1:15" s="132" customFormat="1" ht="14.25" outlineLevel="2" x14ac:dyDescent="0.2">
      <c r="A76" s="268" t="s">
        <v>1588</v>
      </c>
      <c r="B76" s="268"/>
      <c r="C76" s="268"/>
      <c r="D76" s="268"/>
      <c r="E76" s="268"/>
      <c r="F76" s="268"/>
      <c r="G76" s="270">
        <f>IF(G75=0,0,SUM('HOJA DE TRABAJO'!$R$29:$R$31))</f>
        <v>0</v>
      </c>
      <c r="H76" s="271"/>
      <c r="I76" s="268" t="s">
        <v>1588</v>
      </c>
      <c r="J76" s="268"/>
      <c r="K76" s="268"/>
      <c r="L76" s="268"/>
      <c r="M76" s="268"/>
      <c r="N76" s="268"/>
      <c r="O76" s="270">
        <f>IF(O75=0,0,SUM('HOJA DE TRABAJO'!$R$29:$R$31))</f>
        <v>0</v>
      </c>
    </row>
    <row r="77" spans="1:15" s="132" customFormat="1" ht="14.25" outlineLevel="2" x14ac:dyDescent="0.2">
      <c r="A77" s="272" t="s">
        <v>1474</v>
      </c>
      <c r="B77" s="268"/>
      <c r="C77" s="268"/>
      <c r="D77" s="268"/>
      <c r="E77" s="268"/>
      <c r="F77" s="268"/>
      <c r="G77" s="270"/>
      <c r="H77" s="133"/>
      <c r="I77" s="272" t="s">
        <v>1474</v>
      </c>
      <c r="J77" s="268"/>
      <c r="K77" s="268"/>
      <c r="L77" s="268"/>
      <c r="M77" s="268"/>
      <c r="N77" s="268"/>
      <c r="O77" s="270"/>
    </row>
    <row r="78" spans="1:15" s="132" customFormat="1" outlineLevel="2" x14ac:dyDescent="0.25">
      <c r="A78" s="273" t="s">
        <v>1473</v>
      </c>
      <c r="B78" s="268"/>
      <c r="C78" s="268"/>
      <c r="D78" s="268"/>
      <c r="E78" s="268"/>
      <c r="F78" s="274">
        <f>+SUM(E79:E82)</f>
        <v>0.12710000000000002</v>
      </c>
      <c r="G78" s="270">
        <f>+(G75*100/87.29-G75)+(G76*F78)</f>
        <v>0</v>
      </c>
      <c r="H78" s="271"/>
      <c r="I78" s="273" t="s">
        <v>1473</v>
      </c>
      <c r="J78" s="268"/>
      <c r="K78" s="268"/>
      <c r="L78" s="268"/>
      <c r="M78" s="268"/>
      <c r="N78" s="274">
        <f>+SUM(M79:M82)</f>
        <v>0.12710000000000002</v>
      </c>
      <c r="O78" s="270">
        <f>+(O75*100/87.29-O75)+(N78*O76)</f>
        <v>0</v>
      </c>
    </row>
    <row r="79" spans="1:15" s="132" customFormat="1" ht="14.25" outlineLevel="2" x14ac:dyDescent="0.2">
      <c r="A79" s="275" t="s">
        <v>1472</v>
      </c>
      <c r="B79" s="268"/>
      <c r="C79" s="268"/>
      <c r="D79" s="268"/>
      <c r="E79" s="276">
        <v>0.1</v>
      </c>
      <c r="F79" s="268"/>
      <c r="G79" s="270"/>
      <c r="H79" s="133"/>
      <c r="I79" s="275" t="s">
        <v>1472</v>
      </c>
      <c r="J79" s="268"/>
      <c r="K79" s="268"/>
      <c r="L79" s="268"/>
      <c r="M79" s="276">
        <v>0.1</v>
      </c>
      <c r="N79" s="268"/>
      <c r="O79" s="270"/>
    </row>
    <row r="80" spans="1:15" s="132" customFormat="1" ht="14.25" outlineLevel="2" x14ac:dyDescent="0.2">
      <c r="A80" s="275" t="s">
        <v>1471</v>
      </c>
      <c r="B80" s="268"/>
      <c r="C80" s="268"/>
      <c r="D80" s="268"/>
      <c r="E80" s="276">
        <v>1.7100000000000001E-2</v>
      </c>
      <c r="F80" s="268"/>
      <c r="G80" s="270"/>
      <c r="H80" s="133"/>
      <c r="I80" s="275" t="s">
        <v>1471</v>
      </c>
      <c r="J80" s="268"/>
      <c r="K80" s="268"/>
      <c r="L80" s="268"/>
      <c r="M80" s="276">
        <v>1.7100000000000001E-2</v>
      </c>
      <c r="N80" s="268"/>
      <c r="O80" s="270"/>
    </row>
    <row r="81" spans="1:15" s="132" customFormat="1" ht="14.25" outlineLevel="2" x14ac:dyDescent="0.2">
      <c r="A81" s="275" t="s">
        <v>1470</v>
      </c>
      <c r="B81" s="268"/>
      <c r="C81" s="268"/>
      <c r="D81" s="268"/>
      <c r="E81" s="276">
        <v>5.0000000000000001E-3</v>
      </c>
      <c r="F81" s="268"/>
      <c r="G81" s="270"/>
      <c r="H81" s="133"/>
      <c r="I81" s="275" t="s">
        <v>1470</v>
      </c>
      <c r="J81" s="268"/>
      <c r="K81" s="268"/>
      <c r="L81" s="268"/>
      <c r="M81" s="276">
        <v>5.0000000000000001E-3</v>
      </c>
      <c r="N81" s="268"/>
      <c r="O81" s="270"/>
    </row>
    <row r="82" spans="1:15" s="132" customFormat="1" ht="14.25" outlineLevel="2" x14ac:dyDescent="0.2">
      <c r="A82" s="275" t="s">
        <v>1466</v>
      </c>
      <c r="B82" s="268"/>
      <c r="C82" s="268"/>
      <c r="D82" s="268"/>
      <c r="E82" s="276">
        <f>+E81</f>
        <v>5.0000000000000001E-3</v>
      </c>
      <c r="F82" s="268"/>
      <c r="G82" s="270"/>
      <c r="H82" s="133"/>
      <c r="I82" s="275" t="s">
        <v>1466</v>
      </c>
      <c r="J82" s="268"/>
      <c r="K82" s="268"/>
      <c r="L82" s="268"/>
      <c r="M82" s="276">
        <f>+M81</f>
        <v>5.0000000000000001E-3</v>
      </c>
      <c r="N82" s="268"/>
      <c r="O82" s="270"/>
    </row>
    <row r="83" spans="1:15" s="132" customFormat="1" outlineLevel="2" x14ac:dyDescent="0.25">
      <c r="A83" s="273" t="s">
        <v>1469</v>
      </c>
      <c r="B83" s="268"/>
      <c r="C83" s="268"/>
      <c r="D83" s="268"/>
      <c r="E83" s="276"/>
      <c r="F83" s="274">
        <f>+SUM(E84:E93)</f>
        <v>0.83360000000000001</v>
      </c>
      <c r="G83" s="270">
        <f>(G75+G78+G76)*F83</f>
        <v>0</v>
      </c>
      <c r="H83" s="271"/>
      <c r="I83" s="273" t="s">
        <v>1469</v>
      </c>
      <c r="J83" s="268"/>
      <c r="K83" s="268"/>
      <c r="L83" s="268"/>
      <c r="M83" s="276"/>
      <c r="N83" s="274">
        <f>+SUM(M84:M93)</f>
        <v>0.83360000000000001</v>
      </c>
      <c r="O83" s="270">
        <f>(O75+O78+O76)*N83</f>
        <v>0</v>
      </c>
    </row>
    <row r="84" spans="1:15" s="132" customFormat="1" ht="14.25" outlineLevel="2" x14ac:dyDescent="0.2">
      <c r="A84" s="275" t="s">
        <v>1468</v>
      </c>
      <c r="B84" s="268"/>
      <c r="C84" s="268"/>
      <c r="D84" s="268"/>
      <c r="E84" s="276">
        <v>0.1</v>
      </c>
      <c r="F84" s="268"/>
      <c r="G84" s="270"/>
      <c r="H84" s="133"/>
      <c r="I84" s="275" t="s">
        <v>1468</v>
      </c>
      <c r="J84" s="268"/>
      <c r="K84" s="268"/>
      <c r="L84" s="268"/>
      <c r="M84" s="276">
        <v>0.1</v>
      </c>
      <c r="N84" s="268"/>
      <c r="O84" s="270"/>
    </row>
    <row r="85" spans="1:15" s="132" customFormat="1" ht="14.25" outlineLevel="2" x14ac:dyDescent="0.2">
      <c r="A85" s="275" t="s">
        <v>1466</v>
      </c>
      <c r="B85" s="268"/>
      <c r="C85" s="268"/>
      <c r="D85" s="268"/>
      <c r="E85" s="276">
        <v>0.03</v>
      </c>
      <c r="F85" s="268"/>
      <c r="G85" s="270"/>
      <c r="H85" s="133"/>
      <c r="I85" s="275" t="s">
        <v>1466</v>
      </c>
      <c r="J85" s="268"/>
      <c r="K85" s="268"/>
      <c r="L85" s="268"/>
      <c r="M85" s="276">
        <v>0.03</v>
      </c>
      <c r="N85" s="268"/>
      <c r="O85" s="270"/>
    </row>
    <row r="86" spans="1:15" s="132" customFormat="1" ht="14.25" outlineLevel="2" x14ac:dyDescent="0.2">
      <c r="A86" s="275" t="s">
        <v>1465</v>
      </c>
      <c r="B86" s="268"/>
      <c r="C86" s="268"/>
      <c r="D86" s="268"/>
      <c r="E86" s="276">
        <v>3.7100000000000001E-2</v>
      </c>
      <c r="F86" s="268"/>
      <c r="G86" s="270"/>
      <c r="H86" s="133"/>
      <c r="I86" s="275" t="s">
        <v>1465</v>
      </c>
      <c r="J86" s="268"/>
      <c r="K86" s="268"/>
      <c r="L86" s="268"/>
      <c r="M86" s="276">
        <v>3.7100000000000001E-2</v>
      </c>
      <c r="N86" s="268"/>
      <c r="O86" s="270"/>
    </row>
    <row r="87" spans="1:15" s="132" customFormat="1" ht="14.25" outlineLevel="2" x14ac:dyDescent="0.2">
      <c r="A87" s="275" t="s">
        <v>1500</v>
      </c>
      <c r="B87" s="268"/>
      <c r="C87" s="268"/>
      <c r="D87" s="268"/>
      <c r="E87" s="276">
        <f>+IF('HOJA DE TRABAJO'!$J$17="SI",0,IF('HOJA DE TRABAJO'!$J$17="NO",0.0833,))</f>
        <v>8.3299999999999999E-2</v>
      </c>
      <c r="F87" s="268"/>
      <c r="G87" s="270"/>
      <c r="H87" s="133"/>
      <c r="I87" s="275" t="s">
        <v>1500</v>
      </c>
      <c r="J87" s="268"/>
      <c r="K87" s="268"/>
      <c r="L87" s="268"/>
      <c r="M87" s="276">
        <f>+IF('HOJA DE TRABAJO'!$J$17="SI",0,IF('HOJA DE TRABAJO'!$J$17="NO",0.0833,))</f>
        <v>8.3299999999999999E-2</v>
      </c>
      <c r="N87" s="268"/>
      <c r="O87" s="270"/>
    </row>
    <row r="88" spans="1:15" s="132" customFormat="1" ht="14.25" outlineLevel="2" x14ac:dyDescent="0.2">
      <c r="A88" s="275" t="s">
        <v>1463</v>
      </c>
      <c r="B88" s="268"/>
      <c r="C88" s="268"/>
      <c r="D88" s="268"/>
      <c r="E88" s="276">
        <f>+IF('HOJA DE TRABAJO'!$J$17="SI",0,IF('HOJA DE TRABAJO'!$J$17="NO",0.0833,))</f>
        <v>8.3299999999999999E-2</v>
      </c>
      <c r="F88" s="268"/>
      <c r="G88" s="270"/>
      <c r="H88" s="133"/>
      <c r="I88" s="275" t="s">
        <v>1463</v>
      </c>
      <c r="J88" s="268"/>
      <c r="K88" s="268"/>
      <c r="L88" s="268"/>
      <c r="M88" s="276">
        <f>+IF('HOJA DE TRABAJO'!$J$17="SI",0,IF('HOJA DE TRABAJO'!$J$17="NO",0.0833,))</f>
        <v>8.3299999999999999E-2</v>
      </c>
      <c r="N88" s="268"/>
      <c r="O88" s="270"/>
    </row>
    <row r="89" spans="1:15" s="132" customFormat="1" ht="14.25" outlineLevel="2" x14ac:dyDescent="0.2">
      <c r="A89" s="275" t="str">
        <f>+'HOJA DE TRABAJO'!$B$29</f>
        <v xml:space="preserve">Previsión Segundo  Aguinaldo </v>
      </c>
      <c r="B89" s="268"/>
      <c r="C89" s="268"/>
      <c r="D89" s="268"/>
      <c r="E89" s="276">
        <f>+'HOJA DE TRABAJO'!$E$29</f>
        <v>8.3299999999999999E-2</v>
      </c>
      <c r="F89" s="268"/>
      <c r="G89" s="270"/>
      <c r="H89" s="133"/>
      <c r="I89" s="275" t="str">
        <f>+'HOJA DE TRABAJO'!$B$29</f>
        <v xml:space="preserve">Previsión Segundo  Aguinaldo </v>
      </c>
      <c r="J89" s="268"/>
      <c r="K89" s="268"/>
      <c r="L89" s="268"/>
      <c r="M89" s="276">
        <f>+'HOJA DE TRABAJO'!$E$29</f>
        <v>8.3299999999999999E-2</v>
      </c>
      <c r="N89" s="268"/>
      <c r="O89" s="270"/>
    </row>
    <row r="90" spans="1:15" s="132" customFormat="1" ht="14.25" outlineLevel="2" x14ac:dyDescent="0.2">
      <c r="A90" s="275" t="str">
        <f>+'HOJA DE TRABAJO'!$B$30</f>
        <v>Seguro de Accidente</v>
      </c>
      <c r="B90" s="268"/>
      <c r="C90" s="268"/>
      <c r="D90" s="268"/>
      <c r="E90" s="276">
        <f>+'HOJA DE TRABAJO'!$E$30</f>
        <v>0</v>
      </c>
      <c r="F90" s="268"/>
      <c r="G90" s="270"/>
      <c r="H90" s="133"/>
      <c r="I90" s="275" t="str">
        <f>+'HOJA DE TRABAJO'!$B$30</f>
        <v>Seguro de Accidente</v>
      </c>
      <c r="J90" s="268"/>
      <c r="K90" s="268"/>
      <c r="L90" s="268"/>
      <c r="M90" s="276">
        <f>+'HOJA DE TRABAJO'!$E$30</f>
        <v>0</v>
      </c>
      <c r="N90" s="268"/>
      <c r="O90" s="270"/>
    </row>
    <row r="91" spans="1:15" s="132" customFormat="1" ht="14.25" outlineLevel="2" x14ac:dyDescent="0.2">
      <c r="A91" s="275" t="str">
        <f>+'HOJA DE TRABAJO'!$B$31</f>
        <v xml:space="preserve">Vacaciones </v>
      </c>
      <c r="B91" s="268"/>
      <c r="C91" s="268"/>
      <c r="D91" s="268"/>
      <c r="E91" s="276">
        <f>+'HOJA DE TRABAJO'!$E$31</f>
        <v>0</v>
      </c>
      <c r="F91" s="268"/>
      <c r="G91" s="270"/>
      <c r="H91" s="133"/>
      <c r="I91" s="275" t="str">
        <f>+'HOJA DE TRABAJO'!$B$31</f>
        <v xml:space="preserve">Vacaciones </v>
      </c>
      <c r="J91" s="268"/>
      <c r="K91" s="268"/>
      <c r="L91" s="268"/>
      <c r="M91" s="276">
        <f>+'HOJA DE TRABAJO'!$E$31</f>
        <v>0</v>
      </c>
      <c r="N91" s="268"/>
      <c r="O91" s="270"/>
    </row>
    <row r="92" spans="1:15" s="132" customFormat="1" ht="14.25" outlineLevel="2" x14ac:dyDescent="0.2">
      <c r="A92" s="275" t="str">
        <f>+'HOJA DE TRABAJO'!$F$29</f>
        <v xml:space="preserve">Previsicion de Subsidio </v>
      </c>
      <c r="B92" s="268"/>
      <c r="C92" s="268"/>
      <c r="D92" s="268"/>
      <c r="E92" s="276">
        <f>+'HOJA DE TRABAJO'!$L$29</f>
        <v>0.33329999999999999</v>
      </c>
      <c r="F92" s="268"/>
      <c r="G92" s="270"/>
      <c r="H92" s="133"/>
      <c r="I92" s="275" t="str">
        <f>+'HOJA DE TRABAJO'!$F$29</f>
        <v xml:space="preserve">Previsicion de Subsidio </v>
      </c>
      <c r="J92" s="268"/>
      <c r="K92" s="268"/>
      <c r="L92" s="268"/>
      <c r="M92" s="276">
        <f>+'HOJA DE TRABAJO'!$L$29</f>
        <v>0.33329999999999999</v>
      </c>
      <c r="N92" s="268"/>
      <c r="O92" s="270"/>
    </row>
    <row r="93" spans="1:15" s="132" customFormat="1" ht="14.25" outlineLevel="2" x14ac:dyDescent="0.2">
      <c r="A93" s="275" t="str">
        <f>+'HOJA DE TRABAJO'!$F$30</f>
        <v>Previsicion de Desahucio</v>
      </c>
      <c r="B93" s="268"/>
      <c r="C93" s="268"/>
      <c r="D93" s="268"/>
      <c r="E93" s="276">
        <f>+'HOJA DE TRABAJO'!$L$30</f>
        <v>8.3299999999999999E-2</v>
      </c>
      <c r="F93" s="268"/>
      <c r="G93" s="270"/>
      <c r="H93" s="133"/>
      <c r="I93" s="275" t="str">
        <f>+'HOJA DE TRABAJO'!$F$30</f>
        <v>Previsicion de Desahucio</v>
      </c>
      <c r="J93" s="268"/>
      <c r="K93" s="268"/>
      <c r="L93" s="268"/>
      <c r="M93" s="276">
        <f>+'HOJA DE TRABAJO'!$L$30</f>
        <v>8.3299999999999999E-2</v>
      </c>
      <c r="N93" s="268"/>
      <c r="O93" s="270"/>
    </row>
    <row r="94" spans="1:15" s="132" customFormat="1" ht="14.25" outlineLevel="2" x14ac:dyDescent="0.2">
      <c r="A94" s="277" t="s">
        <v>1461</v>
      </c>
      <c r="B94" s="268"/>
      <c r="C94" s="268"/>
      <c r="D94" s="268"/>
      <c r="E94" s="276"/>
      <c r="F94" s="268"/>
      <c r="G94" s="270">
        <f>IF(G71=0,0,(('HOJA DE TRABAJO'!$U$108)/'HOJA DE TRABAJO'!$BA$44))</f>
        <v>0</v>
      </c>
      <c r="H94" s="337"/>
      <c r="I94" s="277" t="s">
        <v>1461</v>
      </c>
      <c r="J94" s="268"/>
      <c r="K94" s="268"/>
      <c r="L94" s="268"/>
      <c r="M94" s="276"/>
      <c r="N94" s="268"/>
      <c r="O94" s="270">
        <f>IF(O71=0,0,(('HOJA DE TRABAJO'!$U$108)/'HOJA DE TRABAJO'!$BA$44))</f>
        <v>0</v>
      </c>
    </row>
    <row r="95" spans="1:15" s="132" customFormat="1" ht="14.25" outlineLevel="2" x14ac:dyDescent="0.2">
      <c r="A95" s="277" t="s">
        <v>1504</v>
      </c>
      <c r="B95" s="268"/>
      <c r="C95" s="268"/>
      <c r="D95" s="268"/>
      <c r="E95" s="274">
        <f>+'HOJA DE TRABAJO'!$H$116*'HOJA DE TRABAJO'!$F$19</f>
        <v>1.6346153846153847E-2</v>
      </c>
      <c r="F95" s="268"/>
      <c r="G95" s="270">
        <f>(SUM(G74:G94)*E95)+IF(G71=0,0,'HOJA DE TRABAJO'!$J$119)</f>
        <v>0</v>
      </c>
      <c r="H95" s="271"/>
      <c r="I95" s="277" t="s">
        <v>1503</v>
      </c>
      <c r="J95" s="268"/>
      <c r="K95" s="268"/>
      <c r="L95" s="268"/>
      <c r="M95" s="274">
        <f>+'HOJA DE TRABAJO'!$H$116*'HOJA DE TRABAJO'!$F$19</f>
        <v>1.6346153846153847E-2</v>
      </c>
      <c r="N95" s="268"/>
      <c r="O95" s="270">
        <f>(SUM(O74:O94)*M95)+IF(O71=0,0,'HOJA DE TRABAJO'!$J$119)</f>
        <v>0</v>
      </c>
    </row>
    <row r="96" spans="1:15" s="132" customFormat="1" ht="14.25" outlineLevel="2" x14ac:dyDescent="0.2">
      <c r="A96" s="278" t="s">
        <v>1460</v>
      </c>
      <c r="B96" s="279"/>
      <c r="C96" s="279"/>
      <c r="D96" s="279"/>
      <c r="E96" s="280">
        <f>+E62</f>
        <v>0.13</v>
      </c>
      <c r="F96" s="279"/>
      <c r="G96" s="281">
        <f>+SUM(G73:G95)*E96</f>
        <v>0</v>
      </c>
      <c r="H96" s="133"/>
      <c r="I96" s="278" t="s">
        <v>1460</v>
      </c>
      <c r="J96" s="279"/>
      <c r="K96" s="279"/>
      <c r="L96" s="279"/>
      <c r="M96" s="280">
        <f>+E96</f>
        <v>0.13</v>
      </c>
      <c r="N96" s="279"/>
      <c r="O96" s="281">
        <f>+SUM(O73:O95)*M96</f>
        <v>0</v>
      </c>
    </row>
    <row r="97" spans="1:15" s="132" customFormat="1" outlineLevel="2" x14ac:dyDescent="0.25">
      <c r="A97" s="283" t="s">
        <v>1459</v>
      </c>
      <c r="B97" s="284"/>
      <c r="C97" s="284"/>
      <c r="D97" s="284"/>
      <c r="E97" s="284"/>
      <c r="F97" s="284"/>
      <c r="G97" s="285">
        <f>+SUM(G74:G96)</f>
        <v>0</v>
      </c>
      <c r="H97" s="133"/>
      <c r="I97" s="283" t="s">
        <v>1459</v>
      </c>
      <c r="J97" s="284"/>
      <c r="K97" s="284"/>
      <c r="L97" s="284"/>
      <c r="M97" s="284"/>
      <c r="N97" s="284"/>
      <c r="O97" s="285">
        <f>+SUM(O74:O96)</f>
        <v>0</v>
      </c>
    </row>
    <row r="98" spans="1:15" s="132" customFormat="1" ht="14.25" outlineLevel="2" x14ac:dyDescent="0.2">
      <c r="A98" s="277" t="s">
        <v>1458</v>
      </c>
      <c r="B98" s="268"/>
      <c r="C98" s="268"/>
      <c r="D98" s="268"/>
      <c r="E98" s="274">
        <f>+B99+B100</f>
        <v>0.16</v>
      </c>
      <c r="F98" s="268"/>
      <c r="G98" s="270">
        <f>+G101-G97</f>
        <v>0</v>
      </c>
      <c r="H98" s="133"/>
      <c r="I98" s="277" t="s">
        <v>1458</v>
      </c>
      <c r="J98" s="268"/>
      <c r="K98" s="268"/>
      <c r="L98" s="268"/>
      <c r="M98" s="274">
        <f>+J99+J100</f>
        <v>0.16</v>
      </c>
      <c r="N98" s="268"/>
      <c r="O98" s="270">
        <f>+O101-O97</f>
        <v>0</v>
      </c>
    </row>
    <row r="99" spans="1:15" s="132" customFormat="1" ht="14.25" outlineLevel="2" x14ac:dyDescent="0.2">
      <c r="A99" s="287" t="s">
        <v>1457</v>
      </c>
      <c r="B99" s="288">
        <v>0.13</v>
      </c>
      <c r="C99" s="268"/>
      <c r="D99" s="268"/>
      <c r="E99" s="276"/>
      <c r="F99" s="268"/>
      <c r="G99" s="270"/>
      <c r="H99" s="133"/>
      <c r="I99" s="287" t="s">
        <v>1457</v>
      </c>
      <c r="J99" s="288">
        <v>0.13</v>
      </c>
      <c r="K99" s="268"/>
      <c r="L99" s="268"/>
      <c r="M99" s="276"/>
      <c r="N99" s="268"/>
      <c r="O99" s="270"/>
    </row>
    <row r="100" spans="1:15" s="132" customFormat="1" ht="14.25" outlineLevel="2" x14ac:dyDescent="0.2">
      <c r="A100" s="289" t="s">
        <v>1456</v>
      </c>
      <c r="B100" s="290">
        <v>0.03</v>
      </c>
      <c r="C100" s="279"/>
      <c r="D100" s="279"/>
      <c r="E100" s="291"/>
      <c r="F100" s="279"/>
      <c r="G100" s="281"/>
      <c r="H100" s="133"/>
      <c r="I100" s="289" t="s">
        <v>1456</v>
      </c>
      <c r="J100" s="290">
        <v>0.03</v>
      </c>
      <c r="K100" s="279"/>
      <c r="L100" s="279"/>
      <c r="M100" s="291"/>
      <c r="N100" s="279"/>
      <c r="O100" s="281"/>
    </row>
    <row r="101" spans="1:15" s="132" customFormat="1" outlineLevel="2" x14ac:dyDescent="0.25">
      <c r="A101" s="283" t="s">
        <v>1519</v>
      </c>
      <c r="B101" s="284"/>
      <c r="C101" s="284"/>
      <c r="D101" s="284"/>
      <c r="E101" s="284"/>
      <c r="F101" s="284"/>
      <c r="G101" s="285">
        <f>IFERROR((G97/0.84),0)</f>
        <v>0</v>
      </c>
      <c r="H101" s="133"/>
      <c r="I101" s="283" t="s">
        <v>1519</v>
      </c>
      <c r="J101" s="284"/>
      <c r="K101" s="284"/>
      <c r="L101" s="284"/>
      <c r="M101" s="284"/>
      <c r="N101" s="284"/>
      <c r="O101" s="285">
        <f>IFERROR((O97/0.84),0)</f>
        <v>0</v>
      </c>
    </row>
    <row r="102" spans="1:15" s="132" customFormat="1" ht="14.25" x14ac:dyDescent="0.2"/>
  </sheetData>
  <customSheetViews>
    <customSheetView guid="{D98A1565-B6EB-4D88-8DB8-23EB436D0197}" topLeftCell="A87">
      <selection activeCell="B99" sqref="B99"/>
      <pageMargins left="0.7" right="0.7" top="0.75" bottom="0.75" header="0.3" footer="0.3"/>
    </customSheetView>
  </customSheetViews>
  <mergeCells count="13">
    <mergeCell ref="A73:G73"/>
    <mergeCell ref="I73:O73"/>
    <mergeCell ref="C5:E5"/>
    <mergeCell ref="K5:M5"/>
    <mergeCell ref="A6:G6"/>
    <mergeCell ref="I6:O6"/>
    <mergeCell ref="C38:E38"/>
    <mergeCell ref="K38:M38"/>
    <mergeCell ref="E2:K2"/>
    <mergeCell ref="A39:G39"/>
    <mergeCell ref="I39:O39"/>
    <mergeCell ref="C72:E72"/>
    <mergeCell ref="K72:M72"/>
  </mergeCells>
  <pageMargins left="0.7" right="0.7" top="0.75" bottom="0.75" header="0.3" footer="0.3"/>
  <pageSetup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2:O102"/>
  <sheetViews>
    <sheetView zoomScale="70" zoomScaleNormal="70" workbookViewId="0">
      <selection activeCell="M111" sqref="M111"/>
    </sheetView>
  </sheetViews>
  <sheetFormatPr baseColWidth="10" defaultRowHeight="15" outlineLevelRow="2" x14ac:dyDescent="0.25"/>
  <sheetData>
    <row r="2" spans="1:15" ht="28.5" x14ac:dyDescent="0.45">
      <c r="E2" s="586" t="str">
        <f>+'HOJA DE TRABAJO'!AL36</f>
        <v>ORURO</v>
      </c>
      <c r="F2" s="586"/>
      <c r="G2" s="586"/>
      <c r="H2" s="586"/>
      <c r="I2" s="586"/>
      <c r="J2" s="586"/>
      <c r="K2" s="586"/>
    </row>
    <row r="4" spans="1:15" s="132" customFormat="1" x14ac:dyDescent="0.25">
      <c r="A4" s="292" t="s">
        <v>1477</v>
      </c>
      <c r="B4" s="292"/>
      <c r="C4" s="292"/>
      <c r="D4" s="292"/>
      <c r="E4" s="268"/>
      <c r="F4" s="292" t="s">
        <v>11</v>
      </c>
      <c r="G4" s="292">
        <f>+'HOJA DE TRABAJO'!AL38</f>
        <v>0</v>
      </c>
      <c r="H4" s="293"/>
      <c r="I4" s="292" t="s">
        <v>1477</v>
      </c>
      <c r="J4" s="292"/>
      <c r="K4" s="292"/>
      <c r="L4" s="292"/>
      <c r="M4" s="292"/>
      <c r="N4" s="292" t="s">
        <v>11</v>
      </c>
      <c r="O4" s="292">
        <f>+'HOJA DE TRABAJO'!AL39</f>
        <v>0</v>
      </c>
    </row>
    <row r="5" spans="1:15" s="132" customFormat="1" x14ac:dyDescent="0.25">
      <c r="A5" s="294"/>
      <c r="B5" s="294" t="s">
        <v>1476</v>
      </c>
      <c r="C5" s="588" t="str">
        <f>+'HOJA DE TRABAJO'!C38:E38</f>
        <v>VENDEDOR INSTITUCIONAL</v>
      </c>
      <c r="D5" s="588"/>
      <c r="E5" s="588"/>
      <c r="F5" s="294"/>
      <c r="G5" s="294"/>
      <c r="H5" s="293"/>
      <c r="I5" s="294"/>
      <c r="J5" s="294" t="s">
        <v>1476</v>
      </c>
      <c r="K5" s="588">
        <f>+'HOJA DE TRABAJO'!C39</f>
        <v>0</v>
      </c>
      <c r="L5" s="588"/>
      <c r="M5" s="588"/>
      <c r="N5" s="294"/>
      <c r="O5" s="294"/>
    </row>
    <row r="6" spans="1:15" s="132" customFormat="1" ht="14.25" x14ac:dyDescent="0.2">
      <c r="A6" s="587" t="s">
        <v>1478</v>
      </c>
      <c r="B6" s="587"/>
      <c r="C6" s="587"/>
      <c r="D6" s="587"/>
      <c r="E6" s="587"/>
      <c r="F6" s="587"/>
      <c r="G6" s="587"/>
      <c r="H6" s="269"/>
      <c r="I6" s="587" t="s">
        <v>1478</v>
      </c>
      <c r="J6" s="587"/>
      <c r="K6" s="587"/>
      <c r="L6" s="587"/>
      <c r="M6" s="587"/>
      <c r="N6" s="587"/>
      <c r="O6" s="587"/>
    </row>
    <row r="7" spans="1:15" s="132" customFormat="1" ht="14.25" x14ac:dyDescent="0.2">
      <c r="A7" s="268"/>
      <c r="B7" s="268"/>
      <c r="C7" s="268"/>
      <c r="D7" s="268"/>
      <c r="E7" s="268"/>
      <c r="F7" s="268"/>
      <c r="G7" s="268"/>
      <c r="H7" s="133"/>
      <c r="I7" s="268"/>
      <c r="J7" s="268"/>
      <c r="K7" s="268"/>
      <c r="L7" s="268"/>
      <c r="M7" s="268"/>
      <c r="N7" s="268"/>
      <c r="O7" s="268"/>
    </row>
    <row r="8" spans="1:15" s="132" customFormat="1" ht="14.25" x14ac:dyDescent="0.2">
      <c r="A8" s="268" t="s">
        <v>1475</v>
      </c>
      <c r="B8" s="268"/>
      <c r="C8" s="268"/>
      <c r="D8" s="268"/>
      <c r="E8" s="268"/>
      <c r="F8" s="268"/>
      <c r="G8" s="270">
        <f>+'HOJA DE TRABAJO'!AM38</f>
        <v>0</v>
      </c>
      <c r="H8" s="271"/>
      <c r="I8" s="268" t="str">
        <f>A8</f>
        <v>Costo líquido por Supervisor  (líquido pagable Bs.)</v>
      </c>
      <c r="J8" s="268"/>
      <c r="K8" s="268"/>
      <c r="L8" s="268"/>
      <c r="M8" s="268"/>
      <c r="N8" s="268"/>
      <c r="O8" s="270">
        <f>+'HOJA DE TRABAJO'!AM39</f>
        <v>0</v>
      </c>
    </row>
    <row r="9" spans="1:15" s="132" customFormat="1" ht="14.25" x14ac:dyDescent="0.2">
      <c r="A9" s="268" t="s">
        <v>1588</v>
      </c>
      <c r="B9" s="268"/>
      <c r="C9" s="268"/>
      <c r="D9" s="268"/>
      <c r="E9" s="268"/>
      <c r="F9" s="268"/>
      <c r="G9" s="270">
        <f>IF(G8=0,0,SUM('HOJA DE TRABAJO'!$R$29:$R$31))</f>
        <v>0</v>
      </c>
      <c r="H9" s="271"/>
      <c r="I9" s="268" t="s">
        <v>1588</v>
      </c>
      <c r="J9" s="268"/>
      <c r="K9" s="268"/>
      <c r="L9" s="268"/>
      <c r="M9" s="268"/>
      <c r="N9" s="268"/>
      <c r="O9" s="270">
        <f>IF(O8=0,0,SUM('HOJA DE TRABAJO'!$R$29:$R$31))</f>
        <v>0</v>
      </c>
    </row>
    <row r="10" spans="1:15" s="132" customFormat="1" ht="14.25" x14ac:dyDescent="0.2">
      <c r="A10" s="272" t="s">
        <v>1474</v>
      </c>
      <c r="B10" s="268"/>
      <c r="C10" s="268"/>
      <c r="D10" s="268"/>
      <c r="E10" s="268"/>
      <c r="F10" s="268"/>
      <c r="G10" s="270"/>
      <c r="H10" s="271"/>
      <c r="I10" s="272" t="s">
        <v>1474</v>
      </c>
      <c r="J10" s="268"/>
      <c r="K10" s="268"/>
      <c r="L10" s="268"/>
      <c r="M10" s="268"/>
      <c r="N10" s="268"/>
      <c r="O10" s="270"/>
    </row>
    <row r="11" spans="1:15" s="132" customFormat="1" x14ac:dyDescent="0.25">
      <c r="A11" s="273" t="s">
        <v>1473</v>
      </c>
      <c r="B11" s="268"/>
      <c r="C11" s="268"/>
      <c r="D11" s="268"/>
      <c r="E11" s="268"/>
      <c r="F11" s="274">
        <f>+SUM(E12:E15)</f>
        <v>0.12710000000000002</v>
      </c>
      <c r="G11" s="270">
        <f>+(G8*100/87.29-G8)+(G9*F11)</f>
        <v>0</v>
      </c>
      <c r="H11" s="271"/>
      <c r="I11" s="273" t="s">
        <v>1473</v>
      </c>
      <c r="J11" s="268"/>
      <c r="K11" s="268"/>
      <c r="L11" s="268"/>
      <c r="M11" s="268"/>
      <c r="N11" s="274">
        <f>+SUM(M12:M15)</f>
        <v>0.12710000000000002</v>
      </c>
      <c r="O11" s="270">
        <f>+(O8*100/87.29-O8)+(N11*O9)</f>
        <v>0</v>
      </c>
    </row>
    <row r="12" spans="1:15" s="132" customFormat="1" ht="14.25" x14ac:dyDescent="0.2">
      <c r="A12" s="275" t="s">
        <v>1472</v>
      </c>
      <c r="B12" s="268"/>
      <c r="C12" s="268"/>
      <c r="D12" s="268"/>
      <c r="E12" s="276">
        <v>0.1</v>
      </c>
      <c r="F12" s="268"/>
      <c r="G12" s="270"/>
      <c r="H12" s="271"/>
      <c r="I12" s="275" t="s">
        <v>1472</v>
      </c>
      <c r="J12" s="268"/>
      <c r="K12" s="268"/>
      <c r="L12" s="268"/>
      <c r="M12" s="276">
        <v>0.1</v>
      </c>
      <c r="N12" s="268"/>
      <c r="O12" s="270"/>
    </row>
    <row r="13" spans="1:15" s="132" customFormat="1" ht="14.25" x14ac:dyDescent="0.2">
      <c r="A13" s="275" t="s">
        <v>1471</v>
      </c>
      <c r="B13" s="268"/>
      <c r="C13" s="268"/>
      <c r="D13" s="268"/>
      <c r="E13" s="276">
        <v>1.7100000000000001E-2</v>
      </c>
      <c r="F13" s="268"/>
      <c r="G13" s="270"/>
      <c r="H13" s="271"/>
      <c r="I13" s="275" t="s">
        <v>1471</v>
      </c>
      <c r="J13" s="268"/>
      <c r="K13" s="268"/>
      <c r="L13" s="268"/>
      <c r="M13" s="276">
        <v>1.7100000000000001E-2</v>
      </c>
      <c r="N13" s="268"/>
      <c r="O13" s="270"/>
    </row>
    <row r="14" spans="1:15" s="132" customFormat="1" ht="14.25" x14ac:dyDescent="0.2">
      <c r="A14" s="275" t="s">
        <v>1470</v>
      </c>
      <c r="B14" s="268"/>
      <c r="C14" s="268"/>
      <c r="D14" s="268"/>
      <c r="E14" s="276">
        <v>5.0000000000000001E-3</v>
      </c>
      <c r="F14" s="268"/>
      <c r="G14" s="270"/>
      <c r="H14" s="271"/>
      <c r="I14" s="275" t="s">
        <v>1470</v>
      </c>
      <c r="J14" s="268"/>
      <c r="K14" s="268"/>
      <c r="L14" s="268"/>
      <c r="M14" s="276">
        <v>5.0000000000000001E-3</v>
      </c>
      <c r="N14" s="268"/>
      <c r="O14" s="270"/>
    </row>
    <row r="15" spans="1:15" s="132" customFormat="1" ht="14.25" x14ac:dyDescent="0.2">
      <c r="A15" s="275" t="s">
        <v>1466</v>
      </c>
      <c r="B15" s="268"/>
      <c r="C15" s="268"/>
      <c r="D15" s="268"/>
      <c r="E15" s="276">
        <f>+E14</f>
        <v>5.0000000000000001E-3</v>
      </c>
      <c r="F15" s="268"/>
      <c r="G15" s="270"/>
      <c r="H15" s="271"/>
      <c r="I15" s="275" t="s">
        <v>1466</v>
      </c>
      <c r="J15" s="268"/>
      <c r="K15" s="268"/>
      <c r="L15" s="268"/>
      <c r="M15" s="276">
        <f>+M14</f>
        <v>5.0000000000000001E-3</v>
      </c>
      <c r="N15" s="268"/>
      <c r="O15" s="270"/>
    </row>
    <row r="16" spans="1:15" s="132" customFormat="1" x14ac:dyDescent="0.25">
      <c r="A16" s="273" t="s">
        <v>1469</v>
      </c>
      <c r="B16" s="268"/>
      <c r="C16" s="268"/>
      <c r="D16" s="268"/>
      <c r="E16" s="276"/>
      <c r="F16" s="274">
        <f>+SUM(E17:E26)</f>
        <v>0.83360000000000001</v>
      </c>
      <c r="G16" s="270">
        <f>(G8+G11+G9)*F16</f>
        <v>0</v>
      </c>
      <c r="H16" s="271"/>
      <c r="I16" s="273" t="s">
        <v>1469</v>
      </c>
      <c r="J16" s="268"/>
      <c r="K16" s="268"/>
      <c r="L16" s="268"/>
      <c r="M16" s="276"/>
      <c r="N16" s="274">
        <f>+SUM(M17:M26)</f>
        <v>0.83360000000000001</v>
      </c>
      <c r="O16" s="270">
        <f>(O8+O11+O9)*N16</f>
        <v>0</v>
      </c>
    </row>
    <row r="17" spans="1:15" s="132" customFormat="1" ht="14.25" x14ac:dyDescent="0.2">
      <c r="A17" s="275" t="s">
        <v>1468</v>
      </c>
      <c r="B17" s="268"/>
      <c r="C17" s="268"/>
      <c r="D17" s="268"/>
      <c r="E17" s="276">
        <v>0.1</v>
      </c>
      <c r="F17" s="268"/>
      <c r="G17" s="270"/>
      <c r="H17" s="271"/>
      <c r="I17" s="275" t="s">
        <v>1468</v>
      </c>
      <c r="J17" s="268"/>
      <c r="K17" s="268"/>
      <c r="L17" s="268"/>
      <c r="M17" s="276">
        <v>0.1</v>
      </c>
      <c r="N17" s="268"/>
      <c r="O17" s="270"/>
    </row>
    <row r="18" spans="1:15" s="132" customFormat="1" ht="14.25" x14ac:dyDescent="0.2">
      <c r="A18" s="275" t="s">
        <v>1466</v>
      </c>
      <c r="B18" s="268"/>
      <c r="C18" s="268"/>
      <c r="D18" s="268"/>
      <c r="E18" s="276">
        <v>0.03</v>
      </c>
      <c r="F18" s="268"/>
      <c r="G18" s="270"/>
      <c r="H18" s="271"/>
      <c r="I18" s="275" t="s">
        <v>1466</v>
      </c>
      <c r="J18" s="268"/>
      <c r="K18" s="268"/>
      <c r="L18" s="268"/>
      <c r="M18" s="276">
        <v>0.03</v>
      </c>
      <c r="N18" s="268"/>
      <c r="O18" s="270"/>
    </row>
    <row r="19" spans="1:15" s="132" customFormat="1" ht="14.25" x14ac:dyDescent="0.2">
      <c r="A19" s="275" t="s">
        <v>1465</v>
      </c>
      <c r="B19" s="268"/>
      <c r="C19" s="268"/>
      <c r="D19" s="268"/>
      <c r="E19" s="276">
        <v>3.7100000000000001E-2</v>
      </c>
      <c r="F19" s="268"/>
      <c r="G19" s="270"/>
      <c r="H19" s="271"/>
      <c r="I19" s="275" t="s">
        <v>1465</v>
      </c>
      <c r="J19" s="268"/>
      <c r="K19" s="268"/>
      <c r="L19" s="268"/>
      <c r="M19" s="276">
        <v>3.7100000000000001E-2</v>
      </c>
      <c r="N19" s="268"/>
      <c r="O19" s="270"/>
    </row>
    <row r="20" spans="1:15" s="132" customFormat="1" ht="14.25" x14ac:dyDescent="0.2">
      <c r="A20" s="275" t="s">
        <v>1500</v>
      </c>
      <c r="B20" s="268"/>
      <c r="C20" s="268"/>
      <c r="D20" s="268"/>
      <c r="E20" s="276">
        <f>+IF('HOJA DE TRABAJO'!$J$17="SI",0,IF('HOJA DE TRABAJO'!$J$17="NO",0.0833,))</f>
        <v>8.3299999999999999E-2</v>
      </c>
      <c r="F20" s="268"/>
      <c r="G20" s="270"/>
      <c r="H20" s="271"/>
      <c r="I20" s="275" t="s">
        <v>1500</v>
      </c>
      <c r="J20" s="268"/>
      <c r="K20" s="268"/>
      <c r="L20" s="268"/>
      <c r="M20" s="276">
        <f>+IF('HOJA DE TRABAJO'!$J$17="SI",0,IF('HOJA DE TRABAJO'!$J$17="NO",0.0833,))</f>
        <v>8.3299999999999999E-2</v>
      </c>
      <c r="N20" s="268"/>
      <c r="O20" s="270"/>
    </row>
    <row r="21" spans="1:15" s="132" customFormat="1" ht="14.25" x14ac:dyDescent="0.2">
      <c r="A21" s="275" t="s">
        <v>1463</v>
      </c>
      <c r="B21" s="268"/>
      <c r="C21" s="268"/>
      <c r="D21" s="268"/>
      <c r="E21" s="276">
        <f>+IF('HOJA DE TRABAJO'!$J$17="SI",0,IF('HOJA DE TRABAJO'!$J$17="NO",0.0833,))</f>
        <v>8.3299999999999999E-2</v>
      </c>
      <c r="F21" s="268"/>
      <c r="G21" s="270"/>
      <c r="H21" s="271"/>
      <c r="I21" s="275" t="s">
        <v>1463</v>
      </c>
      <c r="J21" s="268"/>
      <c r="K21" s="268"/>
      <c r="L21" s="268"/>
      <c r="M21" s="276">
        <f>+IF('HOJA DE TRABAJO'!$J$17="SI",0,IF('HOJA DE TRABAJO'!$J$17="NO",0.0833,))</f>
        <v>8.3299999999999999E-2</v>
      </c>
      <c r="N21" s="268"/>
      <c r="O21" s="270"/>
    </row>
    <row r="22" spans="1:15" s="132" customFormat="1" ht="14.25" x14ac:dyDescent="0.2">
      <c r="A22" s="275" t="str">
        <f>+'HOJA DE TRABAJO'!$B$29</f>
        <v xml:space="preserve">Previsión Segundo  Aguinaldo </v>
      </c>
      <c r="B22" s="268"/>
      <c r="C22" s="268"/>
      <c r="D22" s="268"/>
      <c r="E22" s="276">
        <f>+'HOJA DE TRABAJO'!$E$29</f>
        <v>8.3299999999999999E-2</v>
      </c>
      <c r="F22" s="268"/>
      <c r="G22" s="270"/>
      <c r="H22" s="271"/>
      <c r="I22" s="275" t="str">
        <f>+'HOJA DE TRABAJO'!$B$29</f>
        <v xml:space="preserve">Previsión Segundo  Aguinaldo </v>
      </c>
      <c r="J22" s="268"/>
      <c r="K22" s="268"/>
      <c r="L22" s="268"/>
      <c r="M22" s="276">
        <f>+'HOJA DE TRABAJO'!$E$29</f>
        <v>8.3299999999999999E-2</v>
      </c>
      <c r="N22" s="268"/>
      <c r="O22" s="270"/>
    </row>
    <row r="23" spans="1:15" s="132" customFormat="1" ht="14.25" x14ac:dyDescent="0.2">
      <c r="A23" s="275" t="str">
        <f>+'HOJA DE TRABAJO'!$B$30</f>
        <v>Seguro de Accidente</v>
      </c>
      <c r="B23" s="268"/>
      <c r="C23" s="268"/>
      <c r="D23" s="268"/>
      <c r="E23" s="276">
        <f>+'HOJA DE TRABAJO'!$E$30</f>
        <v>0</v>
      </c>
      <c r="F23" s="268"/>
      <c r="G23" s="270"/>
      <c r="H23" s="271"/>
      <c r="I23" s="275" t="str">
        <f>+'HOJA DE TRABAJO'!$B$30</f>
        <v>Seguro de Accidente</v>
      </c>
      <c r="J23" s="268"/>
      <c r="K23" s="268"/>
      <c r="L23" s="268"/>
      <c r="M23" s="276">
        <f>+'HOJA DE TRABAJO'!$E$30</f>
        <v>0</v>
      </c>
      <c r="N23" s="268"/>
      <c r="O23" s="270"/>
    </row>
    <row r="24" spans="1:15" s="132" customFormat="1" ht="14.25" x14ac:dyDescent="0.2">
      <c r="A24" s="275" t="str">
        <f>+'HOJA DE TRABAJO'!$B$31</f>
        <v xml:space="preserve">Vacaciones </v>
      </c>
      <c r="B24" s="268"/>
      <c r="C24" s="268"/>
      <c r="D24" s="268"/>
      <c r="E24" s="276">
        <f>+'HOJA DE TRABAJO'!$E$31</f>
        <v>0</v>
      </c>
      <c r="F24" s="268"/>
      <c r="G24" s="270"/>
      <c r="H24" s="271"/>
      <c r="I24" s="275" t="str">
        <f>+'HOJA DE TRABAJO'!$B$31</f>
        <v xml:space="preserve">Vacaciones </v>
      </c>
      <c r="J24" s="268"/>
      <c r="K24" s="268"/>
      <c r="L24" s="268"/>
      <c r="M24" s="276">
        <f>+'HOJA DE TRABAJO'!$E$31</f>
        <v>0</v>
      </c>
      <c r="N24" s="268"/>
      <c r="O24" s="270"/>
    </row>
    <row r="25" spans="1:15" s="132" customFormat="1" ht="14.25" x14ac:dyDescent="0.2">
      <c r="A25" s="275" t="str">
        <f>+'HOJA DE TRABAJO'!$F$29</f>
        <v xml:space="preserve">Previsicion de Subsidio </v>
      </c>
      <c r="B25" s="268"/>
      <c r="C25" s="268"/>
      <c r="D25" s="268"/>
      <c r="E25" s="276">
        <f>+'HOJA DE TRABAJO'!$L$29</f>
        <v>0.33329999999999999</v>
      </c>
      <c r="F25" s="268"/>
      <c r="G25" s="270"/>
      <c r="H25" s="271"/>
      <c r="I25" s="275" t="str">
        <f>+'HOJA DE TRABAJO'!$F$29</f>
        <v xml:space="preserve">Previsicion de Subsidio </v>
      </c>
      <c r="J25" s="268"/>
      <c r="K25" s="268"/>
      <c r="L25" s="268"/>
      <c r="M25" s="276">
        <f>+'HOJA DE TRABAJO'!$L$29</f>
        <v>0.33329999999999999</v>
      </c>
      <c r="N25" s="268"/>
      <c r="O25" s="270"/>
    </row>
    <row r="26" spans="1:15" s="132" customFormat="1" ht="14.25" x14ac:dyDescent="0.2">
      <c r="A26" s="275" t="str">
        <f>+'HOJA DE TRABAJO'!$F$30</f>
        <v>Previsicion de Desahucio</v>
      </c>
      <c r="B26" s="268"/>
      <c r="C26" s="268"/>
      <c r="D26" s="268"/>
      <c r="E26" s="276">
        <f>+'HOJA DE TRABAJO'!$L$30</f>
        <v>8.3299999999999999E-2</v>
      </c>
      <c r="F26" s="268"/>
      <c r="G26" s="270"/>
      <c r="H26" s="271"/>
      <c r="I26" s="275" t="str">
        <f>+'HOJA DE TRABAJO'!$F$30</f>
        <v>Previsicion de Desahucio</v>
      </c>
      <c r="J26" s="268"/>
      <c r="K26" s="268"/>
      <c r="L26" s="268"/>
      <c r="M26" s="276">
        <f>+'HOJA DE TRABAJO'!$L$30</f>
        <v>8.3299999999999999E-2</v>
      </c>
      <c r="N26" s="268"/>
      <c r="O26" s="270"/>
    </row>
    <row r="27" spans="1:15" s="132" customFormat="1" ht="14.25" x14ac:dyDescent="0.2">
      <c r="A27" s="277" t="s">
        <v>1461</v>
      </c>
      <c r="B27" s="268"/>
      <c r="C27" s="268"/>
      <c r="D27" s="268"/>
      <c r="E27" s="276"/>
      <c r="F27" s="268"/>
      <c r="G27" s="270">
        <f>IF(G4=0,0,(('HOJA DE TRABAJO'!$U$108)/'HOJA DE TRABAJO'!$BA$44))</f>
        <v>0</v>
      </c>
      <c r="H27" s="337"/>
      <c r="I27" s="277" t="s">
        <v>1461</v>
      </c>
      <c r="J27" s="268"/>
      <c r="K27" s="268"/>
      <c r="L27" s="268"/>
      <c r="M27" s="276"/>
      <c r="N27" s="268"/>
      <c r="O27" s="270">
        <f>IF(O4=0,0,(('HOJA DE TRABAJO'!$U$108)/'HOJA DE TRABAJO'!$BA$44))</f>
        <v>0</v>
      </c>
    </row>
    <row r="28" spans="1:15" s="132" customFormat="1" ht="14.25" x14ac:dyDescent="0.2">
      <c r="A28" s="277" t="s">
        <v>1504</v>
      </c>
      <c r="B28" s="268"/>
      <c r="C28" s="268"/>
      <c r="D28" s="268"/>
      <c r="E28" s="274">
        <f>+'HOJA DE TRABAJO'!$H$116*'HOJA DE TRABAJO'!$F$19</f>
        <v>1.6346153846153847E-2</v>
      </c>
      <c r="F28" s="268"/>
      <c r="G28" s="270">
        <f>(SUM(G7:G27)*E28)+IF(G4=0,0,'HOJA DE TRABAJO'!$J$119)</f>
        <v>0</v>
      </c>
      <c r="H28" s="271"/>
      <c r="I28" s="277" t="s">
        <v>1503</v>
      </c>
      <c r="J28" s="268"/>
      <c r="K28" s="268"/>
      <c r="L28" s="268"/>
      <c r="M28" s="274">
        <f>+'HOJA DE TRABAJO'!$H$116*'HOJA DE TRABAJO'!$F$19</f>
        <v>1.6346153846153847E-2</v>
      </c>
      <c r="N28" s="268"/>
      <c r="O28" s="270">
        <f>(SUM(O7:O27)*M28)+IF(O4=0,0,'HOJA DE TRABAJO'!$J$119)</f>
        <v>0</v>
      </c>
    </row>
    <row r="29" spans="1:15" s="132" customFormat="1" ht="14.25" x14ac:dyDescent="0.2">
      <c r="A29" s="278" t="s">
        <v>1460</v>
      </c>
      <c r="B29" s="279"/>
      <c r="C29" s="279"/>
      <c r="D29" s="279"/>
      <c r="E29" s="280">
        <f>+'HOJA 1 aux'!E29</f>
        <v>0.13</v>
      </c>
      <c r="F29" s="279"/>
      <c r="G29" s="281">
        <f>+SUM(G6:G28)*E29</f>
        <v>0</v>
      </c>
      <c r="H29" s="282"/>
      <c r="I29" s="278" t="s">
        <v>1460</v>
      </c>
      <c r="J29" s="279"/>
      <c r="K29" s="279"/>
      <c r="L29" s="279"/>
      <c r="M29" s="280">
        <f>+E29</f>
        <v>0.13</v>
      </c>
      <c r="N29" s="279"/>
      <c r="O29" s="281">
        <f>+SUM(O6:O28)*M29</f>
        <v>0</v>
      </c>
    </row>
    <row r="30" spans="1:15" s="132" customFormat="1" x14ac:dyDescent="0.25">
      <c r="A30" s="283" t="s">
        <v>1459</v>
      </c>
      <c r="B30" s="284"/>
      <c r="C30" s="284"/>
      <c r="D30" s="284"/>
      <c r="E30" s="284"/>
      <c r="F30" s="284"/>
      <c r="G30" s="285">
        <f>+SUM(G7:G29)</f>
        <v>0</v>
      </c>
      <c r="H30" s="286"/>
      <c r="I30" s="283" t="s">
        <v>1459</v>
      </c>
      <c r="J30" s="284"/>
      <c r="K30" s="284"/>
      <c r="L30" s="284"/>
      <c r="M30" s="284"/>
      <c r="N30" s="284"/>
      <c r="O30" s="285">
        <f>+SUM(O7:O29)</f>
        <v>0</v>
      </c>
    </row>
    <row r="31" spans="1:15" s="132" customFormat="1" ht="14.25" x14ac:dyDescent="0.2">
      <c r="A31" s="277" t="s">
        <v>1458</v>
      </c>
      <c r="B31" s="268"/>
      <c r="C31" s="268"/>
      <c r="D31" s="268"/>
      <c r="E31" s="274">
        <f>+B32+B33</f>
        <v>0.16</v>
      </c>
      <c r="F31" s="268"/>
      <c r="G31" s="270">
        <f>+G34-G30</f>
        <v>0</v>
      </c>
      <c r="H31" s="271"/>
      <c r="I31" s="277" t="s">
        <v>1458</v>
      </c>
      <c r="J31" s="268"/>
      <c r="K31" s="268"/>
      <c r="L31" s="268"/>
      <c r="M31" s="274">
        <f>+J32+J33</f>
        <v>0.16</v>
      </c>
      <c r="N31" s="268"/>
      <c r="O31" s="270">
        <f>+O34-O30</f>
        <v>0</v>
      </c>
    </row>
    <row r="32" spans="1:15" s="132" customFormat="1" ht="14.25" x14ac:dyDescent="0.2">
      <c r="A32" s="287" t="s">
        <v>1457</v>
      </c>
      <c r="B32" s="288">
        <v>0.13</v>
      </c>
      <c r="C32" s="268"/>
      <c r="D32" s="268"/>
      <c r="E32" s="276"/>
      <c r="F32" s="268"/>
      <c r="G32" s="270"/>
      <c r="H32" s="271"/>
      <c r="I32" s="287" t="s">
        <v>1457</v>
      </c>
      <c r="J32" s="288">
        <v>0.13</v>
      </c>
      <c r="K32" s="268"/>
      <c r="L32" s="268"/>
      <c r="M32" s="276"/>
      <c r="N32" s="268"/>
      <c r="O32" s="270"/>
    </row>
    <row r="33" spans="1:15" s="132" customFormat="1" ht="14.25" x14ac:dyDescent="0.2">
      <c r="A33" s="289" t="s">
        <v>1456</v>
      </c>
      <c r="B33" s="290">
        <v>0.03</v>
      </c>
      <c r="C33" s="279"/>
      <c r="D33" s="279"/>
      <c r="E33" s="291"/>
      <c r="F33" s="279"/>
      <c r="G33" s="281"/>
      <c r="H33" s="282"/>
      <c r="I33" s="289" t="s">
        <v>1456</v>
      </c>
      <c r="J33" s="290">
        <v>0.03</v>
      </c>
      <c r="K33" s="279"/>
      <c r="L33" s="279"/>
      <c r="M33" s="291"/>
      <c r="N33" s="279"/>
      <c r="O33" s="281"/>
    </row>
    <row r="34" spans="1:15" s="132" customFormat="1" x14ac:dyDescent="0.25">
      <c r="A34" s="283" t="s">
        <v>1519</v>
      </c>
      <c r="B34" s="284"/>
      <c r="C34" s="284"/>
      <c r="D34" s="284"/>
      <c r="E34" s="284"/>
      <c r="F34" s="284"/>
      <c r="G34" s="285">
        <f>IFERROR((G30/0.84),0)</f>
        <v>0</v>
      </c>
      <c r="H34" s="286"/>
      <c r="I34" s="283" t="s">
        <v>1519</v>
      </c>
      <c r="J34" s="284"/>
      <c r="K34" s="284"/>
      <c r="L34" s="284"/>
      <c r="M34" s="284"/>
      <c r="N34" s="284"/>
      <c r="O34" s="285">
        <f>IFERROR((O30/0.84),0)</f>
        <v>0</v>
      </c>
    </row>
    <row r="35" spans="1:15" s="132" customFormat="1" ht="14.25" x14ac:dyDescent="0.2">
      <c r="H35" s="133"/>
    </row>
    <row r="36" spans="1:15" s="132" customFormat="1" ht="14.25" x14ac:dyDescent="0.2">
      <c r="H36" s="133"/>
    </row>
    <row r="37" spans="1:15" s="132" customFormat="1" outlineLevel="1" x14ac:dyDescent="0.25">
      <c r="A37" s="292" t="s">
        <v>1477</v>
      </c>
      <c r="B37" s="292"/>
      <c r="C37" s="292"/>
      <c r="D37" s="292"/>
      <c r="E37" s="268"/>
      <c r="F37" s="292" t="s">
        <v>11</v>
      </c>
      <c r="G37" s="292">
        <f>+'HOJA DE TRABAJO'!AL40</f>
        <v>0</v>
      </c>
      <c r="H37" s="293"/>
      <c r="I37" s="292" t="s">
        <v>1477</v>
      </c>
      <c r="J37" s="292"/>
      <c r="K37" s="292"/>
      <c r="L37" s="292"/>
      <c r="M37" s="268"/>
      <c r="N37" s="292" t="s">
        <v>11</v>
      </c>
      <c r="O37" s="292">
        <f>+'HOJA DE TRABAJO'!AL41</f>
        <v>0</v>
      </c>
    </row>
    <row r="38" spans="1:15" s="132" customFormat="1" outlineLevel="1" x14ac:dyDescent="0.25">
      <c r="A38" s="294"/>
      <c r="B38" s="294" t="s">
        <v>1476</v>
      </c>
      <c r="C38" s="588">
        <f>+'HOJA DE TRABAJO'!C40:E40</f>
        <v>0</v>
      </c>
      <c r="D38" s="588"/>
      <c r="E38" s="588"/>
      <c r="F38" s="294"/>
      <c r="G38" s="294"/>
      <c r="H38" s="269"/>
      <c r="I38" s="294"/>
      <c r="J38" s="294" t="s">
        <v>1476</v>
      </c>
      <c r="K38" s="588">
        <f>+'HOJA DE TRABAJO'!C41</f>
        <v>0</v>
      </c>
      <c r="L38" s="588"/>
      <c r="M38" s="588"/>
      <c r="N38" s="294"/>
      <c r="O38" s="294"/>
    </row>
    <row r="39" spans="1:15" s="132" customFormat="1" ht="14.25" outlineLevel="1" x14ac:dyDescent="0.2">
      <c r="A39" s="587" t="s">
        <v>1478</v>
      </c>
      <c r="B39" s="587"/>
      <c r="C39" s="587"/>
      <c r="D39" s="587"/>
      <c r="E39" s="587"/>
      <c r="F39" s="587"/>
      <c r="G39" s="587"/>
      <c r="H39" s="133"/>
      <c r="I39" s="587" t="s">
        <v>1478</v>
      </c>
      <c r="J39" s="587"/>
      <c r="K39" s="587"/>
      <c r="L39" s="587"/>
      <c r="M39" s="587"/>
      <c r="N39" s="587"/>
      <c r="O39" s="587"/>
    </row>
    <row r="40" spans="1:15" s="132" customFormat="1" ht="14.25" outlineLevel="1" x14ac:dyDescent="0.2">
      <c r="A40" s="268" t="s">
        <v>1475</v>
      </c>
      <c r="B40" s="268"/>
      <c r="C40" s="268"/>
      <c r="D40" s="268"/>
      <c r="E40" s="268"/>
      <c r="F40" s="268"/>
      <c r="G40" s="270">
        <f>+'HOJA DE TRABAJO'!AM40</f>
        <v>0</v>
      </c>
      <c r="H40" s="271"/>
      <c r="I40" s="268" t="str">
        <f>A40</f>
        <v>Costo líquido por Supervisor  (líquido pagable Bs.)</v>
      </c>
      <c r="J40" s="268"/>
      <c r="K40" s="268"/>
      <c r="L40" s="268"/>
      <c r="M40" s="268"/>
      <c r="N40" s="268"/>
      <c r="O40" s="270">
        <f>+'HOJA DE TRABAJO'!AM41</f>
        <v>0</v>
      </c>
    </row>
    <row r="41" spans="1:15" s="132" customFormat="1" ht="14.25" outlineLevel="1" x14ac:dyDescent="0.2">
      <c r="A41" s="268" t="s">
        <v>1588</v>
      </c>
      <c r="B41" s="268"/>
      <c r="C41" s="268"/>
      <c r="D41" s="268"/>
      <c r="E41" s="268"/>
      <c r="F41" s="268"/>
      <c r="G41" s="270">
        <f>IF(G40=0,0,SUM('HOJA DE TRABAJO'!$R$29:$R$31))</f>
        <v>0</v>
      </c>
      <c r="H41" s="271"/>
      <c r="I41" s="268" t="s">
        <v>1588</v>
      </c>
      <c r="J41" s="268"/>
      <c r="K41" s="268"/>
      <c r="L41" s="268"/>
      <c r="M41" s="268"/>
      <c r="N41" s="268"/>
      <c r="O41" s="270">
        <f>IF(O40=0,0,SUM('HOJA DE TRABAJO'!$R$29:$R$31))</f>
        <v>0</v>
      </c>
    </row>
    <row r="42" spans="1:15" s="132" customFormat="1" ht="14.25" outlineLevel="1" x14ac:dyDescent="0.2">
      <c r="A42" s="272" t="s">
        <v>1474</v>
      </c>
      <c r="B42" s="268"/>
      <c r="C42" s="268"/>
      <c r="D42" s="268"/>
      <c r="E42" s="268"/>
      <c r="F42" s="268"/>
      <c r="G42" s="270"/>
      <c r="H42" s="271"/>
      <c r="I42" s="272" t="s">
        <v>1474</v>
      </c>
      <c r="J42" s="268"/>
      <c r="K42" s="268"/>
      <c r="L42" s="268"/>
      <c r="M42" s="268"/>
      <c r="N42" s="268"/>
      <c r="O42" s="270"/>
    </row>
    <row r="43" spans="1:15" s="132" customFormat="1" outlineLevel="1" x14ac:dyDescent="0.25">
      <c r="A43" s="273" t="s">
        <v>1473</v>
      </c>
      <c r="B43" s="268"/>
      <c r="C43" s="268"/>
      <c r="D43" s="268"/>
      <c r="E43" s="268"/>
      <c r="F43" s="274">
        <f>+SUM(E44:E47)</f>
        <v>0.12710000000000002</v>
      </c>
      <c r="G43" s="270">
        <f>+(G40*100/87.29-G40)+(F43*G41)</f>
        <v>0</v>
      </c>
      <c r="H43" s="271"/>
      <c r="I43" s="273" t="s">
        <v>1473</v>
      </c>
      <c r="J43" s="268"/>
      <c r="K43" s="268"/>
      <c r="L43" s="268"/>
      <c r="M43" s="268"/>
      <c r="N43" s="274">
        <f>+SUM(M44:M47)</f>
        <v>0.12710000000000002</v>
      </c>
      <c r="O43" s="270">
        <f>+(O40*100/87.29-O40)+(N43*O41)</f>
        <v>0</v>
      </c>
    </row>
    <row r="44" spans="1:15" s="132" customFormat="1" ht="14.25" outlineLevel="1" x14ac:dyDescent="0.2">
      <c r="A44" s="275" t="s">
        <v>1472</v>
      </c>
      <c r="B44" s="268"/>
      <c r="C44" s="268"/>
      <c r="D44" s="268"/>
      <c r="E44" s="276">
        <v>0.1</v>
      </c>
      <c r="F44" s="268"/>
      <c r="G44" s="270"/>
      <c r="H44" s="271"/>
      <c r="I44" s="275" t="s">
        <v>1472</v>
      </c>
      <c r="J44" s="268"/>
      <c r="K44" s="268"/>
      <c r="L44" s="268"/>
      <c r="M44" s="276">
        <v>0.1</v>
      </c>
      <c r="N44" s="268"/>
      <c r="O44" s="270"/>
    </row>
    <row r="45" spans="1:15" s="132" customFormat="1" ht="14.25" outlineLevel="1" x14ac:dyDescent="0.2">
      <c r="A45" s="275" t="s">
        <v>1471</v>
      </c>
      <c r="B45" s="268"/>
      <c r="C45" s="268"/>
      <c r="D45" s="268"/>
      <c r="E45" s="276">
        <v>1.7100000000000001E-2</v>
      </c>
      <c r="F45" s="268"/>
      <c r="G45" s="270"/>
      <c r="H45" s="271"/>
      <c r="I45" s="275" t="s">
        <v>1471</v>
      </c>
      <c r="J45" s="268"/>
      <c r="K45" s="268"/>
      <c r="L45" s="268"/>
      <c r="M45" s="276">
        <v>1.7100000000000001E-2</v>
      </c>
      <c r="N45" s="268"/>
      <c r="O45" s="270"/>
    </row>
    <row r="46" spans="1:15" s="132" customFormat="1" ht="14.25" outlineLevel="1" x14ac:dyDescent="0.2">
      <c r="A46" s="275" t="s">
        <v>1470</v>
      </c>
      <c r="B46" s="268"/>
      <c r="C46" s="268"/>
      <c r="D46" s="268"/>
      <c r="E46" s="276">
        <v>5.0000000000000001E-3</v>
      </c>
      <c r="F46" s="268"/>
      <c r="G46" s="270"/>
      <c r="H46" s="271"/>
      <c r="I46" s="275" t="s">
        <v>1470</v>
      </c>
      <c r="J46" s="268"/>
      <c r="K46" s="268"/>
      <c r="L46" s="268"/>
      <c r="M46" s="276">
        <v>5.0000000000000001E-3</v>
      </c>
      <c r="N46" s="268"/>
      <c r="O46" s="270"/>
    </row>
    <row r="47" spans="1:15" s="132" customFormat="1" ht="14.25" outlineLevel="1" x14ac:dyDescent="0.2">
      <c r="A47" s="275" t="s">
        <v>1466</v>
      </c>
      <c r="B47" s="268"/>
      <c r="C47" s="268"/>
      <c r="D47" s="268"/>
      <c r="E47" s="276">
        <f>+E46</f>
        <v>5.0000000000000001E-3</v>
      </c>
      <c r="F47" s="268"/>
      <c r="G47" s="270"/>
      <c r="H47" s="271"/>
      <c r="I47" s="275" t="s">
        <v>1466</v>
      </c>
      <c r="J47" s="268"/>
      <c r="K47" s="268"/>
      <c r="L47" s="268"/>
      <c r="M47" s="276">
        <f>+M46</f>
        <v>5.0000000000000001E-3</v>
      </c>
      <c r="N47" s="268"/>
      <c r="O47" s="270"/>
    </row>
    <row r="48" spans="1:15" s="132" customFormat="1" outlineLevel="1" x14ac:dyDescent="0.25">
      <c r="A48" s="273" t="s">
        <v>1469</v>
      </c>
      <c r="B48" s="268"/>
      <c r="C48" s="268"/>
      <c r="D48" s="268"/>
      <c r="E48" s="276"/>
      <c r="F48" s="274">
        <f>+SUM(E49:E59)</f>
        <v>0.83360000000000001</v>
      </c>
      <c r="G48" s="270">
        <f>(G40+G43+G41)*F48</f>
        <v>0</v>
      </c>
      <c r="H48" s="271"/>
      <c r="I48" s="273" t="s">
        <v>1469</v>
      </c>
      <c r="J48" s="268"/>
      <c r="K48" s="268"/>
      <c r="L48" s="268"/>
      <c r="M48" s="276"/>
      <c r="N48" s="274">
        <f>+SUM(M49:M58)</f>
        <v>0.75029999999999997</v>
      </c>
      <c r="O48" s="270">
        <f>(O40+O43+O41)*N48</f>
        <v>0</v>
      </c>
    </row>
    <row r="49" spans="1:15" s="132" customFormat="1" ht="14.25" outlineLevel="1" x14ac:dyDescent="0.2">
      <c r="A49" s="275" t="s">
        <v>1468</v>
      </c>
      <c r="B49" s="268"/>
      <c r="C49" s="268"/>
      <c r="D49" s="268"/>
      <c r="E49" s="276">
        <v>0.1</v>
      </c>
      <c r="F49" s="268"/>
      <c r="G49" s="270"/>
      <c r="H49" s="271"/>
      <c r="I49" s="275" t="s">
        <v>1468</v>
      </c>
      <c r="J49" s="268"/>
      <c r="K49" s="268"/>
      <c r="L49" s="268"/>
      <c r="M49" s="276">
        <v>0.1</v>
      </c>
      <c r="N49" s="268"/>
      <c r="O49" s="270"/>
    </row>
    <row r="50" spans="1:15" s="132" customFormat="1" ht="14.25" outlineLevel="1" x14ac:dyDescent="0.2">
      <c r="A50" s="275" t="s">
        <v>1467</v>
      </c>
      <c r="B50" s="268"/>
      <c r="C50" s="268"/>
      <c r="D50" s="268"/>
      <c r="E50" s="276"/>
      <c r="F50" s="268"/>
      <c r="G50" s="270"/>
      <c r="H50" s="271"/>
      <c r="I50" s="275" t="s">
        <v>1467</v>
      </c>
      <c r="J50" s="268"/>
      <c r="K50" s="268"/>
      <c r="L50" s="268"/>
      <c r="M50" s="276"/>
      <c r="N50" s="268"/>
      <c r="O50" s="270"/>
    </row>
    <row r="51" spans="1:15" s="132" customFormat="1" ht="14.25" outlineLevel="1" x14ac:dyDescent="0.2">
      <c r="A51" s="275" t="s">
        <v>1466</v>
      </c>
      <c r="B51" s="268"/>
      <c r="C51" s="268"/>
      <c r="D51" s="268"/>
      <c r="E51" s="276">
        <v>0.03</v>
      </c>
      <c r="F51" s="268"/>
      <c r="G51" s="270"/>
      <c r="H51" s="271"/>
      <c r="I51" s="275" t="s">
        <v>1466</v>
      </c>
      <c r="J51" s="268"/>
      <c r="K51" s="268"/>
      <c r="L51" s="268"/>
      <c r="M51" s="276">
        <v>0.03</v>
      </c>
      <c r="N51" s="268"/>
      <c r="O51" s="270"/>
    </row>
    <row r="52" spans="1:15" s="132" customFormat="1" ht="14.25" outlineLevel="1" x14ac:dyDescent="0.2">
      <c r="A52" s="275" t="s">
        <v>1465</v>
      </c>
      <c r="B52" s="268"/>
      <c r="C52" s="268"/>
      <c r="D52" s="268"/>
      <c r="E52" s="276">
        <v>3.7100000000000001E-2</v>
      </c>
      <c r="F52" s="268"/>
      <c r="G52" s="270"/>
      <c r="H52" s="271"/>
      <c r="I52" s="275" t="s">
        <v>1465</v>
      </c>
      <c r="J52" s="268"/>
      <c r="K52" s="268"/>
      <c r="L52" s="268"/>
      <c r="M52" s="276">
        <v>3.7100000000000001E-2</v>
      </c>
      <c r="N52" s="268"/>
      <c r="O52" s="270"/>
    </row>
    <row r="53" spans="1:15" s="132" customFormat="1" ht="14.25" outlineLevel="1" x14ac:dyDescent="0.2">
      <c r="A53" s="275" t="s">
        <v>1500</v>
      </c>
      <c r="B53" s="268"/>
      <c r="C53" s="268"/>
      <c r="D53" s="268"/>
      <c r="E53" s="276">
        <f>+IF('HOJA DE TRABAJO'!$J$17="SI",0,IF('HOJA DE TRABAJO'!$J$17="NO",0.0833,))</f>
        <v>8.3299999999999999E-2</v>
      </c>
      <c r="F53" s="268"/>
      <c r="G53" s="270"/>
      <c r="H53" s="271"/>
      <c r="I53" s="275" t="s">
        <v>1500</v>
      </c>
      <c r="J53" s="268"/>
      <c r="K53" s="268"/>
      <c r="L53" s="268"/>
      <c r="M53" s="276">
        <f>+IF('HOJA DE TRABAJO'!$J$17="SI",0,IF('HOJA DE TRABAJO'!$J$17="NO",0.0833,))</f>
        <v>8.3299999999999999E-2</v>
      </c>
      <c r="N53" s="268"/>
      <c r="O53" s="270"/>
    </row>
    <row r="54" spans="1:15" s="132" customFormat="1" ht="14.25" outlineLevel="1" x14ac:dyDescent="0.2">
      <c r="A54" s="275" t="s">
        <v>1463</v>
      </c>
      <c r="B54" s="268"/>
      <c r="C54" s="268"/>
      <c r="D54" s="268"/>
      <c r="E54" s="276">
        <f>+IF('HOJA DE TRABAJO'!$J$17="SI",0,IF('HOJA DE TRABAJO'!$J$17="NO",0.0833,))</f>
        <v>8.3299999999999999E-2</v>
      </c>
      <c r="F54" s="268"/>
      <c r="G54" s="270"/>
      <c r="H54" s="271"/>
      <c r="I54" s="275" t="s">
        <v>1463</v>
      </c>
      <c r="J54" s="268"/>
      <c r="K54" s="268"/>
      <c r="L54" s="268"/>
      <c r="M54" s="276">
        <f>+IF('HOJA DE TRABAJO'!$J$17="SI",0,IF('HOJA DE TRABAJO'!$J$17="NO",0.0833,))</f>
        <v>8.3299999999999999E-2</v>
      </c>
      <c r="N54" s="268"/>
      <c r="O54" s="270"/>
    </row>
    <row r="55" spans="1:15" s="132" customFormat="1" ht="14.25" outlineLevel="1" x14ac:dyDescent="0.2">
      <c r="A55" s="275" t="str">
        <f>+'HOJA DE TRABAJO'!$B$29</f>
        <v xml:space="preserve">Previsión Segundo  Aguinaldo </v>
      </c>
      <c r="B55" s="268"/>
      <c r="C55" s="268"/>
      <c r="D55" s="268"/>
      <c r="E55" s="276">
        <f>+'HOJA DE TRABAJO'!$E$29</f>
        <v>8.3299999999999999E-2</v>
      </c>
      <c r="F55" s="268"/>
      <c r="G55" s="270"/>
      <c r="H55" s="271"/>
      <c r="I55" s="275" t="str">
        <f>+'HOJA DE TRABAJO'!$B$29</f>
        <v xml:space="preserve">Previsión Segundo  Aguinaldo </v>
      </c>
      <c r="J55" s="268"/>
      <c r="K55" s="268"/>
      <c r="L55" s="268"/>
      <c r="M55" s="276">
        <f>+'HOJA DE TRABAJO'!$E$29</f>
        <v>8.3299999999999999E-2</v>
      </c>
      <c r="N55" s="268"/>
      <c r="O55" s="270"/>
    </row>
    <row r="56" spans="1:15" s="132" customFormat="1" ht="14.25" outlineLevel="1" x14ac:dyDescent="0.2">
      <c r="A56" s="275" t="str">
        <f>+'HOJA DE TRABAJO'!$B$30</f>
        <v>Seguro de Accidente</v>
      </c>
      <c r="B56" s="268"/>
      <c r="C56" s="268"/>
      <c r="D56" s="268"/>
      <c r="E56" s="276">
        <f>+'HOJA DE TRABAJO'!$E$30</f>
        <v>0</v>
      </c>
      <c r="F56" s="268"/>
      <c r="G56" s="270"/>
      <c r="H56" s="271"/>
      <c r="I56" s="275" t="str">
        <f>+'HOJA DE TRABAJO'!$B$30</f>
        <v>Seguro de Accidente</v>
      </c>
      <c r="J56" s="268"/>
      <c r="K56" s="268"/>
      <c r="L56" s="268"/>
      <c r="M56" s="276">
        <f>+'HOJA DE TRABAJO'!$E$30</f>
        <v>0</v>
      </c>
      <c r="N56" s="268"/>
      <c r="O56" s="270"/>
    </row>
    <row r="57" spans="1:15" s="132" customFormat="1" ht="14.25" outlineLevel="1" x14ac:dyDescent="0.2">
      <c r="A57" s="275" t="str">
        <f>+'HOJA DE TRABAJO'!$B$31</f>
        <v xml:space="preserve">Vacaciones </v>
      </c>
      <c r="B57" s="268"/>
      <c r="C57" s="268"/>
      <c r="D57" s="268"/>
      <c r="E57" s="276">
        <f>+'HOJA DE TRABAJO'!$E$31</f>
        <v>0</v>
      </c>
      <c r="F57" s="268"/>
      <c r="G57" s="270"/>
      <c r="H57" s="271"/>
      <c r="I57" s="275" t="str">
        <f>+'HOJA DE TRABAJO'!$B$31</f>
        <v xml:space="preserve">Vacaciones </v>
      </c>
      <c r="J57" s="268"/>
      <c r="K57" s="268"/>
      <c r="L57" s="268"/>
      <c r="M57" s="276">
        <f>+'HOJA DE TRABAJO'!$E$31</f>
        <v>0</v>
      </c>
      <c r="N57" s="268"/>
      <c r="O57" s="270"/>
    </row>
    <row r="58" spans="1:15" s="132" customFormat="1" ht="14.25" outlineLevel="1" x14ac:dyDescent="0.2">
      <c r="A58" s="275" t="str">
        <f>+'HOJA DE TRABAJO'!$F$29</f>
        <v xml:space="preserve">Previsicion de Subsidio </v>
      </c>
      <c r="B58" s="268"/>
      <c r="C58" s="268"/>
      <c r="D58" s="268"/>
      <c r="E58" s="276">
        <f>+'HOJA DE TRABAJO'!$L$29</f>
        <v>0.33329999999999999</v>
      </c>
      <c r="F58" s="268"/>
      <c r="G58" s="270"/>
      <c r="H58" s="271"/>
      <c r="I58" s="275" t="str">
        <f>+'HOJA DE TRABAJO'!$F$29</f>
        <v xml:space="preserve">Previsicion de Subsidio </v>
      </c>
      <c r="J58" s="268"/>
      <c r="K58" s="268"/>
      <c r="L58" s="268"/>
      <c r="M58" s="276">
        <f>+'HOJA DE TRABAJO'!$L$29</f>
        <v>0.33329999999999999</v>
      </c>
      <c r="N58" s="268"/>
      <c r="O58" s="270"/>
    </row>
    <row r="59" spans="1:15" s="132" customFormat="1" ht="14.25" outlineLevel="1" x14ac:dyDescent="0.2">
      <c r="A59" s="275" t="str">
        <f>+'HOJA DE TRABAJO'!$F$30</f>
        <v>Previsicion de Desahucio</v>
      </c>
      <c r="B59" s="268"/>
      <c r="C59" s="268"/>
      <c r="D59" s="268"/>
      <c r="E59" s="276">
        <f>+'HOJA DE TRABAJO'!$L$30</f>
        <v>8.3299999999999999E-2</v>
      </c>
      <c r="F59" s="268"/>
      <c r="G59" s="270"/>
      <c r="H59" s="271"/>
      <c r="I59" s="275" t="str">
        <f>+'HOJA DE TRABAJO'!$F$30</f>
        <v>Previsicion de Desahucio</v>
      </c>
      <c r="J59" s="268"/>
      <c r="K59" s="268"/>
      <c r="L59" s="268"/>
      <c r="M59" s="276">
        <f>+'HOJA DE TRABAJO'!$L$30</f>
        <v>8.3299999999999999E-2</v>
      </c>
      <c r="N59" s="268"/>
      <c r="O59" s="270"/>
    </row>
    <row r="60" spans="1:15" s="132" customFormat="1" ht="14.25" outlineLevel="1" x14ac:dyDescent="0.2">
      <c r="A60" s="277" t="s">
        <v>1461</v>
      </c>
      <c r="B60" s="268"/>
      <c r="C60" s="268"/>
      <c r="D60" s="268"/>
      <c r="E60" s="276"/>
      <c r="F60" s="268"/>
      <c r="G60" s="270">
        <f>IF(G37=0,0,(('HOJA DE TRABAJO'!$U$108)/'HOJA DE TRABAJO'!$BA$44))</f>
        <v>0</v>
      </c>
      <c r="H60" s="337"/>
      <c r="I60" s="277" t="s">
        <v>1461</v>
      </c>
      <c r="J60" s="268"/>
      <c r="K60" s="268"/>
      <c r="L60" s="268"/>
      <c r="M60" s="276"/>
      <c r="N60" s="268"/>
      <c r="O60" s="270">
        <f>IF(O37=0,0,(('HOJA DE TRABAJO'!$U$108)/'HOJA DE TRABAJO'!$BA$44))</f>
        <v>0</v>
      </c>
    </row>
    <row r="61" spans="1:15" s="132" customFormat="1" ht="14.25" outlineLevel="1" x14ac:dyDescent="0.2">
      <c r="A61" s="277" t="s">
        <v>1504</v>
      </c>
      <c r="B61" s="268"/>
      <c r="C61" s="268"/>
      <c r="D61" s="268"/>
      <c r="E61" s="274">
        <f>+'HOJA DE TRABAJO'!$H$116*'HOJA DE TRABAJO'!$F$19</f>
        <v>1.6346153846153847E-2</v>
      </c>
      <c r="F61" s="268"/>
      <c r="G61" s="270">
        <f>(SUM(G40:G60)*E61)+IF(G37=0,0,'HOJA DE TRABAJO'!$J$119)</f>
        <v>0</v>
      </c>
      <c r="H61" s="271"/>
      <c r="I61" s="277" t="s">
        <v>1503</v>
      </c>
      <c r="J61" s="268"/>
      <c r="K61" s="268"/>
      <c r="L61" s="268"/>
      <c r="M61" s="274">
        <f>+'HOJA DE TRABAJO'!$H$116*'HOJA DE TRABAJO'!$F$19</f>
        <v>1.6346153846153847E-2</v>
      </c>
      <c r="N61" s="268"/>
      <c r="O61" s="270">
        <f>(SUM(O40:O60)*M61)+IF(O37=0,0,'HOJA DE TRABAJO'!$J$119)</f>
        <v>0</v>
      </c>
    </row>
    <row r="62" spans="1:15" s="132" customFormat="1" ht="14.25" outlineLevel="1" x14ac:dyDescent="0.2">
      <c r="A62" s="278" t="s">
        <v>1460</v>
      </c>
      <c r="B62" s="279"/>
      <c r="C62" s="279"/>
      <c r="D62" s="279"/>
      <c r="E62" s="280">
        <f>+E29</f>
        <v>0.13</v>
      </c>
      <c r="F62" s="279"/>
      <c r="G62" s="281">
        <f>+SUM(G39:G61)*E62</f>
        <v>0</v>
      </c>
      <c r="H62" s="282"/>
      <c r="I62" s="278" t="s">
        <v>1460</v>
      </c>
      <c r="J62" s="279"/>
      <c r="K62" s="279"/>
      <c r="L62" s="279"/>
      <c r="M62" s="280">
        <f>+E62</f>
        <v>0.13</v>
      </c>
      <c r="N62" s="279"/>
      <c r="O62" s="281">
        <f>+SUM(O39:O61)*M62</f>
        <v>0</v>
      </c>
    </row>
    <row r="63" spans="1:15" s="132" customFormat="1" outlineLevel="1" x14ac:dyDescent="0.25">
      <c r="A63" s="283" t="s">
        <v>1459</v>
      </c>
      <c r="B63" s="284"/>
      <c r="C63" s="284"/>
      <c r="D63" s="284"/>
      <c r="E63" s="284"/>
      <c r="F63" s="284"/>
      <c r="G63" s="285">
        <f>+SUM(G40:G62)</f>
        <v>0</v>
      </c>
      <c r="H63" s="286"/>
      <c r="I63" s="283" t="s">
        <v>1459</v>
      </c>
      <c r="J63" s="284"/>
      <c r="K63" s="284"/>
      <c r="L63" s="284"/>
      <c r="M63" s="284"/>
      <c r="N63" s="284"/>
      <c r="O63" s="285">
        <f>+SUM(O40:O62)</f>
        <v>0</v>
      </c>
    </row>
    <row r="64" spans="1:15" s="132" customFormat="1" ht="14.25" outlineLevel="1" x14ac:dyDescent="0.2">
      <c r="A64" s="277" t="s">
        <v>1458</v>
      </c>
      <c r="B64" s="268"/>
      <c r="C64" s="268"/>
      <c r="D64" s="268"/>
      <c r="E64" s="274">
        <f>+B65+B66</f>
        <v>0.16</v>
      </c>
      <c r="F64" s="268"/>
      <c r="G64" s="270">
        <f>+G67-G63</f>
        <v>0</v>
      </c>
      <c r="H64" s="271"/>
      <c r="I64" s="277" t="s">
        <v>1458</v>
      </c>
      <c r="J64" s="268"/>
      <c r="K64" s="268"/>
      <c r="L64" s="268"/>
      <c r="M64" s="274">
        <f>+J65+J66</f>
        <v>0.16</v>
      </c>
      <c r="N64" s="268"/>
      <c r="O64" s="270">
        <f>+O67-O63</f>
        <v>0</v>
      </c>
    </row>
    <row r="65" spans="1:15" s="132" customFormat="1" ht="14.25" outlineLevel="1" x14ac:dyDescent="0.2">
      <c r="A65" s="287" t="s">
        <v>1457</v>
      </c>
      <c r="B65" s="288">
        <v>0.13</v>
      </c>
      <c r="C65" s="268"/>
      <c r="D65" s="268"/>
      <c r="E65" s="276"/>
      <c r="F65" s="268"/>
      <c r="G65" s="270"/>
      <c r="H65" s="271"/>
      <c r="I65" s="287" t="s">
        <v>1457</v>
      </c>
      <c r="J65" s="288">
        <v>0.13</v>
      </c>
      <c r="K65" s="268"/>
      <c r="L65" s="268"/>
      <c r="M65" s="276"/>
      <c r="N65" s="268"/>
      <c r="O65" s="270"/>
    </row>
    <row r="66" spans="1:15" s="132" customFormat="1" ht="14.25" outlineLevel="1" x14ac:dyDescent="0.2">
      <c r="A66" s="289" t="s">
        <v>1456</v>
      </c>
      <c r="B66" s="290">
        <v>0.03</v>
      </c>
      <c r="C66" s="279"/>
      <c r="D66" s="279"/>
      <c r="E66" s="291"/>
      <c r="F66" s="279"/>
      <c r="G66" s="281"/>
      <c r="H66" s="282"/>
      <c r="I66" s="289" t="s">
        <v>1456</v>
      </c>
      <c r="J66" s="290">
        <v>0.03</v>
      </c>
      <c r="K66" s="279"/>
      <c r="L66" s="279"/>
      <c r="M66" s="291"/>
      <c r="N66" s="279"/>
      <c r="O66" s="281"/>
    </row>
    <row r="67" spans="1:15" s="132" customFormat="1" outlineLevel="1" x14ac:dyDescent="0.25">
      <c r="A67" s="283" t="s">
        <v>1519</v>
      </c>
      <c r="B67" s="284"/>
      <c r="C67" s="284"/>
      <c r="D67" s="284"/>
      <c r="E67" s="284"/>
      <c r="F67" s="284"/>
      <c r="G67" s="285">
        <f>IFERROR((G63/0.84),0)</f>
        <v>0</v>
      </c>
      <c r="H67" s="286"/>
      <c r="I67" s="283" t="s">
        <v>1519</v>
      </c>
      <c r="J67" s="284"/>
      <c r="K67" s="284"/>
      <c r="L67" s="284"/>
      <c r="M67" s="284"/>
      <c r="N67" s="284"/>
      <c r="O67" s="285">
        <f>IFERROR((O63/0.84),0)</f>
        <v>0</v>
      </c>
    </row>
    <row r="68" spans="1:15" s="132" customFormat="1" ht="14.25" outlineLevel="1" x14ac:dyDescent="0.2">
      <c r="H68" s="133"/>
    </row>
    <row r="69" spans="1:15" s="132" customFormat="1" ht="14.25" outlineLevel="1" x14ac:dyDescent="0.2">
      <c r="H69" s="133"/>
    </row>
    <row r="70" spans="1:15" s="132" customFormat="1" ht="14.25" outlineLevel="1" x14ac:dyDescent="0.2">
      <c r="H70" s="133"/>
    </row>
    <row r="71" spans="1:15" s="132" customFormat="1" outlineLevel="2" x14ac:dyDescent="0.25">
      <c r="A71" s="292" t="s">
        <v>1477</v>
      </c>
      <c r="B71" s="292"/>
      <c r="C71" s="292"/>
      <c r="D71" s="292"/>
      <c r="E71" s="268"/>
      <c r="F71" s="292" t="s">
        <v>11</v>
      </c>
      <c r="G71" s="292">
        <f>+'HOJA DE TRABAJO'!AL42</f>
        <v>0</v>
      </c>
      <c r="H71" s="133"/>
      <c r="I71" s="292" t="s">
        <v>1477</v>
      </c>
      <c r="J71" s="292"/>
      <c r="K71" s="292"/>
      <c r="L71" s="292"/>
      <c r="M71" s="268"/>
      <c r="N71" s="292" t="s">
        <v>11</v>
      </c>
      <c r="O71" s="292">
        <f>+'HOJA DE TRABAJO'!AL43</f>
        <v>0</v>
      </c>
    </row>
    <row r="72" spans="1:15" s="132" customFormat="1" outlineLevel="2" x14ac:dyDescent="0.25">
      <c r="A72" s="294"/>
      <c r="B72" s="294" t="s">
        <v>1476</v>
      </c>
      <c r="C72" s="588">
        <f>+'HOJA DE TRABAJO'!C42:E42</f>
        <v>0</v>
      </c>
      <c r="D72" s="588"/>
      <c r="E72" s="588"/>
      <c r="F72" s="294"/>
      <c r="G72" s="294"/>
      <c r="H72" s="133"/>
      <c r="I72" s="294"/>
      <c r="J72" s="294" t="s">
        <v>1476</v>
      </c>
      <c r="K72" s="588">
        <f>+'HOJA DE TRABAJO'!C43</f>
        <v>0</v>
      </c>
      <c r="L72" s="588"/>
      <c r="M72" s="588"/>
      <c r="N72" s="294"/>
      <c r="O72" s="294"/>
    </row>
    <row r="73" spans="1:15" s="132" customFormat="1" ht="14.25" outlineLevel="2" x14ac:dyDescent="0.2">
      <c r="A73" s="587" t="s">
        <v>1478</v>
      </c>
      <c r="B73" s="587"/>
      <c r="C73" s="587"/>
      <c r="D73" s="587"/>
      <c r="E73" s="587"/>
      <c r="F73" s="587"/>
      <c r="G73" s="587"/>
      <c r="H73" s="133"/>
      <c r="I73" s="587" t="s">
        <v>1478</v>
      </c>
      <c r="J73" s="587"/>
      <c r="K73" s="587"/>
      <c r="L73" s="587"/>
      <c r="M73" s="587"/>
      <c r="N73" s="587"/>
      <c r="O73" s="587"/>
    </row>
    <row r="74" spans="1:15" s="132" customFormat="1" ht="14.25" outlineLevel="2" x14ac:dyDescent="0.2">
      <c r="A74" s="268"/>
      <c r="B74" s="268"/>
      <c r="C74" s="268"/>
      <c r="D74" s="268"/>
      <c r="E74" s="268"/>
      <c r="F74" s="268"/>
      <c r="G74" s="268"/>
      <c r="H74" s="133"/>
      <c r="I74" s="268"/>
      <c r="J74" s="268"/>
      <c r="K74" s="268"/>
      <c r="L74" s="268"/>
      <c r="M74" s="268"/>
      <c r="N74" s="268"/>
      <c r="O74" s="268"/>
    </row>
    <row r="75" spans="1:15" s="132" customFormat="1" ht="14.25" outlineLevel="2" x14ac:dyDescent="0.2">
      <c r="A75" s="268" t="s">
        <v>1475</v>
      </c>
      <c r="B75" s="268"/>
      <c r="C75" s="268"/>
      <c r="D75" s="268"/>
      <c r="E75" s="268"/>
      <c r="F75" s="268"/>
      <c r="G75" s="270">
        <f>+'HOJA DE TRABAJO'!AM42</f>
        <v>0</v>
      </c>
      <c r="H75" s="133"/>
      <c r="I75" s="268" t="s">
        <v>1475</v>
      </c>
      <c r="J75" s="268"/>
      <c r="K75" s="268"/>
      <c r="L75" s="268"/>
      <c r="M75" s="268"/>
      <c r="N75" s="268"/>
      <c r="O75" s="270">
        <f>+'HOJA DE TRABAJO'!AM43</f>
        <v>0</v>
      </c>
    </row>
    <row r="76" spans="1:15" s="132" customFormat="1" ht="14.25" outlineLevel="2" x14ac:dyDescent="0.2">
      <c r="A76" s="268" t="s">
        <v>1588</v>
      </c>
      <c r="B76" s="268"/>
      <c r="C76" s="268"/>
      <c r="D76" s="268"/>
      <c r="E76" s="268"/>
      <c r="F76" s="268"/>
      <c r="G76" s="270">
        <f>IF(G75=0,0,SUM('HOJA DE TRABAJO'!$R$29:$R$31))</f>
        <v>0</v>
      </c>
      <c r="H76" s="271"/>
      <c r="I76" s="268" t="s">
        <v>1588</v>
      </c>
      <c r="J76" s="268"/>
      <c r="K76" s="268"/>
      <c r="L76" s="268"/>
      <c r="M76" s="268"/>
      <c r="N76" s="268"/>
      <c r="O76" s="270">
        <f>IF(O75=0,0,SUM('HOJA DE TRABAJO'!$R$29:$R$31))</f>
        <v>0</v>
      </c>
    </row>
    <row r="77" spans="1:15" s="132" customFormat="1" ht="14.25" outlineLevel="2" x14ac:dyDescent="0.2">
      <c r="A77" s="272" t="s">
        <v>1474</v>
      </c>
      <c r="B77" s="268"/>
      <c r="C77" s="268"/>
      <c r="D77" s="268"/>
      <c r="E77" s="268"/>
      <c r="F77" s="268"/>
      <c r="G77" s="270"/>
      <c r="H77" s="133"/>
      <c r="I77" s="272" t="s">
        <v>1474</v>
      </c>
      <c r="J77" s="268"/>
      <c r="K77" s="268"/>
      <c r="L77" s="268"/>
      <c r="M77" s="268"/>
      <c r="N77" s="268"/>
      <c r="O77" s="270"/>
    </row>
    <row r="78" spans="1:15" s="132" customFormat="1" outlineLevel="2" x14ac:dyDescent="0.25">
      <c r="A78" s="273" t="s">
        <v>1473</v>
      </c>
      <c r="B78" s="268"/>
      <c r="C78" s="268"/>
      <c r="D78" s="268"/>
      <c r="E78" s="268"/>
      <c r="F78" s="274">
        <f>+SUM(E79:E82)</f>
        <v>0.12710000000000002</v>
      </c>
      <c r="G78" s="270">
        <f>+(G75*100/87.29-G75)+(G76*F78)</f>
        <v>0</v>
      </c>
      <c r="H78" s="271"/>
      <c r="I78" s="273" t="s">
        <v>1473</v>
      </c>
      <c r="J78" s="268"/>
      <c r="K78" s="268"/>
      <c r="L78" s="268"/>
      <c r="M78" s="268"/>
      <c r="N78" s="274">
        <f>+SUM(M79:M82)</f>
        <v>0.12710000000000002</v>
      </c>
      <c r="O78" s="270">
        <f>+(O75*100/87.29-O75)+(N78*O76)</f>
        <v>0</v>
      </c>
    </row>
    <row r="79" spans="1:15" s="132" customFormat="1" ht="14.25" outlineLevel="2" x14ac:dyDescent="0.2">
      <c r="A79" s="275" t="s">
        <v>1472</v>
      </c>
      <c r="B79" s="268"/>
      <c r="C79" s="268"/>
      <c r="D79" s="268"/>
      <c r="E79" s="276">
        <v>0.1</v>
      </c>
      <c r="F79" s="268"/>
      <c r="G79" s="270"/>
      <c r="H79" s="133"/>
      <c r="I79" s="275" t="s">
        <v>1472</v>
      </c>
      <c r="J79" s="268"/>
      <c r="K79" s="268"/>
      <c r="L79" s="268"/>
      <c r="M79" s="276">
        <v>0.1</v>
      </c>
      <c r="N79" s="268"/>
      <c r="O79" s="270"/>
    </row>
    <row r="80" spans="1:15" s="132" customFormat="1" ht="14.25" outlineLevel="2" x14ac:dyDescent="0.2">
      <c r="A80" s="275" t="s">
        <v>1471</v>
      </c>
      <c r="B80" s="268"/>
      <c r="C80" s="268"/>
      <c r="D80" s="268"/>
      <c r="E80" s="276">
        <v>1.7100000000000001E-2</v>
      </c>
      <c r="F80" s="268"/>
      <c r="G80" s="270"/>
      <c r="H80" s="133"/>
      <c r="I80" s="275" t="s">
        <v>1471</v>
      </c>
      <c r="J80" s="268"/>
      <c r="K80" s="268"/>
      <c r="L80" s="268"/>
      <c r="M80" s="276">
        <v>1.7100000000000001E-2</v>
      </c>
      <c r="N80" s="268"/>
      <c r="O80" s="270"/>
    </row>
    <row r="81" spans="1:15" s="132" customFormat="1" ht="14.25" outlineLevel="2" x14ac:dyDescent="0.2">
      <c r="A81" s="275" t="s">
        <v>1470</v>
      </c>
      <c r="B81" s="268"/>
      <c r="C81" s="268"/>
      <c r="D81" s="268"/>
      <c r="E81" s="276">
        <v>5.0000000000000001E-3</v>
      </c>
      <c r="F81" s="268"/>
      <c r="G81" s="270"/>
      <c r="H81" s="133"/>
      <c r="I81" s="275" t="s">
        <v>1470</v>
      </c>
      <c r="J81" s="268"/>
      <c r="K81" s="268"/>
      <c r="L81" s="268"/>
      <c r="M81" s="276">
        <v>5.0000000000000001E-3</v>
      </c>
      <c r="N81" s="268"/>
      <c r="O81" s="270"/>
    </row>
    <row r="82" spans="1:15" s="132" customFormat="1" ht="14.25" outlineLevel="2" x14ac:dyDescent="0.2">
      <c r="A82" s="275" t="s">
        <v>1466</v>
      </c>
      <c r="B82" s="268"/>
      <c r="C82" s="268"/>
      <c r="D82" s="268"/>
      <c r="E82" s="276">
        <f>+E81</f>
        <v>5.0000000000000001E-3</v>
      </c>
      <c r="F82" s="268"/>
      <c r="G82" s="270"/>
      <c r="H82" s="133"/>
      <c r="I82" s="275" t="s">
        <v>1466</v>
      </c>
      <c r="J82" s="268"/>
      <c r="K82" s="268"/>
      <c r="L82" s="268"/>
      <c r="M82" s="276">
        <f>+M81</f>
        <v>5.0000000000000001E-3</v>
      </c>
      <c r="N82" s="268"/>
      <c r="O82" s="270"/>
    </row>
    <row r="83" spans="1:15" s="132" customFormat="1" outlineLevel="2" x14ac:dyDescent="0.25">
      <c r="A83" s="273" t="s">
        <v>1469</v>
      </c>
      <c r="B83" s="268"/>
      <c r="C83" s="268"/>
      <c r="D83" s="268"/>
      <c r="E83" s="276"/>
      <c r="F83" s="274">
        <f>+SUM(E84:E93)</f>
        <v>0.83360000000000001</v>
      </c>
      <c r="G83" s="270">
        <f>(G75+G78+G76)*F83</f>
        <v>0</v>
      </c>
      <c r="H83" s="271"/>
      <c r="I83" s="273" t="s">
        <v>1469</v>
      </c>
      <c r="J83" s="268"/>
      <c r="K83" s="268"/>
      <c r="L83" s="268"/>
      <c r="M83" s="276"/>
      <c r="N83" s="274">
        <f>+SUM(M84:M93)</f>
        <v>0.83360000000000001</v>
      </c>
      <c r="O83" s="270">
        <f>(O75+O78+O76)*N83</f>
        <v>0</v>
      </c>
    </row>
    <row r="84" spans="1:15" s="132" customFormat="1" ht="14.25" outlineLevel="2" x14ac:dyDescent="0.2">
      <c r="A84" s="275" t="s">
        <v>1468</v>
      </c>
      <c r="B84" s="268"/>
      <c r="C84" s="268"/>
      <c r="D84" s="268"/>
      <c r="E84" s="276">
        <v>0.1</v>
      </c>
      <c r="F84" s="268"/>
      <c r="G84" s="270"/>
      <c r="H84" s="133"/>
      <c r="I84" s="275" t="s">
        <v>1468</v>
      </c>
      <c r="J84" s="268"/>
      <c r="K84" s="268"/>
      <c r="L84" s="268"/>
      <c r="M84" s="276">
        <v>0.1</v>
      </c>
      <c r="N84" s="268"/>
      <c r="O84" s="270"/>
    </row>
    <row r="85" spans="1:15" s="132" customFormat="1" ht="14.25" outlineLevel="2" x14ac:dyDescent="0.2">
      <c r="A85" s="275" t="s">
        <v>1466</v>
      </c>
      <c r="B85" s="268"/>
      <c r="C85" s="268"/>
      <c r="D85" s="268"/>
      <c r="E85" s="276">
        <v>0.03</v>
      </c>
      <c r="F85" s="268"/>
      <c r="G85" s="270"/>
      <c r="H85" s="133"/>
      <c r="I85" s="275" t="s">
        <v>1466</v>
      </c>
      <c r="J85" s="268"/>
      <c r="K85" s="268"/>
      <c r="L85" s="268"/>
      <c r="M85" s="276">
        <v>0.03</v>
      </c>
      <c r="N85" s="268"/>
      <c r="O85" s="270"/>
    </row>
    <row r="86" spans="1:15" s="132" customFormat="1" ht="14.25" outlineLevel="2" x14ac:dyDescent="0.2">
      <c r="A86" s="275" t="s">
        <v>1465</v>
      </c>
      <c r="B86" s="268"/>
      <c r="C86" s="268"/>
      <c r="D86" s="268"/>
      <c r="E86" s="276">
        <v>3.7100000000000001E-2</v>
      </c>
      <c r="F86" s="268"/>
      <c r="G86" s="270"/>
      <c r="H86" s="133"/>
      <c r="I86" s="275" t="s">
        <v>1465</v>
      </c>
      <c r="J86" s="268"/>
      <c r="K86" s="268"/>
      <c r="L86" s="268"/>
      <c r="M86" s="276">
        <v>3.7100000000000001E-2</v>
      </c>
      <c r="N86" s="268"/>
      <c r="O86" s="270"/>
    </row>
    <row r="87" spans="1:15" s="132" customFormat="1" ht="14.25" outlineLevel="2" x14ac:dyDescent="0.2">
      <c r="A87" s="275" t="s">
        <v>1500</v>
      </c>
      <c r="B87" s="268"/>
      <c r="C87" s="268"/>
      <c r="D87" s="268"/>
      <c r="E87" s="276">
        <f>+IF('HOJA DE TRABAJO'!$J$17="SI",0,IF('HOJA DE TRABAJO'!$J$17="NO",0.0833,))</f>
        <v>8.3299999999999999E-2</v>
      </c>
      <c r="F87" s="268"/>
      <c r="G87" s="270"/>
      <c r="H87" s="133"/>
      <c r="I87" s="275" t="s">
        <v>1500</v>
      </c>
      <c r="J87" s="268"/>
      <c r="K87" s="268"/>
      <c r="L87" s="268"/>
      <c r="M87" s="276">
        <f>+IF('HOJA DE TRABAJO'!$J$17="SI",0,IF('HOJA DE TRABAJO'!$J$17="NO",0.0833,))</f>
        <v>8.3299999999999999E-2</v>
      </c>
      <c r="N87" s="268"/>
      <c r="O87" s="270"/>
    </row>
    <row r="88" spans="1:15" s="132" customFormat="1" ht="14.25" outlineLevel="2" x14ac:dyDescent="0.2">
      <c r="A88" s="275" t="s">
        <v>1463</v>
      </c>
      <c r="B88" s="268"/>
      <c r="C88" s="268"/>
      <c r="D88" s="268"/>
      <c r="E88" s="276">
        <f>+IF('HOJA DE TRABAJO'!$J$17="SI",0,IF('HOJA DE TRABAJO'!$J$17="NO",0.0833,))</f>
        <v>8.3299999999999999E-2</v>
      </c>
      <c r="F88" s="268"/>
      <c r="G88" s="270"/>
      <c r="H88" s="133"/>
      <c r="I88" s="275" t="s">
        <v>1463</v>
      </c>
      <c r="J88" s="268"/>
      <c r="K88" s="268"/>
      <c r="L88" s="268"/>
      <c r="M88" s="276">
        <f>+IF('HOJA DE TRABAJO'!$J$17="SI",0,IF('HOJA DE TRABAJO'!$J$17="NO",0.0833,))</f>
        <v>8.3299999999999999E-2</v>
      </c>
      <c r="N88" s="268"/>
      <c r="O88" s="270"/>
    </row>
    <row r="89" spans="1:15" s="132" customFormat="1" ht="14.25" outlineLevel="2" x14ac:dyDescent="0.2">
      <c r="A89" s="275" t="str">
        <f>+'HOJA DE TRABAJO'!$B$29</f>
        <v xml:space="preserve">Previsión Segundo  Aguinaldo </v>
      </c>
      <c r="B89" s="268"/>
      <c r="C89" s="268"/>
      <c r="D89" s="268"/>
      <c r="E89" s="276">
        <f>+'HOJA DE TRABAJO'!$E$29</f>
        <v>8.3299999999999999E-2</v>
      </c>
      <c r="F89" s="268"/>
      <c r="G89" s="270"/>
      <c r="H89" s="133"/>
      <c r="I89" s="275" t="str">
        <f>+'HOJA DE TRABAJO'!$B$29</f>
        <v xml:space="preserve">Previsión Segundo  Aguinaldo </v>
      </c>
      <c r="J89" s="268"/>
      <c r="K89" s="268"/>
      <c r="L89" s="268"/>
      <c r="M89" s="276">
        <f>+'HOJA DE TRABAJO'!$E$29</f>
        <v>8.3299999999999999E-2</v>
      </c>
      <c r="N89" s="268"/>
      <c r="O89" s="270"/>
    </row>
    <row r="90" spans="1:15" s="132" customFormat="1" ht="14.25" outlineLevel="2" x14ac:dyDescent="0.2">
      <c r="A90" s="275" t="str">
        <f>+'HOJA DE TRABAJO'!$B$30</f>
        <v>Seguro de Accidente</v>
      </c>
      <c r="B90" s="268"/>
      <c r="C90" s="268"/>
      <c r="D90" s="268"/>
      <c r="E90" s="276">
        <f>+'HOJA DE TRABAJO'!$E$30</f>
        <v>0</v>
      </c>
      <c r="F90" s="268"/>
      <c r="G90" s="270"/>
      <c r="H90" s="133"/>
      <c r="I90" s="275" t="str">
        <f>+'HOJA DE TRABAJO'!$B$30</f>
        <v>Seguro de Accidente</v>
      </c>
      <c r="J90" s="268"/>
      <c r="K90" s="268"/>
      <c r="L90" s="268"/>
      <c r="M90" s="276">
        <f>+'HOJA DE TRABAJO'!$E$30</f>
        <v>0</v>
      </c>
      <c r="N90" s="268"/>
      <c r="O90" s="270"/>
    </row>
    <row r="91" spans="1:15" s="132" customFormat="1" ht="14.25" outlineLevel="2" x14ac:dyDescent="0.2">
      <c r="A91" s="275" t="str">
        <f>+'HOJA DE TRABAJO'!$B$31</f>
        <v xml:space="preserve">Vacaciones </v>
      </c>
      <c r="B91" s="268"/>
      <c r="C91" s="268"/>
      <c r="D91" s="268"/>
      <c r="E91" s="276">
        <f>+'HOJA DE TRABAJO'!$E$31</f>
        <v>0</v>
      </c>
      <c r="F91" s="268"/>
      <c r="G91" s="270"/>
      <c r="H91" s="133"/>
      <c r="I91" s="275" t="str">
        <f>+'HOJA DE TRABAJO'!$B$31</f>
        <v xml:space="preserve">Vacaciones </v>
      </c>
      <c r="J91" s="268"/>
      <c r="K91" s="268"/>
      <c r="L91" s="268"/>
      <c r="M91" s="276">
        <f>+'HOJA DE TRABAJO'!$E$31</f>
        <v>0</v>
      </c>
      <c r="N91" s="268"/>
      <c r="O91" s="270"/>
    </row>
    <row r="92" spans="1:15" s="132" customFormat="1" ht="14.25" outlineLevel="2" x14ac:dyDescent="0.2">
      <c r="A92" s="275" t="str">
        <f>+'HOJA DE TRABAJO'!$F$29</f>
        <v xml:space="preserve">Previsicion de Subsidio </v>
      </c>
      <c r="B92" s="268"/>
      <c r="C92" s="268"/>
      <c r="D92" s="268"/>
      <c r="E92" s="276">
        <f>+'HOJA DE TRABAJO'!$L$29</f>
        <v>0.33329999999999999</v>
      </c>
      <c r="F92" s="268"/>
      <c r="G92" s="270"/>
      <c r="H92" s="133"/>
      <c r="I92" s="275" t="str">
        <f>+'HOJA DE TRABAJO'!$F$29</f>
        <v xml:space="preserve">Previsicion de Subsidio </v>
      </c>
      <c r="J92" s="268"/>
      <c r="K92" s="268"/>
      <c r="L92" s="268"/>
      <c r="M92" s="276">
        <f>+'HOJA DE TRABAJO'!$L$29</f>
        <v>0.33329999999999999</v>
      </c>
      <c r="N92" s="268"/>
      <c r="O92" s="270"/>
    </row>
    <row r="93" spans="1:15" s="132" customFormat="1" ht="14.25" outlineLevel="2" x14ac:dyDescent="0.2">
      <c r="A93" s="275" t="str">
        <f>+'HOJA DE TRABAJO'!$F$30</f>
        <v>Previsicion de Desahucio</v>
      </c>
      <c r="B93" s="268"/>
      <c r="C93" s="268"/>
      <c r="D93" s="268"/>
      <c r="E93" s="276">
        <f>+'HOJA DE TRABAJO'!$L$30</f>
        <v>8.3299999999999999E-2</v>
      </c>
      <c r="F93" s="268"/>
      <c r="G93" s="270"/>
      <c r="H93" s="133"/>
      <c r="I93" s="275" t="str">
        <f>+'HOJA DE TRABAJO'!$F$30</f>
        <v>Previsicion de Desahucio</v>
      </c>
      <c r="J93" s="268"/>
      <c r="K93" s="268"/>
      <c r="L93" s="268"/>
      <c r="M93" s="276">
        <f>+'HOJA DE TRABAJO'!$L$30</f>
        <v>8.3299999999999999E-2</v>
      </c>
      <c r="N93" s="268"/>
      <c r="O93" s="270"/>
    </row>
    <row r="94" spans="1:15" s="132" customFormat="1" ht="14.25" outlineLevel="2" x14ac:dyDescent="0.2">
      <c r="A94" s="277" t="s">
        <v>1461</v>
      </c>
      <c r="B94" s="268"/>
      <c r="C94" s="268"/>
      <c r="D94" s="268"/>
      <c r="E94" s="276"/>
      <c r="F94" s="268"/>
      <c r="G94" s="270">
        <f>IF(G71=0,0,(('HOJA DE TRABAJO'!$U$108)/'HOJA DE TRABAJO'!$BA$44))</f>
        <v>0</v>
      </c>
      <c r="H94" s="337"/>
      <c r="I94" s="277" t="s">
        <v>1461</v>
      </c>
      <c r="J94" s="268"/>
      <c r="K94" s="268"/>
      <c r="L94" s="268"/>
      <c r="M94" s="276"/>
      <c r="N94" s="268"/>
      <c r="O94" s="270">
        <f>IF(O71=0,0,(('HOJA DE TRABAJO'!$U$108)/'HOJA DE TRABAJO'!$BA$44))</f>
        <v>0</v>
      </c>
    </row>
    <row r="95" spans="1:15" s="132" customFormat="1" ht="14.25" outlineLevel="2" x14ac:dyDescent="0.2">
      <c r="A95" s="277" t="s">
        <v>1504</v>
      </c>
      <c r="B95" s="268"/>
      <c r="C95" s="268"/>
      <c r="D95" s="268"/>
      <c r="E95" s="274">
        <f>+'HOJA DE TRABAJO'!$H$116*'HOJA DE TRABAJO'!$F$19</f>
        <v>1.6346153846153847E-2</v>
      </c>
      <c r="F95" s="268"/>
      <c r="G95" s="270">
        <f>(SUM(G74:G94)*E95)+IF(G71=0,0,'HOJA DE TRABAJO'!$J$119)</f>
        <v>0</v>
      </c>
      <c r="H95" s="271"/>
      <c r="I95" s="277" t="s">
        <v>1503</v>
      </c>
      <c r="J95" s="268"/>
      <c r="K95" s="268"/>
      <c r="L95" s="268"/>
      <c r="M95" s="274">
        <f>+'HOJA DE TRABAJO'!$H$116*'HOJA DE TRABAJO'!$F$19</f>
        <v>1.6346153846153847E-2</v>
      </c>
      <c r="N95" s="268"/>
      <c r="O95" s="270">
        <f>(SUM(O74:O94)*M95)+IF(O71=0,0,'HOJA DE TRABAJO'!$J$119)</f>
        <v>0</v>
      </c>
    </row>
    <row r="96" spans="1:15" s="132" customFormat="1" ht="14.25" outlineLevel="2" x14ac:dyDescent="0.2">
      <c r="A96" s="278" t="s">
        <v>1460</v>
      </c>
      <c r="B96" s="279"/>
      <c r="C96" s="279"/>
      <c r="D96" s="279"/>
      <c r="E96" s="280">
        <f>+E62</f>
        <v>0.13</v>
      </c>
      <c r="F96" s="279"/>
      <c r="G96" s="281">
        <f>+SUM(G73:G95)*E96</f>
        <v>0</v>
      </c>
      <c r="H96" s="133"/>
      <c r="I96" s="278" t="s">
        <v>1460</v>
      </c>
      <c r="J96" s="279"/>
      <c r="K96" s="279"/>
      <c r="L96" s="279"/>
      <c r="M96" s="280">
        <f>+E96</f>
        <v>0.13</v>
      </c>
      <c r="N96" s="279"/>
      <c r="O96" s="281">
        <f>+SUM(O73:O95)*M96</f>
        <v>0</v>
      </c>
    </row>
    <row r="97" spans="1:15" s="132" customFormat="1" outlineLevel="2" x14ac:dyDescent="0.25">
      <c r="A97" s="283" t="s">
        <v>1459</v>
      </c>
      <c r="B97" s="284"/>
      <c r="C97" s="284"/>
      <c r="D97" s="284"/>
      <c r="E97" s="284"/>
      <c r="F97" s="284"/>
      <c r="G97" s="285">
        <f>+SUM(G74:G96)</f>
        <v>0</v>
      </c>
      <c r="H97" s="133"/>
      <c r="I97" s="283" t="s">
        <v>1459</v>
      </c>
      <c r="J97" s="284"/>
      <c r="K97" s="284"/>
      <c r="L97" s="284"/>
      <c r="M97" s="284"/>
      <c r="N97" s="284"/>
      <c r="O97" s="285">
        <f>+SUM(O74:O96)</f>
        <v>0</v>
      </c>
    </row>
    <row r="98" spans="1:15" s="132" customFormat="1" ht="14.25" outlineLevel="2" x14ac:dyDescent="0.2">
      <c r="A98" s="277" t="s">
        <v>1458</v>
      </c>
      <c r="B98" s="268"/>
      <c r="C98" s="268"/>
      <c r="D98" s="268"/>
      <c r="E98" s="274">
        <f>+B99+B100</f>
        <v>0.16</v>
      </c>
      <c r="F98" s="268"/>
      <c r="G98" s="270">
        <f>+G101-G97</f>
        <v>0</v>
      </c>
      <c r="H98" s="133"/>
      <c r="I98" s="277" t="s">
        <v>1458</v>
      </c>
      <c r="J98" s="268"/>
      <c r="K98" s="268"/>
      <c r="L98" s="268"/>
      <c r="M98" s="274">
        <f>+J99+J100</f>
        <v>0.16</v>
      </c>
      <c r="N98" s="268"/>
      <c r="O98" s="270">
        <f>+O101-O97</f>
        <v>0</v>
      </c>
    </row>
    <row r="99" spans="1:15" s="132" customFormat="1" ht="14.25" outlineLevel="2" x14ac:dyDescent="0.2">
      <c r="A99" s="287" t="s">
        <v>1457</v>
      </c>
      <c r="B99" s="288">
        <v>0.13</v>
      </c>
      <c r="C99" s="268"/>
      <c r="D99" s="268"/>
      <c r="E99" s="276"/>
      <c r="F99" s="268"/>
      <c r="G99" s="270"/>
      <c r="H99" s="133"/>
      <c r="I99" s="287" t="s">
        <v>1457</v>
      </c>
      <c r="J99" s="288">
        <v>0.13</v>
      </c>
      <c r="K99" s="268"/>
      <c r="L99" s="268"/>
      <c r="M99" s="276"/>
      <c r="N99" s="268"/>
      <c r="O99" s="270"/>
    </row>
    <row r="100" spans="1:15" s="132" customFormat="1" ht="14.25" outlineLevel="2" x14ac:dyDescent="0.2">
      <c r="A100" s="289" t="s">
        <v>1456</v>
      </c>
      <c r="B100" s="290">
        <v>0.03</v>
      </c>
      <c r="C100" s="279"/>
      <c r="D100" s="279"/>
      <c r="E100" s="291"/>
      <c r="F100" s="279"/>
      <c r="G100" s="281"/>
      <c r="H100" s="133"/>
      <c r="I100" s="289" t="s">
        <v>1456</v>
      </c>
      <c r="J100" s="290">
        <v>0.03</v>
      </c>
      <c r="K100" s="279"/>
      <c r="L100" s="279"/>
      <c r="M100" s="291"/>
      <c r="N100" s="279"/>
      <c r="O100" s="281"/>
    </row>
    <row r="101" spans="1:15" s="132" customFormat="1" outlineLevel="2" x14ac:dyDescent="0.25">
      <c r="A101" s="283" t="s">
        <v>1519</v>
      </c>
      <c r="B101" s="284"/>
      <c r="C101" s="284"/>
      <c r="D101" s="284"/>
      <c r="E101" s="284"/>
      <c r="F101" s="284"/>
      <c r="G101" s="285">
        <f>IFERROR((G97/0.84),0)</f>
        <v>0</v>
      </c>
      <c r="H101" s="133"/>
      <c r="I101" s="283" t="s">
        <v>1519</v>
      </c>
      <c r="J101" s="284"/>
      <c r="K101" s="284"/>
      <c r="L101" s="284"/>
      <c r="M101" s="284"/>
      <c r="N101" s="284"/>
      <c r="O101" s="285">
        <f>IFERROR((O97/0.84),0)</f>
        <v>0</v>
      </c>
    </row>
    <row r="102" spans="1:15" s="132" customFormat="1" ht="14.25" outlineLevel="2" x14ac:dyDescent="0.2"/>
  </sheetData>
  <customSheetViews>
    <customSheetView guid="{D98A1565-B6EB-4D88-8DB8-23EB436D0197}" topLeftCell="A87">
      <selection activeCell="A99" sqref="A4:XFD99"/>
      <pageMargins left="0.7" right="0.7" top="0.75" bottom="0.75" header="0.3" footer="0.3"/>
    </customSheetView>
  </customSheetViews>
  <mergeCells count="13">
    <mergeCell ref="A73:G73"/>
    <mergeCell ref="I73:O73"/>
    <mergeCell ref="C5:E5"/>
    <mergeCell ref="K5:M5"/>
    <mergeCell ref="A6:G6"/>
    <mergeCell ref="I6:O6"/>
    <mergeCell ref="C38:E38"/>
    <mergeCell ref="K38:M38"/>
    <mergeCell ref="E2:K2"/>
    <mergeCell ref="A39:G39"/>
    <mergeCell ref="I39:O39"/>
    <mergeCell ref="C72:E72"/>
    <mergeCell ref="K72:M72"/>
  </mergeCells>
  <pageMargins left="0.7" right="0.7" top="0.75" bottom="0.75" header="0.3" footer="0.3"/>
  <pageSetup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2:O105"/>
  <sheetViews>
    <sheetView zoomScale="60" zoomScaleNormal="60" workbookViewId="0">
      <selection activeCell="M124" sqref="M124"/>
    </sheetView>
  </sheetViews>
  <sheetFormatPr baseColWidth="10" defaultRowHeight="15" outlineLevelRow="2" x14ac:dyDescent="0.25"/>
  <sheetData>
    <row r="2" spans="1:15" ht="28.5" x14ac:dyDescent="0.45">
      <c r="E2" s="586" t="str">
        <f>+'HOJA DE TRABAJO'!AQ36</f>
        <v>EL ALTO</v>
      </c>
      <c r="F2" s="586"/>
      <c r="G2" s="586"/>
      <c r="H2" s="586"/>
      <c r="I2" s="586"/>
      <c r="J2" s="586"/>
      <c r="K2" s="586"/>
    </row>
    <row r="4" spans="1:15" s="132" customFormat="1" x14ac:dyDescent="0.25">
      <c r="A4" s="292" t="s">
        <v>1477</v>
      </c>
      <c r="B4" s="292"/>
      <c r="C4" s="292"/>
      <c r="D4" s="292"/>
      <c r="E4" s="268"/>
      <c r="F4" s="292" t="s">
        <v>11</v>
      </c>
      <c r="G4" s="292">
        <f>+'HOJA DE TRABAJO'!AQ38</f>
        <v>0</v>
      </c>
      <c r="H4" s="293"/>
      <c r="I4" s="292" t="s">
        <v>1477</v>
      </c>
      <c r="J4" s="292"/>
      <c r="K4" s="292"/>
      <c r="L4" s="292"/>
      <c r="M4" s="292"/>
      <c r="N4" s="292" t="s">
        <v>11</v>
      </c>
      <c r="O4" s="292">
        <f>+'HOJA DE TRABAJO'!AQ39</f>
        <v>0</v>
      </c>
    </row>
    <row r="5" spans="1:15" s="132" customFormat="1" x14ac:dyDescent="0.25">
      <c r="A5" s="294"/>
      <c r="B5" s="294" t="s">
        <v>1476</v>
      </c>
      <c r="C5" s="588" t="str">
        <f>+'HOJA DE TRABAJO'!C38:E38</f>
        <v>VENDEDOR INSTITUCIONAL</v>
      </c>
      <c r="D5" s="588"/>
      <c r="E5" s="588"/>
      <c r="F5" s="294"/>
      <c r="G5" s="294"/>
      <c r="H5" s="293"/>
      <c r="I5" s="294"/>
      <c r="J5" s="294" t="s">
        <v>1476</v>
      </c>
      <c r="K5" s="588">
        <f>+'HOJA DE TRABAJO'!C39</f>
        <v>0</v>
      </c>
      <c r="L5" s="588"/>
      <c r="M5" s="588"/>
      <c r="N5" s="294"/>
      <c r="O5" s="294"/>
    </row>
    <row r="6" spans="1:15" s="132" customFormat="1" ht="14.25" x14ac:dyDescent="0.2">
      <c r="A6" s="587" t="s">
        <v>1478</v>
      </c>
      <c r="B6" s="587"/>
      <c r="C6" s="587"/>
      <c r="D6" s="587"/>
      <c r="E6" s="587"/>
      <c r="F6" s="587"/>
      <c r="G6" s="587"/>
      <c r="H6" s="269"/>
      <c r="I6" s="587" t="s">
        <v>1478</v>
      </c>
      <c r="J6" s="587"/>
      <c r="K6" s="587"/>
      <c r="L6" s="587"/>
      <c r="M6" s="587"/>
      <c r="N6" s="587"/>
      <c r="O6" s="587"/>
    </row>
    <row r="7" spans="1:15" s="132" customFormat="1" ht="14.25" x14ac:dyDescent="0.2">
      <c r="A7" s="268"/>
      <c r="B7" s="268"/>
      <c r="C7" s="268"/>
      <c r="D7" s="268"/>
      <c r="E7" s="268"/>
      <c r="F7" s="268"/>
      <c r="G7" s="268"/>
      <c r="H7" s="133"/>
      <c r="I7" s="268"/>
      <c r="J7" s="268"/>
      <c r="K7" s="268"/>
      <c r="L7" s="268"/>
      <c r="M7" s="268"/>
      <c r="N7" s="268"/>
      <c r="O7" s="268"/>
    </row>
    <row r="8" spans="1:15" s="132" customFormat="1" ht="14.25" x14ac:dyDescent="0.2">
      <c r="A8" s="268" t="s">
        <v>1475</v>
      </c>
      <c r="B8" s="268"/>
      <c r="C8" s="268"/>
      <c r="D8" s="268"/>
      <c r="E8" s="268"/>
      <c r="F8" s="268"/>
      <c r="G8" s="270">
        <f>+'HOJA DE TRABAJO'!AR38</f>
        <v>0</v>
      </c>
      <c r="H8" s="271"/>
      <c r="I8" s="268" t="str">
        <f>A8</f>
        <v>Costo líquido por Supervisor  (líquido pagable Bs.)</v>
      </c>
      <c r="J8" s="268"/>
      <c r="K8" s="268"/>
      <c r="L8" s="268"/>
      <c r="M8" s="268"/>
      <c r="N8" s="268"/>
      <c r="O8" s="270">
        <f>+'HOJA DE TRABAJO'!AR39</f>
        <v>0</v>
      </c>
    </row>
    <row r="9" spans="1:15" s="132" customFormat="1" ht="14.25" x14ac:dyDescent="0.2">
      <c r="A9" s="268" t="s">
        <v>1588</v>
      </c>
      <c r="B9" s="268"/>
      <c r="C9" s="268"/>
      <c r="D9" s="268"/>
      <c r="E9" s="268"/>
      <c r="F9" s="268"/>
      <c r="G9" s="270">
        <f>IF(G8=0,0,SUM('HOJA DE TRABAJO'!$R$29:$R$31))</f>
        <v>0</v>
      </c>
      <c r="H9" s="271"/>
      <c r="I9" s="268" t="s">
        <v>1588</v>
      </c>
      <c r="J9" s="268"/>
      <c r="K9" s="268"/>
      <c r="L9" s="268"/>
      <c r="M9" s="268"/>
      <c r="N9" s="268"/>
      <c r="O9" s="270">
        <f>IF(O8=0,0,SUM('HOJA DE TRABAJO'!$R$29:$R$31))</f>
        <v>0</v>
      </c>
    </row>
    <row r="10" spans="1:15" s="132" customFormat="1" ht="14.25" x14ac:dyDescent="0.2">
      <c r="A10" s="272" t="s">
        <v>1474</v>
      </c>
      <c r="B10" s="268"/>
      <c r="C10" s="268"/>
      <c r="D10" s="268"/>
      <c r="E10" s="268"/>
      <c r="F10" s="268"/>
      <c r="G10" s="270"/>
      <c r="H10" s="271"/>
      <c r="I10" s="272" t="s">
        <v>1474</v>
      </c>
      <c r="J10" s="268"/>
      <c r="K10" s="268"/>
      <c r="L10" s="268"/>
      <c r="M10" s="268"/>
      <c r="N10" s="268"/>
      <c r="O10" s="270"/>
    </row>
    <row r="11" spans="1:15" s="132" customFormat="1" x14ac:dyDescent="0.25">
      <c r="A11" s="273" t="s">
        <v>1473</v>
      </c>
      <c r="B11" s="268"/>
      <c r="C11" s="268"/>
      <c r="D11" s="268"/>
      <c r="E11" s="268"/>
      <c r="F11" s="274">
        <f>+SUM(E12:E15)</f>
        <v>0.12710000000000002</v>
      </c>
      <c r="G11" s="270">
        <f>+(G8*100/87.29-G8)+(G9*F11)</f>
        <v>0</v>
      </c>
      <c r="H11" s="271"/>
      <c r="I11" s="273" t="s">
        <v>1473</v>
      </c>
      <c r="J11" s="268"/>
      <c r="K11" s="268"/>
      <c r="L11" s="268"/>
      <c r="M11" s="268"/>
      <c r="N11" s="274">
        <f>+SUM(M12:M15)</f>
        <v>0.12710000000000002</v>
      </c>
      <c r="O11" s="270">
        <f>+(O8*100/87.29-O8)+(N11*O9)</f>
        <v>0</v>
      </c>
    </row>
    <row r="12" spans="1:15" s="132" customFormat="1" ht="14.25" x14ac:dyDescent="0.2">
      <c r="A12" s="275" t="s">
        <v>1472</v>
      </c>
      <c r="B12" s="268"/>
      <c r="C12" s="268"/>
      <c r="D12" s="268"/>
      <c r="E12" s="276">
        <v>0.1</v>
      </c>
      <c r="F12" s="268"/>
      <c r="G12" s="270"/>
      <c r="H12" s="271"/>
      <c r="I12" s="275" t="s">
        <v>1472</v>
      </c>
      <c r="J12" s="268"/>
      <c r="K12" s="268"/>
      <c r="L12" s="268"/>
      <c r="M12" s="276">
        <v>0.1</v>
      </c>
      <c r="N12" s="268"/>
      <c r="O12" s="270"/>
    </row>
    <row r="13" spans="1:15" s="132" customFormat="1" ht="14.25" x14ac:dyDescent="0.2">
      <c r="A13" s="275" t="s">
        <v>1471</v>
      </c>
      <c r="B13" s="268"/>
      <c r="C13" s="268"/>
      <c r="D13" s="268"/>
      <c r="E13" s="276">
        <v>1.7100000000000001E-2</v>
      </c>
      <c r="F13" s="268"/>
      <c r="G13" s="270"/>
      <c r="H13" s="271"/>
      <c r="I13" s="275" t="s">
        <v>1471</v>
      </c>
      <c r="J13" s="268"/>
      <c r="K13" s="268"/>
      <c r="L13" s="268"/>
      <c r="M13" s="276">
        <v>1.7100000000000001E-2</v>
      </c>
      <c r="N13" s="268"/>
      <c r="O13" s="270"/>
    </row>
    <row r="14" spans="1:15" s="132" customFormat="1" ht="14.25" x14ac:dyDescent="0.2">
      <c r="A14" s="275" t="s">
        <v>1470</v>
      </c>
      <c r="B14" s="268"/>
      <c r="C14" s="268"/>
      <c r="D14" s="268"/>
      <c r="E14" s="276">
        <v>5.0000000000000001E-3</v>
      </c>
      <c r="F14" s="268"/>
      <c r="G14" s="270"/>
      <c r="H14" s="271"/>
      <c r="I14" s="275" t="s">
        <v>1470</v>
      </c>
      <c r="J14" s="268"/>
      <c r="K14" s="268"/>
      <c r="L14" s="268"/>
      <c r="M14" s="276">
        <v>5.0000000000000001E-3</v>
      </c>
      <c r="N14" s="268"/>
      <c r="O14" s="270"/>
    </row>
    <row r="15" spans="1:15" s="132" customFormat="1" ht="14.25" x14ac:dyDescent="0.2">
      <c r="A15" s="275" t="s">
        <v>1466</v>
      </c>
      <c r="B15" s="268"/>
      <c r="C15" s="268"/>
      <c r="D15" s="268"/>
      <c r="E15" s="276">
        <f>+E14</f>
        <v>5.0000000000000001E-3</v>
      </c>
      <c r="F15" s="268"/>
      <c r="G15" s="270"/>
      <c r="H15" s="271"/>
      <c r="I15" s="275" t="s">
        <v>1466</v>
      </c>
      <c r="J15" s="268"/>
      <c r="K15" s="268"/>
      <c r="L15" s="268"/>
      <c r="M15" s="276">
        <f>+M14</f>
        <v>5.0000000000000001E-3</v>
      </c>
      <c r="N15" s="268"/>
      <c r="O15" s="270"/>
    </row>
    <row r="16" spans="1:15" s="132" customFormat="1" x14ac:dyDescent="0.25">
      <c r="A16" s="273" t="s">
        <v>1469</v>
      </c>
      <c r="B16" s="268"/>
      <c r="C16" s="268"/>
      <c r="D16" s="268"/>
      <c r="E16" s="276"/>
      <c r="F16" s="274">
        <f>+SUM(E17:E26)</f>
        <v>0.83360000000000001</v>
      </c>
      <c r="G16" s="270">
        <f>(G8+G11+G9)*F16</f>
        <v>0</v>
      </c>
      <c r="H16" s="271"/>
      <c r="I16" s="273" t="s">
        <v>1469</v>
      </c>
      <c r="J16" s="268"/>
      <c r="K16" s="268"/>
      <c r="L16" s="268"/>
      <c r="M16" s="276"/>
      <c r="N16" s="274">
        <f>+SUM(M17:M26)</f>
        <v>0.83360000000000001</v>
      </c>
      <c r="O16" s="270">
        <f>(O8+O11+O9)*N16</f>
        <v>0</v>
      </c>
    </row>
    <row r="17" spans="1:15" s="132" customFormat="1" ht="14.25" x14ac:dyDescent="0.2">
      <c r="A17" s="275" t="s">
        <v>1468</v>
      </c>
      <c r="B17" s="268"/>
      <c r="C17" s="268"/>
      <c r="D17" s="268"/>
      <c r="E17" s="276">
        <v>0.1</v>
      </c>
      <c r="F17" s="268"/>
      <c r="G17" s="270"/>
      <c r="H17" s="271"/>
      <c r="I17" s="275" t="s">
        <v>1468</v>
      </c>
      <c r="J17" s="268"/>
      <c r="K17" s="268"/>
      <c r="L17" s="268"/>
      <c r="M17" s="276">
        <v>0.1</v>
      </c>
      <c r="N17" s="268"/>
      <c r="O17" s="270"/>
    </row>
    <row r="18" spans="1:15" s="132" customFormat="1" ht="14.25" x14ac:dyDescent="0.2">
      <c r="A18" s="275" t="s">
        <v>1466</v>
      </c>
      <c r="B18" s="268"/>
      <c r="C18" s="268"/>
      <c r="D18" s="268"/>
      <c r="E18" s="276">
        <v>0.03</v>
      </c>
      <c r="F18" s="268"/>
      <c r="G18" s="270"/>
      <c r="H18" s="271"/>
      <c r="I18" s="275" t="s">
        <v>1466</v>
      </c>
      <c r="J18" s="268"/>
      <c r="K18" s="268"/>
      <c r="L18" s="268"/>
      <c r="M18" s="276">
        <v>0.03</v>
      </c>
      <c r="N18" s="268"/>
      <c r="O18" s="270"/>
    </row>
    <row r="19" spans="1:15" s="132" customFormat="1" ht="14.25" x14ac:dyDescent="0.2">
      <c r="A19" s="275" t="s">
        <v>1465</v>
      </c>
      <c r="B19" s="268"/>
      <c r="C19" s="268"/>
      <c r="D19" s="268"/>
      <c r="E19" s="276">
        <v>3.7100000000000001E-2</v>
      </c>
      <c r="F19" s="268"/>
      <c r="G19" s="270"/>
      <c r="H19" s="271"/>
      <c r="I19" s="275" t="s">
        <v>1465</v>
      </c>
      <c r="J19" s="268"/>
      <c r="K19" s="268"/>
      <c r="L19" s="268"/>
      <c r="M19" s="276">
        <v>3.7100000000000001E-2</v>
      </c>
      <c r="N19" s="268"/>
      <c r="O19" s="270"/>
    </row>
    <row r="20" spans="1:15" s="132" customFormat="1" ht="14.25" x14ac:dyDescent="0.2">
      <c r="A20" s="275" t="s">
        <v>1464</v>
      </c>
      <c r="B20" s="268"/>
      <c r="C20" s="268"/>
      <c r="D20" s="268"/>
      <c r="E20" s="276">
        <f>+IF('HOJA DE TRABAJO'!$J$17="SI",0,IF('HOJA DE TRABAJO'!$J$17="NO",0.0833,))</f>
        <v>8.3299999999999999E-2</v>
      </c>
      <c r="F20" s="268"/>
      <c r="G20" s="270"/>
      <c r="H20" s="271"/>
      <c r="I20" s="275" t="s">
        <v>1500</v>
      </c>
      <c r="J20" s="268"/>
      <c r="K20" s="268"/>
      <c r="L20" s="268"/>
      <c r="M20" s="276">
        <f>+IF('HOJA DE TRABAJO'!$J$17="SI",0,IF('HOJA DE TRABAJO'!$J$17="NO",0.0833,))</f>
        <v>8.3299999999999999E-2</v>
      </c>
      <c r="N20" s="268"/>
      <c r="O20" s="270"/>
    </row>
    <row r="21" spans="1:15" s="132" customFormat="1" ht="14.25" x14ac:dyDescent="0.2">
      <c r="A21" s="275" t="s">
        <v>1463</v>
      </c>
      <c r="B21" s="268"/>
      <c r="C21" s="268"/>
      <c r="D21" s="268"/>
      <c r="E21" s="276">
        <f>+IF('HOJA DE TRABAJO'!$J$17="SI",0,IF('HOJA DE TRABAJO'!$J$17="NO",0.0833,))</f>
        <v>8.3299999999999999E-2</v>
      </c>
      <c r="F21" s="268"/>
      <c r="G21" s="270"/>
      <c r="H21" s="271"/>
      <c r="I21" s="275" t="s">
        <v>1463</v>
      </c>
      <c r="J21" s="268"/>
      <c r="K21" s="268"/>
      <c r="L21" s="268"/>
      <c r="M21" s="276">
        <f>+IF('HOJA DE TRABAJO'!$J$17="SI",0,IF('HOJA DE TRABAJO'!$J$17="NO",0.0833,))</f>
        <v>8.3299999999999999E-2</v>
      </c>
      <c r="N21" s="268"/>
      <c r="O21" s="270"/>
    </row>
    <row r="22" spans="1:15" s="132" customFormat="1" ht="14.25" x14ac:dyDescent="0.2">
      <c r="A22" s="275" t="str">
        <f>+'HOJA DE TRABAJO'!$B$29</f>
        <v xml:space="preserve">Previsión Segundo  Aguinaldo </v>
      </c>
      <c r="B22" s="268"/>
      <c r="C22" s="268"/>
      <c r="D22" s="268"/>
      <c r="E22" s="276">
        <f>+'HOJA DE TRABAJO'!$E$29</f>
        <v>8.3299999999999999E-2</v>
      </c>
      <c r="F22" s="268"/>
      <c r="G22" s="270"/>
      <c r="H22" s="271"/>
      <c r="I22" s="275" t="str">
        <f>+'HOJA DE TRABAJO'!$B$29</f>
        <v xml:space="preserve">Previsión Segundo  Aguinaldo </v>
      </c>
      <c r="J22" s="268"/>
      <c r="K22" s="268"/>
      <c r="L22" s="268"/>
      <c r="M22" s="276">
        <f>+'HOJA DE TRABAJO'!$E$29</f>
        <v>8.3299999999999999E-2</v>
      </c>
      <c r="N22" s="268"/>
      <c r="O22" s="270"/>
    </row>
    <row r="23" spans="1:15" s="132" customFormat="1" ht="14.25" x14ac:dyDescent="0.2">
      <c r="A23" s="275" t="str">
        <f>+'HOJA DE TRABAJO'!$B$30</f>
        <v>Seguro de Accidente</v>
      </c>
      <c r="B23" s="268"/>
      <c r="C23" s="268"/>
      <c r="D23" s="268"/>
      <c r="E23" s="276">
        <f>+'HOJA DE TRABAJO'!$E$30</f>
        <v>0</v>
      </c>
      <c r="F23" s="268"/>
      <c r="G23" s="270"/>
      <c r="H23" s="271"/>
      <c r="I23" s="275" t="str">
        <f>+'HOJA DE TRABAJO'!$B$30</f>
        <v>Seguro de Accidente</v>
      </c>
      <c r="J23" s="268"/>
      <c r="K23" s="268"/>
      <c r="L23" s="268"/>
      <c r="M23" s="276">
        <f>+'HOJA DE TRABAJO'!$E$30</f>
        <v>0</v>
      </c>
      <c r="N23" s="268"/>
      <c r="O23" s="270"/>
    </row>
    <row r="24" spans="1:15" s="132" customFormat="1" ht="14.25" x14ac:dyDescent="0.2">
      <c r="A24" s="275" t="str">
        <f>+'HOJA DE TRABAJO'!$B$31</f>
        <v xml:space="preserve">Vacaciones </v>
      </c>
      <c r="B24" s="268"/>
      <c r="C24" s="268"/>
      <c r="D24" s="268"/>
      <c r="E24" s="276">
        <f>+'HOJA DE TRABAJO'!$E$31</f>
        <v>0</v>
      </c>
      <c r="F24" s="268"/>
      <c r="G24" s="270"/>
      <c r="H24" s="271"/>
      <c r="I24" s="275" t="str">
        <f>+'HOJA DE TRABAJO'!$B$31</f>
        <v xml:space="preserve">Vacaciones </v>
      </c>
      <c r="J24" s="268"/>
      <c r="K24" s="268"/>
      <c r="L24" s="268"/>
      <c r="M24" s="276">
        <f>+'HOJA DE TRABAJO'!$E$31</f>
        <v>0</v>
      </c>
      <c r="N24" s="268"/>
      <c r="O24" s="270"/>
    </row>
    <row r="25" spans="1:15" s="132" customFormat="1" ht="14.25" x14ac:dyDescent="0.2">
      <c r="A25" s="275" t="str">
        <f>+'HOJA DE TRABAJO'!$F$29</f>
        <v xml:space="preserve">Previsicion de Subsidio </v>
      </c>
      <c r="B25" s="268"/>
      <c r="C25" s="268"/>
      <c r="D25" s="268"/>
      <c r="E25" s="276">
        <f>+'HOJA DE TRABAJO'!$L$29</f>
        <v>0.33329999999999999</v>
      </c>
      <c r="F25" s="268"/>
      <c r="G25" s="270"/>
      <c r="H25" s="271"/>
      <c r="I25" s="275" t="str">
        <f>+'HOJA DE TRABAJO'!$F$29</f>
        <v xml:space="preserve">Previsicion de Subsidio </v>
      </c>
      <c r="J25" s="268"/>
      <c r="K25" s="268"/>
      <c r="L25" s="268"/>
      <c r="M25" s="276">
        <f>+'HOJA DE TRABAJO'!$L$29</f>
        <v>0.33329999999999999</v>
      </c>
      <c r="N25" s="268"/>
      <c r="O25" s="270"/>
    </row>
    <row r="26" spans="1:15" s="132" customFormat="1" ht="14.25" x14ac:dyDescent="0.2">
      <c r="A26" s="275" t="str">
        <f>+'HOJA DE TRABAJO'!$F$30</f>
        <v>Previsicion de Desahucio</v>
      </c>
      <c r="B26" s="268"/>
      <c r="C26" s="268"/>
      <c r="D26" s="268"/>
      <c r="E26" s="276">
        <f>+'HOJA DE TRABAJO'!$L$30</f>
        <v>8.3299999999999999E-2</v>
      </c>
      <c r="F26" s="268"/>
      <c r="G26" s="270"/>
      <c r="H26" s="271"/>
      <c r="I26" s="275" t="str">
        <f>+'HOJA DE TRABAJO'!$F$30</f>
        <v>Previsicion de Desahucio</v>
      </c>
      <c r="J26" s="268"/>
      <c r="K26" s="268"/>
      <c r="L26" s="268"/>
      <c r="M26" s="276">
        <f>+'HOJA DE TRABAJO'!$L$30</f>
        <v>8.3299999999999999E-2</v>
      </c>
      <c r="N26" s="268"/>
      <c r="O26" s="270"/>
    </row>
    <row r="27" spans="1:15" s="132" customFormat="1" ht="14.25" x14ac:dyDescent="0.2">
      <c r="A27" s="277" t="s">
        <v>1461</v>
      </c>
      <c r="B27" s="268"/>
      <c r="C27" s="268"/>
      <c r="D27" s="268"/>
      <c r="E27" s="276"/>
      <c r="F27" s="268"/>
      <c r="G27" s="270">
        <f>IF(G4=0,0,(('HOJA DE TRABAJO'!$U$108)/'HOJA DE TRABAJO'!$BA$44))</f>
        <v>0</v>
      </c>
      <c r="H27" s="337"/>
      <c r="I27" s="277" t="s">
        <v>1461</v>
      </c>
      <c r="J27" s="268"/>
      <c r="K27" s="268"/>
      <c r="L27" s="268"/>
      <c r="M27" s="276"/>
      <c r="N27" s="268"/>
      <c r="O27" s="270">
        <f>IF(O4=0,0,(('HOJA DE TRABAJO'!$U$108)/'HOJA DE TRABAJO'!$BA$44))</f>
        <v>0</v>
      </c>
    </row>
    <row r="28" spans="1:15" s="132" customFormat="1" ht="14.25" x14ac:dyDescent="0.2">
      <c r="A28" s="277" t="s">
        <v>1504</v>
      </c>
      <c r="B28" s="268"/>
      <c r="C28" s="268"/>
      <c r="D28" s="268"/>
      <c r="E28" s="274">
        <f>+'HOJA DE TRABAJO'!$H$116*'HOJA DE TRABAJO'!$F$19</f>
        <v>1.6346153846153847E-2</v>
      </c>
      <c r="F28" s="268"/>
      <c r="G28" s="270">
        <f>(SUM(G7:G27)*E28)+IF(G4=0,0,'HOJA DE TRABAJO'!$J$119)</f>
        <v>0</v>
      </c>
      <c r="H28" s="271"/>
      <c r="I28" s="277" t="s">
        <v>1503</v>
      </c>
      <c r="J28" s="268"/>
      <c r="K28" s="268"/>
      <c r="L28" s="268"/>
      <c r="M28" s="274">
        <f>+'HOJA DE TRABAJO'!$H$116*'HOJA DE TRABAJO'!$F$19</f>
        <v>1.6346153846153847E-2</v>
      </c>
      <c r="N28" s="268"/>
      <c r="O28" s="270">
        <f>(SUM(O7:O27)*M28)+IF(O4=0,0,'HOJA DE TRABAJO'!$J$119)</f>
        <v>0</v>
      </c>
    </row>
    <row r="29" spans="1:15" s="132" customFormat="1" ht="14.25" x14ac:dyDescent="0.2">
      <c r="A29" s="278" t="s">
        <v>1460</v>
      </c>
      <c r="B29" s="279"/>
      <c r="C29" s="279"/>
      <c r="D29" s="279"/>
      <c r="E29" s="280">
        <f>+'HOJA 1 aux'!E29</f>
        <v>0.13</v>
      </c>
      <c r="F29" s="279"/>
      <c r="G29" s="281">
        <f>+SUM(G6:G28)*E29</f>
        <v>0</v>
      </c>
      <c r="H29" s="282"/>
      <c r="I29" s="278" t="s">
        <v>1460</v>
      </c>
      <c r="J29" s="279"/>
      <c r="K29" s="279"/>
      <c r="L29" s="279"/>
      <c r="M29" s="280">
        <f>+E29</f>
        <v>0.13</v>
      </c>
      <c r="N29" s="279"/>
      <c r="O29" s="281">
        <f>+SUM(O6:O28)*M29</f>
        <v>0</v>
      </c>
    </row>
    <row r="30" spans="1:15" s="132" customFormat="1" x14ac:dyDescent="0.25">
      <c r="A30" s="283" t="s">
        <v>1459</v>
      </c>
      <c r="B30" s="284"/>
      <c r="C30" s="284"/>
      <c r="D30" s="284"/>
      <c r="E30" s="284"/>
      <c r="F30" s="284"/>
      <c r="G30" s="285">
        <f>+SUM(G7:G29)</f>
        <v>0</v>
      </c>
      <c r="H30" s="286"/>
      <c r="I30" s="283" t="s">
        <v>1459</v>
      </c>
      <c r="J30" s="284"/>
      <c r="K30" s="284"/>
      <c r="L30" s="284"/>
      <c r="M30" s="284"/>
      <c r="N30" s="284"/>
      <c r="O30" s="285">
        <f>+SUM(O7:O29)</f>
        <v>0</v>
      </c>
    </row>
    <row r="31" spans="1:15" s="132" customFormat="1" ht="14.25" x14ac:dyDescent="0.2">
      <c r="A31" s="277" t="s">
        <v>1458</v>
      </c>
      <c r="B31" s="268"/>
      <c r="C31" s="268"/>
      <c r="D31" s="268"/>
      <c r="E31" s="274">
        <f>+B32+B33</f>
        <v>0.16</v>
      </c>
      <c r="F31" s="268"/>
      <c r="G31" s="270">
        <f>+G34-G30</f>
        <v>0</v>
      </c>
      <c r="H31" s="271"/>
      <c r="I31" s="277" t="s">
        <v>1458</v>
      </c>
      <c r="J31" s="268"/>
      <c r="K31" s="268"/>
      <c r="L31" s="268"/>
      <c r="M31" s="274">
        <f>+J32+J33</f>
        <v>0.16</v>
      </c>
      <c r="N31" s="268"/>
      <c r="O31" s="270">
        <f>+O34-O30</f>
        <v>0</v>
      </c>
    </row>
    <row r="32" spans="1:15" s="132" customFormat="1" ht="14.25" x14ac:dyDescent="0.2">
      <c r="A32" s="287" t="s">
        <v>1457</v>
      </c>
      <c r="B32" s="288">
        <v>0.13</v>
      </c>
      <c r="C32" s="268"/>
      <c r="D32" s="268"/>
      <c r="E32" s="276"/>
      <c r="F32" s="268"/>
      <c r="G32" s="270"/>
      <c r="H32" s="271"/>
      <c r="I32" s="287" t="s">
        <v>1457</v>
      </c>
      <c r="J32" s="288">
        <v>0.13</v>
      </c>
      <c r="K32" s="268"/>
      <c r="L32" s="268"/>
      <c r="M32" s="276"/>
      <c r="N32" s="268"/>
      <c r="O32" s="270"/>
    </row>
    <row r="33" spans="1:15" s="132" customFormat="1" ht="14.25" x14ac:dyDescent="0.2">
      <c r="A33" s="289" t="s">
        <v>1456</v>
      </c>
      <c r="B33" s="290">
        <v>0.03</v>
      </c>
      <c r="C33" s="279"/>
      <c r="D33" s="279"/>
      <c r="E33" s="291"/>
      <c r="F33" s="279"/>
      <c r="G33" s="281"/>
      <c r="H33" s="282"/>
      <c r="I33" s="289" t="s">
        <v>1456</v>
      </c>
      <c r="J33" s="290">
        <v>0.03</v>
      </c>
      <c r="K33" s="279"/>
      <c r="L33" s="279"/>
      <c r="M33" s="291"/>
      <c r="N33" s="279"/>
      <c r="O33" s="281"/>
    </row>
    <row r="34" spans="1:15" s="132" customFormat="1" x14ac:dyDescent="0.25">
      <c r="A34" s="283" t="s">
        <v>1519</v>
      </c>
      <c r="B34" s="284"/>
      <c r="C34" s="284"/>
      <c r="D34" s="284"/>
      <c r="E34" s="284"/>
      <c r="F34" s="284"/>
      <c r="G34" s="285">
        <f>IFERROR((G30/0.84),0)</f>
        <v>0</v>
      </c>
      <c r="H34" s="286"/>
      <c r="I34" s="283" t="s">
        <v>1519</v>
      </c>
      <c r="J34" s="284"/>
      <c r="K34" s="284"/>
      <c r="L34" s="284"/>
      <c r="M34" s="284"/>
      <c r="N34" s="284"/>
      <c r="O34" s="285">
        <f>IFERROR((O30/0.84),0)</f>
        <v>0</v>
      </c>
    </row>
    <row r="35" spans="1:15" s="132" customFormat="1" ht="14.25" x14ac:dyDescent="0.2">
      <c r="H35" s="133"/>
    </row>
    <row r="36" spans="1:15" s="132" customFormat="1" ht="14.25" x14ac:dyDescent="0.2">
      <c r="H36" s="133"/>
    </row>
    <row r="37" spans="1:15" s="132" customFormat="1" outlineLevel="1" x14ac:dyDescent="0.25">
      <c r="A37" s="292" t="s">
        <v>1477</v>
      </c>
      <c r="B37" s="292"/>
      <c r="C37" s="292"/>
      <c r="D37" s="292"/>
      <c r="E37" s="268"/>
      <c r="F37" s="292" t="s">
        <v>11</v>
      </c>
      <c r="G37" s="292">
        <f>+'HOJA DE TRABAJO'!AQ40</f>
        <v>0</v>
      </c>
      <c r="H37" s="293"/>
      <c r="I37" s="292" t="s">
        <v>1477</v>
      </c>
      <c r="J37" s="292"/>
      <c r="K37" s="292"/>
      <c r="L37" s="292"/>
      <c r="M37" s="268"/>
      <c r="N37" s="292" t="s">
        <v>11</v>
      </c>
      <c r="O37" s="292">
        <f>+'HOJA DE TRABAJO'!AQ41</f>
        <v>0</v>
      </c>
    </row>
    <row r="38" spans="1:15" s="132" customFormat="1" outlineLevel="1" x14ac:dyDescent="0.25">
      <c r="A38" s="294"/>
      <c r="B38" s="294" t="s">
        <v>1476</v>
      </c>
      <c r="C38" s="588">
        <f>+'HOJA DE TRABAJO'!C40:E40</f>
        <v>0</v>
      </c>
      <c r="D38" s="588"/>
      <c r="E38" s="588"/>
      <c r="F38" s="294"/>
      <c r="G38" s="294"/>
      <c r="H38" s="269"/>
      <c r="I38" s="294"/>
      <c r="J38" s="294" t="s">
        <v>1476</v>
      </c>
      <c r="K38" s="588">
        <f>+'HOJA DE TRABAJO'!C41</f>
        <v>0</v>
      </c>
      <c r="L38" s="588"/>
      <c r="M38" s="588"/>
      <c r="N38" s="294"/>
      <c r="O38" s="294"/>
    </row>
    <row r="39" spans="1:15" s="132" customFormat="1" ht="14.25" outlineLevel="1" x14ac:dyDescent="0.2">
      <c r="A39" s="587" t="s">
        <v>1478</v>
      </c>
      <c r="B39" s="587"/>
      <c r="C39" s="587"/>
      <c r="D39" s="587"/>
      <c r="E39" s="587"/>
      <c r="F39" s="587"/>
      <c r="G39" s="587"/>
      <c r="H39" s="133"/>
      <c r="I39" s="587" t="s">
        <v>1478</v>
      </c>
      <c r="J39" s="587"/>
      <c r="K39" s="587"/>
      <c r="L39" s="587"/>
      <c r="M39" s="587"/>
      <c r="N39" s="587"/>
      <c r="O39" s="587"/>
    </row>
    <row r="40" spans="1:15" s="132" customFormat="1" ht="14.25" outlineLevel="1" x14ac:dyDescent="0.2">
      <c r="A40" s="268" t="s">
        <v>1475</v>
      </c>
      <c r="B40" s="268"/>
      <c r="C40" s="268"/>
      <c r="D40" s="268"/>
      <c r="E40" s="268"/>
      <c r="F40" s="268"/>
      <c r="G40" s="270">
        <f>+'HOJA DE TRABAJO'!AR40</f>
        <v>0</v>
      </c>
      <c r="H40" s="271"/>
      <c r="I40" s="268" t="str">
        <f>A40</f>
        <v>Costo líquido por Supervisor  (líquido pagable Bs.)</v>
      </c>
      <c r="J40" s="268"/>
      <c r="K40" s="268"/>
      <c r="L40" s="268"/>
      <c r="M40" s="268"/>
      <c r="N40" s="268"/>
      <c r="O40" s="270">
        <f>+'HOJA DE TRABAJO'!AR41</f>
        <v>0</v>
      </c>
    </row>
    <row r="41" spans="1:15" s="132" customFormat="1" ht="14.25" outlineLevel="1" x14ac:dyDescent="0.2">
      <c r="A41" s="268" t="s">
        <v>1588</v>
      </c>
      <c r="B41" s="268"/>
      <c r="C41" s="268"/>
      <c r="D41" s="268"/>
      <c r="E41" s="268"/>
      <c r="F41" s="268"/>
      <c r="G41" s="270">
        <f>IF(G40=0,0,SUM('HOJA DE TRABAJO'!$R$29:$R$31))</f>
        <v>0</v>
      </c>
      <c r="H41" s="271"/>
      <c r="I41" s="268" t="s">
        <v>1588</v>
      </c>
      <c r="J41" s="268"/>
      <c r="K41" s="268"/>
      <c r="L41" s="268"/>
      <c r="M41" s="268"/>
      <c r="N41" s="268"/>
      <c r="O41" s="270">
        <f>IF(O40=0,0,SUM('HOJA DE TRABAJO'!$R$29:$R$31))</f>
        <v>0</v>
      </c>
    </row>
    <row r="42" spans="1:15" s="132" customFormat="1" ht="14.25" outlineLevel="1" x14ac:dyDescent="0.2">
      <c r="A42" s="272" t="s">
        <v>1474</v>
      </c>
      <c r="B42" s="268"/>
      <c r="C42" s="268"/>
      <c r="D42" s="268"/>
      <c r="E42" s="268"/>
      <c r="F42" s="268"/>
      <c r="G42" s="270"/>
      <c r="H42" s="271"/>
      <c r="I42" s="272" t="s">
        <v>1474</v>
      </c>
      <c r="J42" s="268"/>
      <c r="K42" s="268"/>
      <c r="L42" s="268"/>
      <c r="M42" s="268"/>
      <c r="N42" s="268"/>
      <c r="O42" s="270"/>
    </row>
    <row r="43" spans="1:15" s="132" customFormat="1" outlineLevel="1" x14ac:dyDescent="0.25">
      <c r="A43" s="273" t="s">
        <v>1473</v>
      </c>
      <c r="B43" s="268"/>
      <c r="C43" s="268"/>
      <c r="D43" s="268"/>
      <c r="E43" s="268"/>
      <c r="F43" s="274">
        <f>+SUM(E44:E47)</f>
        <v>0.12710000000000002</v>
      </c>
      <c r="G43" s="270">
        <f>+(G40*100/87.29-G40)+(F43*G41)</f>
        <v>0</v>
      </c>
      <c r="H43" s="271"/>
      <c r="I43" s="273" t="s">
        <v>1473</v>
      </c>
      <c r="J43" s="268"/>
      <c r="K43" s="268"/>
      <c r="L43" s="268"/>
      <c r="M43" s="268"/>
      <c r="N43" s="274">
        <f>+SUM(M44:M47)</f>
        <v>0.12710000000000002</v>
      </c>
      <c r="O43" s="270">
        <f>+(O40*100/87.29-O40)+(N43*O41)</f>
        <v>0</v>
      </c>
    </row>
    <row r="44" spans="1:15" s="132" customFormat="1" ht="14.25" outlineLevel="1" x14ac:dyDescent="0.2">
      <c r="A44" s="275" t="s">
        <v>1472</v>
      </c>
      <c r="B44" s="268"/>
      <c r="C44" s="268"/>
      <c r="D44" s="268"/>
      <c r="E44" s="276">
        <v>0.1</v>
      </c>
      <c r="F44" s="268"/>
      <c r="G44" s="270"/>
      <c r="H44" s="271"/>
      <c r="I44" s="275" t="s">
        <v>1472</v>
      </c>
      <c r="J44" s="268"/>
      <c r="K44" s="268"/>
      <c r="L44" s="268"/>
      <c r="M44" s="276">
        <v>0.1</v>
      </c>
      <c r="N44" s="268"/>
      <c r="O44" s="270"/>
    </row>
    <row r="45" spans="1:15" s="132" customFormat="1" ht="14.25" outlineLevel="1" x14ac:dyDescent="0.2">
      <c r="A45" s="275" t="s">
        <v>1471</v>
      </c>
      <c r="B45" s="268"/>
      <c r="C45" s="268"/>
      <c r="D45" s="268"/>
      <c r="E45" s="276">
        <v>1.7100000000000001E-2</v>
      </c>
      <c r="F45" s="268"/>
      <c r="G45" s="270"/>
      <c r="H45" s="271"/>
      <c r="I45" s="275" t="s">
        <v>1471</v>
      </c>
      <c r="J45" s="268"/>
      <c r="K45" s="268"/>
      <c r="L45" s="268"/>
      <c r="M45" s="276">
        <v>1.7100000000000001E-2</v>
      </c>
      <c r="N45" s="268"/>
      <c r="O45" s="270"/>
    </row>
    <row r="46" spans="1:15" s="132" customFormat="1" ht="14.25" outlineLevel="1" x14ac:dyDescent="0.2">
      <c r="A46" s="275" t="s">
        <v>1470</v>
      </c>
      <c r="B46" s="268"/>
      <c r="C46" s="268"/>
      <c r="D46" s="268"/>
      <c r="E46" s="276">
        <v>5.0000000000000001E-3</v>
      </c>
      <c r="F46" s="268"/>
      <c r="G46" s="270"/>
      <c r="H46" s="271"/>
      <c r="I46" s="275" t="s">
        <v>1470</v>
      </c>
      <c r="J46" s="268"/>
      <c r="K46" s="268"/>
      <c r="L46" s="268"/>
      <c r="M46" s="276">
        <v>5.0000000000000001E-3</v>
      </c>
      <c r="N46" s="268"/>
      <c r="O46" s="270"/>
    </row>
    <row r="47" spans="1:15" s="132" customFormat="1" ht="14.25" outlineLevel="1" x14ac:dyDescent="0.2">
      <c r="A47" s="275" t="s">
        <v>1466</v>
      </c>
      <c r="B47" s="268"/>
      <c r="C47" s="268"/>
      <c r="D47" s="268"/>
      <c r="E47" s="276">
        <f>+E46</f>
        <v>5.0000000000000001E-3</v>
      </c>
      <c r="F47" s="268"/>
      <c r="G47" s="270"/>
      <c r="H47" s="271"/>
      <c r="I47" s="275" t="s">
        <v>1466</v>
      </c>
      <c r="J47" s="268"/>
      <c r="K47" s="268"/>
      <c r="L47" s="268"/>
      <c r="M47" s="276">
        <f>+M46</f>
        <v>5.0000000000000001E-3</v>
      </c>
      <c r="N47" s="268"/>
      <c r="O47" s="270"/>
    </row>
    <row r="48" spans="1:15" s="132" customFormat="1" outlineLevel="1" x14ac:dyDescent="0.25">
      <c r="A48" s="273" t="s">
        <v>1469</v>
      </c>
      <c r="B48" s="268"/>
      <c r="C48" s="268"/>
      <c r="D48" s="268"/>
      <c r="E48" s="276"/>
      <c r="F48" s="274">
        <f>+SUM(E49:E59)</f>
        <v>0.83360000000000001</v>
      </c>
      <c r="G48" s="270">
        <f>(G40+G43+G41)*F48</f>
        <v>0</v>
      </c>
      <c r="H48" s="271"/>
      <c r="I48" s="273" t="s">
        <v>1469</v>
      </c>
      <c r="J48" s="268"/>
      <c r="K48" s="268"/>
      <c r="L48" s="268"/>
      <c r="M48" s="276"/>
      <c r="N48" s="274">
        <f>+SUM(M49:M59)</f>
        <v>0.83360000000000001</v>
      </c>
      <c r="O48" s="270">
        <f>(O40+O43+O41)*N48</f>
        <v>0</v>
      </c>
    </row>
    <row r="49" spans="1:15" s="132" customFormat="1" ht="14.25" outlineLevel="1" x14ac:dyDescent="0.2">
      <c r="A49" s="275" t="s">
        <v>1468</v>
      </c>
      <c r="B49" s="268"/>
      <c r="C49" s="268"/>
      <c r="D49" s="268"/>
      <c r="E49" s="276">
        <v>0.1</v>
      </c>
      <c r="F49" s="268"/>
      <c r="G49" s="270"/>
      <c r="H49" s="271"/>
      <c r="I49" s="275" t="s">
        <v>1468</v>
      </c>
      <c r="J49" s="268"/>
      <c r="K49" s="268"/>
      <c r="L49" s="268"/>
      <c r="M49" s="276">
        <v>0.1</v>
      </c>
      <c r="N49" s="268"/>
      <c r="O49" s="270"/>
    </row>
    <row r="50" spans="1:15" s="132" customFormat="1" ht="14.25" outlineLevel="1" x14ac:dyDescent="0.2">
      <c r="A50" s="275" t="s">
        <v>1467</v>
      </c>
      <c r="B50" s="268"/>
      <c r="C50" s="268"/>
      <c r="D50" s="268"/>
      <c r="E50" s="276"/>
      <c r="F50" s="268"/>
      <c r="G50" s="270"/>
      <c r="H50" s="271"/>
      <c r="I50" s="275" t="s">
        <v>1467</v>
      </c>
      <c r="J50" s="268"/>
      <c r="K50" s="268"/>
      <c r="L50" s="268"/>
      <c r="M50" s="276"/>
      <c r="N50" s="268"/>
      <c r="O50" s="270"/>
    </row>
    <row r="51" spans="1:15" s="132" customFormat="1" ht="14.25" outlineLevel="1" x14ac:dyDescent="0.2">
      <c r="A51" s="275" t="s">
        <v>1466</v>
      </c>
      <c r="B51" s="268"/>
      <c r="C51" s="268"/>
      <c r="D51" s="268"/>
      <c r="E51" s="276">
        <v>0.03</v>
      </c>
      <c r="F51" s="268"/>
      <c r="G51" s="270"/>
      <c r="H51" s="271"/>
      <c r="I51" s="275" t="s">
        <v>1466</v>
      </c>
      <c r="J51" s="268"/>
      <c r="K51" s="268"/>
      <c r="L51" s="268"/>
      <c r="M51" s="276">
        <v>0.03</v>
      </c>
      <c r="N51" s="268"/>
      <c r="O51" s="270"/>
    </row>
    <row r="52" spans="1:15" s="132" customFormat="1" ht="14.25" outlineLevel="1" x14ac:dyDescent="0.2">
      <c r="A52" s="275" t="s">
        <v>1465</v>
      </c>
      <c r="B52" s="268"/>
      <c r="C52" s="268"/>
      <c r="D52" s="268"/>
      <c r="E52" s="276">
        <v>3.7100000000000001E-2</v>
      </c>
      <c r="F52" s="268"/>
      <c r="G52" s="270"/>
      <c r="H52" s="271"/>
      <c r="I52" s="275" t="s">
        <v>1465</v>
      </c>
      <c r="J52" s="268"/>
      <c r="K52" s="268"/>
      <c r="L52" s="268"/>
      <c r="M52" s="276">
        <v>3.7100000000000001E-2</v>
      </c>
      <c r="N52" s="268"/>
      <c r="O52" s="270"/>
    </row>
    <row r="53" spans="1:15" s="132" customFormat="1" ht="14.25" outlineLevel="1" x14ac:dyDescent="0.2">
      <c r="A53" s="275" t="s">
        <v>1501</v>
      </c>
      <c r="B53" s="268"/>
      <c r="C53" s="268"/>
      <c r="D53" s="268"/>
      <c r="E53" s="276">
        <f>+IF('HOJA DE TRABAJO'!$J$17="SI",0,IF('HOJA DE TRABAJO'!$J$17="NO",0.0833,))</f>
        <v>8.3299999999999999E-2</v>
      </c>
      <c r="F53" s="268"/>
      <c r="G53" s="270"/>
      <c r="H53" s="271"/>
      <c r="I53" s="275" t="s">
        <v>1500</v>
      </c>
      <c r="J53" s="268"/>
      <c r="K53" s="268"/>
      <c r="L53" s="268"/>
      <c r="M53" s="276">
        <f>+IF('HOJA DE TRABAJO'!$J$17="SI",0,IF('HOJA DE TRABAJO'!$J$17="NO",0.0833,))</f>
        <v>8.3299999999999999E-2</v>
      </c>
      <c r="N53" s="268"/>
      <c r="O53" s="270"/>
    </row>
    <row r="54" spans="1:15" s="132" customFormat="1" ht="14.25" outlineLevel="1" x14ac:dyDescent="0.2">
      <c r="A54" s="275" t="s">
        <v>1463</v>
      </c>
      <c r="B54" s="268"/>
      <c r="C54" s="268"/>
      <c r="D54" s="268"/>
      <c r="E54" s="276">
        <f>+IF('HOJA DE TRABAJO'!$J$17="SI",0,IF('HOJA DE TRABAJO'!$J$17="NO",0.0833,))</f>
        <v>8.3299999999999999E-2</v>
      </c>
      <c r="F54" s="268"/>
      <c r="G54" s="270"/>
      <c r="H54" s="271"/>
      <c r="I54" s="275" t="s">
        <v>1463</v>
      </c>
      <c r="J54" s="268"/>
      <c r="K54" s="268"/>
      <c r="L54" s="268"/>
      <c r="M54" s="276">
        <f>+IF('HOJA DE TRABAJO'!$J$17="SI",0,IF('HOJA DE TRABAJO'!$J$17="NO",0.0833,))</f>
        <v>8.3299999999999999E-2</v>
      </c>
      <c r="N54" s="268"/>
      <c r="O54" s="270"/>
    </row>
    <row r="55" spans="1:15" s="132" customFormat="1" ht="14.25" outlineLevel="1" x14ac:dyDescent="0.2">
      <c r="A55" s="275" t="str">
        <f>+'HOJA DE TRABAJO'!$B$29</f>
        <v xml:space="preserve">Previsión Segundo  Aguinaldo </v>
      </c>
      <c r="B55" s="268"/>
      <c r="C55" s="268"/>
      <c r="D55" s="268"/>
      <c r="E55" s="276">
        <f>+'HOJA DE TRABAJO'!$E$29</f>
        <v>8.3299999999999999E-2</v>
      </c>
      <c r="F55" s="268"/>
      <c r="G55" s="270"/>
      <c r="H55" s="271"/>
      <c r="I55" s="275" t="str">
        <f>+'HOJA DE TRABAJO'!$B$29</f>
        <v xml:space="preserve">Previsión Segundo  Aguinaldo </v>
      </c>
      <c r="J55" s="268"/>
      <c r="K55" s="268"/>
      <c r="L55" s="268"/>
      <c r="M55" s="276">
        <f>+'HOJA DE TRABAJO'!$E$29</f>
        <v>8.3299999999999999E-2</v>
      </c>
      <c r="N55" s="268"/>
      <c r="O55" s="270"/>
    </row>
    <row r="56" spans="1:15" s="132" customFormat="1" ht="14.25" outlineLevel="1" x14ac:dyDescent="0.2">
      <c r="A56" s="275" t="str">
        <f>+'HOJA DE TRABAJO'!$B$30</f>
        <v>Seguro de Accidente</v>
      </c>
      <c r="B56" s="268"/>
      <c r="C56" s="268"/>
      <c r="D56" s="268"/>
      <c r="E56" s="276">
        <f>+'HOJA DE TRABAJO'!$E$30</f>
        <v>0</v>
      </c>
      <c r="F56" s="268"/>
      <c r="G56" s="270"/>
      <c r="H56" s="271"/>
      <c r="I56" s="275" t="str">
        <f>+'HOJA DE TRABAJO'!$B$30</f>
        <v>Seguro de Accidente</v>
      </c>
      <c r="J56" s="268"/>
      <c r="K56" s="268"/>
      <c r="L56" s="268"/>
      <c r="M56" s="276">
        <f>+'HOJA DE TRABAJO'!$E$30</f>
        <v>0</v>
      </c>
      <c r="N56" s="268"/>
      <c r="O56" s="270"/>
    </row>
    <row r="57" spans="1:15" s="132" customFormat="1" ht="14.25" outlineLevel="1" x14ac:dyDescent="0.2">
      <c r="A57" s="275" t="str">
        <f>+'HOJA DE TRABAJO'!$B$31</f>
        <v xml:space="preserve">Vacaciones </v>
      </c>
      <c r="B57" s="268"/>
      <c r="C57" s="268"/>
      <c r="D57" s="268"/>
      <c r="E57" s="276">
        <f>+'HOJA DE TRABAJO'!$E$31</f>
        <v>0</v>
      </c>
      <c r="F57" s="268"/>
      <c r="G57" s="270"/>
      <c r="H57" s="271"/>
      <c r="I57" s="275" t="str">
        <f>+'HOJA DE TRABAJO'!$B$31</f>
        <v xml:space="preserve">Vacaciones </v>
      </c>
      <c r="J57" s="268"/>
      <c r="K57" s="268"/>
      <c r="L57" s="268"/>
      <c r="M57" s="276">
        <f>+'HOJA DE TRABAJO'!$E$31</f>
        <v>0</v>
      </c>
      <c r="N57" s="268"/>
      <c r="O57" s="270"/>
    </row>
    <row r="58" spans="1:15" s="132" customFormat="1" ht="14.25" outlineLevel="1" x14ac:dyDescent="0.2">
      <c r="A58" s="275" t="str">
        <f>+'HOJA DE TRABAJO'!$F$29</f>
        <v xml:space="preserve">Previsicion de Subsidio </v>
      </c>
      <c r="B58" s="268"/>
      <c r="C58" s="268"/>
      <c r="D58" s="268"/>
      <c r="E58" s="276">
        <f>+'HOJA DE TRABAJO'!$L$29</f>
        <v>0.33329999999999999</v>
      </c>
      <c r="F58" s="268"/>
      <c r="G58" s="270"/>
      <c r="H58" s="271"/>
      <c r="I58" s="275" t="str">
        <f>+'HOJA DE TRABAJO'!$F$29</f>
        <v xml:space="preserve">Previsicion de Subsidio </v>
      </c>
      <c r="J58" s="268"/>
      <c r="K58" s="268"/>
      <c r="L58" s="268"/>
      <c r="M58" s="276">
        <f>+'HOJA DE TRABAJO'!$L$29</f>
        <v>0.33329999999999999</v>
      </c>
      <c r="N58" s="268"/>
      <c r="O58" s="270"/>
    </row>
    <row r="59" spans="1:15" s="132" customFormat="1" ht="14.25" outlineLevel="1" x14ac:dyDescent="0.2">
      <c r="A59" s="275" t="str">
        <f>+'HOJA DE TRABAJO'!$F$30</f>
        <v>Previsicion de Desahucio</v>
      </c>
      <c r="B59" s="268"/>
      <c r="C59" s="268"/>
      <c r="D59" s="268"/>
      <c r="E59" s="276">
        <f>+'HOJA DE TRABAJO'!$L$30</f>
        <v>8.3299999999999999E-2</v>
      </c>
      <c r="F59" s="268"/>
      <c r="G59" s="270"/>
      <c r="H59" s="271"/>
      <c r="I59" s="275" t="str">
        <f>+'HOJA DE TRABAJO'!$F$30</f>
        <v>Previsicion de Desahucio</v>
      </c>
      <c r="J59" s="268"/>
      <c r="K59" s="268"/>
      <c r="L59" s="268"/>
      <c r="M59" s="276">
        <f>+'HOJA DE TRABAJO'!$L$30</f>
        <v>8.3299999999999999E-2</v>
      </c>
      <c r="N59" s="268"/>
      <c r="O59" s="270"/>
    </row>
    <row r="60" spans="1:15" s="132" customFormat="1" ht="14.25" outlineLevel="1" x14ac:dyDescent="0.2">
      <c r="A60" s="277" t="s">
        <v>1461</v>
      </c>
      <c r="B60" s="268"/>
      <c r="C60" s="268"/>
      <c r="D60" s="268"/>
      <c r="E60" s="276"/>
      <c r="F60" s="268"/>
      <c r="G60" s="270">
        <f>IF(G37=0,0,(('HOJA DE TRABAJO'!$U$108)/'HOJA DE TRABAJO'!$BA$44))</f>
        <v>0</v>
      </c>
      <c r="H60" s="337"/>
      <c r="I60" s="277" t="s">
        <v>1461</v>
      </c>
      <c r="J60" s="268"/>
      <c r="K60" s="268"/>
      <c r="L60" s="268"/>
      <c r="M60" s="276"/>
      <c r="N60" s="268"/>
      <c r="O60" s="270">
        <f>IF(O37=0,0,(('HOJA DE TRABAJO'!$U$108)/'HOJA DE TRABAJO'!$BA$44))</f>
        <v>0</v>
      </c>
    </row>
    <row r="61" spans="1:15" s="132" customFormat="1" ht="14.25" outlineLevel="1" x14ac:dyDescent="0.2">
      <c r="A61" s="277" t="s">
        <v>1504</v>
      </c>
      <c r="B61" s="268"/>
      <c r="C61" s="268"/>
      <c r="D61" s="268"/>
      <c r="E61" s="274">
        <f>+'HOJA DE TRABAJO'!$H$116*'HOJA DE TRABAJO'!$F$19</f>
        <v>1.6346153846153847E-2</v>
      </c>
      <c r="F61" s="268"/>
      <c r="G61" s="270">
        <f>(SUM(G40:G60)*E61)+IF(G37=0,0,'HOJA DE TRABAJO'!$J$119)</f>
        <v>0</v>
      </c>
      <c r="H61" s="271"/>
      <c r="I61" s="277" t="s">
        <v>1503</v>
      </c>
      <c r="J61" s="268"/>
      <c r="K61" s="268"/>
      <c r="L61" s="268"/>
      <c r="M61" s="274">
        <f>+'HOJA DE TRABAJO'!$H$116*'HOJA DE TRABAJO'!$F$19</f>
        <v>1.6346153846153847E-2</v>
      </c>
      <c r="N61" s="268"/>
      <c r="O61" s="270">
        <f>(SUM(O40:O60)*M61)+IF(O37=0,0,'HOJA DE TRABAJO'!$J$119)</f>
        <v>0</v>
      </c>
    </row>
    <row r="62" spans="1:15" s="132" customFormat="1" ht="14.25" outlineLevel="1" x14ac:dyDescent="0.2">
      <c r="A62" s="278" t="s">
        <v>1460</v>
      </c>
      <c r="B62" s="279"/>
      <c r="C62" s="279"/>
      <c r="D62" s="279"/>
      <c r="E62" s="280">
        <f>+E29</f>
        <v>0.13</v>
      </c>
      <c r="F62" s="279"/>
      <c r="G62" s="281">
        <f>+SUM(G39:G61)*E62</f>
        <v>0</v>
      </c>
      <c r="H62" s="282"/>
      <c r="I62" s="278" t="s">
        <v>1460</v>
      </c>
      <c r="J62" s="279"/>
      <c r="K62" s="279"/>
      <c r="L62" s="279"/>
      <c r="M62" s="280">
        <f>+E62</f>
        <v>0.13</v>
      </c>
      <c r="N62" s="279"/>
      <c r="O62" s="281">
        <f>+SUM(O39:O61)*M62</f>
        <v>0</v>
      </c>
    </row>
    <row r="63" spans="1:15" s="132" customFormat="1" outlineLevel="1" x14ac:dyDescent="0.25">
      <c r="A63" s="283" t="s">
        <v>1459</v>
      </c>
      <c r="B63" s="284"/>
      <c r="C63" s="284"/>
      <c r="D63" s="284"/>
      <c r="E63" s="284"/>
      <c r="F63" s="284"/>
      <c r="G63" s="285">
        <f>+SUM(G40:G62)</f>
        <v>0</v>
      </c>
      <c r="H63" s="286"/>
      <c r="I63" s="283" t="s">
        <v>1459</v>
      </c>
      <c r="J63" s="284"/>
      <c r="K63" s="284"/>
      <c r="L63" s="284"/>
      <c r="M63" s="284"/>
      <c r="N63" s="284"/>
      <c r="O63" s="285">
        <f>+SUM(O40:O62)</f>
        <v>0</v>
      </c>
    </row>
    <row r="64" spans="1:15" s="132" customFormat="1" ht="14.25" outlineLevel="1" x14ac:dyDescent="0.2">
      <c r="A64" s="277" t="s">
        <v>1458</v>
      </c>
      <c r="B64" s="268"/>
      <c r="C64" s="268"/>
      <c r="D64" s="268"/>
      <c r="E64" s="274">
        <f>+B65+B66</f>
        <v>0.16</v>
      </c>
      <c r="F64" s="268"/>
      <c r="G64" s="270">
        <f>+G67-G63</f>
        <v>0</v>
      </c>
      <c r="H64" s="271"/>
      <c r="I64" s="277" t="s">
        <v>1458</v>
      </c>
      <c r="J64" s="268"/>
      <c r="K64" s="268"/>
      <c r="L64" s="268"/>
      <c r="M64" s="274">
        <f>+J65+J66</f>
        <v>0.16</v>
      </c>
      <c r="N64" s="268"/>
      <c r="O64" s="270">
        <f>+O67-O63</f>
        <v>0</v>
      </c>
    </row>
    <row r="65" spans="1:15" s="132" customFormat="1" ht="14.25" outlineLevel="1" x14ac:dyDescent="0.2">
      <c r="A65" s="287" t="s">
        <v>1457</v>
      </c>
      <c r="B65" s="288">
        <v>0.13</v>
      </c>
      <c r="C65" s="268"/>
      <c r="D65" s="268"/>
      <c r="E65" s="276"/>
      <c r="F65" s="268"/>
      <c r="G65" s="270"/>
      <c r="H65" s="271"/>
      <c r="I65" s="287" t="s">
        <v>1457</v>
      </c>
      <c r="J65" s="288">
        <v>0.13</v>
      </c>
      <c r="K65" s="268"/>
      <c r="L65" s="268"/>
      <c r="M65" s="276"/>
      <c r="N65" s="268"/>
      <c r="O65" s="270"/>
    </row>
    <row r="66" spans="1:15" s="132" customFormat="1" ht="14.25" outlineLevel="1" x14ac:dyDescent="0.2">
      <c r="A66" s="289" t="s">
        <v>1456</v>
      </c>
      <c r="B66" s="290">
        <v>0.03</v>
      </c>
      <c r="C66" s="279"/>
      <c r="D66" s="279"/>
      <c r="E66" s="291"/>
      <c r="F66" s="279"/>
      <c r="G66" s="281"/>
      <c r="H66" s="282"/>
      <c r="I66" s="289" t="s">
        <v>1456</v>
      </c>
      <c r="J66" s="290">
        <v>0.03</v>
      </c>
      <c r="K66" s="279"/>
      <c r="L66" s="279"/>
      <c r="M66" s="291"/>
      <c r="N66" s="279"/>
      <c r="O66" s="281"/>
    </row>
    <row r="67" spans="1:15" s="132" customFormat="1" outlineLevel="1" x14ac:dyDescent="0.25">
      <c r="A67" s="283" t="s">
        <v>1519</v>
      </c>
      <c r="B67" s="284"/>
      <c r="C67" s="284"/>
      <c r="D67" s="284"/>
      <c r="E67" s="284"/>
      <c r="F67" s="284"/>
      <c r="G67" s="285">
        <f>IFERROR((G63/0.84),0)</f>
        <v>0</v>
      </c>
      <c r="H67" s="286"/>
      <c r="I67" s="283" t="s">
        <v>1519</v>
      </c>
      <c r="J67" s="284"/>
      <c r="K67" s="284"/>
      <c r="L67" s="284"/>
      <c r="M67" s="284"/>
      <c r="N67" s="284"/>
      <c r="O67" s="285">
        <f>IFERROR((O63/0.84),0)</f>
        <v>0</v>
      </c>
    </row>
    <row r="68" spans="1:15" s="132" customFormat="1" ht="14.25" outlineLevel="1" x14ac:dyDescent="0.2">
      <c r="H68" s="133"/>
    </row>
    <row r="69" spans="1:15" s="132" customFormat="1" ht="14.25" outlineLevel="1" x14ac:dyDescent="0.2">
      <c r="H69" s="133"/>
    </row>
    <row r="70" spans="1:15" s="132" customFormat="1" ht="14.25" outlineLevel="1" x14ac:dyDescent="0.2">
      <c r="H70" s="133"/>
    </row>
    <row r="71" spans="1:15" s="132" customFormat="1" outlineLevel="2" x14ac:dyDescent="0.25">
      <c r="A71" s="292" t="s">
        <v>1477</v>
      </c>
      <c r="B71" s="292"/>
      <c r="C71" s="292"/>
      <c r="D71" s="292"/>
      <c r="E71" s="268"/>
      <c r="F71" s="292" t="s">
        <v>11</v>
      </c>
      <c r="G71" s="292">
        <f>+'HOJA DE TRABAJO'!AQ42</f>
        <v>0</v>
      </c>
      <c r="H71" s="133"/>
      <c r="I71" s="292" t="s">
        <v>1477</v>
      </c>
      <c r="J71" s="292"/>
      <c r="K71" s="292"/>
      <c r="L71" s="292"/>
      <c r="M71" s="268"/>
      <c r="N71" s="292" t="s">
        <v>11</v>
      </c>
      <c r="O71" s="292">
        <f>+'HOJA DE TRABAJO'!AQ43</f>
        <v>0</v>
      </c>
    </row>
    <row r="72" spans="1:15" s="132" customFormat="1" outlineLevel="2" x14ac:dyDescent="0.25">
      <c r="A72" s="294"/>
      <c r="B72" s="294" t="s">
        <v>1476</v>
      </c>
      <c r="C72" s="588">
        <f>+'HOJA DE TRABAJO'!C42:E42</f>
        <v>0</v>
      </c>
      <c r="D72" s="588"/>
      <c r="E72" s="588"/>
      <c r="F72" s="294"/>
      <c r="G72" s="294"/>
      <c r="H72" s="133"/>
      <c r="I72" s="294"/>
      <c r="J72" s="294" t="s">
        <v>1476</v>
      </c>
      <c r="K72" s="588">
        <f>+'HOJA DE TRABAJO'!C43</f>
        <v>0</v>
      </c>
      <c r="L72" s="588"/>
      <c r="M72" s="588"/>
      <c r="N72" s="294"/>
      <c r="O72" s="294"/>
    </row>
    <row r="73" spans="1:15" s="132" customFormat="1" ht="14.25" outlineLevel="2" x14ac:dyDescent="0.2">
      <c r="A73" s="587" t="s">
        <v>1478</v>
      </c>
      <c r="B73" s="587"/>
      <c r="C73" s="587"/>
      <c r="D73" s="587"/>
      <c r="E73" s="587"/>
      <c r="F73" s="587"/>
      <c r="G73" s="587"/>
      <c r="H73" s="133"/>
      <c r="I73" s="587" t="s">
        <v>1478</v>
      </c>
      <c r="J73" s="587"/>
      <c r="K73" s="587"/>
      <c r="L73" s="587"/>
      <c r="M73" s="587"/>
      <c r="N73" s="587"/>
      <c r="O73" s="587"/>
    </row>
    <row r="74" spans="1:15" s="132" customFormat="1" ht="14.25" outlineLevel="2" x14ac:dyDescent="0.2">
      <c r="A74" s="268"/>
      <c r="B74" s="268"/>
      <c r="C74" s="268"/>
      <c r="D74" s="268"/>
      <c r="E74" s="268"/>
      <c r="F74" s="268"/>
      <c r="G74" s="268"/>
      <c r="H74" s="133"/>
      <c r="I74" s="268"/>
      <c r="J74" s="268"/>
      <c r="K74" s="268"/>
      <c r="L74" s="268"/>
      <c r="M74" s="268"/>
      <c r="N74" s="268"/>
      <c r="O74" s="268"/>
    </row>
    <row r="75" spans="1:15" s="132" customFormat="1" ht="14.25" outlineLevel="2" x14ac:dyDescent="0.2">
      <c r="A75" s="268" t="s">
        <v>1475</v>
      </c>
      <c r="B75" s="268"/>
      <c r="C75" s="268"/>
      <c r="D75" s="268"/>
      <c r="E75" s="268"/>
      <c r="F75" s="268"/>
      <c r="G75" s="270">
        <f>+'HOJA DE TRABAJO'!AR42</f>
        <v>0</v>
      </c>
      <c r="H75" s="133"/>
      <c r="I75" s="268" t="s">
        <v>1475</v>
      </c>
      <c r="J75" s="268"/>
      <c r="K75" s="268"/>
      <c r="L75" s="268"/>
      <c r="M75" s="268"/>
      <c r="N75" s="268"/>
      <c r="O75" s="270">
        <f>+'HOJA DE TRABAJO'!AR43</f>
        <v>0</v>
      </c>
    </row>
    <row r="76" spans="1:15" s="132" customFormat="1" ht="14.25" outlineLevel="2" x14ac:dyDescent="0.2">
      <c r="A76" s="268" t="s">
        <v>1588</v>
      </c>
      <c r="B76" s="268"/>
      <c r="C76" s="268"/>
      <c r="D76" s="268"/>
      <c r="E76" s="268"/>
      <c r="F76" s="268"/>
      <c r="G76" s="270">
        <f>IF(G75=0,0,SUM('HOJA DE TRABAJO'!$R$29:$R$31))</f>
        <v>0</v>
      </c>
      <c r="H76" s="271"/>
      <c r="I76" s="268" t="s">
        <v>1588</v>
      </c>
      <c r="J76" s="268"/>
      <c r="K76" s="268"/>
      <c r="L76" s="268"/>
      <c r="M76" s="268"/>
      <c r="N76" s="268"/>
      <c r="O76" s="270">
        <f>IF(O75=0,0,SUM('HOJA DE TRABAJO'!$R$29:$R$31))</f>
        <v>0</v>
      </c>
    </row>
    <row r="77" spans="1:15" s="132" customFormat="1" ht="14.25" outlineLevel="2" x14ac:dyDescent="0.2">
      <c r="A77" s="272" t="s">
        <v>1474</v>
      </c>
      <c r="B77" s="268"/>
      <c r="C77" s="268"/>
      <c r="D77" s="268"/>
      <c r="E77" s="268"/>
      <c r="F77" s="268"/>
      <c r="G77" s="270"/>
      <c r="H77" s="133"/>
      <c r="I77" s="272" t="s">
        <v>1474</v>
      </c>
      <c r="J77" s="268"/>
      <c r="K77" s="268"/>
      <c r="L77" s="268"/>
      <c r="M77" s="268"/>
      <c r="N77" s="268"/>
      <c r="O77" s="270"/>
    </row>
    <row r="78" spans="1:15" s="132" customFormat="1" outlineLevel="2" x14ac:dyDescent="0.25">
      <c r="A78" s="273" t="s">
        <v>1473</v>
      </c>
      <c r="B78" s="268"/>
      <c r="C78" s="268"/>
      <c r="D78" s="268"/>
      <c r="E78" s="268"/>
      <c r="F78" s="274">
        <f>+SUM(E79:E82)</f>
        <v>0.12710000000000002</v>
      </c>
      <c r="G78" s="270">
        <f>+(G75*100/87.29-G75)+(G76*F78)</f>
        <v>0</v>
      </c>
      <c r="H78" s="271"/>
      <c r="I78" s="273" t="s">
        <v>1473</v>
      </c>
      <c r="J78" s="268"/>
      <c r="K78" s="268"/>
      <c r="L78" s="268"/>
      <c r="M78" s="268"/>
      <c r="N78" s="274">
        <f>+SUM(M79:M82)</f>
        <v>0.12710000000000002</v>
      </c>
      <c r="O78" s="270">
        <f>+(O75*100/87.29-O75)+(N78*O76)</f>
        <v>0</v>
      </c>
    </row>
    <row r="79" spans="1:15" s="132" customFormat="1" ht="14.25" outlineLevel="2" x14ac:dyDescent="0.2">
      <c r="A79" s="275" t="s">
        <v>1472</v>
      </c>
      <c r="B79" s="268"/>
      <c r="C79" s="268"/>
      <c r="D79" s="268"/>
      <c r="E79" s="276">
        <v>0.1</v>
      </c>
      <c r="F79" s="268"/>
      <c r="G79" s="270"/>
      <c r="H79" s="133"/>
      <c r="I79" s="275" t="s">
        <v>1472</v>
      </c>
      <c r="J79" s="268"/>
      <c r="K79" s="268"/>
      <c r="L79" s="268"/>
      <c r="M79" s="276">
        <v>0.1</v>
      </c>
      <c r="N79" s="268"/>
      <c r="O79" s="270"/>
    </row>
    <row r="80" spans="1:15" s="132" customFormat="1" ht="14.25" outlineLevel="2" x14ac:dyDescent="0.2">
      <c r="A80" s="275" t="s">
        <v>1471</v>
      </c>
      <c r="B80" s="268"/>
      <c r="C80" s="268"/>
      <c r="D80" s="268"/>
      <c r="E80" s="276">
        <v>1.7100000000000001E-2</v>
      </c>
      <c r="F80" s="268"/>
      <c r="G80" s="270"/>
      <c r="H80" s="133"/>
      <c r="I80" s="275" t="s">
        <v>1471</v>
      </c>
      <c r="J80" s="268"/>
      <c r="K80" s="268"/>
      <c r="L80" s="268"/>
      <c r="M80" s="276">
        <v>1.7100000000000001E-2</v>
      </c>
      <c r="N80" s="268"/>
      <c r="O80" s="270"/>
    </row>
    <row r="81" spans="1:15" s="132" customFormat="1" ht="14.25" outlineLevel="2" x14ac:dyDescent="0.2">
      <c r="A81" s="275" t="s">
        <v>1470</v>
      </c>
      <c r="B81" s="268"/>
      <c r="C81" s="268"/>
      <c r="D81" s="268"/>
      <c r="E81" s="276">
        <v>5.0000000000000001E-3</v>
      </c>
      <c r="F81" s="268"/>
      <c r="G81" s="270"/>
      <c r="H81" s="133"/>
      <c r="I81" s="275" t="s">
        <v>1470</v>
      </c>
      <c r="J81" s="268"/>
      <c r="K81" s="268"/>
      <c r="L81" s="268"/>
      <c r="M81" s="276">
        <v>5.0000000000000001E-3</v>
      </c>
      <c r="N81" s="268"/>
      <c r="O81" s="270"/>
    </row>
    <row r="82" spans="1:15" s="132" customFormat="1" ht="14.25" outlineLevel="2" x14ac:dyDescent="0.2">
      <c r="A82" s="275" t="s">
        <v>1466</v>
      </c>
      <c r="B82" s="268"/>
      <c r="C82" s="268"/>
      <c r="D82" s="268"/>
      <c r="E82" s="276">
        <f>+E81</f>
        <v>5.0000000000000001E-3</v>
      </c>
      <c r="F82" s="268"/>
      <c r="G82" s="270"/>
      <c r="H82" s="133"/>
      <c r="I82" s="275" t="s">
        <v>1466</v>
      </c>
      <c r="J82" s="268"/>
      <c r="K82" s="268"/>
      <c r="L82" s="268"/>
      <c r="M82" s="276">
        <f>+M81</f>
        <v>5.0000000000000001E-3</v>
      </c>
      <c r="N82" s="268"/>
      <c r="O82" s="270"/>
    </row>
    <row r="83" spans="1:15" s="132" customFormat="1" outlineLevel="2" x14ac:dyDescent="0.25">
      <c r="A83" s="273" t="s">
        <v>1469</v>
      </c>
      <c r="B83" s="268"/>
      <c r="C83" s="268"/>
      <c r="D83" s="268"/>
      <c r="E83" s="276"/>
      <c r="F83" s="274">
        <f>+SUM(E84:E93)</f>
        <v>0.83360000000000001</v>
      </c>
      <c r="G83" s="270">
        <f>(G75+G78+G76)*F83</f>
        <v>0</v>
      </c>
      <c r="H83" s="271"/>
      <c r="I83" s="273" t="s">
        <v>1469</v>
      </c>
      <c r="J83" s="268"/>
      <c r="K83" s="268"/>
      <c r="L83" s="268"/>
      <c r="M83" s="276"/>
      <c r="N83" s="274">
        <f>+SUM(M84:M93)</f>
        <v>0.83360000000000001</v>
      </c>
      <c r="O83" s="270">
        <f>(O75+O78+O76)*N83</f>
        <v>0</v>
      </c>
    </row>
    <row r="84" spans="1:15" s="132" customFormat="1" ht="14.25" outlineLevel="2" x14ac:dyDescent="0.2">
      <c r="A84" s="275" t="s">
        <v>1468</v>
      </c>
      <c r="B84" s="268"/>
      <c r="C84" s="268"/>
      <c r="D84" s="268"/>
      <c r="E84" s="276">
        <v>0.1</v>
      </c>
      <c r="F84" s="268"/>
      <c r="G84" s="270"/>
      <c r="H84" s="133"/>
      <c r="I84" s="275" t="s">
        <v>1468</v>
      </c>
      <c r="J84" s="268"/>
      <c r="K84" s="268"/>
      <c r="L84" s="268"/>
      <c r="M84" s="276">
        <v>0.1</v>
      </c>
      <c r="N84" s="268"/>
      <c r="O84" s="270"/>
    </row>
    <row r="85" spans="1:15" s="132" customFormat="1" ht="14.25" outlineLevel="2" x14ac:dyDescent="0.2">
      <c r="A85" s="275" t="s">
        <v>1466</v>
      </c>
      <c r="B85" s="268"/>
      <c r="C85" s="268"/>
      <c r="D85" s="268"/>
      <c r="E85" s="276">
        <v>0.03</v>
      </c>
      <c r="F85" s="268"/>
      <c r="G85" s="270"/>
      <c r="H85" s="133"/>
      <c r="I85" s="275" t="s">
        <v>1466</v>
      </c>
      <c r="J85" s="268"/>
      <c r="K85" s="268"/>
      <c r="L85" s="268"/>
      <c r="M85" s="276">
        <v>0.03</v>
      </c>
      <c r="N85" s="268"/>
      <c r="O85" s="270"/>
    </row>
    <row r="86" spans="1:15" s="132" customFormat="1" ht="14.25" outlineLevel="2" x14ac:dyDescent="0.2">
      <c r="A86" s="275" t="s">
        <v>1465</v>
      </c>
      <c r="B86" s="268"/>
      <c r="C86" s="268"/>
      <c r="D86" s="268"/>
      <c r="E86" s="276">
        <v>3.7100000000000001E-2</v>
      </c>
      <c r="F86" s="268"/>
      <c r="G86" s="270"/>
      <c r="H86" s="133"/>
      <c r="I86" s="275" t="s">
        <v>1465</v>
      </c>
      <c r="J86" s="268"/>
      <c r="K86" s="268"/>
      <c r="L86" s="268"/>
      <c r="M86" s="276">
        <v>3.7100000000000001E-2</v>
      </c>
      <c r="N86" s="268"/>
      <c r="O86" s="270"/>
    </row>
    <row r="87" spans="1:15" s="132" customFormat="1" ht="14.25" outlineLevel="2" x14ac:dyDescent="0.2">
      <c r="A87" s="275" t="s">
        <v>1501</v>
      </c>
      <c r="B87" s="268"/>
      <c r="C87" s="268"/>
      <c r="D87" s="268"/>
      <c r="E87" s="276">
        <f>+IF('HOJA DE TRABAJO'!$J$17="SI",0,IF('HOJA DE TRABAJO'!$J$17="NO",0.0833,))</f>
        <v>8.3299999999999999E-2</v>
      </c>
      <c r="F87" s="268"/>
      <c r="G87" s="270"/>
      <c r="H87" s="133"/>
      <c r="I87" s="275" t="s">
        <v>1500</v>
      </c>
      <c r="J87" s="268"/>
      <c r="K87" s="268"/>
      <c r="L87" s="268"/>
      <c r="M87" s="276">
        <f>+IF('HOJA DE TRABAJO'!$J$17="SI",0,IF('HOJA DE TRABAJO'!$J$17="NO",0.0833,))</f>
        <v>8.3299999999999999E-2</v>
      </c>
      <c r="N87" s="268"/>
      <c r="O87" s="270"/>
    </row>
    <row r="88" spans="1:15" s="132" customFormat="1" ht="14.25" outlineLevel="2" x14ac:dyDescent="0.2">
      <c r="A88" s="275" t="s">
        <v>1463</v>
      </c>
      <c r="B88" s="268"/>
      <c r="C88" s="268"/>
      <c r="D88" s="268"/>
      <c r="E88" s="276">
        <f>+IF('HOJA DE TRABAJO'!$J$17="SI",0,IF('HOJA DE TRABAJO'!$J$17="NO",0.0833,))</f>
        <v>8.3299999999999999E-2</v>
      </c>
      <c r="F88" s="268"/>
      <c r="G88" s="270"/>
      <c r="H88" s="133"/>
      <c r="I88" s="275" t="s">
        <v>1463</v>
      </c>
      <c r="J88" s="268"/>
      <c r="K88" s="268"/>
      <c r="L88" s="268"/>
      <c r="M88" s="276">
        <f>+IF('HOJA DE TRABAJO'!$J$17="SI",0,IF('HOJA DE TRABAJO'!$J$17="NO",0.0833,))</f>
        <v>8.3299999999999999E-2</v>
      </c>
      <c r="N88" s="268"/>
      <c r="O88" s="270"/>
    </row>
    <row r="89" spans="1:15" s="132" customFormat="1" ht="14.25" outlineLevel="2" x14ac:dyDescent="0.2">
      <c r="A89" s="275" t="str">
        <f>+'HOJA DE TRABAJO'!$B$29</f>
        <v xml:space="preserve">Previsión Segundo  Aguinaldo </v>
      </c>
      <c r="B89" s="268"/>
      <c r="C89" s="268"/>
      <c r="D89" s="268"/>
      <c r="E89" s="276">
        <f>+'HOJA DE TRABAJO'!$E$29</f>
        <v>8.3299999999999999E-2</v>
      </c>
      <c r="F89" s="268"/>
      <c r="G89" s="270"/>
      <c r="H89" s="133"/>
      <c r="I89" s="275" t="str">
        <f>+'HOJA DE TRABAJO'!$B$29</f>
        <v xml:space="preserve">Previsión Segundo  Aguinaldo </v>
      </c>
      <c r="J89" s="268"/>
      <c r="K89" s="268"/>
      <c r="L89" s="268"/>
      <c r="M89" s="276">
        <f>+'HOJA DE TRABAJO'!$E$29</f>
        <v>8.3299999999999999E-2</v>
      </c>
      <c r="N89" s="268"/>
      <c r="O89" s="270"/>
    </row>
    <row r="90" spans="1:15" s="132" customFormat="1" ht="14.25" outlineLevel="2" x14ac:dyDescent="0.2">
      <c r="A90" s="275" t="str">
        <f>+'HOJA DE TRABAJO'!$B$30</f>
        <v>Seguro de Accidente</v>
      </c>
      <c r="B90" s="268"/>
      <c r="C90" s="268"/>
      <c r="D90" s="268"/>
      <c r="E90" s="276">
        <f>+'HOJA DE TRABAJO'!$E$30</f>
        <v>0</v>
      </c>
      <c r="F90" s="268"/>
      <c r="G90" s="270"/>
      <c r="H90" s="133"/>
      <c r="I90" s="275" t="str">
        <f>+'HOJA DE TRABAJO'!$B$30</f>
        <v>Seguro de Accidente</v>
      </c>
      <c r="J90" s="268"/>
      <c r="K90" s="268"/>
      <c r="L90" s="268"/>
      <c r="M90" s="276">
        <f>+'HOJA DE TRABAJO'!$E$30</f>
        <v>0</v>
      </c>
      <c r="N90" s="268"/>
      <c r="O90" s="270"/>
    </row>
    <row r="91" spans="1:15" s="132" customFormat="1" ht="14.25" outlineLevel="2" x14ac:dyDescent="0.2">
      <c r="A91" s="275" t="str">
        <f>+'HOJA DE TRABAJO'!$B$31</f>
        <v xml:space="preserve">Vacaciones </v>
      </c>
      <c r="B91" s="268"/>
      <c r="C91" s="268"/>
      <c r="D91" s="268"/>
      <c r="E91" s="276">
        <f>+'HOJA DE TRABAJO'!$E$31</f>
        <v>0</v>
      </c>
      <c r="F91" s="268"/>
      <c r="G91" s="270"/>
      <c r="H91" s="133"/>
      <c r="I91" s="275" t="str">
        <f>+'HOJA DE TRABAJO'!$B$31</f>
        <v xml:space="preserve">Vacaciones </v>
      </c>
      <c r="J91" s="268"/>
      <c r="K91" s="268"/>
      <c r="L91" s="268"/>
      <c r="M91" s="276">
        <f>+'HOJA DE TRABAJO'!$E$31</f>
        <v>0</v>
      </c>
      <c r="N91" s="268"/>
      <c r="O91" s="270"/>
    </row>
    <row r="92" spans="1:15" s="132" customFormat="1" ht="14.25" outlineLevel="2" x14ac:dyDescent="0.2">
      <c r="A92" s="275" t="str">
        <f>+'HOJA DE TRABAJO'!$F$29</f>
        <v xml:space="preserve">Previsicion de Subsidio </v>
      </c>
      <c r="B92" s="268"/>
      <c r="C92" s="268"/>
      <c r="D92" s="268"/>
      <c r="E92" s="276">
        <f>+'HOJA DE TRABAJO'!$L$29</f>
        <v>0.33329999999999999</v>
      </c>
      <c r="F92" s="268"/>
      <c r="G92" s="270"/>
      <c r="H92" s="133"/>
      <c r="I92" s="275" t="str">
        <f>+'HOJA DE TRABAJO'!$F$29</f>
        <v xml:space="preserve">Previsicion de Subsidio </v>
      </c>
      <c r="J92" s="268"/>
      <c r="K92" s="268"/>
      <c r="L92" s="268"/>
      <c r="M92" s="276">
        <f>+'HOJA DE TRABAJO'!$L$29</f>
        <v>0.33329999999999999</v>
      </c>
      <c r="N92" s="268"/>
      <c r="O92" s="270"/>
    </row>
    <row r="93" spans="1:15" s="132" customFormat="1" ht="14.25" outlineLevel="2" x14ac:dyDescent="0.2">
      <c r="A93" s="275" t="str">
        <f>+'HOJA DE TRABAJO'!$F$30</f>
        <v>Previsicion de Desahucio</v>
      </c>
      <c r="B93" s="268"/>
      <c r="C93" s="268"/>
      <c r="D93" s="268"/>
      <c r="E93" s="276">
        <f>+'HOJA DE TRABAJO'!$L$30</f>
        <v>8.3299999999999999E-2</v>
      </c>
      <c r="F93" s="268"/>
      <c r="G93" s="270"/>
      <c r="H93" s="133"/>
      <c r="I93" s="275" t="str">
        <f>+'HOJA DE TRABAJO'!$F$30</f>
        <v>Previsicion de Desahucio</v>
      </c>
      <c r="J93" s="268"/>
      <c r="K93" s="268"/>
      <c r="L93" s="268"/>
      <c r="M93" s="276">
        <f>+'HOJA DE TRABAJO'!$L$30</f>
        <v>8.3299999999999999E-2</v>
      </c>
      <c r="N93" s="268"/>
      <c r="O93" s="270"/>
    </row>
    <row r="94" spans="1:15" s="132" customFormat="1" ht="14.25" outlineLevel="2" x14ac:dyDescent="0.2">
      <c r="A94" s="277" t="s">
        <v>1461</v>
      </c>
      <c r="B94" s="268"/>
      <c r="C94" s="268"/>
      <c r="D94" s="268"/>
      <c r="E94" s="276"/>
      <c r="F94" s="268"/>
      <c r="G94" s="270">
        <f>IF(G71=0,0,(('HOJA DE TRABAJO'!$U$108)/'HOJA DE TRABAJO'!$BA$44))</f>
        <v>0</v>
      </c>
      <c r="H94" s="337"/>
      <c r="I94" s="277" t="s">
        <v>1461</v>
      </c>
      <c r="J94" s="268"/>
      <c r="K94" s="268"/>
      <c r="L94" s="268"/>
      <c r="M94" s="276"/>
      <c r="N94" s="268"/>
      <c r="O94" s="270">
        <f>IF(O71=0,0,(('HOJA DE TRABAJO'!$U$108)/'HOJA DE TRABAJO'!$BA$44))</f>
        <v>0</v>
      </c>
    </row>
    <row r="95" spans="1:15" s="132" customFormat="1" ht="14.25" outlineLevel="2" x14ac:dyDescent="0.2">
      <c r="A95" s="277" t="s">
        <v>1504</v>
      </c>
      <c r="B95" s="268"/>
      <c r="C95" s="268"/>
      <c r="D95" s="268"/>
      <c r="E95" s="274">
        <f>+'HOJA DE TRABAJO'!$H$116*'HOJA DE TRABAJO'!$F$19</f>
        <v>1.6346153846153847E-2</v>
      </c>
      <c r="F95" s="268"/>
      <c r="G95" s="270">
        <f>(SUM(G74:G94)*E95)+IF(G71=0,0,'HOJA DE TRABAJO'!$J$119)</f>
        <v>0</v>
      </c>
      <c r="H95" s="271"/>
      <c r="I95" s="277" t="s">
        <v>1503</v>
      </c>
      <c r="J95" s="268"/>
      <c r="K95" s="268"/>
      <c r="L95" s="268"/>
      <c r="M95" s="274">
        <f>+'HOJA DE TRABAJO'!$H$116*'HOJA DE TRABAJO'!$F$19</f>
        <v>1.6346153846153847E-2</v>
      </c>
      <c r="N95" s="268"/>
      <c r="O95" s="270">
        <f>(SUM(O74:O94)*M95)+IF(O71=0,0,'HOJA DE TRABAJO'!$J$119)</f>
        <v>0</v>
      </c>
    </row>
    <row r="96" spans="1:15" s="132" customFormat="1" ht="14.25" outlineLevel="2" x14ac:dyDescent="0.2">
      <c r="A96" s="278" t="s">
        <v>1460</v>
      </c>
      <c r="B96" s="279"/>
      <c r="C96" s="279"/>
      <c r="D96" s="279"/>
      <c r="E96" s="280">
        <f>+E62</f>
        <v>0.13</v>
      </c>
      <c r="F96" s="279"/>
      <c r="G96" s="281">
        <f>+SUM(G73:G95)*E96</f>
        <v>0</v>
      </c>
      <c r="H96" s="133"/>
      <c r="I96" s="278" t="s">
        <v>1460</v>
      </c>
      <c r="J96" s="279"/>
      <c r="K96" s="279"/>
      <c r="L96" s="279"/>
      <c r="M96" s="280">
        <f>+E96</f>
        <v>0.13</v>
      </c>
      <c r="N96" s="279"/>
      <c r="O96" s="281">
        <f>+SUM(O73:O95)*M96</f>
        <v>0</v>
      </c>
    </row>
    <row r="97" spans="1:15" s="132" customFormat="1" outlineLevel="2" x14ac:dyDescent="0.25">
      <c r="A97" s="283" t="s">
        <v>1459</v>
      </c>
      <c r="B97" s="284"/>
      <c r="C97" s="284"/>
      <c r="D97" s="284"/>
      <c r="E97" s="284"/>
      <c r="F97" s="284"/>
      <c r="G97" s="285">
        <f>+SUM(G74:G96)</f>
        <v>0</v>
      </c>
      <c r="H97" s="133"/>
      <c r="I97" s="283" t="s">
        <v>1459</v>
      </c>
      <c r="J97" s="284"/>
      <c r="K97" s="284"/>
      <c r="L97" s="284"/>
      <c r="M97" s="284"/>
      <c r="N97" s="284"/>
      <c r="O97" s="285">
        <f>+SUM(O74:O96)</f>
        <v>0</v>
      </c>
    </row>
    <row r="98" spans="1:15" s="132" customFormat="1" ht="14.25" outlineLevel="2" x14ac:dyDescent="0.2">
      <c r="A98" s="277" t="s">
        <v>1458</v>
      </c>
      <c r="B98" s="268"/>
      <c r="C98" s="268"/>
      <c r="D98" s="268"/>
      <c r="E98" s="274">
        <f>+B99+B100</f>
        <v>0.16</v>
      </c>
      <c r="F98" s="268"/>
      <c r="G98" s="270">
        <f>+G101-G97</f>
        <v>0</v>
      </c>
      <c r="H98" s="133"/>
      <c r="I98" s="277" t="s">
        <v>1458</v>
      </c>
      <c r="J98" s="268"/>
      <c r="K98" s="268"/>
      <c r="L98" s="268"/>
      <c r="M98" s="274">
        <f>+J99+J100</f>
        <v>0.16</v>
      </c>
      <c r="N98" s="268"/>
      <c r="O98" s="270">
        <f>+O101-O97</f>
        <v>0</v>
      </c>
    </row>
    <row r="99" spans="1:15" s="132" customFormat="1" ht="14.25" outlineLevel="2" x14ac:dyDescent="0.2">
      <c r="A99" s="287" t="s">
        <v>1457</v>
      </c>
      <c r="B99" s="288">
        <v>0.13</v>
      </c>
      <c r="C99" s="268"/>
      <c r="D99" s="268"/>
      <c r="E99" s="276"/>
      <c r="F99" s="268"/>
      <c r="G99" s="270"/>
      <c r="H99" s="133"/>
      <c r="I99" s="287" t="s">
        <v>1457</v>
      </c>
      <c r="J99" s="288">
        <v>0.13</v>
      </c>
      <c r="K99" s="268"/>
      <c r="L99" s="268"/>
      <c r="M99" s="276"/>
      <c r="N99" s="268"/>
      <c r="O99" s="270"/>
    </row>
    <row r="100" spans="1:15" s="132" customFormat="1" ht="14.25" outlineLevel="2" x14ac:dyDescent="0.2">
      <c r="A100" s="289" t="s">
        <v>1456</v>
      </c>
      <c r="B100" s="290">
        <v>0.03</v>
      </c>
      <c r="C100" s="279"/>
      <c r="D100" s="279"/>
      <c r="E100" s="291"/>
      <c r="F100" s="279"/>
      <c r="G100" s="281"/>
      <c r="H100" s="133"/>
      <c r="I100" s="289" t="s">
        <v>1456</v>
      </c>
      <c r="J100" s="290">
        <v>0.03</v>
      </c>
      <c r="K100" s="279"/>
      <c r="L100" s="279"/>
      <c r="M100" s="291"/>
      <c r="N100" s="279"/>
      <c r="O100" s="281"/>
    </row>
    <row r="101" spans="1:15" s="132" customFormat="1" outlineLevel="2" x14ac:dyDescent="0.25">
      <c r="A101" s="283" t="s">
        <v>1519</v>
      </c>
      <c r="B101" s="284"/>
      <c r="C101" s="284"/>
      <c r="D101" s="284"/>
      <c r="E101" s="284"/>
      <c r="F101" s="284"/>
      <c r="G101" s="285">
        <f>IFERROR((G97/0.84),0)</f>
        <v>0</v>
      </c>
      <c r="H101" s="133"/>
      <c r="I101" s="283" t="s">
        <v>1519</v>
      </c>
      <c r="J101" s="284"/>
      <c r="K101" s="284"/>
      <c r="L101" s="284"/>
      <c r="M101" s="284"/>
      <c r="N101" s="284"/>
      <c r="O101" s="285">
        <f>IFERROR((O97/0.84),0)</f>
        <v>0</v>
      </c>
    </row>
    <row r="102" spans="1:15" s="132" customFormat="1" ht="14.25" outlineLevel="1" x14ac:dyDescent="0.2"/>
    <row r="105" spans="1:15" x14ac:dyDescent="0.25">
      <c r="H105" s="84"/>
    </row>
  </sheetData>
  <customSheetViews>
    <customSheetView guid="{D98A1565-B6EB-4D88-8DB8-23EB436D0197}" topLeftCell="A87">
      <selection activeCell="A99" sqref="A4:XFD99"/>
      <pageMargins left="0.7" right="0.7" top="0.75" bottom="0.75" header="0.3" footer="0.3"/>
    </customSheetView>
  </customSheetViews>
  <mergeCells count="13">
    <mergeCell ref="C72:E72"/>
    <mergeCell ref="K72:M72"/>
    <mergeCell ref="A73:G73"/>
    <mergeCell ref="I73:O73"/>
    <mergeCell ref="E2:K2"/>
    <mergeCell ref="C38:E38"/>
    <mergeCell ref="K38:M38"/>
    <mergeCell ref="A39:G39"/>
    <mergeCell ref="I39:O39"/>
    <mergeCell ref="C5:E5"/>
    <mergeCell ref="K5:M5"/>
    <mergeCell ref="A6:G6"/>
    <mergeCell ref="I6:O6"/>
  </mergeCells>
  <pageMargins left="0.7" right="0.7" top="0.75" bottom="0.75" header="0.3" footer="0.3"/>
  <pageSetup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2:O103"/>
  <sheetViews>
    <sheetView zoomScale="60" zoomScaleNormal="60" workbookViewId="0">
      <selection activeCell="M88" sqref="M88"/>
    </sheetView>
  </sheetViews>
  <sheetFormatPr baseColWidth="10" defaultRowHeight="15" outlineLevelRow="2" x14ac:dyDescent="0.25"/>
  <sheetData>
    <row r="2" spans="1:15" ht="28.5" x14ac:dyDescent="0.45">
      <c r="E2" s="586" t="str">
        <f>+'HOJA DE TRABAJO'!AV36</f>
        <v>PANDO</v>
      </c>
      <c r="F2" s="586"/>
      <c r="G2" s="586"/>
      <c r="H2" s="586"/>
      <c r="I2" s="586"/>
      <c r="J2" s="586"/>
      <c r="K2" s="586"/>
    </row>
    <row r="4" spans="1:15" s="132" customFormat="1" x14ac:dyDescent="0.25">
      <c r="A4" s="292" t="s">
        <v>1477</v>
      </c>
      <c r="B4" s="292"/>
      <c r="C4" s="292"/>
      <c r="D4" s="292"/>
      <c r="E4" s="268"/>
      <c r="F4" s="292" t="s">
        <v>11</v>
      </c>
      <c r="G4" s="292">
        <f>+'HOJA DE TRABAJO'!AV38</f>
        <v>0</v>
      </c>
      <c r="H4" s="293"/>
      <c r="I4" s="292" t="s">
        <v>1477</v>
      </c>
      <c r="J4" s="292"/>
      <c r="K4" s="292"/>
      <c r="L4" s="292"/>
      <c r="M4" s="292"/>
      <c r="N4" s="292" t="s">
        <v>11</v>
      </c>
      <c r="O4" s="292">
        <f>+'HOJA DE TRABAJO'!AV39</f>
        <v>0</v>
      </c>
    </row>
    <row r="5" spans="1:15" s="132" customFormat="1" x14ac:dyDescent="0.25">
      <c r="A5" s="294"/>
      <c r="B5" s="294" t="s">
        <v>1476</v>
      </c>
      <c r="C5" s="588" t="str">
        <f>+'HOJA DE TRABAJO'!C38:E38</f>
        <v>VENDEDOR INSTITUCIONAL</v>
      </c>
      <c r="D5" s="588"/>
      <c r="E5" s="588"/>
      <c r="F5" s="294"/>
      <c r="G5" s="294"/>
      <c r="H5" s="293"/>
      <c r="I5" s="294"/>
      <c r="J5" s="294" t="s">
        <v>1476</v>
      </c>
      <c r="K5" s="588">
        <f>+'HOJA DE TRABAJO'!C39</f>
        <v>0</v>
      </c>
      <c r="L5" s="588"/>
      <c r="M5" s="588"/>
      <c r="N5" s="294"/>
      <c r="O5" s="294"/>
    </row>
    <row r="6" spans="1:15" s="132" customFormat="1" ht="14.25" x14ac:dyDescent="0.2">
      <c r="A6" s="587" t="s">
        <v>1478</v>
      </c>
      <c r="B6" s="587"/>
      <c r="C6" s="587"/>
      <c r="D6" s="587"/>
      <c r="E6" s="587"/>
      <c r="F6" s="587"/>
      <c r="G6" s="587"/>
      <c r="H6" s="269"/>
      <c r="I6" s="587" t="s">
        <v>1478</v>
      </c>
      <c r="J6" s="587"/>
      <c r="K6" s="587"/>
      <c r="L6" s="587"/>
      <c r="M6" s="587"/>
      <c r="N6" s="587"/>
      <c r="O6" s="587"/>
    </row>
    <row r="7" spans="1:15" s="132" customFormat="1" ht="14.25" x14ac:dyDescent="0.2">
      <c r="A7" s="268"/>
      <c r="B7" s="268"/>
      <c r="C7" s="268"/>
      <c r="D7" s="268"/>
      <c r="E7" s="268"/>
      <c r="F7" s="268"/>
      <c r="G7" s="268"/>
      <c r="H7" s="133"/>
      <c r="I7" s="268"/>
      <c r="J7" s="268"/>
      <c r="K7" s="268"/>
      <c r="L7" s="268"/>
      <c r="M7" s="268"/>
      <c r="N7" s="268"/>
      <c r="O7" s="268"/>
    </row>
    <row r="8" spans="1:15" s="132" customFormat="1" ht="14.25" x14ac:dyDescent="0.2">
      <c r="A8" s="268" t="s">
        <v>1475</v>
      </c>
      <c r="B8" s="268"/>
      <c r="C8" s="268"/>
      <c r="D8" s="268"/>
      <c r="E8" s="268"/>
      <c r="F8" s="268"/>
      <c r="G8" s="270">
        <f>+'HOJA DE TRABAJO'!AW38</f>
        <v>0</v>
      </c>
      <c r="H8" s="271"/>
      <c r="I8" s="268" t="str">
        <f>A8</f>
        <v>Costo líquido por Supervisor  (líquido pagable Bs.)</v>
      </c>
      <c r="J8" s="268"/>
      <c r="K8" s="268"/>
      <c r="L8" s="268"/>
      <c r="M8" s="268"/>
      <c r="N8" s="268"/>
      <c r="O8" s="270">
        <f>+'HOJA DE TRABAJO'!AW39</f>
        <v>0</v>
      </c>
    </row>
    <row r="9" spans="1:15" s="132" customFormat="1" ht="14.25" x14ac:dyDescent="0.2">
      <c r="A9" s="268" t="s">
        <v>1588</v>
      </c>
      <c r="B9" s="268"/>
      <c r="C9" s="268"/>
      <c r="D9" s="268"/>
      <c r="E9" s="268"/>
      <c r="F9" s="268"/>
      <c r="G9" s="270">
        <f>IF(G8=0,0,SUM('HOJA DE TRABAJO'!$R$29:$R$31))</f>
        <v>0</v>
      </c>
      <c r="H9" s="271"/>
      <c r="I9" s="268" t="s">
        <v>1588</v>
      </c>
      <c r="J9" s="268"/>
      <c r="K9" s="268"/>
      <c r="L9" s="268"/>
      <c r="M9" s="268"/>
      <c r="N9" s="268"/>
      <c r="O9" s="270">
        <f>IF(O8=0,0,SUM('HOJA DE TRABAJO'!$R$29:$R$31))</f>
        <v>0</v>
      </c>
    </row>
    <row r="10" spans="1:15" s="132" customFormat="1" ht="14.25" x14ac:dyDescent="0.2">
      <c r="A10" s="272" t="s">
        <v>1474</v>
      </c>
      <c r="B10" s="268"/>
      <c r="C10" s="268"/>
      <c r="D10" s="268"/>
      <c r="E10" s="268"/>
      <c r="F10" s="268"/>
      <c r="G10" s="270"/>
      <c r="H10" s="271"/>
      <c r="I10" s="272" t="s">
        <v>1474</v>
      </c>
      <c r="J10" s="268"/>
      <c r="K10" s="268"/>
      <c r="L10" s="268"/>
      <c r="M10" s="268"/>
      <c r="N10" s="268"/>
      <c r="O10" s="270"/>
    </row>
    <row r="11" spans="1:15" s="132" customFormat="1" x14ac:dyDescent="0.25">
      <c r="A11" s="273" t="s">
        <v>1473</v>
      </c>
      <c r="B11" s="268"/>
      <c r="C11" s="268"/>
      <c r="D11" s="268"/>
      <c r="E11" s="268"/>
      <c r="F11" s="274">
        <f>+SUM(E12:E15)</f>
        <v>0.12710000000000002</v>
      </c>
      <c r="G11" s="270">
        <f>+(G8*100/87.29-G8)+(G9*F11)</f>
        <v>0</v>
      </c>
      <c r="H11" s="271"/>
      <c r="I11" s="273" t="s">
        <v>1473</v>
      </c>
      <c r="J11" s="268"/>
      <c r="K11" s="268"/>
      <c r="L11" s="268"/>
      <c r="M11" s="268"/>
      <c r="N11" s="274">
        <f>+SUM(M12:M15)</f>
        <v>0.12710000000000002</v>
      </c>
      <c r="O11" s="270">
        <f>+(O8*100/87.29-O8)+(N11*O9)</f>
        <v>0</v>
      </c>
    </row>
    <row r="12" spans="1:15" s="132" customFormat="1" ht="14.25" x14ac:dyDescent="0.2">
      <c r="A12" s="275" t="s">
        <v>1472</v>
      </c>
      <c r="B12" s="268"/>
      <c r="C12" s="268"/>
      <c r="D12" s="268"/>
      <c r="E12" s="276">
        <v>0.1</v>
      </c>
      <c r="F12" s="268"/>
      <c r="G12" s="270"/>
      <c r="H12" s="271"/>
      <c r="I12" s="275" t="s">
        <v>1472</v>
      </c>
      <c r="J12" s="268"/>
      <c r="K12" s="268"/>
      <c r="L12" s="268"/>
      <c r="M12" s="276">
        <v>0.1</v>
      </c>
      <c r="N12" s="268"/>
      <c r="O12" s="270"/>
    </row>
    <row r="13" spans="1:15" s="132" customFormat="1" ht="14.25" x14ac:dyDescent="0.2">
      <c r="A13" s="275" t="s">
        <v>1471</v>
      </c>
      <c r="B13" s="268"/>
      <c r="C13" s="268"/>
      <c r="D13" s="268"/>
      <c r="E13" s="276">
        <v>1.7100000000000001E-2</v>
      </c>
      <c r="F13" s="268"/>
      <c r="G13" s="270"/>
      <c r="H13" s="271"/>
      <c r="I13" s="275" t="s">
        <v>1471</v>
      </c>
      <c r="J13" s="268"/>
      <c r="K13" s="268"/>
      <c r="L13" s="268"/>
      <c r="M13" s="276">
        <v>1.7100000000000001E-2</v>
      </c>
      <c r="N13" s="268"/>
      <c r="O13" s="270"/>
    </row>
    <row r="14" spans="1:15" s="132" customFormat="1" ht="14.25" x14ac:dyDescent="0.2">
      <c r="A14" s="275" t="s">
        <v>1470</v>
      </c>
      <c r="B14" s="268"/>
      <c r="C14" s="268"/>
      <c r="D14" s="268"/>
      <c r="E14" s="276">
        <v>5.0000000000000001E-3</v>
      </c>
      <c r="F14" s="268"/>
      <c r="G14" s="270"/>
      <c r="H14" s="271"/>
      <c r="I14" s="275" t="s">
        <v>1470</v>
      </c>
      <c r="J14" s="268"/>
      <c r="K14" s="268"/>
      <c r="L14" s="268"/>
      <c r="M14" s="276">
        <v>5.0000000000000001E-3</v>
      </c>
      <c r="N14" s="268"/>
      <c r="O14" s="270"/>
    </row>
    <row r="15" spans="1:15" s="132" customFormat="1" ht="14.25" x14ac:dyDescent="0.2">
      <c r="A15" s="275" t="s">
        <v>1466</v>
      </c>
      <c r="B15" s="268"/>
      <c r="C15" s="268"/>
      <c r="D15" s="268"/>
      <c r="E15" s="276">
        <f>+E14</f>
        <v>5.0000000000000001E-3</v>
      </c>
      <c r="F15" s="268"/>
      <c r="G15" s="270"/>
      <c r="H15" s="271"/>
      <c r="I15" s="275" t="s">
        <v>1466</v>
      </c>
      <c r="J15" s="268"/>
      <c r="K15" s="268"/>
      <c r="L15" s="268"/>
      <c r="M15" s="276">
        <f>+M14</f>
        <v>5.0000000000000001E-3</v>
      </c>
      <c r="N15" s="268"/>
      <c r="O15" s="270"/>
    </row>
    <row r="16" spans="1:15" s="132" customFormat="1" x14ac:dyDescent="0.25">
      <c r="A16" s="273" t="s">
        <v>1469</v>
      </c>
      <c r="B16" s="268"/>
      <c r="C16" s="268"/>
      <c r="D16" s="268"/>
      <c r="E16" s="276"/>
      <c r="F16" s="274">
        <f>+SUM(E17:E26)</f>
        <v>0.83360000000000001</v>
      </c>
      <c r="G16" s="270">
        <f>(G8+G11+G9)*F16</f>
        <v>0</v>
      </c>
      <c r="H16" s="271"/>
      <c r="I16" s="273" t="s">
        <v>1469</v>
      </c>
      <c r="J16" s="268"/>
      <c r="K16" s="268"/>
      <c r="L16" s="268"/>
      <c r="M16" s="276"/>
      <c r="N16" s="274">
        <f>+SUM(M17:M26)</f>
        <v>0.83360000000000001</v>
      </c>
      <c r="O16" s="270">
        <f>(O8+O11+O9)*N16</f>
        <v>0</v>
      </c>
    </row>
    <row r="17" spans="1:15" s="132" customFormat="1" ht="14.25" x14ac:dyDescent="0.2">
      <c r="A17" s="275" t="s">
        <v>1468</v>
      </c>
      <c r="B17" s="268"/>
      <c r="C17" s="268"/>
      <c r="D17" s="268"/>
      <c r="E17" s="276">
        <v>0.1</v>
      </c>
      <c r="F17" s="268"/>
      <c r="G17" s="270"/>
      <c r="H17" s="271"/>
      <c r="I17" s="275" t="s">
        <v>1468</v>
      </c>
      <c r="J17" s="268"/>
      <c r="K17" s="268"/>
      <c r="L17" s="268"/>
      <c r="M17" s="276">
        <v>0.1</v>
      </c>
      <c r="N17" s="268"/>
      <c r="O17" s="270"/>
    </row>
    <row r="18" spans="1:15" s="132" customFormat="1" ht="14.25" x14ac:dyDescent="0.2">
      <c r="A18" s="275" t="s">
        <v>1466</v>
      </c>
      <c r="B18" s="268"/>
      <c r="C18" s="268"/>
      <c r="D18" s="268"/>
      <c r="E18" s="276">
        <v>0.03</v>
      </c>
      <c r="F18" s="268"/>
      <c r="G18" s="270"/>
      <c r="H18" s="271"/>
      <c r="I18" s="275" t="s">
        <v>1466</v>
      </c>
      <c r="J18" s="268"/>
      <c r="K18" s="268"/>
      <c r="L18" s="268"/>
      <c r="M18" s="276">
        <v>0.03</v>
      </c>
      <c r="N18" s="268"/>
      <c r="O18" s="270"/>
    </row>
    <row r="19" spans="1:15" s="132" customFormat="1" ht="14.25" x14ac:dyDescent="0.2">
      <c r="A19" s="275" t="s">
        <v>1465</v>
      </c>
      <c r="B19" s="268"/>
      <c r="C19" s="268"/>
      <c r="D19" s="268"/>
      <c r="E19" s="276">
        <v>3.7100000000000001E-2</v>
      </c>
      <c r="F19" s="268"/>
      <c r="G19" s="270"/>
      <c r="H19" s="271"/>
      <c r="I19" s="275" t="s">
        <v>1465</v>
      </c>
      <c r="J19" s="268"/>
      <c r="K19" s="268"/>
      <c r="L19" s="268"/>
      <c r="M19" s="276">
        <v>3.7100000000000001E-2</v>
      </c>
      <c r="N19" s="268"/>
      <c r="O19" s="270"/>
    </row>
    <row r="20" spans="1:15" s="132" customFormat="1" ht="14.25" x14ac:dyDescent="0.2">
      <c r="A20" s="275" t="s">
        <v>1501</v>
      </c>
      <c r="B20" s="268"/>
      <c r="C20" s="268"/>
      <c r="D20" s="268"/>
      <c r="E20" s="276">
        <f>+IF('HOJA DE TRABAJO'!$J$17="SI",0,IF('HOJA DE TRABAJO'!$J$17="NO",0.0833,))</f>
        <v>8.3299999999999999E-2</v>
      </c>
      <c r="F20" s="268"/>
      <c r="G20" s="270"/>
      <c r="H20" s="271"/>
      <c r="I20" s="275" t="s">
        <v>1500</v>
      </c>
      <c r="J20" s="268"/>
      <c r="K20" s="268"/>
      <c r="L20" s="268"/>
      <c r="M20" s="276">
        <f>+IF('HOJA DE TRABAJO'!$J$17="SI",0,IF('HOJA DE TRABAJO'!$J$17="NO",0.0833,))</f>
        <v>8.3299999999999999E-2</v>
      </c>
      <c r="N20" s="268"/>
      <c r="O20" s="270"/>
    </row>
    <row r="21" spans="1:15" s="132" customFormat="1" ht="14.25" x14ac:dyDescent="0.2">
      <c r="A21" s="275" t="s">
        <v>1463</v>
      </c>
      <c r="B21" s="268"/>
      <c r="C21" s="268"/>
      <c r="D21" s="268"/>
      <c r="E21" s="276">
        <f>+IF('HOJA DE TRABAJO'!$J$17="SI",0,IF('HOJA DE TRABAJO'!$J$17="NO",0.0833,))</f>
        <v>8.3299999999999999E-2</v>
      </c>
      <c r="F21" s="268"/>
      <c r="G21" s="270"/>
      <c r="H21" s="271"/>
      <c r="I21" s="275" t="s">
        <v>1463</v>
      </c>
      <c r="J21" s="268"/>
      <c r="K21" s="268"/>
      <c r="L21" s="268"/>
      <c r="M21" s="276">
        <f>+IF('HOJA DE TRABAJO'!$J$17="SI",0,IF('HOJA DE TRABAJO'!$J$17="NO",0.0833,))</f>
        <v>8.3299999999999999E-2</v>
      </c>
      <c r="N21" s="268"/>
      <c r="O21" s="270"/>
    </row>
    <row r="22" spans="1:15" s="132" customFormat="1" ht="14.25" x14ac:dyDescent="0.2">
      <c r="A22" s="275" t="str">
        <f>+'HOJA DE TRABAJO'!$B$29</f>
        <v xml:space="preserve">Previsión Segundo  Aguinaldo </v>
      </c>
      <c r="B22" s="268"/>
      <c r="C22" s="268"/>
      <c r="D22" s="268"/>
      <c r="E22" s="276">
        <f>+'HOJA DE TRABAJO'!$E$29</f>
        <v>8.3299999999999999E-2</v>
      </c>
      <c r="F22" s="268"/>
      <c r="G22" s="270"/>
      <c r="H22" s="271"/>
      <c r="I22" s="275" t="str">
        <f>+'HOJA DE TRABAJO'!$B$29</f>
        <v xml:space="preserve">Previsión Segundo  Aguinaldo </v>
      </c>
      <c r="J22" s="268"/>
      <c r="K22" s="268"/>
      <c r="L22" s="268"/>
      <c r="M22" s="276">
        <f>+'HOJA DE TRABAJO'!$E$29</f>
        <v>8.3299999999999999E-2</v>
      </c>
      <c r="N22" s="268"/>
      <c r="O22" s="270"/>
    </row>
    <row r="23" spans="1:15" s="132" customFormat="1" ht="14.25" x14ac:dyDescent="0.2">
      <c r="A23" s="275" t="str">
        <f>+'HOJA DE TRABAJO'!$B$30</f>
        <v>Seguro de Accidente</v>
      </c>
      <c r="B23" s="268"/>
      <c r="C23" s="268"/>
      <c r="D23" s="268"/>
      <c r="E23" s="276">
        <f>+'HOJA DE TRABAJO'!$E$30</f>
        <v>0</v>
      </c>
      <c r="F23" s="268"/>
      <c r="G23" s="270"/>
      <c r="H23" s="271"/>
      <c r="I23" s="275" t="str">
        <f>+'HOJA DE TRABAJO'!$B$30</f>
        <v>Seguro de Accidente</v>
      </c>
      <c r="J23" s="268"/>
      <c r="K23" s="268"/>
      <c r="L23" s="268"/>
      <c r="M23" s="276">
        <f>+'HOJA DE TRABAJO'!$E$30</f>
        <v>0</v>
      </c>
      <c r="N23" s="268"/>
      <c r="O23" s="270"/>
    </row>
    <row r="24" spans="1:15" s="132" customFormat="1" ht="14.25" x14ac:dyDescent="0.2">
      <c r="A24" s="275" t="str">
        <f>+'HOJA DE TRABAJO'!$B$31</f>
        <v xml:space="preserve">Vacaciones </v>
      </c>
      <c r="B24" s="268"/>
      <c r="C24" s="268"/>
      <c r="D24" s="268"/>
      <c r="E24" s="276">
        <f>+'HOJA DE TRABAJO'!$E$31</f>
        <v>0</v>
      </c>
      <c r="F24" s="268"/>
      <c r="G24" s="270"/>
      <c r="H24" s="271"/>
      <c r="I24" s="275" t="str">
        <f>+'HOJA DE TRABAJO'!$B$31</f>
        <v xml:space="preserve">Vacaciones </v>
      </c>
      <c r="J24" s="268"/>
      <c r="K24" s="268"/>
      <c r="L24" s="268"/>
      <c r="M24" s="276">
        <f>+'HOJA DE TRABAJO'!$E$31</f>
        <v>0</v>
      </c>
      <c r="N24" s="268"/>
      <c r="O24" s="270"/>
    </row>
    <row r="25" spans="1:15" s="132" customFormat="1" ht="14.25" x14ac:dyDescent="0.2">
      <c r="A25" s="275" t="str">
        <f>+'HOJA DE TRABAJO'!$F$29</f>
        <v xml:space="preserve">Previsicion de Subsidio </v>
      </c>
      <c r="B25" s="268"/>
      <c r="C25" s="268"/>
      <c r="D25" s="268"/>
      <c r="E25" s="276">
        <f>+'HOJA DE TRABAJO'!$L$29</f>
        <v>0.33329999999999999</v>
      </c>
      <c r="F25" s="268"/>
      <c r="G25" s="270"/>
      <c r="H25" s="271"/>
      <c r="I25" s="275" t="str">
        <f>+'HOJA DE TRABAJO'!$F$29</f>
        <v xml:space="preserve">Previsicion de Subsidio </v>
      </c>
      <c r="J25" s="268"/>
      <c r="K25" s="268"/>
      <c r="L25" s="268"/>
      <c r="M25" s="276">
        <f>+'HOJA DE TRABAJO'!$L$29</f>
        <v>0.33329999999999999</v>
      </c>
      <c r="N25" s="268"/>
      <c r="O25" s="270"/>
    </row>
    <row r="26" spans="1:15" s="132" customFormat="1" ht="14.25" x14ac:dyDescent="0.2">
      <c r="A26" s="275" t="str">
        <f>+'HOJA DE TRABAJO'!$F$30</f>
        <v>Previsicion de Desahucio</v>
      </c>
      <c r="B26" s="268"/>
      <c r="C26" s="268"/>
      <c r="D26" s="268"/>
      <c r="E26" s="276">
        <f>+'HOJA DE TRABAJO'!$L$30</f>
        <v>8.3299999999999999E-2</v>
      </c>
      <c r="F26" s="268"/>
      <c r="G26" s="270"/>
      <c r="H26" s="271"/>
      <c r="I26" s="275" t="str">
        <f>+'HOJA DE TRABAJO'!$F$30</f>
        <v>Previsicion de Desahucio</v>
      </c>
      <c r="J26" s="268"/>
      <c r="K26" s="268"/>
      <c r="L26" s="268"/>
      <c r="M26" s="276">
        <f>+'HOJA DE TRABAJO'!$L$30</f>
        <v>8.3299999999999999E-2</v>
      </c>
      <c r="N26" s="268"/>
      <c r="O26" s="270"/>
    </row>
    <row r="27" spans="1:15" s="132" customFormat="1" ht="14.25" x14ac:dyDescent="0.2">
      <c r="A27" s="277" t="s">
        <v>1461</v>
      </c>
      <c r="B27" s="268"/>
      <c r="C27" s="268"/>
      <c r="D27" s="268"/>
      <c r="E27" s="276"/>
      <c r="F27" s="268"/>
      <c r="G27" s="270">
        <f>IF(G4=0,0,(('HOJA DE TRABAJO'!$U$108)/'HOJA DE TRABAJO'!$BA$44))</f>
        <v>0</v>
      </c>
      <c r="H27" s="337"/>
      <c r="I27" s="277" t="s">
        <v>1461</v>
      </c>
      <c r="J27" s="268"/>
      <c r="K27" s="268"/>
      <c r="L27" s="268"/>
      <c r="M27" s="276"/>
      <c r="N27" s="268"/>
      <c r="O27" s="270">
        <f>IF(O4=0,0,(('HOJA DE TRABAJO'!$U$108)/'HOJA DE TRABAJO'!$BA$44))</f>
        <v>0</v>
      </c>
    </row>
    <row r="28" spans="1:15" s="132" customFormat="1" ht="14.25" x14ac:dyDescent="0.2">
      <c r="A28" s="277" t="s">
        <v>1504</v>
      </c>
      <c r="B28" s="268"/>
      <c r="C28" s="268"/>
      <c r="D28" s="268"/>
      <c r="E28" s="274">
        <f>+'HOJA DE TRABAJO'!$H$116*'HOJA DE TRABAJO'!$F$19</f>
        <v>1.6346153846153847E-2</v>
      </c>
      <c r="F28" s="268"/>
      <c r="G28" s="270">
        <f>(SUM(G7:G27)*E28)+IF(G4=0,0,'HOJA DE TRABAJO'!$J$119)</f>
        <v>0</v>
      </c>
      <c r="H28" s="271"/>
      <c r="I28" s="277" t="s">
        <v>1503</v>
      </c>
      <c r="J28" s="268"/>
      <c r="K28" s="268"/>
      <c r="L28" s="268"/>
      <c r="M28" s="274">
        <f>+'HOJA DE TRABAJO'!$H$116*'HOJA DE TRABAJO'!$F$19</f>
        <v>1.6346153846153847E-2</v>
      </c>
      <c r="N28" s="268"/>
      <c r="O28" s="270">
        <f>(SUM(O7:O27)*M28)+IF(O4=0,0,'HOJA DE TRABAJO'!$J$119)</f>
        <v>0</v>
      </c>
    </row>
    <row r="29" spans="1:15" s="132" customFormat="1" ht="14.25" x14ac:dyDescent="0.2">
      <c r="A29" s="278" t="s">
        <v>1460</v>
      </c>
      <c r="B29" s="279"/>
      <c r="C29" s="279"/>
      <c r="D29" s="279"/>
      <c r="E29" s="280">
        <f>+'HOJA 1 aux'!E29</f>
        <v>0.13</v>
      </c>
      <c r="F29" s="279"/>
      <c r="G29" s="281">
        <f>+SUM(G6:G28)*E29</f>
        <v>0</v>
      </c>
      <c r="H29" s="282"/>
      <c r="I29" s="278" t="s">
        <v>1460</v>
      </c>
      <c r="J29" s="279"/>
      <c r="K29" s="279"/>
      <c r="L29" s="279"/>
      <c r="M29" s="280">
        <f>+E29</f>
        <v>0.13</v>
      </c>
      <c r="N29" s="279"/>
      <c r="O29" s="281">
        <f>+SUM(O6:O28)*M29</f>
        <v>0</v>
      </c>
    </row>
    <row r="30" spans="1:15" s="132" customFormat="1" x14ac:dyDescent="0.25">
      <c r="A30" s="283" t="s">
        <v>1459</v>
      </c>
      <c r="B30" s="284"/>
      <c r="C30" s="284"/>
      <c r="D30" s="284"/>
      <c r="E30" s="284"/>
      <c r="F30" s="284"/>
      <c r="G30" s="285">
        <f>+SUM(G7:G29)</f>
        <v>0</v>
      </c>
      <c r="H30" s="286"/>
      <c r="I30" s="283" t="s">
        <v>1459</v>
      </c>
      <c r="J30" s="284"/>
      <c r="K30" s="284"/>
      <c r="L30" s="284"/>
      <c r="M30" s="284"/>
      <c r="N30" s="284"/>
      <c r="O30" s="285">
        <f>+SUM(O7:O29)</f>
        <v>0</v>
      </c>
    </row>
    <row r="31" spans="1:15" s="132" customFormat="1" ht="14.25" x14ac:dyDescent="0.2">
      <c r="A31" s="277" t="s">
        <v>1458</v>
      </c>
      <c r="B31" s="268"/>
      <c r="C31" s="268"/>
      <c r="D31" s="268"/>
      <c r="E31" s="274">
        <f>+B32+B33</f>
        <v>0.16</v>
      </c>
      <c r="F31" s="268"/>
      <c r="G31" s="270">
        <f>+G34-G30</f>
        <v>0</v>
      </c>
      <c r="H31" s="271"/>
      <c r="I31" s="277" t="s">
        <v>1458</v>
      </c>
      <c r="J31" s="268"/>
      <c r="K31" s="268"/>
      <c r="L31" s="268"/>
      <c r="M31" s="274">
        <f>+J32+J33</f>
        <v>0.16</v>
      </c>
      <c r="N31" s="268"/>
      <c r="O31" s="270">
        <f>+O34-O30</f>
        <v>0</v>
      </c>
    </row>
    <row r="32" spans="1:15" s="132" customFormat="1" ht="14.25" x14ac:dyDescent="0.2">
      <c r="A32" s="287" t="s">
        <v>1457</v>
      </c>
      <c r="B32" s="288">
        <v>0.13</v>
      </c>
      <c r="C32" s="268"/>
      <c r="D32" s="268"/>
      <c r="E32" s="276"/>
      <c r="F32" s="268"/>
      <c r="G32" s="270"/>
      <c r="H32" s="271"/>
      <c r="I32" s="287" t="s">
        <v>1457</v>
      </c>
      <c r="J32" s="288">
        <v>0.13</v>
      </c>
      <c r="K32" s="268"/>
      <c r="L32" s="268"/>
      <c r="M32" s="276"/>
      <c r="N32" s="268"/>
      <c r="O32" s="270"/>
    </row>
    <row r="33" spans="1:15" s="132" customFormat="1" ht="14.25" x14ac:dyDescent="0.2">
      <c r="A33" s="289" t="s">
        <v>1456</v>
      </c>
      <c r="B33" s="290">
        <v>0.03</v>
      </c>
      <c r="C33" s="279"/>
      <c r="D33" s="279"/>
      <c r="E33" s="291"/>
      <c r="F33" s="279"/>
      <c r="G33" s="281"/>
      <c r="H33" s="282"/>
      <c r="I33" s="289" t="s">
        <v>1456</v>
      </c>
      <c r="J33" s="290">
        <v>0.03</v>
      </c>
      <c r="K33" s="279"/>
      <c r="L33" s="279"/>
      <c r="M33" s="291"/>
      <c r="N33" s="279"/>
      <c r="O33" s="281"/>
    </row>
    <row r="34" spans="1:15" s="132" customFormat="1" x14ac:dyDescent="0.25">
      <c r="A34" s="283" t="s">
        <v>1519</v>
      </c>
      <c r="B34" s="284"/>
      <c r="C34" s="284"/>
      <c r="D34" s="284"/>
      <c r="E34" s="284"/>
      <c r="F34" s="284"/>
      <c r="G34" s="285">
        <f>IFERROR((G30/0.84),0)</f>
        <v>0</v>
      </c>
      <c r="H34" s="286"/>
      <c r="I34" s="283" t="s">
        <v>1519</v>
      </c>
      <c r="J34" s="284"/>
      <c r="K34" s="284"/>
      <c r="L34" s="284"/>
      <c r="M34" s="284"/>
      <c r="N34" s="284"/>
      <c r="O34" s="285">
        <f>IFERROR((O30/0.84),0)</f>
        <v>0</v>
      </c>
    </row>
    <row r="35" spans="1:15" s="132" customFormat="1" ht="14.25" x14ac:dyDescent="0.2">
      <c r="H35" s="133"/>
    </row>
    <row r="36" spans="1:15" s="132" customFormat="1" ht="14.25" x14ac:dyDescent="0.2">
      <c r="H36" s="133"/>
    </row>
    <row r="37" spans="1:15" s="132" customFormat="1" outlineLevel="1" x14ac:dyDescent="0.25">
      <c r="A37" s="292" t="s">
        <v>1477</v>
      </c>
      <c r="B37" s="292"/>
      <c r="C37" s="292"/>
      <c r="D37" s="292"/>
      <c r="E37" s="268"/>
      <c r="F37" s="292" t="s">
        <v>11</v>
      </c>
      <c r="G37" s="292">
        <f>+'HOJA DE TRABAJO'!AV40</f>
        <v>0</v>
      </c>
      <c r="H37" s="293"/>
      <c r="I37" s="292" t="s">
        <v>1477</v>
      </c>
      <c r="J37" s="292"/>
      <c r="K37" s="292"/>
      <c r="L37" s="292"/>
      <c r="M37" s="268"/>
      <c r="N37" s="292" t="s">
        <v>11</v>
      </c>
      <c r="O37" s="292">
        <f>+'HOJA DE TRABAJO'!AV41</f>
        <v>0</v>
      </c>
    </row>
    <row r="38" spans="1:15" s="132" customFormat="1" outlineLevel="1" x14ac:dyDescent="0.25">
      <c r="A38" s="294"/>
      <c r="B38" s="294" t="s">
        <v>1476</v>
      </c>
      <c r="C38" s="588">
        <f>+'HOJA DE TRABAJO'!C40:E40</f>
        <v>0</v>
      </c>
      <c r="D38" s="588"/>
      <c r="E38" s="588"/>
      <c r="F38" s="294"/>
      <c r="G38" s="294"/>
      <c r="H38" s="269"/>
      <c r="I38" s="294"/>
      <c r="J38" s="294" t="s">
        <v>1476</v>
      </c>
      <c r="K38" s="588">
        <f>+'HOJA DE TRABAJO'!C41</f>
        <v>0</v>
      </c>
      <c r="L38" s="588"/>
      <c r="M38" s="588"/>
      <c r="N38" s="294"/>
      <c r="O38" s="294"/>
    </row>
    <row r="39" spans="1:15" s="132" customFormat="1" ht="14.25" outlineLevel="1" x14ac:dyDescent="0.2">
      <c r="A39" s="587" t="s">
        <v>1478</v>
      </c>
      <c r="B39" s="587"/>
      <c r="C39" s="587"/>
      <c r="D39" s="587"/>
      <c r="E39" s="587"/>
      <c r="F39" s="587"/>
      <c r="G39" s="587"/>
      <c r="H39" s="133"/>
      <c r="I39" s="587" t="s">
        <v>1478</v>
      </c>
      <c r="J39" s="587"/>
      <c r="K39" s="587"/>
      <c r="L39" s="587"/>
      <c r="M39" s="587"/>
      <c r="N39" s="587"/>
      <c r="O39" s="587"/>
    </row>
    <row r="40" spans="1:15" s="132" customFormat="1" ht="14.25" outlineLevel="1" x14ac:dyDescent="0.2">
      <c r="A40" s="268" t="s">
        <v>1475</v>
      </c>
      <c r="B40" s="268"/>
      <c r="C40" s="268"/>
      <c r="D40" s="268"/>
      <c r="E40" s="268"/>
      <c r="F40" s="268"/>
      <c r="G40" s="270">
        <f>+'HOJA DE TRABAJO'!AW40</f>
        <v>0</v>
      </c>
      <c r="H40" s="271"/>
      <c r="I40" s="268" t="str">
        <f>A40</f>
        <v>Costo líquido por Supervisor  (líquido pagable Bs.)</v>
      </c>
      <c r="J40" s="268"/>
      <c r="K40" s="268"/>
      <c r="L40" s="268"/>
      <c r="M40" s="268"/>
      <c r="N40" s="268"/>
      <c r="O40" s="270">
        <f>+'HOJA DE TRABAJO'!AW41</f>
        <v>0</v>
      </c>
    </row>
    <row r="41" spans="1:15" s="132" customFormat="1" ht="14.25" outlineLevel="1" x14ac:dyDescent="0.2">
      <c r="A41" s="268" t="s">
        <v>1588</v>
      </c>
      <c r="B41" s="268"/>
      <c r="C41" s="268"/>
      <c r="D41" s="268"/>
      <c r="E41" s="268"/>
      <c r="F41" s="268"/>
      <c r="G41" s="270">
        <f>IF(G40=0,0,SUM('HOJA DE TRABAJO'!$R$29:$R$31))</f>
        <v>0</v>
      </c>
      <c r="H41" s="271"/>
      <c r="I41" s="268" t="s">
        <v>1588</v>
      </c>
      <c r="J41" s="268"/>
      <c r="K41" s="268"/>
      <c r="L41" s="268"/>
      <c r="M41" s="268"/>
      <c r="N41" s="268"/>
      <c r="O41" s="270">
        <f>IF(O40=0,0,SUM('HOJA DE TRABAJO'!$R$29:$R$31))</f>
        <v>0</v>
      </c>
    </row>
    <row r="42" spans="1:15" s="132" customFormat="1" ht="14.25" outlineLevel="1" x14ac:dyDescent="0.2">
      <c r="A42" s="272" t="s">
        <v>1474</v>
      </c>
      <c r="B42" s="268"/>
      <c r="C42" s="268"/>
      <c r="D42" s="268"/>
      <c r="E42" s="268"/>
      <c r="F42" s="268"/>
      <c r="G42" s="270"/>
      <c r="H42" s="271"/>
      <c r="I42" s="272" t="s">
        <v>1474</v>
      </c>
      <c r="J42" s="268"/>
      <c r="K42" s="268"/>
      <c r="L42" s="268"/>
      <c r="M42" s="268"/>
      <c r="N42" s="268"/>
      <c r="O42" s="270"/>
    </row>
    <row r="43" spans="1:15" s="132" customFormat="1" outlineLevel="1" x14ac:dyDescent="0.25">
      <c r="A43" s="273" t="s">
        <v>1473</v>
      </c>
      <c r="B43" s="268"/>
      <c r="C43" s="268"/>
      <c r="D43" s="268"/>
      <c r="E43" s="268"/>
      <c r="F43" s="274">
        <f>+SUM(E44:E47)</f>
        <v>0.12710000000000002</v>
      </c>
      <c r="G43" s="270">
        <f>+(G40*100/87.29-G40)+(F43*G41)</f>
        <v>0</v>
      </c>
      <c r="H43" s="271"/>
      <c r="I43" s="273" t="s">
        <v>1473</v>
      </c>
      <c r="J43" s="268"/>
      <c r="K43" s="268"/>
      <c r="L43" s="268"/>
      <c r="M43" s="268"/>
      <c r="N43" s="274">
        <f>+SUM(M44:M47)</f>
        <v>0.12710000000000002</v>
      </c>
      <c r="O43" s="270">
        <f>+(O40*100/87.29-O40)+(N43*O41)</f>
        <v>0</v>
      </c>
    </row>
    <row r="44" spans="1:15" s="132" customFormat="1" ht="14.25" outlineLevel="1" x14ac:dyDescent="0.2">
      <c r="A44" s="275" t="s">
        <v>1472</v>
      </c>
      <c r="B44" s="268"/>
      <c r="C44" s="268"/>
      <c r="D44" s="268"/>
      <c r="E44" s="276">
        <v>0.1</v>
      </c>
      <c r="F44" s="268"/>
      <c r="G44" s="270"/>
      <c r="H44" s="271"/>
      <c r="I44" s="275" t="s">
        <v>1472</v>
      </c>
      <c r="J44" s="268"/>
      <c r="K44" s="268"/>
      <c r="L44" s="268"/>
      <c r="M44" s="276">
        <v>0.1</v>
      </c>
      <c r="N44" s="268"/>
      <c r="O44" s="270"/>
    </row>
    <row r="45" spans="1:15" s="132" customFormat="1" ht="14.25" outlineLevel="1" x14ac:dyDescent="0.2">
      <c r="A45" s="275" t="s">
        <v>1471</v>
      </c>
      <c r="B45" s="268"/>
      <c r="C45" s="268"/>
      <c r="D45" s="268"/>
      <c r="E45" s="276">
        <v>1.7100000000000001E-2</v>
      </c>
      <c r="F45" s="268"/>
      <c r="G45" s="270"/>
      <c r="H45" s="271"/>
      <c r="I45" s="275" t="s">
        <v>1471</v>
      </c>
      <c r="J45" s="268"/>
      <c r="K45" s="268"/>
      <c r="L45" s="268"/>
      <c r="M45" s="276">
        <v>1.7100000000000001E-2</v>
      </c>
      <c r="N45" s="268"/>
      <c r="O45" s="270"/>
    </row>
    <row r="46" spans="1:15" s="132" customFormat="1" ht="14.25" outlineLevel="1" x14ac:dyDescent="0.2">
      <c r="A46" s="275" t="s">
        <v>1470</v>
      </c>
      <c r="B46" s="268"/>
      <c r="C46" s="268"/>
      <c r="D46" s="268"/>
      <c r="E46" s="276">
        <v>5.0000000000000001E-3</v>
      </c>
      <c r="F46" s="268"/>
      <c r="G46" s="270"/>
      <c r="H46" s="271"/>
      <c r="I46" s="275" t="s">
        <v>1470</v>
      </c>
      <c r="J46" s="268"/>
      <c r="K46" s="268"/>
      <c r="L46" s="268"/>
      <c r="M46" s="276">
        <v>5.0000000000000001E-3</v>
      </c>
      <c r="N46" s="268"/>
      <c r="O46" s="270"/>
    </row>
    <row r="47" spans="1:15" s="132" customFormat="1" ht="14.25" outlineLevel="1" x14ac:dyDescent="0.2">
      <c r="A47" s="275" t="s">
        <v>1466</v>
      </c>
      <c r="B47" s="268"/>
      <c r="C47" s="268"/>
      <c r="D47" s="268"/>
      <c r="E47" s="276">
        <f>+E46</f>
        <v>5.0000000000000001E-3</v>
      </c>
      <c r="F47" s="268"/>
      <c r="G47" s="270"/>
      <c r="H47" s="271"/>
      <c r="I47" s="275" t="s">
        <v>1466</v>
      </c>
      <c r="J47" s="268"/>
      <c r="K47" s="268"/>
      <c r="L47" s="268"/>
      <c r="M47" s="276">
        <f>+M46</f>
        <v>5.0000000000000001E-3</v>
      </c>
      <c r="N47" s="268"/>
      <c r="O47" s="270"/>
    </row>
    <row r="48" spans="1:15" s="132" customFormat="1" outlineLevel="1" x14ac:dyDescent="0.25">
      <c r="A48" s="273" t="s">
        <v>1469</v>
      </c>
      <c r="B48" s="268"/>
      <c r="C48" s="268"/>
      <c r="D48" s="268"/>
      <c r="E48" s="276"/>
      <c r="F48" s="274">
        <f>+SUM(E49:E59)</f>
        <v>0.83360000000000001</v>
      </c>
      <c r="G48" s="270">
        <f>(G40+G43+G41)*F48</f>
        <v>0</v>
      </c>
      <c r="H48" s="271"/>
      <c r="I48" s="273" t="s">
        <v>1469</v>
      </c>
      <c r="J48" s="268"/>
      <c r="K48" s="268"/>
      <c r="L48" s="268"/>
      <c r="M48" s="276"/>
      <c r="N48" s="274">
        <f>+SUM(M49:M58)</f>
        <v>0.75029999999999997</v>
      </c>
      <c r="O48" s="270">
        <f>(O40+O43+O41)*N48</f>
        <v>0</v>
      </c>
    </row>
    <row r="49" spans="1:15" s="132" customFormat="1" ht="14.25" outlineLevel="1" x14ac:dyDescent="0.2">
      <c r="A49" s="275" t="s">
        <v>1468</v>
      </c>
      <c r="B49" s="268"/>
      <c r="C49" s="268"/>
      <c r="D49" s="268"/>
      <c r="E49" s="276">
        <v>0.1</v>
      </c>
      <c r="F49" s="268"/>
      <c r="G49" s="270"/>
      <c r="H49" s="271"/>
      <c r="I49" s="275" t="s">
        <v>1468</v>
      </c>
      <c r="J49" s="268"/>
      <c r="K49" s="268"/>
      <c r="L49" s="268"/>
      <c r="M49" s="276">
        <v>0.1</v>
      </c>
      <c r="N49" s="268"/>
      <c r="O49" s="270"/>
    </row>
    <row r="50" spans="1:15" s="132" customFormat="1" ht="14.25" outlineLevel="1" x14ac:dyDescent="0.2">
      <c r="A50" s="275" t="s">
        <v>1467</v>
      </c>
      <c r="B50" s="268"/>
      <c r="C50" s="268"/>
      <c r="D50" s="268"/>
      <c r="E50" s="276"/>
      <c r="F50" s="268"/>
      <c r="G50" s="270"/>
      <c r="H50" s="271"/>
      <c r="I50" s="275" t="s">
        <v>1467</v>
      </c>
      <c r="J50" s="268"/>
      <c r="K50" s="268"/>
      <c r="L50" s="268"/>
      <c r="M50" s="276"/>
      <c r="N50" s="268"/>
      <c r="O50" s="270"/>
    </row>
    <row r="51" spans="1:15" s="132" customFormat="1" ht="14.25" outlineLevel="1" x14ac:dyDescent="0.2">
      <c r="A51" s="275" t="s">
        <v>1466</v>
      </c>
      <c r="B51" s="268"/>
      <c r="C51" s="268"/>
      <c r="D51" s="268"/>
      <c r="E51" s="276">
        <v>0.03</v>
      </c>
      <c r="F51" s="268"/>
      <c r="G51" s="270"/>
      <c r="H51" s="271"/>
      <c r="I51" s="275" t="s">
        <v>1466</v>
      </c>
      <c r="J51" s="268"/>
      <c r="K51" s="268"/>
      <c r="L51" s="268"/>
      <c r="M51" s="276">
        <v>0.03</v>
      </c>
      <c r="N51" s="268"/>
      <c r="O51" s="270"/>
    </row>
    <row r="52" spans="1:15" s="132" customFormat="1" ht="14.25" outlineLevel="1" x14ac:dyDescent="0.2">
      <c r="A52" s="275" t="s">
        <v>1465</v>
      </c>
      <c r="B52" s="268"/>
      <c r="C52" s="268"/>
      <c r="D52" s="268"/>
      <c r="E52" s="276">
        <v>3.7100000000000001E-2</v>
      </c>
      <c r="F52" s="268"/>
      <c r="G52" s="270"/>
      <c r="H52" s="271"/>
      <c r="I52" s="275" t="s">
        <v>1465</v>
      </c>
      <c r="J52" s="268"/>
      <c r="K52" s="268"/>
      <c r="L52" s="268"/>
      <c r="M52" s="276">
        <v>3.7100000000000001E-2</v>
      </c>
      <c r="N52" s="268"/>
      <c r="O52" s="270"/>
    </row>
    <row r="53" spans="1:15" s="132" customFormat="1" ht="14.25" outlineLevel="1" x14ac:dyDescent="0.2">
      <c r="A53" s="275" t="s">
        <v>1500</v>
      </c>
      <c r="B53" s="268"/>
      <c r="C53" s="268"/>
      <c r="D53" s="268"/>
      <c r="E53" s="276">
        <f>+IF('HOJA DE TRABAJO'!$J$17="SI",0,IF('HOJA DE TRABAJO'!$J$17="NO",0.0833,))</f>
        <v>8.3299999999999999E-2</v>
      </c>
      <c r="F53" s="268"/>
      <c r="G53" s="270"/>
      <c r="H53" s="271"/>
      <c r="I53" s="275" t="s">
        <v>1500</v>
      </c>
      <c r="J53" s="268"/>
      <c r="K53" s="268"/>
      <c r="L53" s="268"/>
      <c r="M53" s="276">
        <f>+IF('HOJA DE TRABAJO'!$J$17="SI",0,IF('HOJA DE TRABAJO'!$J$17="NO",0.0833,))</f>
        <v>8.3299999999999999E-2</v>
      </c>
      <c r="N53" s="268"/>
      <c r="O53" s="270"/>
    </row>
    <row r="54" spans="1:15" s="132" customFormat="1" ht="14.25" outlineLevel="1" x14ac:dyDescent="0.2">
      <c r="A54" s="275" t="s">
        <v>1463</v>
      </c>
      <c r="B54" s="268"/>
      <c r="C54" s="268"/>
      <c r="D54" s="268"/>
      <c r="E54" s="276">
        <f>+IF('HOJA DE TRABAJO'!$J$17="SI",0,IF('HOJA DE TRABAJO'!$J$17="NO",0.0833,))</f>
        <v>8.3299999999999999E-2</v>
      </c>
      <c r="F54" s="268"/>
      <c r="G54" s="270"/>
      <c r="H54" s="271"/>
      <c r="I54" s="275" t="s">
        <v>1463</v>
      </c>
      <c r="J54" s="268"/>
      <c r="K54" s="268"/>
      <c r="L54" s="268"/>
      <c r="M54" s="276">
        <f>+IF('HOJA DE TRABAJO'!$J$17="SI",0,IF('HOJA DE TRABAJO'!$J$17="NO",0.0833,))</f>
        <v>8.3299999999999999E-2</v>
      </c>
      <c r="N54" s="268"/>
      <c r="O54" s="270"/>
    </row>
    <row r="55" spans="1:15" s="132" customFormat="1" ht="14.25" outlineLevel="1" x14ac:dyDescent="0.2">
      <c r="A55" s="275" t="str">
        <f>+'HOJA DE TRABAJO'!$B$29</f>
        <v xml:space="preserve">Previsión Segundo  Aguinaldo </v>
      </c>
      <c r="B55" s="268"/>
      <c r="C55" s="268"/>
      <c r="D55" s="268"/>
      <c r="E55" s="276">
        <f>+'HOJA DE TRABAJO'!$E$29</f>
        <v>8.3299999999999999E-2</v>
      </c>
      <c r="F55" s="268"/>
      <c r="G55" s="270"/>
      <c r="H55" s="271"/>
      <c r="I55" s="275" t="str">
        <f>+'HOJA DE TRABAJO'!$B$29</f>
        <v xml:space="preserve">Previsión Segundo  Aguinaldo </v>
      </c>
      <c r="J55" s="268"/>
      <c r="K55" s="268"/>
      <c r="L55" s="268"/>
      <c r="M55" s="276">
        <f>+'HOJA DE TRABAJO'!$E$29</f>
        <v>8.3299999999999999E-2</v>
      </c>
      <c r="N55" s="268"/>
      <c r="O55" s="270"/>
    </row>
    <row r="56" spans="1:15" s="132" customFormat="1" ht="14.25" outlineLevel="1" x14ac:dyDescent="0.2">
      <c r="A56" s="275" t="str">
        <f>+'HOJA DE TRABAJO'!$B$30</f>
        <v>Seguro de Accidente</v>
      </c>
      <c r="B56" s="268"/>
      <c r="C56" s="268"/>
      <c r="D56" s="268"/>
      <c r="E56" s="276">
        <f>+'HOJA DE TRABAJO'!$E$30</f>
        <v>0</v>
      </c>
      <c r="F56" s="268"/>
      <c r="G56" s="270"/>
      <c r="H56" s="271"/>
      <c r="I56" s="275" t="str">
        <f>+'HOJA DE TRABAJO'!$B$30</f>
        <v>Seguro de Accidente</v>
      </c>
      <c r="J56" s="268"/>
      <c r="K56" s="268"/>
      <c r="L56" s="268"/>
      <c r="M56" s="276">
        <f>+'HOJA DE TRABAJO'!$E$30</f>
        <v>0</v>
      </c>
      <c r="N56" s="268"/>
      <c r="O56" s="270"/>
    </row>
    <row r="57" spans="1:15" s="132" customFormat="1" ht="14.25" outlineLevel="1" x14ac:dyDescent="0.2">
      <c r="A57" s="275" t="str">
        <f>+'HOJA DE TRABAJO'!$B$31</f>
        <v xml:space="preserve">Vacaciones </v>
      </c>
      <c r="B57" s="268"/>
      <c r="C57" s="268"/>
      <c r="D57" s="268"/>
      <c r="E57" s="276">
        <f>+'HOJA DE TRABAJO'!$E$31</f>
        <v>0</v>
      </c>
      <c r="F57" s="268"/>
      <c r="G57" s="270"/>
      <c r="H57" s="271"/>
      <c r="I57" s="275" t="str">
        <f>+'HOJA DE TRABAJO'!$B$31</f>
        <v xml:space="preserve">Vacaciones </v>
      </c>
      <c r="J57" s="268"/>
      <c r="K57" s="268"/>
      <c r="L57" s="268"/>
      <c r="M57" s="276">
        <f>+'HOJA DE TRABAJO'!$E$31</f>
        <v>0</v>
      </c>
      <c r="N57" s="268"/>
      <c r="O57" s="270"/>
    </row>
    <row r="58" spans="1:15" s="132" customFormat="1" ht="14.25" outlineLevel="1" x14ac:dyDescent="0.2">
      <c r="A58" s="275" t="str">
        <f>+'HOJA DE TRABAJO'!$F$29</f>
        <v xml:space="preserve">Previsicion de Subsidio </v>
      </c>
      <c r="B58" s="268"/>
      <c r="C58" s="268"/>
      <c r="D58" s="268"/>
      <c r="E58" s="276">
        <f>+'HOJA DE TRABAJO'!$L$29</f>
        <v>0.33329999999999999</v>
      </c>
      <c r="F58" s="268"/>
      <c r="G58" s="270"/>
      <c r="H58" s="271"/>
      <c r="I58" s="275" t="str">
        <f>+'HOJA DE TRABAJO'!$F$29</f>
        <v xml:space="preserve">Previsicion de Subsidio </v>
      </c>
      <c r="J58" s="268"/>
      <c r="K58" s="268"/>
      <c r="L58" s="268"/>
      <c r="M58" s="276">
        <f>+'HOJA DE TRABAJO'!$L$29</f>
        <v>0.33329999999999999</v>
      </c>
      <c r="N58" s="268"/>
      <c r="O58" s="270"/>
    </row>
    <row r="59" spans="1:15" s="132" customFormat="1" ht="14.25" outlineLevel="1" x14ac:dyDescent="0.2">
      <c r="A59" s="275" t="str">
        <f>+'HOJA DE TRABAJO'!$F$30</f>
        <v>Previsicion de Desahucio</v>
      </c>
      <c r="B59" s="268"/>
      <c r="C59" s="268"/>
      <c r="D59" s="268"/>
      <c r="E59" s="276">
        <f>+'HOJA DE TRABAJO'!$L$30</f>
        <v>8.3299999999999999E-2</v>
      </c>
      <c r="F59" s="268"/>
      <c r="G59" s="270"/>
      <c r="H59" s="271"/>
      <c r="I59" s="275" t="str">
        <f>+'HOJA DE TRABAJO'!$F$30</f>
        <v>Previsicion de Desahucio</v>
      </c>
      <c r="J59" s="268"/>
      <c r="K59" s="268"/>
      <c r="L59" s="268"/>
      <c r="M59" s="276">
        <f>+'HOJA DE TRABAJO'!$L$30</f>
        <v>8.3299999999999999E-2</v>
      </c>
      <c r="N59" s="268"/>
      <c r="O59" s="270"/>
    </row>
    <row r="60" spans="1:15" s="132" customFormat="1" ht="14.25" outlineLevel="1" x14ac:dyDescent="0.2">
      <c r="A60" s="277" t="s">
        <v>1461</v>
      </c>
      <c r="B60" s="268"/>
      <c r="C60" s="268"/>
      <c r="D60" s="268"/>
      <c r="E60" s="276"/>
      <c r="F60" s="268"/>
      <c r="G60" s="270">
        <f>IF(G37=0,0,(('HOJA DE TRABAJO'!$U$108)/'HOJA DE TRABAJO'!$BA$44))</f>
        <v>0</v>
      </c>
      <c r="H60" s="337"/>
      <c r="I60" s="277" t="s">
        <v>1461</v>
      </c>
      <c r="J60" s="268"/>
      <c r="K60" s="268"/>
      <c r="L60" s="268"/>
      <c r="M60" s="276"/>
      <c r="N60" s="268"/>
      <c r="O60" s="270">
        <f>IF(O37=0,0,(('HOJA DE TRABAJO'!$U$108)/'HOJA DE TRABAJO'!$BA$44))</f>
        <v>0</v>
      </c>
    </row>
    <row r="61" spans="1:15" s="132" customFormat="1" ht="14.25" outlineLevel="1" x14ac:dyDescent="0.2">
      <c r="A61" s="277" t="s">
        <v>1504</v>
      </c>
      <c r="B61" s="268"/>
      <c r="C61" s="268"/>
      <c r="D61" s="268"/>
      <c r="E61" s="274">
        <f>+'HOJA DE TRABAJO'!$H$116*'HOJA DE TRABAJO'!$F$19</f>
        <v>1.6346153846153847E-2</v>
      </c>
      <c r="F61" s="268"/>
      <c r="G61" s="270">
        <f>(SUM(G40:G60)*E61)+IF(G37=0,0,'HOJA DE TRABAJO'!$J$119)</f>
        <v>0</v>
      </c>
      <c r="H61" s="271"/>
      <c r="I61" s="277" t="s">
        <v>1503</v>
      </c>
      <c r="J61" s="268"/>
      <c r="K61" s="268"/>
      <c r="L61" s="268"/>
      <c r="M61" s="274">
        <f>+'HOJA DE TRABAJO'!$H$116*'HOJA DE TRABAJO'!$F$19</f>
        <v>1.6346153846153847E-2</v>
      </c>
      <c r="N61" s="268"/>
      <c r="O61" s="270">
        <f>(SUM(O40:O60)*M61)+IF(O37=0,0,'HOJA DE TRABAJO'!$J$119)</f>
        <v>0</v>
      </c>
    </row>
    <row r="62" spans="1:15" s="132" customFormat="1" ht="14.25" outlineLevel="1" x14ac:dyDescent="0.2">
      <c r="A62" s="278" t="s">
        <v>1460</v>
      </c>
      <c r="B62" s="279"/>
      <c r="C62" s="279"/>
      <c r="D62" s="279"/>
      <c r="E62" s="280">
        <f>+E29</f>
        <v>0.13</v>
      </c>
      <c r="F62" s="279"/>
      <c r="G62" s="281">
        <f>+SUM(G39:G61)*E62</f>
        <v>0</v>
      </c>
      <c r="H62" s="282"/>
      <c r="I62" s="278" t="s">
        <v>1460</v>
      </c>
      <c r="J62" s="279"/>
      <c r="K62" s="279"/>
      <c r="L62" s="279"/>
      <c r="M62" s="280">
        <f>+E62</f>
        <v>0.13</v>
      </c>
      <c r="N62" s="279"/>
      <c r="O62" s="281">
        <f>+SUM(O39:O61)*M62</f>
        <v>0</v>
      </c>
    </row>
    <row r="63" spans="1:15" s="132" customFormat="1" outlineLevel="1" x14ac:dyDescent="0.25">
      <c r="A63" s="283" t="s">
        <v>1459</v>
      </c>
      <c r="B63" s="284"/>
      <c r="C63" s="284"/>
      <c r="D63" s="284"/>
      <c r="E63" s="284"/>
      <c r="F63" s="284"/>
      <c r="G63" s="285">
        <f>+SUM(G40:G62)</f>
        <v>0</v>
      </c>
      <c r="H63" s="286"/>
      <c r="I63" s="283" t="s">
        <v>1459</v>
      </c>
      <c r="J63" s="284"/>
      <c r="K63" s="284"/>
      <c r="L63" s="284"/>
      <c r="M63" s="284"/>
      <c r="N63" s="284"/>
      <c r="O63" s="285">
        <f>+SUM(O40:O62)</f>
        <v>0</v>
      </c>
    </row>
    <row r="64" spans="1:15" s="132" customFormat="1" ht="14.25" outlineLevel="1" x14ac:dyDescent="0.2">
      <c r="A64" s="277" t="s">
        <v>1458</v>
      </c>
      <c r="B64" s="268"/>
      <c r="C64" s="268"/>
      <c r="D64" s="268"/>
      <c r="E64" s="274">
        <f>+B65+B66</f>
        <v>0.16</v>
      </c>
      <c r="F64" s="268"/>
      <c r="G64" s="270">
        <f>+G67-G63</f>
        <v>0</v>
      </c>
      <c r="H64" s="271"/>
      <c r="I64" s="277" t="s">
        <v>1458</v>
      </c>
      <c r="J64" s="268"/>
      <c r="K64" s="268"/>
      <c r="L64" s="268"/>
      <c r="M64" s="274">
        <f>+J65+J66</f>
        <v>0.16</v>
      </c>
      <c r="N64" s="268"/>
      <c r="O64" s="270">
        <f>+O67-O63</f>
        <v>0</v>
      </c>
    </row>
    <row r="65" spans="1:15" s="132" customFormat="1" ht="14.25" outlineLevel="1" x14ac:dyDescent="0.2">
      <c r="A65" s="287" t="s">
        <v>1457</v>
      </c>
      <c r="B65" s="288">
        <v>0.13</v>
      </c>
      <c r="C65" s="268"/>
      <c r="D65" s="268"/>
      <c r="E65" s="276"/>
      <c r="F65" s="268"/>
      <c r="G65" s="270"/>
      <c r="H65" s="271"/>
      <c r="I65" s="287" t="s">
        <v>1457</v>
      </c>
      <c r="J65" s="288">
        <v>0.13</v>
      </c>
      <c r="K65" s="268"/>
      <c r="L65" s="268"/>
      <c r="M65" s="276"/>
      <c r="N65" s="268"/>
      <c r="O65" s="270"/>
    </row>
    <row r="66" spans="1:15" s="132" customFormat="1" ht="14.25" outlineLevel="1" x14ac:dyDescent="0.2">
      <c r="A66" s="289" t="s">
        <v>1456</v>
      </c>
      <c r="B66" s="290">
        <v>0.03</v>
      </c>
      <c r="C66" s="279"/>
      <c r="D66" s="279"/>
      <c r="E66" s="291"/>
      <c r="F66" s="279"/>
      <c r="G66" s="281"/>
      <c r="H66" s="282"/>
      <c r="I66" s="289" t="s">
        <v>1456</v>
      </c>
      <c r="J66" s="290">
        <v>0.03</v>
      </c>
      <c r="K66" s="279"/>
      <c r="L66" s="279"/>
      <c r="M66" s="291"/>
      <c r="N66" s="279"/>
      <c r="O66" s="281"/>
    </row>
    <row r="67" spans="1:15" s="132" customFormat="1" outlineLevel="1" x14ac:dyDescent="0.25">
      <c r="A67" s="283" t="s">
        <v>1519</v>
      </c>
      <c r="B67" s="284"/>
      <c r="C67" s="284"/>
      <c r="D67" s="284"/>
      <c r="E67" s="284"/>
      <c r="F67" s="284"/>
      <c r="G67" s="285">
        <f>IFERROR((G63/0.84),0)</f>
        <v>0</v>
      </c>
      <c r="H67" s="286"/>
      <c r="I67" s="283" t="s">
        <v>1519</v>
      </c>
      <c r="J67" s="284"/>
      <c r="K67" s="284"/>
      <c r="L67" s="284"/>
      <c r="M67" s="284"/>
      <c r="N67" s="284"/>
      <c r="O67" s="285">
        <f>IFERROR((O63/0.84),0)</f>
        <v>0</v>
      </c>
    </row>
    <row r="68" spans="1:15" s="132" customFormat="1" ht="14.25" outlineLevel="1" x14ac:dyDescent="0.2">
      <c r="H68" s="271"/>
    </row>
    <row r="69" spans="1:15" s="132" customFormat="1" ht="14.25" outlineLevel="1" x14ac:dyDescent="0.2">
      <c r="H69" s="133"/>
    </row>
    <row r="70" spans="1:15" s="132" customFormat="1" ht="14.25" outlineLevel="1" x14ac:dyDescent="0.2">
      <c r="H70" s="133"/>
    </row>
    <row r="71" spans="1:15" s="132" customFormat="1" outlineLevel="2" x14ac:dyDescent="0.25">
      <c r="A71" s="292" t="s">
        <v>1477</v>
      </c>
      <c r="B71" s="292"/>
      <c r="C71" s="292"/>
      <c r="D71" s="292"/>
      <c r="E71" s="268"/>
      <c r="F71" s="292" t="s">
        <v>11</v>
      </c>
      <c r="G71" s="292">
        <f>+'HOJA DE TRABAJO'!AV42</f>
        <v>0</v>
      </c>
      <c r="H71" s="133"/>
      <c r="I71" s="292" t="s">
        <v>1477</v>
      </c>
      <c r="J71" s="292"/>
      <c r="K71" s="292"/>
      <c r="L71" s="292"/>
      <c r="M71" s="268"/>
      <c r="N71" s="292" t="s">
        <v>11</v>
      </c>
      <c r="O71" s="292">
        <f>+'HOJA DE TRABAJO'!AV43</f>
        <v>0</v>
      </c>
    </row>
    <row r="72" spans="1:15" s="132" customFormat="1" outlineLevel="2" x14ac:dyDescent="0.25">
      <c r="A72" s="294"/>
      <c r="B72" s="294" t="s">
        <v>1476</v>
      </c>
      <c r="C72" s="588">
        <f>+'HOJA DE TRABAJO'!C42:E42</f>
        <v>0</v>
      </c>
      <c r="D72" s="588"/>
      <c r="E72" s="588"/>
      <c r="F72" s="294"/>
      <c r="G72" s="294"/>
      <c r="H72" s="133"/>
      <c r="I72" s="294"/>
      <c r="J72" s="294" t="s">
        <v>1476</v>
      </c>
      <c r="K72" s="588">
        <f>+'HOJA DE TRABAJO'!C43</f>
        <v>0</v>
      </c>
      <c r="L72" s="588"/>
      <c r="M72" s="588"/>
      <c r="N72" s="294"/>
      <c r="O72" s="294"/>
    </row>
    <row r="73" spans="1:15" s="132" customFormat="1" ht="14.25" outlineLevel="2" x14ac:dyDescent="0.2">
      <c r="A73" s="587" t="s">
        <v>1478</v>
      </c>
      <c r="B73" s="587"/>
      <c r="C73" s="587"/>
      <c r="D73" s="587"/>
      <c r="E73" s="587"/>
      <c r="F73" s="587"/>
      <c r="G73" s="587"/>
      <c r="H73" s="133"/>
      <c r="I73" s="587" t="s">
        <v>1478</v>
      </c>
      <c r="J73" s="587"/>
      <c r="K73" s="587"/>
      <c r="L73" s="587"/>
      <c r="M73" s="587"/>
      <c r="N73" s="587"/>
      <c r="O73" s="587"/>
    </row>
    <row r="74" spans="1:15" s="132" customFormat="1" ht="14.25" outlineLevel="2" x14ac:dyDescent="0.2">
      <c r="A74" s="268"/>
      <c r="B74" s="268"/>
      <c r="C74" s="268"/>
      <c r="D74" s="268"/>
      <c r="E74" s="268"/>
      <c r="F74" s="268"/>
      <c r="G74" s="268"/>
      <c r="H74" s="133"/>
      <c r="I74" s="268"/>
      <c r="J74" s="268"/>
      <c r="K74" s="268"/>
      <c r="L74" s="268"/>
      <c r="M74" s="268"/>
      <c r="N74" s="268"/>
      <c r="O74" s="268"/>
    </row>
    <row r="75" spans="1:15" s="132" customFormat="1" ht="14.25" outlineLevel="2" x14ac:dyDescent="0.2">
      <c r="A75" s="268" t="s">
        <v>1475</v>
      </c>
      <c r="B75" s="268"/>
      <c r="C75" s="268"/>
      <c r="D75" s="268"/>
      <c r="E75" s="268"/>
      <c r="F75" s="268"/>
      <c r="G75" s="270">
        <f>+'HOJA DE TRABAJO'!AW42</f>
        <v>0</v>
      </c>
      <c r="H75" s="133"/>
      <c r="I75" s="268" t="s">
        <v>1475</v>
      </c>
      <c r="J75" s="268"/>
      <c r="K75" s="268"/>
      <c r="L75" s="268"/>
      <c r="M75" s="268"/>
      <c r="N75" s="268"/>
      <c r="O75" s="270">
        <f>+'HOJA DE TRABAJO'!AW43</f>
        <v>0</v>
      </c>
    </row>
    <row r="76" spans="1:15" s="132" customFormat="1" ht="14.25" outlineLevel="2" x14ac:dyDescent="0.2">
      <c r="A76" s="268" t="s">
        <v>1588</v>
      </c>
      <c r="B76" s="268"/>
      <c r="C76" s="268"/>
      <c r="D76" s="268"/>
      <c r="E76" s="268"/>
      <c r="F76" s="268"/>
      <c r="G76" s="270">
        <f>IF(G75=0,0,SUM('HOJA DE TRABAJO'!$R$29:$R$31))</f>
        <v>0</v>
      </c>
      <c r="H76" s="271"/>
      <c r="I76" s="268" t="s">
        <v>1588</v>
      </c>
      <c r="J76" s="268"/>
      <c r="K76" s="268"/>
      <c r="L76" s="268"/>
      <c r="M76" s="268"/>
      <c r="N76" s="268"/>
      <c r="O76" s="270">
        <f>IF(O75=0,0,SUM('HOJA DE TRABAJO'!$R$29:$R$31))</f>
        <v>0</v>
      </c>
    </row>
    <row r="77" spans="1:15" s="132" customFormat="1" ht="14.25" outlineLevel="2" x14ac:dyDescent="0.2">
      <c r="A77" s="272" t="s">
        <v>1474</v>
      </c>
      <c r="B77" s="268"/>
      <c r="C77" s="268"/>
      <c r="D77" s="268"/>
      <c r="E77" s="268"/>
      <c r="F77" s="268"/>
      <c r="G77" s="270"/>
      <c r="H77" s="133"/>
      <c r="I77" s="272" t="s">
        <v>1474</v>
      </c>
      <c r="J77" s="268"/>
      <c r="K77" s="268"/>
      <c r="L77" s="268"/>
      <c r="M77" s="268"/>
      <c r="N77" s="268"/>
      <c r="O77" s="270"/>
    </row>
    <row r="78" spans="1:15" s="132" customFormat="1" outlineLevel="2" x14ac:dyDescent="0.25">
      <c r="A78" s="273" t="s">
        <v>1473</v>
      </c>
      <c r="B78" s="268"/>
      <c r="C78" s="268"/>
      <c r="D78" s="268"/>
      <c r="E78" s="268"/>
      <c r="F78" s="274">
        <f>+SUM(E79:E82)</f>
        <v>0.12710000000000002</v>
      </c>
      <c r="G78" s="270">
        <f>+(G75*100/87.29-G75)+(G76*F78)</f>
        <v>0</v>
      </c>
      <c r="H78" s="271"/>
      <c r="I78" s="273" t="s">
        <v>1473</v>
      </c>
      <c r="J78" s="268"/>
      <c r="K78" s="268"/>
      <c r="L78" s="268"/>
      <c r="M78" s="268"/>
      <c r="N78" s="274">
        <f>+SUM(M79:M82)</f>
        <v>0.12710000000000002</v>
      </c>
      <c r="O78" s="270">
        <f>+(O75*100/87.29-O75)+(N78*O76)</f>
        <v>0</v>
      </c>
    </row>
    <row r="79" spans="1:15" s="132" customFormat="1" ht="14.25" outlineLevel="2" x14ac:dyDescent="0.2">
      <c r="A79" s="275" t="s">
        <v>1472</v>
      </c>
      <c r="B79" s="268"/>
      <c r="C79" s="268"/>
      <c r="D79" s="268"/>
      <c r="E79" s="276">
        <v>0.1</v>
      </c>
      <c r="F79" s="268"/>
      <c r="G79" s="270"/>
      <c r="H79" s="133"/>
      <c r="I79" s="275" t="s">
        <v>1472</v>
      </c>
      <c r="J79" s="268"/>
      <c r="K79" s="268"/>
      <c r="L79" s="268"/>
      <c r="M79" s="276">
        <v>0.1</v>
      </c>
      <c r="N79" s="268"/>
      <c r="O79" s="270"/>
    </row>
    <row r="80" spans="1:15" s="132" customFormat="1" ht="14.25" outlineLevel="2" x14ac:dyDescent="0.2">
      <c r="A80" s="275" t="s">
        <v>1471</v>
      </c>
      <c r="B80" s="268"/>
      <c r="C80" s="268"/>
      <c r="D80" s="268"/>
      <c r="E80" s="276">
        <v>1.7100000000000001E-2</v>
      </c>
      <c r="F80" s="268"/>
      <c r="G80" s="270"/>
      <c r="H80" s="133"/>
      <c r="I80" s="275" t="s">
        <v>1471</v>
      </c>
      <c r="J80" s="268"/>
      <c r="K80" s="268"/>
      <c r="L80" s="268"/>
      <c r="M80" s="276">
        <v>1.7100000000000001E-2</v>
      </c>
      <c r="N80" s="268"/>
      <c r="O80" s="270"/>
    </row>
    <row r="81" spans="1:15" s="132" customFormat="1" ht="14.25" outlineLevel="2" x14ac:dyDescent="0.2">
      <c r="A81" s="275" t="s">
        <v>1470</v>
      </c>
      <c r="B81" s="268"/>
      <c r="C81" s="268"/>
      <c r="D81" s="268"/>
      <c r="E81" s="276">
        <v>5.0000000000000001E-3</v>
      </c>
      <c r="F81" s="268"/>
      <c r="G81" s="270"/>
      <c r="H81" s="133"/>
      <c r="I81" s="275" t="s">
        <v>1470</v>
      </c>
      <c r="J81" s="268"/>
      <c r="K81" s="268"/>
      <c r="L81" s="268"/>
      <c r="M81" s="276">
        <v>5.0000000000000001E-3</v>
      </c>
      <c r="N81" s="268"/>
      <c r="O81" s="270"/>
    </row>
    <row r="82" spans="1:15" s="132" customFormat="1" ht="14.25" outlineLevel="2" x14ac:dyDescent="0.2">
      <c r="A82" s="275" t="s">
        <v>1466</v>
      </c>
      <c r="B82" s="268"/>
      <c r="C82" s="268"/>
      <c r="D82" s="268"/>
      <c r="E82" s="276">
        <f>+E81</f>
        <v>5.0000000000000001E-3</v>
      </c>
      <c r="F82" s="268"/>
      <c r="G82" s="270"/>
      <c r="H82" s="133"/>
      <c r="I82" s="275" t="s">
        <v>1466</v>
      </c>
      <c r="J82" s="268"/>
      <c r="K82" s="268"/>
      <c r="L82" s="268"/>
      <c r="M82" s="276">
        <f>+M81</f>
        <v>5.0000000000000001E-3</v>
      </c>
      <c r="N82" s="268"/>
      <c r="O82" s="270"/>
    </row>
    <row r="83" spans="1:15" s="132" customFormat="1" outlineLevel="2" x14ac:dyDescent="0.25">
      <c r="A83" s="273" t="s">
        <v>1469</v>
      </c>
      <c r="B83" s="268"/>
      <c r="C83" s="268"/>
      <c r="D83" s="268"/>
      <c r="E83" s="276"/>
      <c r="F83" s="274">
        <f>+SUM(E84:E93)</f>
        <v>0.83360000000000001</v>
      </c>
      <c r="G83" s="270">
        <f>(G75+G78+G76)*F83</f>
        <v>0</v>
      </c>
      <c r="H83" s="271"/>
      <c r="I83" s="273" t="s">
        <v>1469</v>
      </c>
      <c r="J83" s="268"/>
      <c r="K83" s="268"/>
      <c r="L83" s="268"/>
      <c r="M83" s="276"/>
      <c r="N83" s="274">
        <f>+SUM(M84:M93)</f>
        <v>0.83360000000000001</v>
      </c>
      <c r="O83" s="270">
        <f>(O75+O78+O76)*N83</f>
        <v>0</v>
      </c>
    </row>
    <row r="84" spans="1:15" s="132" customFormat="1" ht="14.25" outlineLevel="2" x14ac:dyDescent="0.2">
      <c r="A84" s="275" t="s">
        <v>1468</v>
      </c>
      <c r="B84" s="268"/>
      <c r="C84" s="268"/>
      <c r="D84" s="268"/>
      <c r="E84" s="276">
        <v>0.1</v>
      </c>
      <c r="F84" s="268"/>
      <c r="G84" s="270"/>
      <c r="H84" s="133"/>
      <c r="I84" s="275" t="s">
        <v>1468</v>
      </c>
      <c r="J84" s="268"/>
      <c r="K84" s="268"/>
      <c r="L84" s="268"/>
      <c r="M84" s="276">
        <v>0.1</v>
      </c>
      <c r="N84" s="268"/>
      <c r="O84" s="270"/>
    </row>
    <row r="85" spans="1:15" s="132" customFormat="1" ht="14.25" outlineLevel="2" x14ac:dyDescent="0.2">
      <c r="A85" s="275" t="s">
        <v>1466</v>
      </c>
      <c r="B85" s="268"/>
      <c r="C85" s="268"/>
      <c r="D85" s="268"/>
      <c r="E85" s="276">
        <v>0.03</v>
      </c>
      <c r="F85" s="268"/>
      <c r="G85" s="270"/>
      <c r="H85" s="133"/>
      <c r="I85" s="275" t="s">
        <v>1466</v>
      </c>
      <c r="J85" s="268"/>
      <c r="K85" s="268"/>
      <c r="L85" s="268"/>
      <c r="M85" s="276">
        <v>0.03</v>
      </c>
      <c r="N85" s="268"/>
      <c r="O85" s="270"/>
    </row>
    <row r="86" spans="1:15" s="132" customFormat="1" ht="14.25" outlineLevel="2" x14ac:dyDescent="0.2">
      <c r="A86" s="275" t="s">
        <v>1465</v>
      </c>
      <c r="B86" s="268"/>
      <c r="C86" s="268"/>
      <c r="D86" s="268"/>
      <c r="E86" s="276">
        <v>3.7100000000000001E-2</v>
      </c>
      <c r="F86" s="268"/>
      <c r="G86" s="270"/>
      <c r="H86" s="133"/>
      <c r="I86" s="275" t="s">
        <v>1465</v>
      </c>
      <c r="J86" s="268"/>
      <c r="K86" s="268"/>
      <c r="L86" s="268"/>
      <c r="M86" s="276">
        <v>3.7100000000000001E-2</v>
      </c>
      <c r="N86" s="268"/>
      <c r="O86" s="270"/>
    </row>
    <row r="87" spans="1:15" s="132" customFormat="1" ht="14.25" outlineLevel="2" x14ac:dyDescent="0.2">
      <c r="A87" s="275" t="s">
        <v>1500</v>
      </c>
      <c r="B87" s="268"/>
      <c r="C87" s="268"/>
      <c r="D87" s="268"/>
      <c r="E87" s="276">
        <f>+IF('HOJA DE TRABAJO'!$J$17="SI",0,IF('HOJA DE TRABAJO'!$J$17="NO",0.0833,))</f>
        <v>8.3299999999999999E-2</v>
      </c>
      <c r="F87" s="268"/>
      <c r="G87" s="270"/>
      <c r="H87" s="133"/>
      <c r="I87" s="275" t="s">
        <v>1500</v>
      </c>
      <c r="J87" s="268"/>
      <c r="K87" s="268"/>
      <c r="L87" s="268"/>
      <c r="M87" s="276">
        <f>+IF('HOJA DE TRABAJO'!$J$17="SI",0,IF('HOJA DE TRABAJO'!$J$17="NO",0.0833,))</f>
        <v>8.3299999999999999E-2</v>
      </c>
      <c r="N87" s="268"/>
      <c r="O87" s="270"/>
    </row>
    <row r="88" spans="1:15" s="132" customFormat="1" ht="14.25" outlineLevel="2" x14ac:dyDescent="0.2">
      <c r="A88" s="275" t="s">
        <v>1463</v>
      </c>
      <c r="B88" s="268"/>
      <c r="C88" s="268"/>
      <c r="D88" s="268"/>
      <c r="E88" s="276">
        <f>+IF('HOJA DE TRABAJO'!$J$17="SI",0,IF('HOJA DE TRABAJO'!$J$17="NO",0.0833,))</f>
        <v>8.3299999999999999E-2</v>
      </c>
      <c r="F88" s="268"/>
      <c r="G88" s="270"/>
      <c r="H88" s="133"/>
      <c r="I88" s="275" t="s">
        <v>1463</v>
      </c>
      <c r="J88" s="268"/>
      <c r="K88" s="268"/>
      <c r="L88" s="268"/>
      <c r="M88" s="276">
        <f>+IF('HOJA DE TRABAJO'!$J$17="SI",0,IF('HOJA DE TRABAJO'!$J$17="NO",0.0833,))</f>
        <v>8.3299999999999999E-2</v>
      </c>
      <c r="N88" s="268"/>
      <c r="O88" s="270"/>
    </row>
    <row r="89" spans="1:15" s="132" customFormat="1" ht="14.25" outlineLevel="2" x14ac:dyDescent="0.2">
      <c r="A89" s="275" t="str">
        <f>+'HOJA DE TRABAJO'!$B$29</f>
        <v xml:space="preserve">Previsión Segundo  Aguinaldo </v>
      </c>
      <c r="B89" s="268"/>
      <c r="C89" s="268"/>
      <c r="D89" s="268"/>
      <c r="E89" s="276">
        <f>+'HOJA DE TRABAJO'!$E$29</f>
        <v>8.3299999999999999E-2</v>
      </c>
      <c r="F89" s="268"/>
      <c r="G89" s="270"/>
      <c r="H89" s="133"/>
      <c r="I89" s="275" t="str">
        <f>+'HOJA DE TRABAJO'!$B$29</f>
        <v xml:space="preserve">Previsión Segundo  Aguinaldo </v>
      </c>
      <c r="J89" s="268"/>
      <c r="K89" s="268"/>
      <c r="L89" s="268"/>
      <c r="M89" s="276">
        <f>+'HOJA DE TRABAJO'!$E$29</f>
        <v>8.3299999999999999E-2</v>
      </c>
      <c r="N89" s="268"/>
      <c r="O89" s="270"/>
    </row>
    <row r="90" spans="1:15" s="132" customFormat="1" ht="14.25" outlineLevel="2" x14ac:dyDescent="0.2">
      <c r="A90" s="275" t="str">
        <f>+'HOJA DE TRABAJO'!$B$30</f>
        <v>Seguro de Accidente</v>
      </c>
      <c r="B90" s="268"/>
      <c r="C90" s="268"/>
      <c r="D90" s="268"/>
      <c r="E90" s="276">
        <f>+'HOJA DE TRABAJO'!$E$30</f>
        <v>0</v>
      </c>
      <c r="F90" s="268"/>
      <c r="G90" s="270"/>
      <c r="H90" s="133"/>
      <c r="I90" s="275" t="str">
        <f>+'HOJA DE TRABAJO'!$B$30</f>
        <v>Seguro de Accidente</v>
      </c>
      <c r="J90" s="268"/>
      <c r="K90" s="268"/>
      <c r="L90" s="268"/>
      <c r="M90" s="276">
        <f>+'HOJA DE TRABAJO'!$E$30</f>
        <v>0</v>
      </c>
      <c r="N90" s="268"/>
      <c r="O90" s="270"/>
    </row>
    <row r="91" spans="1:15" s="132" customFormat="1" ht="14.25" outlineLevel="2" x14ac:dyDescent="0.2">
      <c r="A91" s="275" t="str">
        <f>+'HOJA DE TRABAJO'!$B$31</f>
        <v xml:space="preserve">Vacaciones </v>
      </c>
      <c r="B91" s="268"/>
      <c r="C91" s="268"/>
      <c r="D91" s="268"/>
      <c r="E91" s="276">
        <f>+'HOJA DE TRABAJO'!$E$31</f>
        <v>0</v>
      </c>
      <c r="F91" s="268"/>
      <c r="G91" s="270"/>
      <c r="H91" s="133"/>
      <c r="I91" s="275" t="str">
        <f>+'HOJA DE TRABAJO'!$B$31</f>
        <v xml:space="preserve">Vacaciones </v>
      </c>
      <c r="J91" s="268"/>
      <c r="K91" s="268"/>
      <c r="L91" s="268"/>
      <c r="M91" s="276">
        <f>+'HOJA DE TRABAJO'!$E$31</f>
        <v>0</v>
      </c>
      <c r="N91" s="268"/>
      <c r="O91" s="270"/>
    </row>
    <row r="92" spans="1:15" s="132" customFormat="1" ht="14.25" outlineLevel="2" x14ac:dyDescent="0.2">
      <c r="A92" s="275" t="str">
        <f>+'HOJA DE TRABAJO'!$F$29</f>
        <v xml:space="preserve">Previsicion de Subsidio </v>
      </c>
      <c r="B92" s="268"/>
      <c r="C92" s="268"/>
      <c r="D92" s="268"/>
      <c r="E92" s="276">
        <f>+'HOJA DE TRABAJO'!$L$29</f>
        <v>0.33329999999999999</v>
      </c>
      <c r="F92" s="268"/>
      <c r="G92" s="270"/>
      <c r="H92" s="133"/>
      <c r="I92" s="275" t="str">
        <f>+'HOJA DE TRABAJO'!$F$29</f>
        <v xml:space="preserve">Previsicion de Subsidio </v>
      </c>
      <c r="J92" s="268"/>
      <c r="K92" s="268"/>
      <c r="L92" s="268"/>
      <c r="M92" s="276">
        <f>+'HOJA DE TRABAJO'!$L$29</f>
        <v>0.33329999999999999</v>
      </c>
      <c r="N92" s="268"/>
      <c r="O92" s="270"/>
    </row>
    <row r="93" spans="1:15" s="132" customFormat="1" ht="14.25" outlineLevel="2" x14ac:dyDescent="0.2">
      <c r="A93" s="275" t="str">
        <f>+'HOJA DE TRABAJO'!$F$30</f>
        <v>Previsicion de Desahucio</v>
      </c>
      <c r="B93" s="268"/>
      <c r="C93" s="268"/>
      <c r="D93" s="268"/>
      <c r="E93" s="276">
        <f>+'HOJA DE TRABAJO'!$L$30</f>
        <v>8.3299999999999999E-2</v>
      </c>
      <c r="F93" s="268"/>
      <c r="G93" s="270"/>
      <c r="H93" s="133"/>
      <c r="I93" s="275" t="str">
        <f>+'HOJA DE TRABAJO'!$F$30</f>
        <v>Previsicion de Desahucio</v>
      </c>
      <c r="J93" s="268"/>
      <c r="K93" s="268"/>
      <c r="L93" s="268"/>
      <c r="M93" s="276">
        <f>+'HOJA DE TRABAJO'!$L$30</f>
        <v>8.3299999999999999E-2</v>
      </c>
      <c r="N93" s="268"/>
      <c r="O93" s="270"/>
    </row>
    <row r="94" spans="1:15" s="132" customFormat="1" ht="14.25" outlineLevel="2" x14ac:dyDescent="0.2">
      <c r="A94" s="277" t="s">
        <v>1461</v>
      </c>
      <c r="B94" s="268"/>
      <c r="C94" s="268"/>
      <c r="D94" s="268"/>
      <c r="E94" s="276"/>
      <c r="F94" s="268"/>
      <c r="G94" s="270">
        <f>IF(G71=0,0,(('HOJA DE TRABAJO'!$U$108)/'HOJA DE TRABAJO'!$BA$44))</f>
        <v>0</v>
      </c>
      <c r="H94" s="337"/>
      <c r="I94" s="277" t="s">
        <v>1461</v>
      </c>
      <c r="J94" s="268"/>
      <c r="K94" s="268"/>
      <c r="L94" s="268"/>
      <c r="M94" s="276"/>
      <c r="N94" s="268"/>
      <c r="O94" s="270">
        <f>IF(O71=0,0,(('HOJA DE TRABAJO'!$U$108)/'HOJA DE TRABAJO'!$BA$44))</f>
        <v>0</v>
      </c>
    </row>
    <row r="95" spans="1:15" s="132" customFormat="1" ht="14.25" outlineLevel="2" x14ac:dyDescent="0.2">
      <c r="A95" s="277" t="s">
        <v>1504</v>
      </c>
      <c r="B95" s="268"/>
      <c r="C95" s="268"/>
      <c r="D95" s="268"/>
      <c r="E95" s="274">
        <f>+'HOJA DE TRABAJO'!$H$116*'HOJA DE TRABAJO'!$F$19</f>
        <v>1.6346153846153847E-2</v>
      </c>
      <c r="F95" s="268"/>
      <c r="G95" s="270">
        <f>(SUM(G74:G94)*E95)+IF(G71=0,0,'HOJA DE TRABAJO'!$J$119)</f>
        <v>0</v>
      </c>
      <c r="H95" s="271"/>
      <c r="I95" s="277" t="s">
        <v>1503</v>
      </c>
      <c r="J95" s="268"/>
      <c r="K95" s="268"/>
      <c r="L95" s="268"/>
      <c r="M95" s="274">
        <f>+'HOJA DE TRABAJO'!$H$116*'HOJA DE TRABAJO'!$F$19</f>
        <v>1.6346153846153847E-2</v>
      </c>
      <c r="N95" s="268"/>
      <c r="O95" s="270">
        <f>(SUM(O74:O94)*M95)+IF(O71=0,0,'HOJA DE TRABAJO'!$J$119)</f>
        <v>0</v>
      </c>
    </row>
    <row r="96" spans="1:15" s="132" customFormat="1" ht="14.25" outlineLevel="2" x14ac:dyDescent="0.2">
      <c r="A96" s="278" t="s">
        <v>1460</v>
      </c>
      <c r="B96" s="279"/>
      <c r="C96" s="279"/>
      <c r="D96" s="279"/>
      <c r="E96" s="280">
        <f>+E62</f>
        <v>0.13</v>
      </c>
      <c r="F96" s="279"/>
      <c r="G96" s="281">
        <f>+SUM(G73:G95)*E96</f>
        <v>0</v>
      </c>
      <c r="H96" s="133"/>
      <c r="I96" s="278" t="s">
        <v>1460</v>
      </c>
      <c r="J96" s="279"/>
      <c r="K96" s="279"/>
      <c r="L96" s="279"/>
      <c r="M96" s="280">
        <f>+E96</f>
        <v>0.13</v>
      </c>
      <c r="N96" s="279"/>
      <c r="O96" s="281">
        <f>+SUM(O73:O95)*M96</f>
        <v>0</v>
      </c>
    </row>
    <row r="97" spans="1:15" s="132" customFormat="1" outlineLevel="2" x14ac:dyDescent="0.25">
      <c r="A97" s="283" t="s">
        <v>1459</v>
      </c>
      <c r="B97" s="284"/>
      <c r="C97" s="284"/>
      <c r="D97" s="284"/>
      <c r="E97" s="284"/>
      <c r="F97" s="284"/>
      <c r="G97" s="285">
        <f>+SUM(G74:G96)</f>
        <v>0</v>
      </c>
      <c r="H97" s="133"/>
      <c r="I97" s="283" t="s">
        <v>1459</v>
      </c>
      <c r="J97" s="284"/>
      <c r="K97" s="284"/>
      <c r="L97" s="284"/>
      <c r="M97" s="284"/>
      <c r="N97" s="284"/>
      <c r="O97" s="285">
        <f>+SUM(O74:O96)</f>
        <v>0</v>
      </c>
    </row>
    <row r="98" spans="1:15" s="132" customFormat="1" ht="14.25" outlineLevel="2" x14ac:dyDescent="0.2">
      <c r="A98" s="277" t="s">
        <v>1458</v>
      </c>
      <c r="B98" s="268"/>
      <c r="C98" s="268"/>
      <c r="D98" s="268"/>
      <c r="E98" s="274">
        <f>+B99+B100</f>
        <v>0.16</v>
      </c>
      <c r="F98" s="268"/>
      <c r="G98" s="270">
        <f>+G101-G97</f>
        <v>0</v>
      </c>
      <c r="H98" s="133"/>
      <c r="I98" s="277" t="s">
        <v>1458</v>
      </c>
      <c r="J98" s="268"/>
      <c r="K98" s="268"/>
      <c r="L98" s="268"/>
      <c r="M98" s="274">
        <f>+J99+J100</f>
        <v>0.16</v>
      </c>
      <c r="N98" s="268"/>
      <c r="O98" s="270">
        <f>+O101-O97</f>
        <v>0</v>
      </c>
    </row>
    <row r="99" spans="1:15" s="132" customFormat="1" ht="14.25" outlineLevel="2" x14ac:dyDescent="0.2">
      <c r="A99" s="287" t="s">
        <v>1457</v>
      </c>
      <c r="B99" s="288">
        <v>0.13</v>
      </c>
      <c r="C99" s="268"/>
      <c r="D99" s="268"/>
      <c r="E99" s="276"/>
      <c r="F99" s="268"/>
      <c r="G99" s="270"/>
      <c r="H99" s="133"/>
      <c r="I99" s="287" t="s">
        <v>1457</v>
      </c>
      <c r="J99" s="288">
        <v>0.13</v>
      </c>
      <c r="K99" s="268"/>
      <c r="L99" s="268"/>
      <c r="M99" s="276"/>
      <c r="N99" s="268"/>
      <c r="O99" s="270"/>
    </row>
    <row r="100" spans="1:15" s="132" customFormat="1" ht="14.25" outlineLevel="2" x14ac:dyDescent="0.2">
      <c r="A100" s="289" t="s">
        <v>1456</v>
      </c>
      <c r="B100" s="290">
        <v>0.03</v>
      </c>
      <c r="C100" s="279"/>
      <c r="D100" s="279"/>
      <c r="E100" s="291"/>
      <c r="F100" s="279"/>
      <c r="G100" s="281"/>
      <c r="H100" s="133"/>
      <c r="I100" s="289" t="s">
        <v>1456</v>
      </c>
      <c r="J100" s="290">
        <v>0.03</v>
      </c>
      <c r="K100" s="279"/>
      <c r="L100" s="279"/>
      <c r="M100" s="291"/>
      <c r="N100" s="279"/>
      <c r="O100" s="281"/>
    </row>
    <row r="101" spans="1:15" s="132" customFormat="1" outlineLevel="2" x14ac:dyDescent="0.25">
      <c r="A101" s="283" t="s">
        <v>1519</v>
      </c>
      <c r="B101" s="284"/>
      <c r="C101" s="284"/>
      <c r="D101" s="284"/>
      <c r="E101" s="284"/>
      <c r="F101" s="284"/>
      <c r="G101" s="285">
        <f>IFERROR((G97/0.84),0)</f>
        <v>0</v>
      </c>
      <c r="H101" s="133"/>
      <c r="I101" s="283" t="s">
        <v>1519</v>
      </c>
      <c r="J101" s="284"/>
      <c r="K101" s="284"/>
      <c r="L101" s="284"/>
      <c r="M101" s="284"/>
      <c r="N101" s="284"/>
      <c r="O101" s="285">
        <f>IFERROR((O97/0.84),0)</f>
        <v>0</v>
      </c>
    </row>
    <row r="102" spans="1:15" s="132" customFormat="1" ht="14.25" outlineLevel="1" x14ac:dyDescent="0.2"/>
    <row r="103" spans="1:15" s="132" customFormat="1" ht="14.25" x14ac:dyDescent="0.2"/>
  </sheetData>
  <customSheetViews>
    <customSheetView guid="{D98A1565-B6EB-4D88-8DB8-23EB436D0197}" topLeftCell="A63">
      <selection activeCell="H83" sqref="H83"/>
      <pageMargins left="0.7" right="0.7" top="0.75" bottom="0.75" header="0.3" footer="0.3"/>
    </customSheetView>
  </customSheetViews>
  <mergeCells count="13">
    <mergeCell ref="A73:G73"/>
    <mergeCell ref="I73:O73"/>
    <mergeCell ref="C5:E5"/>
    <mergeCell ref="K5:M5"/>
    <mergeCell ref="A6:G6"/>
    <mergeCell ref="I6:O6"/>
    <mergeCell ref="C38:E38"/>
    <mergeCell ref="K38:M38"/>
    <mergeCell ref="E2:K2"/>
    <mergeCell ref="A39:G39"/>
    <mergeCell ref="I39:O39"/>
    <mergeCell ref="C72:E72"/>
    <mergeCell ref="K72:M72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3</vt:i4>
      </vt:variant>
    </vt:vector>
  </HeadingPairs>
  <TitlesOfParts>
    <vt:vector size="20" baseType="lpstr">
      <vt:lpstr>PARA FOTOS</vt:lpstr>
      <vt:lpstr>FORMATO DE COTIZACION1</vt:lpstr>
      <vt:lpstr>NOTA DE ENTREGA </vt:lpstr>
      <vt:lpstr>H. PRESENT.</vt:lpstr>
      <vt:lpstr>HOJA DE TRABAJO</vt:lpstr>
      <vt:lpstr>Hoja2</vt:lpstr>
      <vt:lpstr>Carta PDF</vt:lpstr>
      <vt:lpstr>GASTO AUX </vt:lpstr>
      <vt:lpstr>HOJA 1 aux</vt:lpstr>
      <vt:lpstr>HOJA 2 aux</vt:lpstr>
      <vt:lpstr>HOJA 3 aux</vt:lpstr>
      <vt:lpstr>HOJA 4 aux </vt:lpstr>
      <vt:lpstr>HOJA 5 aux</vt:lpstr>
      <vt:lpstr>HOJA 6 aux</vt:lpstr>
      <vt:lpstr>HOJA 7 aux</vt:lpstr>
      <vt:lpstr>HOJA 8 aux</vt:lpstr>
      <vt:lpstr>HOJA 9 aux</vt:lpstr>
      <vt:lpstr>'HOJA 1 aux'!Área_de_impresión</vt:lpstr>
      <vt:lpstr>'HOJA DE TRABAJO'!Área_de_impresión</vt:lpstr>
      <vt:lpstr>'PARA FOTOS'!Área_de_impresión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wilfredo</cp:lastModifiedBy>
  <cp:lastPrinted>2019-01-15T15:07:25Z</cp:lastPrinted>
  <dcterms:created xsi:type="dcterms:W3CDTF">2016-10-17T20:34:40Z</dcterms:created>
  <dcterms:modified xsi:type="dcterms:W3CDTF">2019-02-01T18:56:18Z</dcterms:modified>
</cp:coreProperties>
</file>